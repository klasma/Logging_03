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45705</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45705</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45705</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45705</v>
      </c>
      <c r="D5" t="inlineStr">
        <is>
          <t>UPPSALA LÄN</t>
        </is>
      </c>
      <c r="E5" t="inlineStr">
        <is>
          <t>ÄLVKARLEBY</t>
        </is>
      </c>
      <c r="F5" t="inlineStr">
        <is>
          <t>Bergvik skog väst AB</t>
        </is>
      </c>
      <c r="G5" t="n">
        <v>60.6</v>
      </c>
      <c r="H5" t="n">
        <v>10</v>
      </c>
      <c r="I5" t="n">
        <v>11</v>
      </c>
      <c r="J5" t="n">
        <v>11</v>
      </c>
      <c r="K5" t="n">
        <v>3</v>
      </c>
      <c r="L5" t="n">
        <v>2</v>
      </c>
      <c r="M5" t="n">
        <v>1</v>
      </c>
      <c r="N5" t="n">
        <v>0</v>
      </c>
      <c r="O5" t="n">
        <v>17</v>
      </c>
      <c r="P5" t="n">
        <v>6</v>
      </c>
      <c r="Q5" t="n">
        <v>32</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45705</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45705</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45705</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4056-2022</t>
        </is>
      </c>
      <c r="B9" s="1" t="n">
        <v>44588</v>
      </c>
      <c r="C9" s="1" t="n">
        <v>45705</v>
      </c>
      <c r="D9" t="inlineStr">
        <is>
          <t>UPPSALA LÄN</t>
        </is>
      </c>
      <c r="E9" t="inlineStr">
        <is>
          <t>KNIVSTA</t>
        </is>
      </c>
      <c r="G9" t="n">
        <v>14.4</v>
      </c>
      <c r="H9" t="n">
        <v>7</v>
      </c>
      <c r="I9" t="n">
        <v>10</v>
      </c>
      <c r="J9" t="n">
        <v>9</v>
      </c>
      <c r="K9" t="n">
        <v>3</v>
      </c>
      <c r="L9" t="n">
        <v>0</v>
      </c>
      <c r="M9" t="n">
        <v>0</v>
      </c>
      <c r="N9" t="n">
        <v>0</v>
      </c>
      <c r="O9" t="n">
        <v>12</v>
      </c>
      <c r="P9" t="n">
        <v>3</v>
      </c>
      <c r="Q9" t="n">
        <v>25</v>
      </c>
      <c r="R9"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9">
        <f>HYPERLINK("https://klasma.github.io/Logging_0330/artfynd/A 4056-2022 artfynd.xlsx", "A 4056-2022")</f>
        <v/>
      </c>
      <c r="T9">
        <f>HYPERLINK("https://klasma.github.io/Logging_0330/kartor/A 4056-2022 karta.png", "A 4056-2022")</f>
        <v/>
      </c>
      <c r="U9">
        <f>HYPERLINK("https://klasma.github.io/Logging_0330/knärot/A 4056-2022 karta knärot.png", "A 4056-2022")</f>
        <v/>
      </c>
      <c r="V9">
        <f>HYPERLINK("https://klasma.github.io/Logging_0330/klagomål/A 4056-2022 FSC-klagomål.docx", "A 4056-2022")</f>
        <v/>
      </c>
      <c r="W9">
        <f>HYPERLINK("https://klasma.github.io/Logging_0330/klagomålsmail/A 4056-2022 FSC-klagomål mail.docx", "A 4056-2022")</f>
        <v/>
      </c>
      <c r="X9">
        <f>HYPERLINK("https://klasma.github.io/Logging_0330/tillsyn/A 4056-2022 tillsynsbegäran.docx", "A 4056-2022")</f>
        <v/>
      </c>
      <c r="Y9">
        <f>HYPERLINK("https://klasma.github.io/Logging_0330/tillsynsmail/A 4056-2022 tillsynsbegäran mail.docx", "A 4056-2022")</f>
        <v/>
      </c>
      <c r="Z9">
        <f>HYPERLINK("https://klasma.github.io/Logging_0330/fåglar/A 4056-2022 prioriterade fågelarter.docx", "A 4056-2022")</f>
        <v/>
      </c>
    </row>
    <row r="10" ht="15" customHeight="1">
      <c r="A10" t="inlineStr">
        <is>
          <t>A 38961-2019</t>
        </is>
      </c>
      <c r="B10" s="1" t="n">
        <v>43689</v>
      </c>
      <c r="C10" s="1" t="n">
        <v>45705</v>
      </c>
      <c r="D10" t="inlineStr">
        <is>
          <t>UPPSALA LÄN</t>
        </is>
      </c>
      <c r="E10" t="inlineStr">
        <is>
          <t>ÖSTHAMMAR</t>
        </is>
      </c>
      <c r="G10" t="n">
        <v>19.5</v>
      </c>
      <c r="H10" t="n">
        <v>21</v>
      </c>
      <c r="I10" t="n">
        <v>2</v>
      </c>
      <c r="J10" t="n">
        <v>14</v>
      </c>
      <c r="K10" t="n">
        <v>1</v>
      </c>
      <c r="L10" t="n">
        <v>1</v>
      </c>
      <c r="M10" t="n">
        <v>0</v>
      </c>
      <c r="N10" t="n">
        <v>0</v>
      </c>
      <c r="O10" t="n">
        <v>16</v>
      </c>
      <c r="P10" t="n">
        <v>2</v>
      </c>
      <c r="Q10" t="n">
        <v>24</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7208-2023</t>
        </is>
      </c>
      <c r="B11" s="1" t="n">
        <v>44970</v>
      </c>
      <c r="C11" s="1" t="n">
        <v>45705</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45705</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45705</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45705</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45705</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45705</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45705</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45705</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45705</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45705</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45705</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45705</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45705</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45705</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45705</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45705</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162-2025</t>
        </is>
      </c>
      <c r="B27" s="1" t="n">
        <v>45659</v>
      </c>
      <c r="C27" s="1" t="n">
        <v>45705</v>
      </c>
      <c r="D27" t="inlineStr">
        <is>
          <t>UPPSALA LÄN</t>
        </is>
      </c>
      <c r="E27" t="inlineStr">
        <is>
          <t>TIERP</t>
        </is>
      </c>
      <c r="F27" t="inlineStr">
        <is>
          <t>Bergvik skog öst AB</t>
        </is>
      </c>
      <c r="G27" t="n">
        <v>22.4</v>
      </c>
      <c r="H27" t="n">
        <v>6</v>
      </c>
      <c r="I27" t="n">
        <v>8</v>
      </c>
      <c r="J27" t="n">
        <v>5</v>
      </c>
      <c r="K27" t="n">
        <v>2</v>
      </c>
      <c r="L27" t="n">
        <v>0</v>
      </c>
      <c r="M27" t="n">
        <v>0</v>
      </c>
      <c r="N27" t="n">
        <v>0</v>
      </c>
      <c r="O27" t="n">
        <v>7</v>
      </c>
      <c r="P27" t="n">
        <v>2</v>
      </c>
      <c r="Q27" t="n">
        <v>17</v>
      </c>
      <c r="R27" s="2" t="inlineStr">
        <is>
          <t>Knärot
Rynkskinn
Kortskaftad ärgspik
Rosenticka
Spillkråka
Talltita
Ullticka
Blodticka
Bronshjon
Grön sköldmossa
Grönpyrola
Kattfotslav
Stubbspretmossa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42562-2020</t>
        </is>
      </c>
      <c r="B28" s="1" t="n">
        <v>44077</v>
      </c>
      <c r="C28" s="1" t="n">
        <v>45705</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45705</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45705</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45705</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45705</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45705</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43609-2023</t>
        </is>
      </c>
      <c r="B34" s="1" t="n">
        <v>45181</v>
      </c>
      <c r="C34" s="1" t="n">
        <v>45705</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55284-2024</t>
        </is>
      </c>
      <c r="B35" s="1" t="n">
        <v>45621</v>
      </c>
      <c r="C35" s="1" t="n">
        <v>45705</v>
      </c>
      <c r="D35" t="inlineStr">
        <is>
          <t>UPPSALA LÄN</t>
        </is>
      </c>
      <c r="E35" t="inlineStr">
        <is>
          <t>HEBY</t>
        </is>
      </c>
      <c r="G35" t="n">
        <v>7.8</v>
      </c>
      <c r="H35" t="n">
        <v>4</v>
      </c>
      <c r="I35" t="n">
        <v>4</v>
      </c>
      <c r="J35" t="n">
        <v>6</v>
      </c>
      <c r="K35" t="n">
        <v>2</v>
      </c>
      <c r="L35" t="n">
        <v>0</v>
      </c>
      <c r="M35" t="n">
        <v>0</v>
      </c>
      <c r="N35" t="n">
        <v>0</v>
      </c>
      <c r="O35" t="n">
        <v>8</v>
      </c>
      <c r="P35" t="n">
        <v>2</v>
      </c>
      <c r="Q35" t="n">
        <v>13</v>
      </c>
      <c r="R35" s="2" t="inlineStr">
        <is>
          <t>Knärot
Rynkskinn
Havsörn
Leptoporus erubescens
Motaggsvamp
Mörk kolflarnlav
Spillkråka
Ullticka
Björksplintborre
Flagellkvastmossa
Grönpyrola
Vedticka
Nattviol</t>
        </is>
      </c>
      <c r="S35">
        <f>HYPERLINK("https://klasma.github.io/Logging_0331/artfynd/A 55284-2024 artfynd.xlsx", "A 55284-2024")</f>
        <v/>
      </c>
      <c r="T35">
        <f>HYPERLINK("https://klasma.github.io/Logging_0331/kartor/A 55284-2024 karta.png", "A 55284-2024")</f>
        <v/>
      </c>
      <c r="U35">
        <f>HYPERLINK("https://klasma.github.io/Logging_0331/knärot/A 55284-2024 karta knärot.png", "A 55284-2024")</f>
        <v/>
      </c>
      <c r="V35">
        <f>HYPERLINK("https://klasma.github.io/Logging_0331/klagomål/A 55284-2024 FSC-klagomål.docx", "A 55284-2024")</f>
        <v/>
      </c>
      <c r="W35">
        <f>HYPERLINK("https://klasma.github.io/Logging_0331/klagomålsmail/A 55284-2024 FSC-klagomål mail.docx", "A 55284-2024")</f>
        <v/>
      </c>
      <c r="X35">
        <f>HYPERLINK("https://klasma.github.io/Logging_0331/tillsyn/A 55284-2024 tillsynsbegäran.docx", "A 55284-2024")</f>
        <v/>
      </c>
      <c r="Y35">
        <f>HYPERLINK("https://klasma.github.io/Logging_0331/tillsynsmail/A 55284-2024 tillsynsbegäran mail.docx", "A 55284-2024")</f>
        <v/>
      </c>
      <c r="Z35">
        <f>HYPERLINK("https://klasma.github.io/Logging_0331/fåglar/A 55284-2024 prioriterade fågelarter.docx", "A 55284-2024")</f>
        <v/>
      </c>
    </row>
    <row r="36" ht="15" customHeight="1">
      <c r="A36" t="inlineStr">
        <is>
          <t>A 3733-2025</t>
        </is>
      </c>
      <c r="B36" s="1" t="n">
        <v>45681</v>
      </c>
      <c r="C36" s="1" t="n">
        <v>45705</v>
      </c>
      <c r="D36" t="inlineStr">
        <is>
          <t>UPPSALA LÄN</t>
        </is>
      </c>
      <c r="E36" t="inlineStr">
        <is>
          <t>ÖSTHAMMAR</t>
        </is>
      </c>
      <c r="F36" t="inlineStr">
        <is>
          <t>Bergvik skog öst AB</t>
        </is>
      </c>
      <c r="G36" t="n">
        <v>7.8</v>
      </c>
      <c r="H36" t="n">
        <v>5</v>
      </c>
      <c r="I36" t="n">
        <v>6</v>
      </c>
      <c r="J36" t="n">
        <v>4</v>
      </c>
      <c r="K36" t="n">
        <v>1</v>
      </c>
      <c r="L36" t="n">
        <v>0</v>
      </c>
      <c r="M36" t="n">
        <v>0</v>
      </c>
      <c r="N36" t="n">
        <v>0</v>
      </c>
      <c r="O36" t="n">
        <v>5</v>
      </c>
      <c r="P36" t="n">
        <v>1</v>
      </c>
      <c r="Q36" t="n">
        <v>13</v>
      </c>
      <c r="R36" s="2" t="inlineStr">
        <is>
          <t>Knärot
Leptoporus mollis
Spillkråka
Talltita
Ullticka
Brandticka
Bronshjon
Grönpyrola
Rödgul trumpetsvamp
Vedticka
Vågbandad barkbock
Kungsfågel
Blåsippa</t>
        </is>
      </c>
      <c r="S36">
        <f>HYPERLINK("https://klasma.github.io/Logging_0382/artfynd/A 3733-2025 artfynd.xlsx", "A 3733-2025")</f>
        <v/>
      </c>
      <c r="T36">
        <f>HYPERLINK("https://klasma.github.io/Logging_0382/kartor/A 3733-2025 karta.png", "A 3733-2025")</f>
        <v/>
      </c>
      <c r="U36">
        <f>HYPERLINK("https://klasma.github.io/Logging_0382/knärot/A 3733-2025 karta knärot.png", "A 3733-2025")</f>
        <v/>
      </c>
      <c r="V36">
        <f>HYPERLINK("https://klasma.github.io/Logging_0382/klagomål/A 3733-2025 FSC-klagomål.docx", "A 3733-2025")</f>
        <v/>
      </c>
      <c r="W36">
        <f>HYPERLINK("https://klasma.github.io/Logging_0382/klagomålsmail/A 3733-2025 FSC-klagomål mail.docx", "A 3733-2025")</f>
        <v/>
      </c>
      <c r="X36">
        <f>HYPERLINK("https://klasma.github.io/Logging_0382/tillsyn/A 3733-2025 tillsynsbegäran.docx", "A 3733-2025")</f>
        <v/>
      </c>
      <c r="Y36">
        <f>HYPERLINK("https://klasma.github.io/Logging_0382/tillsynsmail/A 3733-2025 tillsynsbegäran mail.docx", "A 3733-2025")</f>
        <v/>
      </c>
      <c r="Z36">
        <f>HYPERLINK("https://klasma.github.io/Logging_0382/fåglar/A 3733-2025 prioriterade fågelarter.docx", "A 3733-2025")</f>
        <v/>
      </c>
    </row>
    <row r="37" ht="15" customHeight="1">
      <c r="A37" t="inlineStr">
        <is>
          <t>A 28821-2019</t>
        </is>
      </c>
      <c r="B37" s="1" t="n">
        <v>43627</v>
      </c>
      <c r="C37" s="1" t="n">
        <v>45705</v>
      </c>
      <c r="D37" t="inlineStr">
        <is>
          <t>UPPSALA LÄN</t>
        </is>
      </c>
      <c r="E37" t="inlineStr">
        <is>
          <t>TIERP</t>
        </is>
      </c>
      <c r="G37" t="n">
        <v>2.8</v>
      </c>
      <c r="H37" t="n">
        <v>1</v>
      </c>
      <c r="I37" t="n">
        <v>7</v>
      </c>
      <c r="J37" t="n">
        <v>2</v>
      </c>
      <c r="K37" t="n">
        <v>3</v>
      </c>
      <c r="L37" t="n">
        <v>0</v>
      </c>
      <c r="M37" t="n">
        <v>0</v>
      </c>
      <c r="N37" t="n">
        <v>0</v>
      </c>
      <c r="O37" t="n">
        <v>5</v>
      </c>
      <c r="P37" t="n">
        <v>3</v>
      </c>
      <c r="Q37" t="n">
        <v>12</v>
      </c>
      <c r="R37" s="2" t="inlineStr">
        <is>
          <t>Kopparspindling
Koppartaggsvamp
Violgubbe
Orange taggsvamp
Persiljespindling
Anisspindling
Bronshjon
Dropptaggsvamp
Skarp dropptaggsvamp
Skogsknipprot
Svavelriska
Vågbandad barkbock</t>
        </is>
      </c>
      <c r="S37">
        <f>HYPERLINK("https://klasma.github.io/Logging_0360/artfynd/A 28821-2019 artfynd.xlsx", "A 28821-2019")</f>
        <v/>
      </c>
      <c r="T37">
        <f>HYPERLINK("https://klasma.github.io/Logging_0360/kartor/A 28821-2019 karta.png", "A 28821-2019")</f>
        <v/>
      </c>
      <c r="V37">
        <f>HYPERLINK("https://klasma.github.io/Logging_0360/klagomål/A 28821-2019 FSC-klagomål.docx", "A 28821-2019")</f>
        <v/>
      </c>
      <c r="W37">
        <f>HYPERLINK("https://klasma.github.io/Logging_0360/klagomålsmail/A 28821-2019 FSC-klagomål mail.docx", "A 28821-2019")</f>
        <v/>
      </c>
      <c r="X37">
        <f>HYPERLINK("https://klasma.github.io/Logging_0360/tillsyn/A 28821-2019 tillsynsbegäran.docx", "A 28821-2019")</f>
        <v/>
      </c>
      <c r="Y37">
        <f>HYPERLINK("https://klasma.github.io/Logging_0360/tillsynsmail/A 28821-2019 tillsynsbegäran mail.docx", "A 28821-2019")</f>
        <v/>
      </c>
    </row>
    <row r="38" ht="15" customHeight="1">
      <c r="A38" t="inlineStr">
        <is>
          <t>A 55967-2019</t>
        </is>
      </c>
      <c r="B38" s="1" t="n">
        <v>43759</v>
      </c>
      <c r="C38" s="1" t="n">
        <v>45705</v>
      </c>
      <c r="D38" t="inlineStr">
        <is>
          <t>UPPSALA LÄN</t>
        </is>
      </c>
      <c r="E38" t="inlineStr">
        <is>
          <t>ÄLVKARLEBY</t>
        </is>
      </c>
      <c r="F38" t="inlineStr">
        <is>
          <t>Bergvik skog väst AB</t>
        </is>
      </c>
      <c r="G38" t="n">
        <v>23.4</v>
      </c>
      <c r="H38" t="n">
        <v>3</v>
      </c>
      <c r="I38" t="n">
        <v>8</v>
      </c>
      <c r="J38" t="n">
        <v>2</v>
      </c>
      <c r="K38" t="n">
        <v>1</v>
      </c>
      <c r="L38" t="n">
        <v>0</v>
      </c>
      <c r="M38" t="n">
        <v>0</v>
      </c>
      <c r="N38" t="n">
        <v>0</v>
      </c>
      <c r="O38" t="n">
        <v>3</v>
      </c>
      <c r="P38" t="n">
        <v>1</v>
      </c>
      <c r="Q38" t="n">
        <v>12</v>
      </c>
      <c r="R38" s="2" t="inlineStr">
        <is>
          <t>Knottblomster
Dofttaggsvamp
Storgröe
Anisspindling
Dunmossa
Dvärghäxört
Myskmadra
Nästrot
Rödgul trumpetsvamp
Sårläka
Vätteros
Grönvit nattviol</t>
        </is>
      </c>
      <c r="S38">
        <f>HYPERLINK("https://klasma.github.io/Logging_0319/artfynd/A 55967-2019 artfynd.xlsx", "A 55967-2019")</f>
        <v/>
      </c>
      <c r="T38">
        <f>HYPERLINK("https://klasma.github.io/Logging_0319/kartor/A 55967-2019 karta.png", "A 55967-2019")</f>
        <v/>
      </c>
      <c r="U38">
        <f>HYPERLINK("https://klasma.github.io/Logging_0319/knärot/A 55967-2019 karta knärot.png", "A 55967-2019")</f>
        <v/>
      </c>
      <c r="V38">
        <f>HYPERLINK("https://klasma.github.io/Logging_0319/klagomål/A 55967-2019 FSC-klagomål.docx", "A 55967-2019")</f>
        <v/>
      </c>
      <c r="W38">
        <f>HYPERLINK("https://klasma.github.io/Logging_0319/klagomålsmail/A 55967-2019 FSC-klagomål mail.docx", "A 55967-2019")</f>
        <v/>
      </c>
      <c r="X38">
        <f>HYPERLINK("https://klasma.github.io/Logging_0319/tillsyn/A 55967-2019 tillsynsbegäran.docx", "A 55967-2019")</f>
        <v/>
      </c>
      <c r="Y38">
        <f>HYPERLINK("https://klasma.github.io/Logging_0319/tillsynsmail/A 55967-2019 tillsynsbegäran mail.docx", "A 55967-2019")</f>
        <v/>
      </c>
    </row>
    <row r="39" ht="15" customHeight="1">
      <c r="A39" t="inlineStr">
        <is>
          <t>A 8472-2020</t>
        </is>
      </c>
      <c r="B39" s="1" t="n">
        <v>43875</v>
      </c>
      <c r="C39" s="1" t="n">
        <v>45705</v>
      </c>
      <c r="D39" t="inlineStr">
        <is>
          <t>UPPSALA LÄN</t>
        </is>
      </c>
      <c r="E39" t="inlineStr">
        <is>
          <t>UPPSALA</t>
        </is>
      </c>
      <c r="G39" t="n">
        <v>4.4</v>
      </c>
      <c r="H39" t="n">
        <v>2</v>
      </c>
      <c r="I39" t="n">
        <v>10</v>
      </c>
      <c r="J39" t="n">
        <v>0</v>
      </c>
      <c r="K39" t="n">
        <v>1</v>
      </c>
      <c r="L39" t="n">
        <v>0</v>
      </c>
      <c r="M39" t="n">
        <v>0</v>
      </c>
      <c r="N39" t="n">
        <v>0</v>
      </c>
      <c r="O39" t="n">
        <v>1</v>
      </c>
      <c r="P39" t="n">
        <v>1</v>
      </c>
      <c r="Q39" t="n">
        <v>12</v>
      </c>
      <c r="R39" s="2" t="inlineStr">
        <is>
          <t>Aspgelélav
Barkticka
Bårdlav
Fällmossa
Grön sköldmossa
Guldlockmossa
Hasselticka
Korallblylav
Platt fjädermossa
Skinnlav
Trubbfjädermossa
Blåsippa</t>
        </is>
      </c>
      <c r="S39">
        <f>HYPERLINK("https://klasma.github.io/Logging_0380/artfynd/A 8472-2020 artfynd.xlsx", "A 8472-2020")</f>
        <v/>
      </c>
      <c r="T39">
        <f>HYPERLINK("https://klasma.github.io/Logging_0380/kartor/A 8472-2020 karta.png", "A 8472-2020")</f>
        <v/>
      </c>
      <c r="V39">
        <f>HYPERLINK("https://klasma.github.io/Logging_0380/klagomål/A 8472-2020 FSC-klagomål.docx", "A 8472-2020")</f>
        <v/>
      </c>
      <c r="W39">
        <f>HYPERLINK("https://klasma.github.io/Logging_0380/klagomålsmail/A 8472-2020 FSC-klagomål mail.docx", "A 8472-2020")</f>
        <v/>
      </c>
      <c r="X39">
        <f>HYPERLINK("https://klasma.github.io/Logging_0380/tillsyn/A 8472-2020 tillsynsbegäran.docx", "A 8472-2020")</f>
        <v/>
      </c>
      <c r="Y39">
        <f>HYPERLINK("https://klasma.github.io/Logging_0380/tillsynsmail/A 8472-2020 tillsynsbegäran mail.docx", "A 8472-2020")</f>
        <v/>
      </c>
    </row>
    <row r="40" ht="15" customHeight="1">
      <c r="A40" t="inlineStr">
        <is>
          <t>A 15601-2021</t>
        </is>
      </c>
      <c r="B40" s="1" t="n">
        <v>44285</v>
      </c>
      <c r="C40" s="1" t="n">
        <v>45705</v>
      </c>
      <c r="D40" t="inlineStr">
        <is>
          <t>UPPSALA LÄN</t>
        </is>
      </c>
      <c r="E40" t="inlineStr">
        <is>
          <t>ÄLVKARLEBY</t>
        </is>
      </c>
      <c r="F40" t="inlineStr">
        <is>
          <t>Bergvik skog väst AB</t>
        </is>
      </c>
      <c r="G40" t="n">
        <v>9.199999999999999</v>
      </c>
      <c r="H40" t="n">
        <v>3</v>
      </c>
      <c r="I40" t="n">
        <v>8</v>
      </c>
      <c r="J40" t="n">
        <v>3</v>
      </c>
      <c r="K40" t="n">
        <v>1</v>
      </c>
      <c r="L40" t="n">
        <v>0</v>
      </c>
      <c r="M40" t="n">
        <v>0</v>
      </c>
      <c r="N40" t="n">
        <v>0</v>
      </c>
      <c r="O40" t="n">
        <v>4</v>
      </c>
      <c r="P40" t="n">
        <v>1</v>
      </c>
      <c r="Q40" t="n">
        <v>12</v>
      </c>
      <c r="R40" s="2" t="inlineStr">
        <is>
          <t>Läderdoftande fingersvamp
Flattoppad klubbsvamp
Klasefibbla
Ullticka
Anisspindling
Fjällig taggsvamp s.str.
Korallblylav
Nästrot
Olivspindling
Skogsknipprot
Tjockfotad fingersvamp
Tvåblad</t>
        </is>
      </c>
      <c r="S40">
        <f>HYPERLINK("https://klasma.github.io/Logging_0319/artfynd/A 15601-2021 artfynd.xlsx", "A 15601-2021")</f>
        <v/>
      </c>
      <c r="T40">
        <f>HYPERLINK("https://klasma.github.io/Logging_0319/kartor/A 15601-2021 karta.png", "A 15601-2021")</f>
        <v/>
      </c>
      <c r="V40">
        <f>HYPERLINK("https://klasma.github.io/Logging_0319/klagomål/A 15601-2021 FSC-klagomål.docx", "A 15601-2021")</f>
        <v/>
      </c>
      <c r="W40">
        <f>HYPERLINK("https://klasma.github.io/Logging_0319/klagomålsmail/A 15601-2021 FSC-klagomål mail.docx", "A 15601-2021")</f>
        <v/>
      </c>
      <c r="X40">
        <f>HYPERLINK("https://klasma.github.io/Logging_0319/tillsyn/A 15601-2021 tillsynsbegäran.docx", "A 15601-2021")</f>
        <v/>
      </c>
      <c r="Y40">
        <f>HYPERLINK("https://klasma.github.io/Logging_0319/tillsynsmail/A 15601-2021 tillsynsbegäran mail.docx", "A 15601-2021")</f>
        <v/>
      </c>
    </row>
    <row r="41" ht="15" customHeight="1">
      <c r="A41" t="inlineStr">
        <is>
          <t>A 234-2025</t>
        </is>
      </c>
      <c r="B41" s="1" t="n">
        <v>45660</v>
      </c>
      <c r="C41" s="1" t="n">
        <v>45705</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260-2025</t>
        </is>
      </c>
      <c r="B42" s="1" t="n">
        <v>45660</v>
      </c>
      <c r="C42" s="1" t="n">
        <v>45705</v>
      </c>
      <c r="D42" t="inlineStr">
        <is>
          <t>UPPSALA LÄN</t>
        </is>
      </c>
      <c r="E42" t="inlineStr">
        <is>
          <t>ÖSTHAMMAR</t>
        </is>
      </c>
      <c r="F42" t="inlineStr">
        <is>
          <t>Bergvik skog öst AB</t>
        </is>
      </c>
      <c r="G42" t="n">
        <v>15.7</v>
      </c>
      <c r="H42" t="n">
        <v>5</v>
      </c>
      <c r="I42" t="n">
        <v>2</v>
      </c>
      <c r="J42" t="n">
        <v>6</v>
      </c>
      <c r="K42" t="n">
        <v>2</v>
      </c>
      <c r="L42" t="n">
        <v>0</v>
      </c>
      <c r="M42" t="n">
        <v>0</v>
      </c>
      <c r="N42" t="n">
        <v>0</v>
      </c>
      <c r="O42" t="n">
        <v>8</v>
      </c>
      <c r="P42" t="n">
        <v>2</v>
      </c>
      <c r="Q42" t="n">
        <v>12</v>
      </c>
      <c r="R42" s="2" t="inlineStr">
        <is>
          <t>Knärot
Rynkskinn
Kortskaftad ärgspik
Leptoporus erubescens
Spillkråka
Talltita
Ullticka
Vedtrappmossa
Kattfotslav
Vågbandad barkbock
Kungsfågel
Blåsippa</t>
        </is>
      </c>
      <c r="S42">
        <f>HYPERLINK("https://klasma.github.io/Logging_0382/artfynd/A 260-2025 artfynd.xlsx", "A 260-2025")</f>
        <v/>
      </c>
      <c r="T42">
        <f>HYPERLINK("https://klasma.github.io/Logging_0382/kartor/A 260-2025 karta.png", "A 260-2025")</f>
        <v/>
      </c>
      <c r="U42">
        <f>HYPERLINK("https://klasma.github.io/Logging_0382/knärot/A 260-2025 karta knärot.png", "A 260-2025")</f>
        <v/>
      </c>
      <c r="V42">
        <f>HYPERLINK("https://klasma.github.io/Logging_0382/klagomål/A 260-2025 FSC-klagomål.docx", "A 260-2025")</f>
        <v/>
      </c>
      <c r="W42">
        <f>HYPERLINK("https://klasma.github.io/Logging_0382/klagomålsmail/A 260-2025 FSC-klagomål mail.docx", "A 260-2025")</f>
        <v/>
      </c>
      <c r="X42">
        <f>HYPERLINK("https://klasma.github.io/Logging_0382/tillsyn/A 260-2025 tillsynsbegäran.docx", "A 260-2025")</f>
        <v/>
      </c>
      <c r="Y42">
        <f>HYPERLINK("https://klasma.github.io/Logging_0382/tillsynsmail/A 260-2025 tillsynsbegäran mail.docx", "A 260-2025")</f>
        <v/>
      </c>
      <c r="Z42">
        <f>HYPERLINK("https://klasma.github.io/Logging_0382/fåglar/A 260-2025 prioriterade fågelarter.docx", "A 260-2025")</f>
        <v/>
      </c>
    </row>
    <row r="43" ht="15" customHeight="1">
      <c r="A43" t="inlineStr">
        <is>
          <t>A 49848-2019</t>
        </is>
      </c>
      <c r="B43" s="1" t="n">
        <v>43733</v>
      </c>
      <c r="C43" s="1" t="n">
        <v>45705</v>
      </c>
      <c r="D43" t="inlineStr">
        <is>
          <t>UPPSALA LÄN</t>
        </is>
      </c>
      <c r="E43" t="inlineStr">
        <is>
          <t>ENKÖPING</t>
        </is>
      </c>
      <c r="G43" t="n">
        <v>21</v>
      </c>
      <c r="H43" t="n">
        <v>5</v>
      </c>
      <c r="I43" t="n">
        <v>3</v>
      </c>
      <c r="J43" t="n">
        <v>2</v>
      </c>
      <c r="K43" t="n">
        <v>2</v>
      </c>
      <c r="L43" t="n">
        <v>0</v>
      </c>
      <c r="M43" t="n">
        <v>0</v>
      </c>
      <c r="N43" t="n">
        <v>0</v>
      </c>
      <c r="O43" t="n">
        <v>4</v>
      </c>
      <c r="P43" t="n">
        <v>2</v>
      </c>
      <c r="Q43" t="n">
        <v>11</v>
      </c>
      <c r="R43" s="2" t="inlineStr">
        <is>
          <t>Knärot
Violgubbe
Tallticka
Vedtrappmossa
Bronshjon
Grönpyrola
Thomsons trägnagare
Större vattensalamander
Åkergroda
Mindre vattensalamander
Blåsippa</t>
        </is>
      </c>
      <c r="S43">
        <f>HYPERLINK("https://klasma.github.io/Logging_0381/artfynd/A 49848-2019 artfynd.xlsx", "A 49848-2019")</f>
        <v/>
      </c>
      <c r="T43">
        <f>HYPERLINK("https://klasma.github.io/Logging_0381/kartor/A 49848-2019 karta.png", "A 49848-2019")</f>
        <v/>
      </c>
      <c r="U43">
        <f>HYPERLINK("https://klasma.github.io/Logging_0381/knärot/A 49848-2019 karta knärot.png", "A 49848-2019")</f>
        <v/>
      </c>
      <c r="V43">
        <f>HYPERLINK("https://klasma.github.io/Logging_0381/klagomål/A 49848-2019 FSC-klagomål.docx", "A 49848-2019")</f>
        <v/>
      </c>
      <c r="W43">
        <f>HYPERLINK("https://klasma.github.io/Logging_0381/klagomålsmail/A 49848-2019 FSC-klagomål mail.docx", "A 49848-2019")</f>
        <v/>
      </c>
      <c r="X43">
        <f>HYPERLINK("https://klasma.github.io/Logging_0381/tillsyn/A 49848-2019 tillsynsbegäran.docx", "A 49848-2019")</f>
        <v/>
      </c>
      <c r="Y43">
        <f>HYPERLINK("https://klasma.github.io/Logging_0381/tillsynsmail/A 49848-2019 tillsynsbegäran mail.docx", "A 49848-2019")</f>
        <v/>
      </c>
    </row>
    <row r="44" ht="15" customHeight="1">
      <c r="A44" t="inlineStr">
        <is>
          <t>A 36767-2020</t>
        </is>
      </c>
      <c r="B44" s="1" t="n">
        <v>44053</v>
      </c>
      <c r="C44" s="1" t="n">
        <v>45705</v>
      </c>
      <c r="D44" t="inlineStr">
        <is>
          <t>UPPSALA LÄN</t>
        </is>
      </c>
      <c r="E44" t="inlineStr">
        <is>
          <t>UPPSALA</t>
        </is>
      </c>
      <c r="G44" t="n">
        <v>4.1</v>
      </c>
      <c r="H44" t="n">
        <v>0</v>
      </c>
      <c r="I44" t="n">
        <v>3</v>
      </c>
      <c r="J44" t="n">
        <v>4</v>
      </c>
      <c r="K44" t="n">
        <v>3</v>
      </c>
      <c r="L44" t="n">
        <v>1</v>
      </c>
      <c r="M44" t="n">
        <v>0</v>
      </c>
      <c r="N44" t="n">
        <v>0</v>
      </c>
      <c r="O44" t="n">
        <v>8</v>
      </c>
      <c r="P44" t="n">
        <v>4</v>
      </c>
      <c r="Q44" t="n">
        <v>11</v>
      </c>
      <c r="R44" s="2" t="inlineStr">
        <is>
          <t>Lilafotad fingersvamp
Apelticka
Rostorangelav
Violgubbe
Blek fingersvamp
Druvfingersvamp
Gultoppig fingersvamp
Persiljespindling
Fjällig taggsvamp s.str.
Mandelriska
Skarp dropptaggsvamp</t>
        </is>
      </c>
      <c r="S44">
        <f>HYPERLINK("https://klasma.github.io/Logging_0380/artfynd/A 36767-2020 artfynd.xlsx", "A 36767-2020")</f>
        <v/>
      </c>
      <c r="T44">
        <f>HYPERLINK("https://klasma.github.io/Logging_0380/kartor/A 36767-2020 karta.png", "A 36767-2020")</f>
        <v/>
      </c>
      <c r="V44">
        <f>HYPERLINK("https://klasma.github.io/Logging_0380/klagomål/A 36767-2020 FSC-klagomål.docx", "A 36767-2020")</f>
        <v/>
      </c>
      <c r="W44">
        <f>HYPERLINK("https://klasma.github.io/Logging_0380/klagomålsmail/A 36767-2020 FSC-klagomål mail.docx", "A 36767-2020")</f>
        <v/>
      </c>
      <c r="X44">
        <f>HYPERLINK("https://klasma.github.io/Logging_0380/tillsyn/A 36767-2020 tillsynsbegäran.docx", "A 36767-2020")</f>
        <v/>
      </c>
      <c r="Y44">
        <f>HYPERLINK("https://klasma.github.io/Logging_0380/tillsynsmail/A 36767-2020 tillsynsbegäran mail.docx", "A 36767-2020")</f>
        <v/>
      </c>
    </row>
    <row r="45" ht="15" customHeight="1">
      <c r="A45" t="inlineStr">
        <is>
          <t>A 3929-2021</t>
        </is>
      </c>
      <c r="B45" s="1" t="n">
        <v>44222</v>
      </c>
      <c r="C45" s="1" t="n">
        <v>45705</v>
      </c>
      <c r="D45" t="inlineStr">
        <is>
          <t>UPPSALA LÄN</t>
        </is>
      </c>
      <c r="E45" t="inlineStr">
        <is>
          <t>UPPSALA</t>
        </is>
      </c>
      <c r="F45" t="inlineStr">
        <is>
          <t>Holmen skog AB</t>
        </is>
      </c>
      <c r="G45" t="n">
        <v>10.1</v>
      </c>
      <c r="H45" t="n">
        <v>0</v>
      </c>
      <c r="I45" t="n">
        <v>6</v>
      </c>
      <c r="J45" t="n">
        <v>5</v>
      </c>
      <c r="K45" t="n">
        <v>0</v>
      </c>
      <c r="L45" t="n">
        <v>0</v>
      </c>
      <c r="M45" t="n">
        <v>0</v>
      </c>
      <c r="N45" t="n">
        <v>0</v>
      </c>
      <c r="O45" t="n">
        <v>5</v>
      </c>
      <c r="P45" t="n">
        <v>0</v>
      </c>
      <c r="Q45" t="n">
        <v>11</v>
      </c>
      <c r="R45" s="2" t="inlineStr">
        <is>
          <t>Kortskaftad ärgspik
Skrovlig flatbagge
Timmertickgnagare
Ullticka
Vedskivlav
Bronshjon
Grönpyrola
Gullgröppa
Ljus vedstrit
Mörk vedstrit
Vanlig flatbagge</t>
        </is>
      </c>
      <c r="S45">
        <f>HYPERLINK("https://klasma.github.io/Logging_0380/artfynd/A 3929-2021 artfynd.xlsx", "A 3929-2021")</f>
        <v/>
      </c>
      <c r="T45">
        <f>HYPERLINK("https://klasma.github.io/Logging_0380/kartor/A 3929-2021 karta.png", "A 3929-2021")</f>
        <v/>
      </c>
      <c r="V45">
        <f>HYPERLINK("https://klasma.github.io/Logging_0380/klagomål/A 3929-2021 FSC-klagomål.docx", "A 3929-2021")</f>
        <v/>
      </c>
      <c r="W45">
        <f>HYPERLINK("https://klasma.github.io/Logging_0380/klagomålsmail/A 3929-2021 FSC-klagomål mail.docx", "A 3929-2021")</f>
        <v/>
      </c>
      <c r="X45">
        <f>HYPERLINK("https://klasma.github.io/Logging_0380/tillsyn/A 3929-2021 tillsynsbegäran.docx", "A 3929-2021")</f>
        <v/>
      </c>
      <c r="Y45">
        <f>HYPERLINK("https://klasma.github.io/Logging_0380/tillsynsmail/A 3929-2021 tillsynsbegäran mail.docx", "A 3929-2021")</f>
        <v/>
      </c>
    </row>
    <row r="46" ht="15" customHeight="1">
      <c r="A46" t="inlineStr">
        <is>
          <t>A 10368-2022</t>
        </is>
      </c>
      <c r="B46" s="1" t="n">
        <v>44623</v>
      </c>
      <c r="C46" s="1" t="n">
        <v>45705</v>
      </c>
      <c r="D46" t="inlineStr">
        <is>
          <t>UPPSALA LÄN</t>
        </is>
      </c>
      <c r="E46" t="inlineStr">
        <is>
          <t>UPPSALA</t>
        </is>
      </c>
      <c r="F46" t="inlineStr">
        <is>
          <t>Övriga Aktiebolag</t>
        </is>
      </c>
      <c r="G46" t="n">
        <v>3.4</v>
      </c>
      <c r="H46" t="n">
        <v>1</v>
      </c>
      <c r="I46" t="n">
        <v>7</v>
      </c>
      <c r="J46" t="n">
        <v>2</v>
      </c>
      <c r="K46" t="n">
        <v>0</v>
      </c>
      <c r="L46" t="n">
        <v>0</v>
      </c>
      <c r="M46" t="n">
        <v>1</v>
      </c>
      <c r="N46" t="n">
        <v>0</v>
      </c>
      <c r="O46" t="n">
        <v>3</v>
      </c>
      <c r="P46" t="n">
        <v>1</v>
      </c>
      <c r="Q46" t="n">
        <v>11</v>
      </c>
      <c r="R46" s="2" t="inlineStr">
        <is>
          <t>Skogsalm
Lunglav
Vedtrappmossa
Bårdlav
Fällmossa
Guldlockmossa
Korallblylav
Luddlav
Mörk husmossa
Platt fjädermossa
Blåsippa</t>
        </is>
      </c>
      <c r="S46">
        <f>HYPERLINK("https://klasma.github.io/Logging_0380/artfynd/A 10368-2022 artfynd.xlsx", "A 10368-2022")</f>
        <v/>
      </c>
      <c r="T46">
        <f>HYPERLINK("https://klasma.github.io/Logging_0380/kartor/A 10368-2022 karta.png", "A 10368-2022")</f>
        <v/>
      </c>
      <c r="V46">
        <f>HYPERLINK("https://klasma.github.io/Logging_0380/klagomål/A 10368-2022 FSC-klagomål.docx", "A 10368-2022")</f>
        <v/>
      </c>
      <c r="W46">
        <f>HYPERLINK("https://klasma.github.io/Logging_0380/klagomålsmail/A 10368-2022 FSC-klagomål mail.docx", "A 10368-2022")</f>
        <v/>
      </c>
      <c r="X46">
        <f>HYPERLINK("https://klasma.github.io/Logging_0380/tillsyn/A 10368-2022 tillsynsbegäran.docx", "A 10368-2022")</f>
        <v/>
      </c>
      <c r="Y46">
        <f>HYPERLINK("https://klasma.github.io/Logging_0380/tillsynsmail/A 10368-2022 tillsynsbegäran mail.docx", "A 10368-2022")</f>
        <v/>
      </c>
    </row>
    <row r="47" ht="15" customHeight="1">
      <c r="A47" t="inlineStr">
        <is>
          <t>A 7380-2023</t>
        </is>
      </c>
      <c r="B47" s="1" t="n">
        <v>44971</v>
      </c>
      <c r="C47" s="1" t="n">
        <v>45705</v>
      </c>
      <c r="D47" t="inlineStr">
        <is>
          <t>UPPSALA LÄN</t>
        </is>
      </c>
      <c r="E47" t="inlineStr">
        <is>
          <t>UPPSALA</t>
        </is>
      </c>
      <c r="G47" t="n">
        <v>3.7</v>
      </c>
      <c r="H47" t="n">
        <v>1</v>
      </c>
      <c r="I47" t="n">
        <v>6</v>
      </c>
      <c r="J47" t="n">
        <v>3</v>
      </c>
      <c r="K47" t="n">
        <v>0</v>
      </c>
      <c r="L47" t="n">
        <v>0</v>
      </c>
      <c r="M47" t="n">
        <v>1</v>
      </c>
      <c r="N47" t="n">
        <v>0</v>
      </c>
      <c r="O47" t="n">
        <v>4</v>
      </c>
      <c r="P47" t="n">
        <v>1</v>
      </c>
      <c r="Q47" t="n">
        <v>11</v>
      </c>
      <c r="R47" s="2" t="inlineStr">
        <is>
          <t>Skogsalm
Bleknande kamskivling
Jättekamskivling
Rutskinn
Bolmörtsskivling
Gulmjölkig storskål
Hasselsopp
Svart trolldruva
Tibast
Vårärt
Blåsippa</t>
        </is>
      </c>
      <c r="S47">
        <f>HYPERLINK("https://klasma.github.io/Logging_0380/artfynd/A 7380-2023 artfynd.xlsx", "A 7380-2023")</f>
        <v/>
      </c>
      <c r="T47">
        <f>HYPERLINK("https://klasma.github.io/Logging_0380/kartor/A 7380-2023 karta.png", "A 7380-2023")</f>
        <v/>
      </c>
      <c r="V47">
        <f>HYPERLINK("https://klasma.github.io/Logging_0380/klagomål/A 7380-2023 FSC-klagomål.docx", "A 7380-2023")</f>
        <v/>
      </c>
      <c r="W47">
        <f>HYPERLINK("https://klasma.github.io/Logging_0380/klagomålsmail/A 7380-2023 FSC-klagomål mail.docx", "A 7380-2023")</f>
        <v/>
      </c>
      <c r="X47">
        <f>HYPERLINK("https://klasma.github.io/Logging_0380/tillsyn/A 7380-2023 tillsynsbegäran.docx", "A 7380-2023")</f>
        <v/>
      </c>
      <c r="Y47">
        <f>HYPERLINK("https://klasma.github.io/Logging_0380/tillsynsmail/A 7380-2023 tillsynsbegäran mail.docx", "A 7380-2023")</f>
        <v/>
      </c>
    </row>
    <row r="48" ht="15" customHeight="1">
      <c r="A48" t="inlineStr">
        <is>
          <t>A 30123-2024</t>
        </is>
      </c>
      <c r="B48" s="1" t="n">
        <v>45489</v>
      </c>
      <c r="C48" s="1" t="n">
        <v>45705</v>
      </c>
      <c r="D48" t="inlineStr">
        <is>
          <t>UPPSALA LÄN</t>
        </is>
      </c>
      <c r="E48" t="inlineStr">
        <is>
          <t>UPPSALA</t>
        </is>
      </c>
      <c r="G48" t="n">
        <v>3.6</v>
      </c>
      <c r="H48" t="n">
        <v>4</v>
      </c>
      <c r="I48" t="n">
        <v>6</v>
      </c>
      <c r="J48" t="n">
        <v>2</v>
      </c>
      <c r="K48" t="n">
        <v>0</v>
      </c>
      <c r="L48" t="n">
        <v>0</v>
      </c>
      <c r="M48" t="n">
        <v>1</v>
      </c>
      <c r="N48" t="n">
        <v>0</v>
      </c>
      <c r="O48" t="n">
        <v>3</v>
      </c>
      <c r="P48" t="n">
        <v>1</v>
      </c>
      <c r="Q48" t="n">
        <v>11</v>
      </c>
      <c r="R48" s="2" t="inlineStr">
        <is>
          <t>Skogsalm
Spillkråka
Ullticka
Brandticka
Fällmossa
Granbarkgnagare
Guldlockmossa
Nästrot
Svart trolldruva
Nattviol
Blåsippa</t>
        </is>
      </c>
      <c r="S48">
        <f>HYPERLINK("https://klasma.github.io/Logging_0380/artfynd/A 30123-2024 artfynd.xlsx", "A 30123-2024")</f>
        <v/>
      </c>
      <c r="T48">
        <f>HYPERLINK("https://klasma.github.io/Logging_0380/kartor/A 30123-2024 karta.png", "A 30123-2024")</f>
        <v/>
      </c>
      <c r="V48">
        <f>HYPERLINK("https://klasma.github.io/Logging_0380/klagomål/A 30123-2024 FSC-klagomål.docx", "A 30123-2024")</f>
        <v/>
      </c>
      <c r="W48">
        <f>HYPERLINK("https://klasma.github.io/Logging_0380/klagomålsmail/A 30123-2024 FSC-klagomål mail.docx", "A 30123-2024")</f>
        <v/>
      </c>
      <c r="X48">
        <f>HYPERLINK("https://klasma.github.io/Logging_0380/tillsyn/A 30123-2024 tillsynsbegäran.docx", "A 30123-2024")</f>
        <v/>
      </c>
      <c r="Y48">
        <f>HYPERLINK("https://klasma.github.io/Logging_0380/tillsynsmail/A 30123-2024 tillsynsbegäran mail.docx", "A 30123-2024")</f>
        <v/>
      </c>
      <c r="Z48">
        <f>HYPERLINK("https://klasma.github.io/Logging_0380/fåglar/A 30123-2024 prioriterade fågelarter.docx", "A 30123-2024")</f>
        <v/>
      </c>
    </row>
    <row r="49" ht="15" customHeight="1">
      <c r="A49" t="inlineStr">
        <is>
          <t>A 55274-2024</t>
        </is>
      </c>
      <c r="B49" s="1" t="n">
        <v>45621</v>
      </c>
      <c r="C49" s="1" t="n">
        <v>45705</v>
      </c>
      <c r="D49" t="inlineStr">
        <is>
          <t>UPPSALA LÄN</t>
        </is>
      </c>
      <c r="E49" t="inlineStr">
        <is>
          <t>HEBY</t>
        </is>
      </c>
      <c r="G49" t="n">
        <v>14.9</v>
      </c>
      <c r="H49" t="n">
        <v>5</v>
      </c>
      <c r="I49" t="n">
        <v>2</v>
      </c>
      <c r="J49" t="n">
        <v>5</v>
      </c>
      <c r="K49" t="n">
        <v>2</v>
      </c>
      <c r="L49" t="n">
        <v>0</v>
      </c>
      <c r="M49" t="n">
        <v>0</v>
      </c>
      <c r="N49" t="n">
        <v>0</v>
      </c>
      <c r="O49" t="n">
        <v>7</v>
      </c>
      <c r="P49" t="n">
        <v>2</v>
      </c>
      <c r="Q49" t="n">
        <v>11</v>
      </c>
      <c r="R49" s="2" t="inlineStr">
        <is>
          <t>Knärot
Rynkskinn
Garnlav
Järpe
Kolflarnlav
Talltita
Ullticka
Björksplintborre
Mörk husmossa
Blåsippa
Revlummer</t>
        </is>
      </c>
      <c r="S49">
        <f>HYPERLINK("https://klasma.github.io/Logging_0331/artfynd/A 55274-2024 artfynd.xlsx", "A 55274-2024")</f>
        <v/>
      </c>
      <c r="T49">
        <f>HYPERLINK("https://klasma.github.io/Logging_0331/kartor/A 55274-2024 karta.png", "A 55274-2024")</f>
        <v/>
      </c>
      <c r="U49">
        <f>HYPERLINK("https://klasma.github.io/Logging_0331/knärot/A 55274-2024 karta knärot.png", "A 55274-2024")</f>
        <v/>
      </c>
      <c r="V49">
        <f>HYPERLINK("https://klasma.github.io/Logging_0331/klagomål/A 55274-2024 FSC-klagomål.docx", "A 55274-2024")</f>
        <v/>
      </c>
      <c r="W49">
        <f>HYPERLINK("https://klasma.github.io/Logging_0331/klagomålsmail/A 55274-2024 FSC-klagomål mail.docx", "A 55274-2024")</f>
        <v/>
      </c>
      <c r="X49">
        <f>HYPERLINK("https://klasma.github.io/Logging_0331/tillsyn/A 55274-2024 tillsynsbegäran.docx", "A 55274-2024")</f>
        <v/>
      </c>
      <c r="Y49">
        <f>HYPERLINK("https://klasma.github.io/Logging_0331/tillsynsmail/A 55274-2024 tillsynsbegäran mail.docx", "A 55274-2024")</f>
        <v/>
      </c>
      <c r="Z49">
        <f>HYPERLINK("https://klasma.github.io/Logging_0331/fåglar/A 55274-2024 prioriterade fågelarter.docx", "A 55274-2024")</f>
        <v/>
      </c>
    </row>
    <row r="50" ht="15" customHeight="1">
      <c r="A50" t="inlineStr">
        <is>
          <t>A 64002-2019</t>
        </is>
      </c>
      <c r="B50" s="1" t="n">
        <v>43796</v>
      </c>
      <c r="C50" s="1" t="n">
        <v>45705</v>
      </c>
      <c r="D50" t="inlineStr">
        <is>
          <t>UPPSALA LÄN</t>
        </is>
      </c>
      <c r="E50" t="inlineStr">
        <is>
          <t>UPPSALA</t>
        </is>
      </c>
      <c r="F50" t="inlineStr">
        <is>
          <t>Holmen skog AB</t>
        </is>
      </c>
      <c r="G50" t="n">
        <v>5.8</v>
      </c>
      <c r="H50" t="n">
        <v>1</v>
      </c>
      <c r="I50" t="n">
        <v>5</v>
      </c>
      <c r="J50" t="n">
        <v>4</v>
      </c>
      <c r="K50" t="n">
        <v>1</v>
      </c>
      <c r="L50" t="n">
        <v>0</v>
      </c>
      <c r="M50" t="n">
        <v>0</v>
      </c>
      <c r="N50" t="n">
        <v>0</v>
      </c>
      <c r="O50" t="n">
        <v>5</v>
      </c>
      <c r="P50" t="n">
        <v>1</v>
      </c>
      <c r="Q50" t="n">
        <v>10</v>
      </c>
      <c r="R50" s="2" t="inlineStr">
        <is>
          <t>Knärot
Grantaggsvamp
Skrovlig flatbagge
Timmertickgnagare
Ullticka
Brandticka
Ljus vedstrit
Mörk vedstrit
Olivspindling
Thymalus limbatus</t>
        </is>
      </c>
      <c r="S50">
        <f>HYPERLINK("https://klasma.github.io/Logging_0380/artfynd/A 64002-2019 artfynd.xlsx", "A 64002-2019")</f>
        <v/>
      </c>
      <c r="T50">
        <f>HYPERLINK("https://klasma.github.io/Logging_0380/kartor/A 64002-2019 karta.png", "A 64002-2019")</f>
        <v/>
      </c>
      <c r="U50">
        <f>HYPERLINK("https://klasma.github.io/Logging_0380/knärot/A 64002-2019 karta knärot.png", "A 64002-2019")</f>
        <v/>
      </c>
      <c r="V50">
        <f>HYPERLINK("https://klasma.github.io/Logging_0380/klagomål/A 64002-2019 FSC-klagomål.docx", "A 64002-2019")</f>
        <v/>
      </c>
      <c r="W50">
        <f>HYPERLINK("https://klasma.github.io/Logging_0380/klagomålsmail/A 64002-2019 FSC-klagomål mail.docx", "A 64002-2019")</f>
        <v/>
      </c>
      <c r="X50">
        <f>HYPERLINK("https://klasma.github.io/Logging_0380/tillsyn/A 64002-2019 tillsynsbegäran.docx", "A 64002-2019")</f>
        <v/>
      </c>
      <c r="Y50">
        <f>HYPERLINK("https://klasma.github.io/Logging_0380/tillsynsmail/A 64002-2019 tillsynsbegäran mail.docx", "A 64002-2019")</f>
        <v/>
      </c>
    </row>
    <row r="51" ht="15" customHeight="1">
      <c r="A51" t="inlineStr">
        <is>
          <t>A 2802-2021</t>
        </is>
      </c>
      <c r="B51" s="1" t="n">
        <v>44215</v>
      </c>
      <c r="C51" s="1" t="n">
        <v>45705</v>
      </c>
      <c r="D51" t="inlineStr">
        <is>
          <t>UPPSALA LÄN</t>
        </is>
      </c>
      <c r="E51" t="inlineStr">
        <is>
          <t>TIERP</t>
        </is>
      </c>
      <c r="G51" t="n">
        <v>4.3</v>
      </c>
      <c r="H51" t="n">
        <v>0</v>
      </c>
      <c r="I51" t="n">
        <v>7</v>
      </c>
      <c r="J51" t="n">
        <v>2</v>
      </c>
      <c r="K51" t="n">
        <v>1</v>
      </c>
      <c r="L51" t="n">
        <v>0</v>
      </c>
      <c r="M51" t="n">
        <v>0</v>
      </c>
      <c r="N51" t="n">
        <v>0</v>
      </c>
      <c r="O51" t="n">
        <v>3</v>
      </c>
      <c r="P51" t="n">
        <v>1</v>
      </c>
      <c r="Q51" t="n">
        <v>10</v>
      </c>
      <c r="R51" s="2" t="inlineStr">
        <is>
          <t>Kopparspindling
Puderspindling
Äggspindling
Anisspindling
Diskvaxskivling
Fjällig taggsvamp s.str.
Kantjordstjärna
Kryddspindling
Olivspindling
Rödgul trumpetsvamp</t>
        </is>
      </c>
      <c r="S51">
        <f>HYPERLINK("https://klasma.github.io/Logging_0360/artfynd/A 2802-2021 artfynd.xlsx", "A 2802-2021")</f>
        <v/>
      </c>
      <c r="T51">
        <f>HYPERLINK("https://klasma.github.io/Logging_0360/kartor/A 2802-2021 karta.png", "A 2802-2021")</f>
        <v/>
      </c>
      <c r="V51">
        <f>HYPERLINK("https://klasma.github.io/Logging_0360/klagomål/A 2802-2021 FSC-klagomål.docx", "A 2802-2021")</f>
        <v/>
      </c>
      <c r="W51">
        <f>HYPERLINK("https://klasma.github.io/Logging_0360/klagomålsmail/A 2802-2021 FSC-klagomål mail.docx", "A 2802-2021")</f>
        <v/>
      </c>
      <c r="X51">
        <f>HYPERLINK("https://klasma.github.io/Logging_0360/tillsyn/A 2802-2021 tillsynsbegäran.docx", "A 2802-2021")</f>
        <v/>
      </c>
      <c r="Y51">
        <f>HYPERLINK("https://klasma.github.io/Logging_0360/tillsynsmail/A 2802-2021 tillsynsbegäran mail.docx", "A 2802-2021")</f>
        <v/>
      </c>
    </row>
    <row r="52" ht="15" customHeight="1">
      <c r="A52" t="inlineStr">
        <is>
          <t>A 45111-2021</t>
        </is>
      </c>
      <c r="B52" s="1" t="n">
        <v>44439</v>
      </c>
      <c r="C52" s="1" t="n">
        <v>45705</v>
      </c>
      <c r="D52" t="inlineStr">
        <is>
          <t>UPPSALA LÄN</t>
        </is>
      </c>
      <c r="E52" t="inlineStr">
        <is>
          <t>ÖSTHAMMAR</t>
        </is>
      </c>
      <c r="G52" t="n">
        <v>7.4</v>
      </c>
      <c r="H52" t="n">
        <v>3</v>
      </c>
      <c r="I52" t="n">
        <v>7</v>
      </c>
      <c r="J52" t="n">
        <v>2</v>
      </c>
      <c r="K52" t="n">
        <v>0</v>
      </c>
      <c r="L52" t="n">
        <v>0</v>
      </c>
      <c r="M52" t="n">
        <v>0</v>
      </c>
      <c r="N52" t="n">
        <v>0</v>
      </c>
      <c r="O52" t="n">
        <v>2</v>
      </c>
      <c r="P52" t="n">
        <v>0</v>
      </c>
      <c r="Q52" t="n">
        <v>10</v>
      </c>
      <c r="R52" s="2" t="inlineStr">
        <is>
          <t>Flattoppad klubbsvamp
Ängsskära
Guckusko
Rödgul trumpetsvamp
Skarp dropptaggsvamp
Skogsknipprot
Svavelriska
Tibast
Vårärt
Blåsippa</t>
        </is>
      </c>
      <c r="S52">
        <f>HYPERLINK("https://klasma.github.io/Logging_0382/artfynd/A 45111-2021 artfynd.xlsx", "A 45111-2021")</f>
        <v/>
      </c>
      <c r="T52">
        <f>HYPERLINK("https://klasma.github.io/Logging_0382/kartor/A 45111-2021 karta.png", "A 45111-2021")</f>
        <v/>
      </c>
      <c r="V52">
        <f>HYPERLINK("https://klasma.github.io/Logging_0382/klagomål/A 45111-2021 FSC-klagomål.docx", "A 45111-2021")</f>
        <v/>
      </c>
      <c r="W52">
        <f>HYPERLINK("https://klasma.github.io/Logging_0382/klagomålsmail/A 45111-2021 FSC-klagomål mail.docx", "A 45111-2021")</f>
        <v/>
      </c>
      <c r="X52">
        <f>HYPERLINK("https://klasma.github.io/Logging_0382/tillsyn/A 45111-2021 tillsynsbegäran.docx", "A 45111-2021")</f>
        <v/>
      </c>
      <c r="Y52">
        <f>HYPERLINK("https://klasma.github.io/Logging_0382/tillsynsmail/A 45111-2021 tillsynsbegäran mail.docx", "A 45111-2021")</f>
        <v/>
      </c>
    </row>
    <row r="53" ht="15" customHeight="1">
      <c r="A53" t="inlineStr">
        <is>
          <t>A 56956-2021</t>
        </is>
      </c>
      <c r="B53" s="1" t="n">
        <v>44482</v>
      </c>
      <c r="C53" s="1" t="n">
        <v>45705</v>
      </c>
      <c r="D53" t="inlineStr">
        <is>
          <t>UPPSALA LÄN</t>
        </is>
      </c>
      <c r="E53" t="inlineStr">
        <is>
          <t>ÖSTHAMMAR</t>
        </is>
      </c>
      <c r="G53" t="n">
        <v>6.9</v>
      </c>
      <c r="H53" t="n">
        <v>0</v>
      </c>
      <c r="I53" t="n">
        <v>6</v>
      </c>
      <c r="J53" t="n">
        <v>2</v>
      </c>
      <c r="K53" t="n">
        <v>2</v>
      </c>
      <c r="L53" t="n">
        <v>0</v>
      </c>
      <c r="M53" t="n">
        <v>0</v>
      </c>
      <c r="N53" t="n">
        <v>0</v>
      </c>
      <c r="O53" t="n">
        <v>4</v>
      </c>
      <c r="P53" t="n">
        <v>2</v>
      </c>
      <c r="Q53" t="n">
        <v>10</v>
      </c>
      <c r="R53" s="2" t="inlineStr">
        <is>
          <t>Duvspindling
Kopparspindling
Gultoppig fingersvamp
Orange taggsvamp
Anisspindling
Fjällig taggsvamp s.str.
Kamjordstjärna
Olivspindling
Rödgul trumpetsvamp
Svavelriska</t>
        </is>
      </c>
      <c r="S53">
        <f>HYPERLINK("https://klasma.github.io/Logging_0382/artfynd/A 56956-2021 artfynd.xlsx", "A 56956-2021")</f>
        <v/>
      </c>
      <c r="T53">
        <f>HYPERLINK("https://klasma.github.io/Logging_0382/kartor/A 56956-2021 karta.png", "A 56956-2021")</f>
        <v/>
      </c>
      <c r="V53">
        <f>HYPERLINK("https://klasma.github.io/Logging_0382/klagomål/A 56956-2021 FSC-klagomål.docx", "A 56956-2021")</f>
        <v/>
      </c>
      <c r="W53">
        <f>HYPERLINK("https://klasma.github.io/Logging_0382/klagomålsmail/A 56956-2021 FSC-klagomål mail.docx", "A 56956-2021")</f>
        <v/>
      </c>
      <c r="X53">
        <f>HYPERLINK("https://klasma.github.io/Logging_0382/tillsyn/A 56956-2021 tillsynsbegäran.docx", "A 56956-2021")</f>
        <v/>
      </c>
      <c r="Y53">
        <f>HYPERLINK("https://klasma.github.io/Logging_0382/tillsynsmail/A 56956-2021 tillsynsbegäran mail.docx", "A 56956-2021")</f>
        <v/>
      </c>
    </row>
    <row r="54" ht="15" customHeight="1">
      <c r="A54" t="inlineStr">
        <is>
          <t>A 2021-2022</t>
        </is>
      </c>
      <c r="B54" s="1" t="n">
        <v>44575</v>
      </c>
      <c r="C54" s="1" t="n">
        <v>45705</v>
      </c>
      <c r="D54" t="inlineStr">
        <is>
          <t>UPPSALA LÄN</t>
        </is>
      </c>
      <c r="E54" t="inlineStr">
        <is>
          <t>UPPSALA</t>
        </is>
      </c>
      <c r="G54" t="n">
        <v>11.3</v>
      </c>
      <c r="H54" t="n">
        <v>5</v>
      </c>
      <c r="I54" t="n">
        <v>1</v>
      </c>
      <c r="J54" t="n">
        <v>4</v>
      </c>
      <c r="K54" t="n">
        <v>2</v>
      </c>
      <c r="L54" t="n">
        <v>1</v>
      </c>
      <c r="M54" t="n">
        <v>0</v>
      </c>
      <c r="N54" t="n">
        <v>0</v>
      </c>
      <c r="O54" t="n">
        <v>7</v>
      </c>
      <c r="P54" t="n">
        <v>3</v>
      </c>
      <c r="Q54" t="n">
        <v>10</v>
      </c>
      <c r="R54" s="2" t="inlineStr">
        <is>
          <t>Ask
Gulvit blekspik
Stare
Motaggsvamp
Spillkråka
Tallticka
Ärtsångare
Skinnlav
Blåsippa
Gullviva</t>
        </is>
      </c>
      <c r="S54">
        <f>HYPERLINK("https://klasma.github.io/Logging_0380/artfynd/A 2021-2022 artfynd.xlsx", "A 2021-2022")</f>
        <v/>
      </c>
      <c r="T54">
        <f>HYPERLINK("https://klasma.github.io/Logging_0380/kartor/A 2021-2022 karta.png", "A 2021-2022")</f>
        <v/>
      </c>
      <c r="V54">
        <f>HYPERLINK("https://klasma.github.io/Logging_0380/klagomål/A 2021-2022 FSC-klagomål.docx", "A 2021-2022")</f>
        <v/>
      </c>
      <c r="W54">
        <f>HYPERLINK("https://klasma.github.io/Logging_0380/klagomålsmail/A 2021-2022 FSC-klagomål mail.docx", "A 2021-2022")</f>
        <v/>
      </c>
      <c r="X54">
        <f>HYPERLINK("https://klasma.github.io/Logging_0380/tillsyn/A 2021-2022 tillsynsbegäran.docx", "A 2021-2022")</f>
        <v/>
      </c>
      <c r="Y54">
        <f>HYPERLINK("https://klasma.github.io/Logging_0380/tillsynsmail/A 2021-2022 tillsynsbegäran mail.docx", "A 2021-2022")</f>
        <v/>
      </c>
      <c r="Z54">
        <f>HYPERLINK("https://klasma.github.io/Logging_0380/fåglar/A 2021-2022 prioriterade fågelarter.docx", "A 2021-2022")</f>
        <v/>
      </c>
    </row>
    <row r="55" ht="15" customHeight="1">
      <c r="A55" t="inlineStr">
        <is>
          <t>A 14157-2022</t>
        </is>
      </c>
      <c r="B55" s="1" t="n">
        <v>44651</v>
      </c>
      <c r="C55" s="1" t="n">
        <v>45705</v>
      </c>
      <c r="D55" t="inlineStr">
        <is>
          <t>UPPSALA LÄN</t>
        </is>
      </c>
      <c r="E55" t="inlineStr">
        <is>
          <t>TIERP</t>
        </is>
      </c>
      <c r="F55" t="inlineStr">
        <is>
          <t>Bergvik skog öst AB</t>
        </is>
      </c>
      <c r="G55" t="n">
        <v>8.1</v>
      </c>
      <c r="H55" t="n">
        <v>3</v>
      </c>
      <c r="I55" t="n">
        <v>8</v>
      </c>
      <c r="J55" t="n">
        <v>1</v>
      </c>
      <c r="K55" t="n">
        <v>0</v>
      </c>
      <c r="L55" t="n">
        <v>0</v>
      </c>
      <c r="M55" t="n">
        <v>0</v>
      </c>
      <c r="N55" t="n">
        <v>0</v>
      </c>
      <c r="O55" t="n">
        <v>1</v>
      </c>
      <c r="P55" t="n">
        <v>0</v>
      </c>
      <c r="Q55" t="n">
        <v>10</v>
      </c>
      <c r="R55" s="2" t="inlineStr">
        <is>
          <t>Vit vedfingersvamp
Brandticka
Bårdlav
Lönnlav
Skogsknipprot
Tibast
Tvåblad
Underviol
Vårärt
Blåsippa</t>
        </is>
      </c>
      <c r="S55">
        <f>HYPERLINK("https://klasma.github.io/Logging_0360/artfynd/A 14157-2022 artfynd.xlsx", "A 14157-2022")</f>
        <v/>
      </c>
      <c r="T55">
        <f>HYPERLINK("https://klasma.github.io/Logging_0360/kartor/A 14157-2022 karta.png", "A 14157-2022")</f>
        <v/>
      </c>
      <c r="V55">
        <f>HYPERLINK("https://klasma.github.io/Logging_0360/klagomål/A 14157-2022 FSC-klagomål.docx", "A 14157-2022")</f>
        <v/>
      </c>
      <c r="W55">
        <f>HYPERLINK("https://klasma.github.io/Logging_0360/klagomålsmail/A 14157-2022 FSC-klagomål mail.docx", "A 14157-2022")</f>
        <v/>
      </c>
      <c r="X55">
        <f>HYPERLINK("https://klasma.github.io/Logging_0360/tillsyn/A 14157-2022 tillsynsbegäran.docx", "A 14157-2022")</f>
        <v/>
      </c>
      <c r="Y55">
        <f>HYPERLINK("https://klasma.github.io/Logging_0360/tillsynsmail/A 14157-2022 tillsynsbegäran mail.docx", "A 14157-2022")</f>
        <v/>
      </c>
    </row>
    <row r="56" ht="15" customHeight="1">
      <c r="A56" t="inlineStr">
        <is>
          <t>A 20233-2022</t>
        </is>
      </c>
      <c r="B56" s="1" t="n">
        <v>44698</v>
      </c>
      <c r="C56" s="1" t="n">
        <v>45705</v>
      </c>
      <c r="D56" t="inlineStr">
        <is>
          <t>UPPSALA LÄN</t>
        </is>
      </c>
      <c r="E56" t="inlineStr">
        <is>
          <t>ÖSTHAMMAR</t>
        </is>
      </c>
      <c r="G56" t="n">
        <v>9.5</v>
      </c>
      <c r="H56" t="n">
        <v>0</v>
      </c>
      <c r="I56" t="n">
        <v>6</v>
      </c>
      <c r="J56" t="n">
        <v>2</v>
      </c>
      <c r="K56" t="n">
        <v>2</v>
      </c>
      <c r="L56" t="n">
        <v>0</v>
      </c>
      <c r="M56" t="n">
        <v>0</v>
      </c>
      <c r="N56" t="n">
        <v>0</v>
      </c>
      <c r="O56" t="n">
        <v>4</v>
      </c>
      <c r="P56" t="n">
        <v>2</v>
      </c>
      <c r="Q56" t="n">
        <v>10</v>
      </c>
      <c r="R56" s="2" t="inlineStr">
        <is>
          <t>Koppartaggsvamp
Violgubbe
Flattoppad klubbsvamp
Orange taggsvamp
Anisspindling
Dropptaggsvamp
Fjällig taggsvamp s.str.
Olivspindling
Rödgul trumpetsvamp
Svavelriska</t>
        </is>
      </c>
      <c r="S56">
        <f>HYPERLINK("https://klasma.github.io/Logging_0382/artfynd/A 20233-2022 artfynd.xlsx", "A 20233-2022")</f>
        <v/>
      </c>
      <c r="T56">
        <f>HYPERLINK("https://klasma.github.io/Logging_0382/kartor/A 20233-2022 karta.png", "A 20233-2022")</f>
        <v/>
      </c>
      <c r="V56">
        <f>HYPERLINK("https://klasma.github.io/Logging_0382/klagomål/A 20233-2022 FSC-klagomål.docx", "A 20233-2022")</f>
        <v/>
      </c>
      <c r="W56">
        <f>HYPERLINK("https://klasma.github.io/Logging_0382/klagomålsmail/A 20233-2022 FSC-klagomål mail.docx", "A 20233-2022")</f>
        <v/>
      </c>
      <c r="X56">
        <f>HYPERLINK("https://klasma.github.io/Logging_0382/tillsyn/A 20233-2022 tillsynsbegäran.docx", "A 20233-2022")</f>
        <v/>
      </c>
      <c r="Y56">
        <f>HYPERLINK("https://klasma.github.io/Logging_0382/tillsynsmail/A 20233-2022 tillsynsbegäran mail.docx", "A 20233-2022")</f>
        <v/>
      </c>
    </row>
    <row r="57" ht="15" customHeight="1">
      <c r="A57" t="inlineStr">
        <is>
          <t>A 25143-2023</t>
        </is>
      </c>
      <c r="B57" s="1" t="n">
        <v>45086</v>
      </c>
      <c r="C57" s="1" t="n">
        <v>45705</v>
      </c>
      <c r="D57" t="inlineStr">
        <is>
          <t>UPPSALA LÄN</t>
        </is>
      </c>
      <c r="E57" t="inlineStr">
        <is>
          <t>UPPSALA</t>
        </is>
      </c>
      <c r="G57" t="n">
        <v>15.9</v>
      </c>
      <c r="H57" t="n">
        <v>4</v>
      </c>
      <c r="I57" t="n">
        <v>4</v>
      </c>
      <c r="J57" t="n">
        <v>2</v>
      </c>
      <c r="K57" t="n">
        <v>0</v>
      </c>
      <c r="L57" t="n">
        <v>0</v>
      </c>
      <c r="M57" t="n">
        <v>0</v>
      </c>
      <c r="N57" t="n">
        <v>0</v>
      </c>
      <c r="O57" t="n">
        <v>2</v>
      </c>
      <c r="P57" t="n">
        <v>0</v>
      </c>
      <c r="Q57" t="n">
        <v>10</v>
      </c>
      <c r="R57" s="2" t="inlineStr">
        <is>
          <t>Grönhjon
Ullticka
Bronshjon
Fällmossa
Granbarkgnagare
Guldlockmossa
Kungsfågel
Åkergroda
Vanlig groda
Revlummer</t>
        </is>
      </c>
      <c r="S57">
        <f>HYPERLINK("https://klasma.github.io/Logging_0380/artfynd/A 25143-2023 artfynd.xlsx", "A 25143-2023")</f>
        <v/>
      </c>
      <c r="T57">
        <f>HYPERLINK("https://klasma.github.io/Logging_0380/kartor/A 25143-2023 karta.png", "A 25143-2023")</f>
        <v/>
      </c>
      <c r="U57">
        <f>HYPERLINK("https://klasma.github.io/Logging_0380/knärot/A 25143-2023 karta knärot.png", "A 25143-2023")</f>
        <v/>
      </c>
      <c r="V57">
        <f>HYPERLINK("https://klasma.github.io/Logging_0380/klagomål/A 25143-2023 FSC-klagomål.docx", "A 25143-2023")</f>
        <v/>
      </c>
      <c r="W57">
        <f>HYPERLINK("https://klasma.github.io/Logging_0380/klagomålsmail/A 25143-2023 FSC-klagomål mail.docx", "A 25143-2023")</f>
        <v/>
      </c>
      <c r="X57">
        <f>HYPERLINK("https://klasma.github.io/Logging_0380/tillsyn/A 25143-2023 tillsynsbegäran.docx", "A 25143-2023")</f>
        <v/>
      </c>
      <c r="Y57">
        <f>HYPERLINK("https://klasma.github.io/Logging_0380/tillsynsmail/A 25143-2023 tillsynsbegäran mail.docx", "A 25143-2023")</f>
        <v/>
      </c>
      <c r="Z57">
        <f>HYPERLINK("https://klasma.github.io/Logging_0380/fåglar/A 25143-2023 prioriterade fågelarter.docx", "A 25143-2023")</f>
        <v/>
      </c>
    </row>
    <row r="58" ht="15" customHeight="1">
      <c r="A58" t="inlineStr">
        <is>
          <t>A 55229-2024</t>
        </is>
      </c>
      <c r="B58" s="1" t="n">
        <v>45621</v>
      </c>
      <c r="C58" s="1" t="n">
        <v>45705</v>
      </c>
      <c r="D58" t="inlineStr">
        <is>
          <t>UPPSALA LÄN</t>
        </is>
      </c>
      <c r="E58" t="inlineStr">
        <is>
          <t>HEBY</t>
        </is>
      </c>
      <c r="G58" t="n">
        <v>5.3</v>
      </c>
      <c r="H58" t="n">
        <v>3</v>
      </c>
      <c r="I58" t="n">
        <v>4</v>
      </c>
      <c r="J58" t="n">
        <v>2</v>
      </c>
      <c r="K58" t="n">
        <v>2</v>
      </c>
      <c r="L58" t="n">
        <v>0</v>
      </c>
      <c r="M58" t="n">
        <v>0</v>
      </c>
      <c r="N58" t="n">
        <v>0</v>
      </c>
      <c r="O58" t="n">
        <v>4</v>
      </c>
      <c r="P58" t="n">
        <v>2</v>
      </c>
      <c r="Q58" t="n">
        <v>10</v>
      </c>
      <c r="R58" s="2" t="inlineStr">
        <is>
          <t>Knärot
Rynkskinn
Kolflarnlav
Ullticka
Bronshjon
Kattfotslav
Korallblylav
Mörk husmossa
Blåsippa
Revlummer</t>
        </is>
      </c>
      <c r="S58">
        <f>HYPERLINK("https://klasma.github.io/Logging_0331/artfynd/A 55229-2024 artfynd.xlsx", "A 55229-2024")</f>
        <v/>
      </c>
      <c r="T58">
        <f>HYPERLINK("https://klasma.github.io/Logging_0331/kartor/A 55229-2024 karta.png", "A 55229-2024")</f>
        <v/>
      </c>
      <c r="U58">
        <f>HYPERLINK("https://klasma.github.io/Logging_0331/knärot/A 55229-2024 karta knärot.png", "A 55229-2024")</f>
        <v/>
      </c>
      <c r="V58">
        <f>HYPERLINK("https://klasma.github.io/Logging_0331/klagomål/A 55229-2024 FSC-klagomål.docx", "A 55229-2024")</f>
        <v/>
      </c>
      <c r="W58">
        <f>HYPERLINK("https://klasma.github.io/Logging_0331/klagomålsmail/A 55229-2024 FSC-klagomål mail.docx", "A 55229-2024")</f>
        <v/>
      </c>
      <c r="X58">
        <f>HYPERLINK("https://klasma.github.io/Logging_0331/tillsyn/A 55229-2024 tillsynsbegäran.docx", "A 55229-2024")</f>
        <v/>
      </c>
      <c r="Y58">
        <f>HYPERLINK("https://klasma.github.io/Logging_0331/tillsynsmail/A 55229-2024 tillsynsbegäran mail.docx", "A 55229-2024")</f>
        <v/>
      </c>
    </row>
    <row r="59" ht="15" customHeight="1">
      <c r="A59" t="inlineStr">
        <is>
          <t>A 60673-2024</t>
        </is>
      </c>
      <c r="B59" s="1" t="n">
        <v>45644</v>
      </c>
      <c r="C59" s="1" t="n">
        <v>45705</v>
      </c>
      <c r="D59" t="inlineStr">
        <is>
          <t>UPPSALA LÄN</t>
        </is>
      </c>
      <c r="E59" t="inlineStr">
        <is>
          <t>TIERP</t>
        </is>
      </c>
      <c r="G59" t="n">
        <v>4</v>
      </c>
      <c r="H59" t="n">
        <v>0</v>
      </c>
      <c r="I59" t="n">
        <v>5</v>
      </c>
      <c r="J59" t="n">
        <v>3</v>
      </c>
      <c r="K59" t="n">
        <v>2</v>
      </c>
      <c r="L59" t="n">
        <v>0</v>
      </c>
      <c r="M59" t="n">
        <v>0</v>
      </c>
      <c r="N59" t="n">
        <v>0</v>
      </c>
      <c r="O59" t="n">
        <v>5</v>
      </c>
      <c r="P59" t="n">
        <v>2</v>
      </c>
      <c r="Q59" t="n">
        <v>10</v>
      </c>
      <c r="R59" s="2" t="inlineStr">
        <is>
          <t>Brandtaggsvamp
Fläckfingersvamp
Dofttaggsvamp
Svart taggsvamp
Vedtrappmossa
Brandmusseron
Fjällig taggsvamp s.str.
Korallblylav
Skinnlav
Tibast</t>
        </is>
      </c>
      <c r="S59">
        <f>HYPERLINK("https://klasma.github.io/Logging_0360/artfynd/A 60673-2024 artfynd.xlsx", "A 60673-2024")</f>
        <v/>
      </c>
      <c r="T59">
        <f>HYPERLINK("https://klasma.github.io/Logging_0360/kartor/A 60673-2024 karta.png", "A 60673-2024")</f>
        <v/>
      </c>
      <c r="V59">
        <f>HYPERLINK("https://klasma.github.io/Logging_0360/klagomål/A 60673-2024 FSC-klagomål.docx", "A 60673-2024")</f>
        <v/>
      </c>
      <c r="W59">
        <f>HYPERLINK("https://klasma.github.io/Logging_0360/klagomålsmail/A 60673-2024 FSC-klagomål mail.docx", "A 60673-2024")</f>
        <v/>
      </c>
      <c r="X59">
        <f>HYPERLINK("https://klasma.github.io/Logging_0360/tillsyn/A 60673-2024 tillsynsbegäran.docx", "A 60673-2024")</f>
        <v/>
      </c>
      <c r="Y59">
        <f>HYPERLINK("https://klasma.github.io/Logging_0360/tillsynsmail/A 60673-2024 tillsynsbegäran mail.docx", "A 60673-2024")</f>
        <v/>
      </c>
    </row>
    <row r="60" ht="15" customHeight="1">
      <c r="A60" t="inlineStr">
        <is>
          <t>A 28450-2021</t>
        </is>
      </c>
      <c r="B60" s="1" t="n">
        <v>44356</v>
      </c>
      <c r="C60" s="1" t="n">
        <v>45705</v>
      </c>
      <c r="D60" t="inlineStr">
        <is>
          <t>UPPSALA LÄN</t>
        </is>
      </c>
      <c r="E60" t="inlineStr">
        <is>
          <t>UPPSALA</t>
        </is>
      </c>
      <c r="G60" t="n">
        <v>11.8</v>
      </c>
      <c r="H60" t="n">
        <v>1</v>
      </c>
      <c r="I60" t="n">
        <v>7</v>
      </c>
      <c r="J60" t="n">
        <v>2</v>
      </c>
      <c r="K60" t="n">
        <v>0</v>
      </c>
      <c r="L60" t="n">
        <v>0</v>
      </c>
      <c r="M60" t="n">
        <v>0</v>
      </c>
      <c r="N60" t="n">
        <v>0</v>
      </c>
      <c r="O60" t="n">
        <v>2</v>
      </c>
      <c r="P60" t="n">
        <v>0</v>
      </c>
      <c r="Q60" t="n">
        <v>9</v>
      </c>
      <c r="R60" s="2" t="inlineStr">
        <is>
          <t>Platt spretmossa
Vedtrappmossa
Bågpraktmossa
Korallrot
Källpraktmossa
Rödgul trumpetsvamp
Stubbspretmossa
Vanlig rörsvepemossa
Ögonpyrola</t>
        </is>
      </c>
      <c r="S60">
        <f>HYPERLINK("https://klasma.github.io/Logging_0380/artfynd/A 28450-2021 artfynd.xlsx", "A 28450-2021")</f>
        <v/>
      </c>
      <c r="T60">
        <f>HYPERLINK("https://klasma.github.io/Logging_0380/kartor/A 28450-2021 karta.png", "A 28450-2021")</f>
        <v/>
      </c>
      <c r="U60">
        <f>HYPERLINK("https://klasma.github.io/Logging_0380/knärot/A 28450-2021 karta knärot.png", "A 28450-2021")</f>
        <v/>
      </c>
      <c r="V60">
        <f>HYPERLINK("https://klasma.github.io/Logging_0380/klagomål/A 28450-2021 FSC-klagomål.docx", "A 28450-2021")</f>
        <v/>
      </c>
      <c r="W60">
        <f>HYPERLINK("https://klasma.github.io/Logging_0380/klagomålsmail/A 28450-2021 FSC-klagomål mail.docx", "A 28450-2021")</f>
        <v/>
      </c>
      <c r="X60">
        <f>HYPERLINK("https://klasma.github.io/Logging_0380/tillsyn/A 28450-2021 tillsynsbegäran.docx", "A 28450-2021")</f>
        <v/>
      </c>
      <c r="Y60">
        <f>HYPERLINK("https://klasma.github.io/Logging_0380/tillsynsmail/A 28450-2021 tillsynsbegäran mail.docx", "A 28450-2021")</f>
        <v/>
      </c>
    </row>
    <row r="61" ht="15" customHeight="1">
      <c r="A61" t="inlineStr">
        <is>
          <t>A 31207-2022</t>
        </is>
      </c>
      <c r="B61" s="1" t="n">
        <v>44771</v>
      </c>
      <c r="C61" s="1" t="n">
        <v>45705</v>
      </c>
      <c r="D61" t="inlineStr">
        <is>
          <t>UPPSALA LÄN</t>
        </is>
      </c>
      <c r="E61" t="inlineStr">
        <is>
          <t>ÖSTHAMMAR</t>
        </is>
      </c>
      <c r="G61" t="n">
        <v>7</v>
      </c>
      <c r="H61" t="n">
        <v>1</v>
      </c>
      <c r="I61" t="n">
        <v>7</v>
      </c>
      <c r="J61" t="n">
        <v>1</v>
      </c>
      <c r="K61" t="n">
        <v>1</v>
      </c>
      <c r="L61" t="n">
        <v>0</v>
      </c>
      <c r="M61" t="n">
        <v>0</v>
      </c>
      <c r="N61" t="n">
        <v>0</v>
      </c>
      <c r="O61" t="n">
        <v>2</v>
      </c>
      <c r="P61" t="n">
        <v>1</v>
      </c>
      <c r="Q61" t="n">
        <v>9</v>
      </c>
      <c r="R61" s="2" t="inlineStr">
        <is>
          <t>Violgubbe
Äggspindling
Anisspindling
Brun klibbskivling
Grönkulla
Kalktallört
Skarp dropptaggsvamp
Svavelriska
Sårläka</t>
        </is>
      </c>
      <c r="S61">
        <f>HYPERLINK("https://klasma.github.io/Logging_0382/artfynd/A 31207-2022 artfynd.xlsx", "A 31207-2022")</f>
        <v/>
      </c>
      <c r="T61">
        <f>HYPERLINK("https://klasma.github.io/Logging_0382/kartor/A 31207-2022 karta.png", "A 31207-2022")</f>
        <v/>
      </c>
      <c r="V61">
        <f>HYPERLINK("https://klasma.github.io/Logging_0382/klagomål/A 31207-2022 FSC-klagomål.docx", "A 31207-2022")</f>
        <v/>
      </c>
      <c r="W61">
        <f>HYPERLINK("https://klasma.github.io/Logging_0382/klagomålsmail/A 31207-2022 FSC-klagomål mail.docx", "A 31207-2022")</f>
        <v/>
      </c>
      <c r="X61">
        <f>HYPERLINK("https://klasma.github.io/Logging_0382/tillsyn/A 31207-2022 tillsynsbegäran.docx", "A 31207-2022")</f>
        <v/>
      </c>
      <c r="Y61">
        <f>HYPERLINK("https://klasma.github.io/Logging_0382/tillsynsmail/A 31207-2022 tillsynsbegäran mail.docx", "A 31207-2022")</f>
        <v/>
      </c>
    </row>
    <row r="62" ht="15" customHeight="1">
      <c r="A62" t="inlineStr">
        <is>
          <t>A 2728-2023</t>
        </is>
      </c>
      <c r="B62" s="1" t="n">
        <v>44944</v>
      </c>
      <c r="C62" s="1" t="n">
        <v>45705</v>
      </c>
      <c r="D62" t="inlineStr">
        <is>
          <t>UPPSALA LÄN</t>
        </is>
      </c>
      <c r="E62" t="inlineStr">
        <is>
          <t>HÅBO</t>
        </is>
      </c>
      <c r="G62" t="n">
        <v>4.7</v>
      </c>
      <c r="H62" t="n">
        <v>2</v>
      </c>
      <c r="I62" t="n">
        <v>6</v>
      </c>
      <c r="J62" t="n">
        <v>1</v>
      </c>
      <c r="K62" t="n">
        <v>0</v>
      </c>
      <c r="L62" t="n">
        <v>0</v>
      </c>
      <c r="M62" t="n">
        <v>0</v>
      </c>
      <c r="N62" t="n">
        <v>0</v>
      </c>
      <c r="O62" t="n">
        <v>1</v>
      </c>
      <c r="P62" t="n">
        <v>0</v>
      </c>
      <c r="Q62" t="n">
        <v>9</v>
      </c>
      <c r="R62" s="2" t="inlineStr">
        <is>
          <t>Dofttaggsvamp
Anisspindling
Blåmossa
Fjällig taggsvamp s.str.
Källpraktmossa
Strimspindling
Svavelriska
Fläcknycklar
Nattviol</t>
        </is>
      </c>
      <c r="S62">
        <f>HYPERLINK("https://klasma.github.io/Logging_0305/artfynd/A 2728-2023 artfynd.xlsx", "A 2728-2023")</f>
        <v/>
      </c>
      <c r="T62">
        <f>HYPERLINK("https://klasma.github.io/Logging_0305/kartor/A 2728-2023 karta.png", "A 2728-2023")</f>
        <v/>
      </c>
      <c r="V62">
        <f>HYPERLINK("https://klasma.github.io/Logging_0305/klagomål/A 2728-2023 FSC-klagomål.docx", "A 2728-2023")</f>
        <v/>
      </c>
      <c r="W62">
        <f>HYPERLINK("https://klasma.github.io/Logging_0305/klagomålsmail/A 2728-2023 FSC-klagomål mail.docx", "A 2728-2023")</f>
        <v/>
      </c>
      <c r="X62">
        <f>HYPERLINK("https://klasma.github.io/Logging_0305/tillsyn/A 2728-2023 tillsynsbegäran.docx", "A 2728-2023")</f>
        <v/>
      </c>
      <c r="Y62">
        <f>HYPERLINK("https://klasma.github.io/Logging_0305/tillsynsmail/A 2728-2023 tillsynsbegäran mail.docx", "A 2728-2023")</f>
        <v/>
      </c>
    </row>
    <row r="63" ht="15" customHeight="1">
      <c r="A63" t="inlineStr">
        <is>
          <t>A 7444-2023</t>
        </is>
      </c>
      <c r="B63" s="1" t="n">
        <v>44971</v>
      </c>
      <c r="C63" s="1" t="n">
        <v>45705</v>
      </c>
      <c r="D63" t="inlineStr">
        <is>
          <t>UPPSALA LÄN</t>
        </is>
      </c>
      <c r="E63" t="inlineStr">
        <is>
          <t>KNIVSTA</t>
        </is>
      </c>
      <c r="G63" t="n">
        <v>0.7</v>
      </c>
      <c r="H63" t="n">
        <v>0</v>
      </c>
      <c r="I63" t="n">
        <v>4</v>
      </c>
      <c r="J63" t="n">
        <v>2</v>
      </c>
      <c r="K63" t="n">
        <v>3</v>
      </c>
      <c r="L63" t="n">
        <v>0</v>
      </c>
      <c r="M63" t="n">
        <v>0</v>
      </c>
      <c r="N63" t="n">
        <v>0</v>
      </c>
      <c r="O63" t="n">
        <v>5</v>
      </c>
      <c r="P63" t="n">
        <v>3</v>
      </c>
      <c r="Q63" t="n">
        <v>9</v>
      </c>
      <c r="R63" s="2" t="inlineStr">
        <is>
          <t>Apelticka
Kärnticka
Rostorangelav
Kandelabersvamp
Lunglav
Granbarkgnagare
Platt fjädermossa
Stekelbock
Thomsons trägnagare</t>
        </is>
      </c>
      <c r="S63">
        <f>HYPERLINK("https://klasma.github.io/Logging_0330/artfynd/A 7444-2023 artfynd.xlsx", "A 7444-2023")</f>
        <v/>
      </c>
      <c r="T63">
        <f>HYPERLINK("https://klasma.github.io/Logging_0330/kartor/A 7444-2023 karta.png", "A 7444-2023")</f>
        <v/>
      </c>
      <c r="V63">
        <f>HYPERLINK("https://klasma.github.io/Logging_0330/klagomål/A 7444-2023 FSC-klagomål.docx", "A 7444-2023")</f>
        <v/>
      </c>
      <c r="W63">
        <f>HYPERLINK("https://klasma.github.io/Logging_0330/klagomålsmail/A 7444-2023 FSC-klagomål mail.docx", "A 7444-2023")</f>
        <v/>
      </c>
      <c r="X63">
        <f>HYPERLINK("https://klasma.github.io/Logging_0330/tillsyn/A 7444-2023 tillsynsbegäran.docx", "A 7444-2023")</f>
        <v/>
      </c>
      <c r="Y63">
        <f>HYPERLINK("https://klasma.github.io/Logging_0330/tillsynsmail/A 7444-2023 tillsynsbegäran mail.docx", "A 7444-2023")</f>
        <v/>
      </c>
    </row>
    <row r="64" ht="15" customHeight="1">
      <c r="A64" t="inlineStr">
        <is>
          <t>A 11878-2023</t>
        </is>
      </c>
      <c r="B64" s="1" t="n">
        <v>44995</v>
      </c>
      <c r="C64" s="1" t="n">
        <v>45705</v>
      </c>
      <c r="D64" t="inlineStr">
        <is>
          <t>UPPSALA LÄN</t>
        </is>
      </c>
      <c r="E64" t="inlineStr">
        <is>
          <t>TIERP</t>
        </is>
      </c>
      <c r="F64" t="inlineStr">
        <is>
          <t>Bergvik skog öst AB</t>
        </is>
      </c>
      <c r="G64" t="n">
        <v>38</v>
      </c>
      <c r="H64" t="n">
        <v>5</v>
      </c>
      <c r="I64" t="n">
        <v>4</v>
      </c>
      <c r="J64" t="n">
        <v>1</v>
      </c>
      <c r="K64" t="n">
        <v>2</v>
      </c>
      <c r="L64" t="n">
        <v>0</v>
      </c>
      <c r="M64" t="n">
        <v>0</v>
      </c>
      <c r="N64" t="n">
        <v>0</v>
      </c>
      <c r="O64" t="n">
        <v>3</v>
      </c>
      <c r="P64" t="n">
        <v>2</v>
      </c>
      <c r="Q64" t="n">
        <v>9</v>
      </c>
      <c r="R64" s="2" t="inlineStr">
        <is>
          <t>Knärot
Rynkskinn
Spillkråka
Anisspindling
Rödgul trumpetsvamp
Skogsknipprot
Sårläka
Blåsippa
Revlummer</t>
        </is>
      </c>
      <c r="S64">
        <f>HYPERLINK("https://klasma.github.io/Logging_0360/artfynd/A 11878-2023 artfynd.xlsx", "A 11878-2023")</f>
        <v/>
      </c>
      <c r="T64">
        <f>HYPERLINK("https://klasma.github.io/Logging_0360/kartor/A 11878-2023 karta.png", "A 11878-2023")</f>
        <v/>
      </c>
      <c r="U64">
        <f>HYPERLINK("https://klasma.github.io/Logging_0360/knärot/A 11878-2023 karta knärot.png", "A 11878-2023")</f>
        <v/>
      </c>
      <c r="V64">
        <f>HYPERLINK("https://klasma.github.io/Logging_0360/klagomål/A 11878-2023 FSC-klagomål.docx", "A 11878-2023")</f>
        <v/>
      </c>
      <c r="W64">
        <f>HYPERLINK("https://klasma.github.io/Logging_0360/klagomålsmail/A 11878-2023 FSC-klagomål mail.docx", "A 11878-2023")</f>
        <v/>
      </c>
      <c r="X64">
        <f>HYPERLINK("https://klasma.github.io/Logging_0360/tillsyn/A 11878-2023 tillsynsbegäran.docx", "A 11878-2023")</f>
        <v/>
      </c>
      <c r="Y64">
        <f>HYPERLINK("https://klasma.github.io/Logging_0360/tillsynsmail/A 11878-2023 tillsynsbegäran mail.docx", "A 11878-2023")</f>
        <v/>
      </c>
      <c r="Z64">
        <f>HYPERLINK("https://klasma.github.io/Logging_0360/fåglar/A 11878-2023 prioriterade fågelarter.docx", "A 11878-2023")</f>
        <v/>
      </c>
    </row>
    <row r="65" ht="15" customHeight="1">
      <c r="A65" t="inlineStr">
        <is>
          <t>A 46162-2023</t>
        </is>
      </c>
      <c r="B65" s="1" t="n">
        <v>45196</v>
      </c>
      <c r="C65" s="1" t="n">
        <v>45705</v>
      </c>
      <c r="D65" t="inlineStr">
        <is>
          <t>UPPSALA LÄN</t>
        </is>
      </c>
      <c r="E65" t="inlineStr">
        <is>
          <t>UPPSALA</t>
        </is>
      </c>
      <c r="G65" t="n">
        <v>5.5</v>
      </c>
      <c r="H65" t="n">
        <v>1</v>
      </c>
      <c r="I65" t="n">
        <v>4</v>
      </c>
      <c r="J65" t="n">
        <v>3</v>
      </c>
      <c r="K65" t="n">
        <v>2</v>
      </c>
      <c r="L65" t="n">
        <v>0</v>
      </c>
      <c r="M65" t="n">
        <v>0</v>
      </c>
      <c r="N65" t="n">
        <v>0</v>
      </c>
      <c r="O65" t="n">
        <v>5</v>
      </c>
      <c r="P65" t="n">
        <v>2</v>
      </c>
      <c r="Q65" t="n">
        <v>9</v>
      </c>
      <c r="R65" s="2" t="inlineStr">
        <is>
          <t>Knärot
Rynkskinn
Såpfingersvamp
Ullticka
Vedtrappmossa
Bronshjon
Fjällig taggsvamp s.str.
Vedticka
Vågbandad barkbock</t>
        </is>
      </c>
      <c r="S65">
        <f>HYPERLINK("https://klasma.github.io/Logging_0380/artfynd/A 46162-2023 artfynd.xlsx", "A 46162-2023")</f>
        <v/>
      </c>
      <c r="T65">
        <f>HYPERLINK("https://klasma.github.io/Logging_0380/kartor/A 46162-2023 karta.png", "A 46162-2023")</f>
        <v/>
      </c>
      <c r="U65">
        <f>HYPERLINK("https://klasma.github.io/Logging_0380/knärot/A 46162-2023 karta knärot.png", "A 46162-2023")</f>
        <v/>
      </c>
      <c r="V65">
        <f>HYPERLINK("https://klasma.github.io/Logging_0380/klagomål/A 46162-2023 FSC-klagomål.docx", "A 46162-2023")</f>
        <v/>
      </c>
      <c r="W65">
        <f>HYPERLINK("https://klasma.github.io/Logging_0380/klagomålsmail/A 46162-2023 FSC-klagomål mail.docx", "A 46162-2023")</f>
        <v/>
      </c>
      <c r="X65">
        <f>HYPERLINK("https://klasma.github.io/Logging_0380/tillsyn/A 46162-2023 tillsynsbegäran.docx", "A 46162-2023")</f>
        <v/>
      </c>
      <c r="Y65">
        <f>HYPERLINK("https://klasma.github.io/Logging_0380/tillsynsmail/A 46162-2023 tillsynsbegäran mail.docx", "A 46162-2023")</f>
        <v/>
      </c>
    </row>
    <row r="66" ht="15" customHeight="1">
      <c r="A66" t="inlineStr">
        <is>
          <t>A 47453-2023</t>
        </is>
      </c>
      <c r="B66" s="1" t="n">
        <v>45202</v>
      </c>
      <c r="C66" s="1" t="n">
        <v>45705</v>
      </c>
      <c r="D66" t="inlineStr">
        <is>
          <t>UPPSALA LÄN</t>
        </is>
      </c>
      <c r="E66" t="inlineStr">
        <is>
          <t>UPPSALA</t>
        </is>
      </c>
      <c r="F66" t="inlineStr">
        <is>
          <t>Allmännings- och besparingsskogar</t>
        </is>
      </c>
      <c r="G66" t="n">
        <v>32.8</v>
      </c>
      <c r="H66" t="n">
        <v>1</v>
      </c>
      <c r="I66" t="n">
        <v>3</v>
      </c>
      <c r="J66" t="n">
        <v>5</v>
      </c>
      <c r="K66" t="n">
        <v>1</v>
      </c>
      <c r="L66" t="n">
        <v>0</v>
      </c>
      <c r="M66" t="n">
        <v>0</v>
      </c>
      <c r="N66" t="n">
        <v>0</v>
      </c>
      <c r="O66" t="n">
        <v>6</v>
      </c>
      <c r="P66" t="n">
        <v>1</v>
      </c>
      <c r="Q66" t="n">
        <v>9</v>
      </c>
      <c r="R66" s="2" t="inlineStr">
        <is>
          <t>Ostticka
Granticka
Större flatbagge
Tallticka
Tretåig hackspett
Vedtrappmossa
Bronshjon
Jättesvampmal
Thomsons trägnagare</t>
        </is>
      </c>
      <c r="S66">
        <f>HYPERLINK("https://klasma.github.io/Logging_0380/artfynd/A 47453-2023 artfynd.xlsx", "A 47453-2023")</f>
        <v/>
      </c>
      <c r="T66">
        <f>HYPERLINK("https://klasma.github.io/Logging_0380/kartor/A 47453-2023 karta.png", "A 47453-2023")</f>
        <v/>
      </c>
      <c r="V66">
        <f>HYPERLINK("https://klasma.github.io/Logging_0380/klagomål/A 47453-2023 FSC-klagomål.docx", "A 47453-2023")</f>
        <v/>
      </c>
      <c r="W66">
        <f>HYPERLINK("https://klasma.github.io/Logging_0380/klagomålsmail/A 47453-2023 FSC-klagomål mail.docx", "A 47453-2023")</f>
        <v/>
      </c>
      <c r="X66">
        <f>HYPERLINK("https://klasma.github.io/Logging_0380/tillsyn/A 47453-2023 tillsynsbegäran.docx", "A 47453-2023")</f>
        <v/>
      </c>
      <c r="Y66">
        <f>HYPERLINK("https://klasma.github.io/Logging_0380/tillsynsmail/A 47453-2023 tillsynsbegäran mail.docx", "A 47453-2023")</f>
        <v/>
      </c>
      <c r="Z66">
        <f>HYPERLINK("https://klasma.github.io/Logging_0380/fåglar/A 47453-2023 prioriterade fågelarter.docx", "A 47453-2023")</f>
        <v/>
      </c>
    </row>
    <row r="67" ht="15" customHeight="1">
      <c r="A67" t="inlineStr">
        <is>
          <t>A 49894-2023</t>
        </is>
      </c>
      <c r="B67" s="1" t="n">
        <v>45213</v>
      </c>
      <c r="C67" s="1" t="n">
        <v>45705</v>
      </c>
      <c r="D67" t="inlineStr">
        <is>
          <t>UPPSALA LÄN</t>
        </is>
      </c>
      <c r="E67" t="inlineStr">
        <is>
          <t>KNIVSTA</t>
        </is>
      </c>
      <c r="G67" t="n">
        <v>17.8</v>
      </c>
      <c r="H67" t="n">
        <v>8</v>
      </c>
      <c r="I67" t="n">
        <v>0</v>
      </c>
      <c r="J67" t="n">
        <v>5</v>
      </c>
      <c r="K67" t="n">
        <v>0</v>
      </c>
      <c r="L67" t="n">
        <v>1</v>
      </c>
      <c r="M67" t="n">
        <v>0</v>
      </c>
      <c r="N67" t="n">
        <v>0</v>
      </c>
      <c r="O67" t="n">
        <v>6</v>
      </c>
      <c r="P67" t="n">
        <v>1</v>
      </c>
      <c r="Q67" t="n">
        <v>9</v>
      </c>
      <c r="R67" s="2" t="inlineStr">
        <is>
          <t>Grönfink
Granticka
Grönsångare
Gulsparv
Havsörn
Rödvingetrast
Grönsiska
Järnsparv
Kungsfågel</t>
        </is>
      </c>
      <c r="S67">
        <f>HYPERLINK("https://klasma.github.io/Logging_0330/artfynd/A 49894-2023 artfynd.xlsx", "A 49894-2023")</f>
        <v/>
      </c>
      <c r="T67">
        <f>HYPERLINK("https://klasma.github.io/Logging_0330/kartor/A 49894-2023 karta.png", "A 49894-2023")</f>
        <v/>
      </c>
      <c r="V67">
        <f>HYPERLINK("https://klasma.github.io/Logging_0330/klagomål/A 49894-2023 FSC-klagomål.docx", "A 49894-2023")</f>
        <v/>
      </c>
      <c r="W67">
        <f>HYPERLINK("https://klasma.github.io/Logging_0330/klagomålsmail/A 49894-2023 FSC-klagomål mail.docx", "A 49894-2023")</f>
        <v/>
      </c>
      <c r="X67">
        <f>HYPERLINK("https://klasma.github.io/Logging_0330/tillsyn/A 49894-2023 tillsynsbegäran.docx", "A 49894-2023")</f>
        <v/>
      </c>
      <c r="Y67">
        <f>HYPERLINK("https://klasma.github.io/Logging_0330/tillsynsmail/A 49894-2023 tillsynsbegäran mail.docx", "A 49894-2023")</f>
        <v/>
      </c>
      <c r="Z67">
        <f>HYPERLINK("https://klasma.github.io/Logging_0330/fåglar/A 49894-2023 prioriterade fågelarter.docx", "A 49894-2023")</f>
        <v/>
      </c>
    </row>
    <row r="68" ht="15" customHeight="1">
      <c r="A68" t="inlineStr">
        <is>
          <t>A 52808-2023</t>
        </is>
      </c>
      <c r="B68" s="1" t="n">
        <v>45226</v>
      </c>
      <c r="C68" s="1" t="n">
        <v>45705</v>
      </c>
      <c r="D68" t="inlineStr">
        <is>
          <t>UPPSALA LÄN</t>
        </is>
      </c>
      <c r="E68" t="inlineStr">
        <is>
          <t>ÖSTHAMMAR</t>
        </is>
      </c>
      <c r="F68" t="inlineStr">
        <is>
          <t>Bergvik skog öst AB</t>
        </is>
      </c>
      <c r="G68" t="n">
        <v>20.2</v>
      </c>
      <c r="H68" t="n">
        <v>6</v>
      </c>
      <c r="I68" t="n">
        <v>2</v>
      </c>
      <c r="J68" t="n">
        <v>3</v>
      </c>
      <c r="K68" t="n">
        <v>1</v>
      </c>
      <c r="L68" t="n">
        <v>0</v>
      </c>
      <c r="M68" t="n">
        <v>0</v>
      </c>
      <c r="N68" t="n">
        <v>0</v>
      </c>
      <c r="O68" t="n">
        <v>4</v>
      </c>
      <c r="P68" t="n">
        <v>1</v>
      </c>
      <c r="Q68" t="n">
        <v>9</v>
      </c>
      <c r="R68" s="2" t="inlineStr">
        <is>
          <t>Knärot
Spillkråka
Tretåig hackspett
Ullticka
Brandticka
Grönpyrola
Tjäder
Blåsippa
Revlummer</t>
        </is>
      </c>
      <c r="S68">
        <f>HYPERLINK("https://klasma.github.io/Logging_0382/artfynd/A 52808-2023 artfynd.xlsx", "A 52808-2023")</f>
        <v/>
      </c>
      <c r="T68">
        <f>HYPERLINK("https://klasma.github.io/Logging_0382/kartor/A 52808-2023 karta.png", "A 52808-2023")</f>
        <v/>
      </c>
      <c r="U68">
        <f>HYPERLINK("https://klasma.github.io/Logging_0382/knärot/A 52808-2023 karta knärot.png", "A 52808-2023")</f>
        <v/>
      </c>
      <c r="V68">
        <f>HYPERLINK("https://klasma.github.io/Logging_0382/klagomål/A 52808-2023 FSC-klagomål.docx", "A 52808-2023")</f>
        <v/>
      </c>
      <c r="W68">
        <f>HYPERLINK("https://klasma.github.io/Logging_0382/klagomålsmail/A 52808-2023 FSC-klagomål mail.docx", "A 52808-2023")</f>
        <v/>
      </c>
      <c r="X68">
        <f>HYPERLINK("https://klasma.github.io/Logging_0382/tillsyn/A 52808-2023 tillsynsbegäran.docx", "A 52808-2023")</f>
        <v/>
      </c>
      <c r="Y68">
        <f>HYPERLINK("https://klasma.github.io/Logging_0382/tillsynsmail/A 52808-2023 tillsynsbegäran mail.docx", "A 52808-2023")</f>
        <v/>
      </c>
      <c r="Z68">
        <f>HYPERLINK("https://klasma.github.io/Logging_0382/fåglar/A 52808-2023 prioriterade fågelarter.docx", "A 52808-2023")</f>
        <v/>
      </c>
    </row>
    <row r="69" ht="15" customHeight="1">
      <c r="A69" t="inlineStr">
        <is>
          <t>A 19748-2024</t>
        </is>
      </c>
      <c r="B69" s="1" t="n">
        <v>45432</v>
      </c>
      <c r="C69" s="1" t="n">
        <v>45705</v>
      </c>
      <c r="D69" t="inlineStr">
        <is>
          <t>UPPSALA LÄN</t>
        </is>
      </c>
      <c r="E69" t="inlineStr">
        <is>
          <t>ÖSTHAMMAR</t>
        </is>
      </c>
      <c r="G69" t="n">
        <v>1.3</v>
      </c>
      <c r="H69" t="n">
        <v>4</v>
      </c>
      <c r="I69" t="n">
        <v>3</v>
      </c>
      <c r="J69" t="n">
        <v>2</v>
      </c>
      <c r="K69" t="n">
        <v>2</v>
      </c>
      <c r="L69" t="n">
        <v>0</v>
      </c>
      <c r="M69" t="n">
        <v>0</v>
      </c>
      <c r="N69" t="n">
        <v>0</v>
      </c>
      <c r="O69" t="n">
        <v>4</v>
      </c>
      <c r="P69" t="n">
        <v>2</v>
      </c>
      <c r="Q69" t="n">
        <v>9</v>
      </c>
      <c r="R69" s="2" t="inlineStr">
        <is>
          <t>Koppartaggsvamp
Violgubbe
Spillkråka
Talltita
Brandticka
Fjällig taggsvamp s.str.
Zontaggsvamp
Blåsippa
Revlummer</t>
        </is>
      </c>
      <c r="S69">
        <f>HYPERLINK("https://klasma.github.io/Logging_0382/artfynd/A 19748-2024 artfynd.xlsx", "A 19748-2024")</f>
        <v/>
      </c>
      <c r="T69">
        <f>HYPERLINK("https://klasma.github.io/Logging_0382/kartor/A 19748-2024 karta.png", "A 19748-2024")</f>
        <v/>
      </c>
      <c r="U69">
        <f>HYPERLINK("https://klasma.github.io/Logging_0382/knärot/A 19748-2024 karta knärot.png", "A 19748-2024")</f>
        <v/>
      </c>
      <c r="V69">
        <f>HYPERLINK("https://klasma.github.io/Logging_0382/klagomål/A 19748-2024 FSC-klagomål.docx", "A 19748-2024")</f>
        <v/>
      </c>
      <c r="W69">
        <f>HYPERLINK("https://klasma.github.io/Logging_0382/klagomålsmail/A 19748-2024 FSC-klagomål mail.docx", "A 19748-2024")</f>
        <v/>
      </c>
      <c r="X69">
        <f>HYPERLINK("https://klasma.github.io/Logging_0382/tillsyn/A 19748-2024 tillsynsbegäran.docx", "A 19748-2024")</f>
        <v/>
      </c>
      <c r="Y69">
        <f>HYPERLINK("https://klasma.github.io/Logging_0382/tillsynsmail/A 19748-2024 tillsynsbegäran mail.docx", "A 19748-2024")</f>
        <v/>
      </c>
      <c r="Z69">
        <f>HYPERLINK("https://klasma.github.io/Logging_0382/fåglar/A 19748-2024 prioriterade fågelarter.docx", "A 19748-2024")</f>
        <v/>
      </c>
    </row>
    <row r="70" ht="15" customHeight="1">
      <c r="A70" t="inlineStr">
        <is>
          <t>A 32680-2019</t>
        </is>
      </c>
      <c r="B70" s="1" t="n">
        <v>43647</v>
      </c>
      <c r="C70" s="1" t="n">
        <v>45705</v>
      </c>
      <c r="D70" t="inlineStr">
        <is>
          <t>UPPSALA LÄN</t>
        </is>
      </c>
      <c r="E70" t="inlineStr">
        <is>
          <t>ÖSTHAMMAR</t>
        </is>
      </c>
      <c r="G70" t="n">
        <v>8.300000000000001</v>
      </c>
      <c r="H70" t="n">
        <v>3</v>
      </c>
      <c r="I70" t="n">
        <v>5</v>
      </c>
      <c r="J70" t="n">
        <v>1</v>
      </c>
      <c r="K70" t="n">
        <v>1</v>
      </c>
      <c r="L70" t="n">
        <v>0</v>
      </c>
      <c r="M70" t="n">
        <v>0</v>
      </c>
      <c r="N70" t="n">
        <v>0</v>
      </c>
      <c r="O70" t="n">
        <v>2</v>
      </c>
      <c r="P70" t="n">
        <v>1</v>
      </c>
      <c r="Q70" t="n">
        <v>8</v>
      </c>
      <c r="R70" s="2" t="inlineStr">
        <is>
          <t>Violgubbe
Kalkkärrsgrynsnäcka
Anisspindling
Nästrot
Skinnlav
Skogsknipprot
Svavelriska
Blåsippa</t>
        </is>
      </c>
      <c r="S70">
        <f>HYPERLINK("https://klasma.github.io/Logging_0382/artfynd/A 32680-2019 artfynd.xlsx", "A 32680-2019")</f>
        <v/>
      </c>
      <c r="T70">
        <f>HYPERLINK("https://klasma.github.io/Logging_0382/kartor/A 32680-2019 karta.png", "A 32680-2019")</f>
        <v/>
      </c>
      <c r="V70">
        <f>HYPERLINK("https://klasma.github.io/Logging_0382/klagomål/A 32680-2019 FSC-klagomål.docx", "A 32680-2019")</f>
        <v/>
      </c>
      <c r="W70">
        <f>HYPERLINK("https://klasma.github.io/Logging_0382/klagomålsmail/A 32680-2019 FSC-klagomål mail.docx", "A 32680-2019")</f>
        <v/>
      </c>
      <c r="X70">
        <f>HYPERLINK("https://klasma.github.io/Logging_0382/tillsyn/A 32680-2019 tillsynsbegäran.docx", "A 32680-2019")</f>
        <v/>
      </c>
      <c r="Y70">
        <f>HYPERLINK("https://klasma.github.io/Logging_0382/tillsynsmail/A 32680-2019 tillsynsbegäran mail.docx", "A 32680-2019")</f>
        <v/>
      </c>
    </row>
    <row r="71" ht="15" customHeight="1">
      <c r="A71" t="inlineStr">
        <is>
          <t>A 8678-2020</t>
        </is>
      </c>
      <c r="B71" s="1" t="n">
        <v>43878</v>
      </c>
      <c r="C71" s="1" t="n">
        <v>45705</v>
      </c>
      <c r="D71" t="inlineStr">
        <is>
          <t>UPPSALA LÄN</t>
        </is>
      </c>
      <c r="E71" t="inlineStr">
        <is>
          <t>UPPSALA</t>
        </is>
      </c>
      <c r="G71" t="n">
        <v>1.8</v>
      </c>
      <c r="H71" t="n">
        <v>3</v>
      </c>
      <c r="I71" t="n">
        <v>3</v>
      </c>
      <c r="J71" t="n">
        <v>2</v>
      </c>
      <c r="K71" t="n">
        <v>0</v>
      </c>
      <c r="L71" t="n">
        <v>1</v>
      </c>
      <c r="M71" t="n">
        <v>1</v>
      </c>
      <c r="N71" t="n">
        <v>0</v>
      </c>
      <c r="O71" t="n">
        <v>4</v>
      </c>
      <c r="P71" t="n">
        <v>2</v>
      </c>
      <c r="Q71" t="n">
        <v>8</v>
      </c>
      <c r="R71" s="2" t="inlineStr">
        <is>
          <t>Skogsalm
Ask
Spillkråka
Ullticka
Fällmossa
Nästrot
Svart trolldruva
Blåsippa</t>
        </is>
      </c>
      <c r="S71">
        <f>HYPERLINK("https://klasma.github.io/Logging_0380/artfynd/A 8678-2020 artfynd.xlsx", "A 8678-2020")</f>
        <v/>
      </c>
      <c r="T71">
        <f>HYPERLINK("https://klasma.github.io/Logging_0380/kartor/A 8678-2020 karta.png", "A 8678-2020")</f>
        <v/>
      </c>
      <c r="V71">
        <f>HYPERLINK("https://klasma.github.io/Logging_0380/klagomål/A 8678-2020 FSC-klagomål.docx", "A 8678-2020")</f>
        <v/>
      </c>
      <c r="W71">
        <f>HYPERLINK("https://klasma.github.io/Logging_0380/klagomålsmail/A 8678-2020 FSC-klagomål mail.docx", "A 8678-2020")</f>
        <v/>
      </c>
      <c r="X71">
        <f>HYPERLINK("https://klasma.github.io/Logging_0380/tillsyn/A 8678-2020 tillsynsbegäran.docx", "A 8678-2020")</f>
        <v/>
      </c>
      <c r="Y71">
        <f>HYPERLINK("https://klasma.github.io/Logging_0380/tillsynsmail/A 8678-2020 tillsynsbegäran mail.docx", "A 8678-2020")</f>
        <v/>
      </c>
      <c r="Z71">
        <f>HYPERLINK("https://klasma.github.io/Logging_0380/fåglar/A 8678-2020 prioriterade fågelarter.docx", "A 8678-2020")</f>
        <v/>
      </c>
    </row>
    <row r="72" ht="15" customHeight="1">
      <c r="A72" t="inlineStr">
        <is>
          <t>A 61513-2020</t>
        </is>
      </c>
      <c r="B72" s="1" t="n">
        <v>44158</v>
      </c>
      <c r="C72" s="1" t="n">
        <v>45705</v>
      </c>
      <c r="D72" t="inlineStr">
        <is>
          <t>UPPSALA LÄN</t>
        </is>
      </c>
      <c r="E72" t="inlineStr">
        <is>
          <t>UPPSALA</t>
        </is>
      </c>
      <c r="F72" t="inlineStr">
        <is>
          <t>Övriga statliga verk och myndigheter</t>
        </is>
      </c>
      <c r="G72" t="n">
        <v>17</v>
      </c>
      <c r="H72" t="n">
        <v>1</v>
      </c>
      <c r="I72" t="n">
        <v>6</v>
      </c>
      <c r="J72" t="n">
        <v>1</v>
      </c>
      <c r="K72" t="n">
        <v>0</v>
      </c>
      <c r="L72" t="n">
        <v>0</v>
      </c>
      <c r="M72" t="n">
        <v>0</v>
      </c>
      <c r="N72" t="n">
        <v>0</v>
      </c>
      <c r="O72" t="n">
        <v>1</v>
      </c>
      <c r="P72" t="n">
        <v>0</v>
      </c>
      <c r="Q72" t="n">
        <v>8</v>
      </c>
      <c r="R72" s="2" t="inlineStr">
        <is>
          <t>Vedtrappmossa
Bårdlav
Dvärgtufs
Piskbaronmossa
Platt fjädermossa
Stubbspretmossa
Vedticka
Blåsippa</t>
        </is>
      </c>
      <c r="S72">
        <f>HYPERLINK("https://klasma.github.io/Logging_0380/artfynd/A 61513-2020 artfynd.xlsx", "A 61513-2020")</f>
        <v/>
      </c>
      <c r="T72">
        <f>HYPERLINK("https://klasma.github.io/Logging_0380/kartor/A 61513-2020 karta.png", "A 61513-2020")</f>
        <v/>
      </c>
      <c r="V72">
        <f>HYPERLINK("https://klasma.github.io/Logging_0380/klagomål/A 61513-2020 FSC-klagomål.docx", "A 61513-2020")</f>
        <v/>
      </c>
      <c r="W72">
        <f>HYPERLINK("https://klasma.github.io/Logging_0380/klagomålsmail/A 61513-2020 FSC-klagomål mail.docx", "A 61513-2020")</f>
        <v/>
      </c>
      <c r="X72">
        <f>HYPERLINK("https://klasma.github.io/Logging_0380/tillsyn/A 61513-2020 tillsynsbegäran.docx", "A 61513-2020")</f>
        <v/>
      </c>
      <c r="Y72">
        <f>HYPERLINK("https://klasma.github.io/Logging_0380/tillsynsmail/A 61513-2020 tillsynsbegäran mail.docx", "A 61513-2020")</f>
        <v/>
      </c>
    </row>
    <row r="73" ht="15" customHeight="1">
      <c r="A73" t="inlineStr">
        <is>
          <t>A 66979-2020</t>
        </is>
      </c>
      <c r="B73" s="1" t="n">
        <v>44180</v>
      </c>
      <c r="C73" s="1" t="n">
        <v>45705</v>
      </c>
      <c r="D73" t="inlineStr">
        <is>
          <t>UPPSALA LÄN</t>
        </is>
      </c>
      <c r="E73" t="inlineStr">
        <is>
          <t>UPPSALA</t>
        </is>
      </c>
      <c r="F73" t="inlineStr">
        <is>
          <t>Övriga statliga verk och myndigheter</t>
        </is>
      </c>
      <c r="G73" t="n">
        <v>8.300000000000001</v>
      </c>
      <c r="H73" t="n">
        <v>1</v>
      </c>
      <c r="I73" t="n">
        <v>4</v>
      </c>
      <c r="J73" t="n">
        <v>2</v>
      </c>
      <c r="K73" t="n">
        <v>1</v>
      </c>
      <c r="L73" t="n">
        <v>0</v>
      </c>
      <c r="M73" t="n">
        <v>0</v>
      </c>
      <c r="N73" t="n">
        <v>0</v>
      </c>
      <c r="O73" t="n">
        <v>3</v>
      </c>
      <c r="P73" t="n">
        <v>1</v>
      </c>
      <c r="Q73" t="n">
        <v>8</v>
      </c>
      <c r="R73" s="2" t="inlineStr">
        <is>
          <t>Rynkskinn
Tallticka
Ullticka
Brandticka
Fällmossa
Jättesvampmal
Rävticka
Blåsippa</t>
        </is>
      </c>
      <c r="S73">
        <f>HYPERLINK("https://klasma.github.io/Logging_0380/artfynd/A 66979-2020 artfynd.xlsx", "A 66979-2020")</f>
        <v/>
      </c>
      <c r="T73">
        <f>HYPERLINK("https://klasma.github.io/Logging_0380/kartor/A 66979-2020 karta.png", "A 66979-2020")</f>
        <v/>
      </c>
      <c r="V73">
        <f>HYPERLINK("https://klasma.github.io/Logging_0380/klagomål/A 66979-2020 FSC-klagomål.docx", "A 66979-2020")</f>
        <v/>
      </c>
      <c r="W73">
        <f>HYPERLINK("https://klasma.github.io/Logging_0380/klagomålsmail/A 66979-2020 FSC-klagomål mail.docx", "A 66979-2020")</f>
        <v/>
      </c>
      <c r="X73">
        <f>HYPERLINK("https://klasma.github.io/Logging_0380/tillsyn/A 66979-2020 tillsynsbegäran.docx", "A 66979-2020")</f>
        <v/>
      </c>
      <c r="Y73">
        <f>HYPERLINK("https://klasma.github.io/Logging_0380/tillsynsmail/A 66979-2020 tillsynsbegäran mail.docx", "A 66979-2020")</f>
        <v/>
      </c>
    </row>
    <row r="74" ht="15" customHeight="1">
      <c r="A74" t="inlineStr">
        <is>
          <t>A 61014-2021</t>
        </is>
      </c>
      <c r="B74" s="1" t="n">
        <v>44497</v>
      </c>
      <c r="C74" s="1" t="n">
        <v>45705</v>
      </c>
      <c r="D74" t="inlineStr">
        <is>
          <t>UPPSALA LÄN</t>
        </is>
      </c>
      <c r="E74" t="inlineStr">
        <is>
          <t>UPPSALA</t>
        </is>
      </c>
      <c r="G74" t="n">
        <v>6.6</v>
      </c>
      <c r="H74" t="n">
        <v>2</v>
      </c>
      <c r="I74" t="n">
        <v>2</v>
      </c>
      <c r="J74" t="n">
        <v>3</v>
      </c>
      <c r="K74" t="n">
        <v>3</v>
      </c>
      <c r="L74" t="n">
        <v>0</v>
      </c>
      <c r="M74" t="n">
        <v>0</v>
      </c>
      <c r="N74" t="n">
        <v>0</v>
      </c>
      <c r="O74" t="n">
        <v>6</v>
      </c>
      <c r="P74" t="n">
        <v>3</v>
      </c>
      <c r="Q74" t="n">
        <v>8</v>
      </c>
      <c r="R74" s="2" t="inlineStr">
        <is>
          <t>Knärot
Rynkskinn
Tallbit
Garnlav
Grönhjon
Ullticka
Brandticka
Vedticka</t>
        </is>
      </c>
      <c r="S74">
        <f>HYPERLINK("https://klasma.github.io/Logging_0380/artfynd/A 61014-2021 artfynd.xlsx", "A 61014-2021")</f>
        <v/>
      </c>
      <c r="T74">
        <f>HYPERLINK("https://klasma.github.io/Logging_0380/kartor/A 61014-2021 karta.png", "A 61014-2021")</f>
        <v/>
      </c>
      <c r="U74">
        <f>HYPERLINK("https://klasma.github.io/Logging_0380/knärot/A 61014-2021 karta knärot.png", "A 61014-2021")</f>
        <v/>
      </c>
      <c r="V74">
        <f>HYPERLINK("https://klasma.github.io/Logging_0380/klagomål/A 61014-2021 FSC-klagomål.docx", "A 61014-2021")</f>
        <v/>
      </c>
      <c r="W74">
        <f>HYPERLINK("https://klasma.github.io/Logging_0380/klagomålsmail/A 61014-2021 FSC-klagomål mail.docx", "A 61014-2021")</f>
        <v/>
      </c>
      <c r="X74">
        <f>HYPERLINK("https://klasma.github.io/Logging_0380/tillsyn/A 61014-2021 tillsynsbegäran.docx", "A 61014-2021")</f>
        <v/>
      </c>
      <c r="Y74">
        <f>HYPERLINK("https://klasma.github.io/Logging_0380/tillsynsmail/A 61014-2021 tillsynsbegäran mail.docx", "A 61014-2021")</f>
        <v/>
      </c>
      <c r="Z74">
        <f>HYPERLINK("https://klasma.github.io/Logging_0380/fåglar/A 61014-2021 prioriterade fågelarter.docx", "A 61014-2021")</f>
        <v/>
      </c>
    </row>
    <row r="75" ht="15" customHeight="1">
      <c r="A75" t="inlineStr">
        <is>
          <t>A 33708-2022</t>
        </is>
      </c>
      <c r="B75" s="1" t="n">
        <v>44789</v>
      </c>
      <c r="C75" s="1" t="n">
        <v>45705</v>
      </c>
      <c r="D75" t="inlineStr">
        <is>
          <t>UPPSALA LÄN</t>
        </is>
      </c>
      <c r="E75" t="inlineStr">
        <is>
          <t>ÖSTHAMMAR</t>
        </is>
      </c>
      <c r="G75" t="n">
        <v>6.5</v>
      </c>
      <c r="H75" t="n">
        <v>7</v>
      </c>
      <c r="I75" t="n">
        <v>0</v>
      </c>
      <c r="J75" t="n">
        <v>6</v>
      </c>
      <c r="K75" t="n">
        <v>1</v>
      </c>
      <c r="L75" t="n">
        <v>0</v>
      </c>
      <c r="M75" t="n">
        <v>0</v>
      </c>
      <c r="N75" t="n">
        <v>0</v>
      </c>
      <c r="O75" t="n">
        <v>7</v>
      </c>
      <c r="P75" t="n">
        <v>1</v>
      </c>
      <c r="Q75" t="n">
        <v>8</v>
      </c>
      <c r="R75" s="2" t="inlineStr">
        <is>
          <t>Stare
Grönsångare
Leopardsköldbagge
Nordfladdermus
Rosenfink
Rödvingetrast
Svartvit flugsnappare
Dvärgpipistrell</t>
        </is>
      </c>
      <c r="S75">
        <f>HYPERLINK("https://klasma.github.io/Logging_0382/artfynd/A 33708-2022 artfynd.xlsx", "A 33708-2022")</f>
        <v/>
      </c>
      <c r="T75">
        <f>HYPERLINK("https://klasma.github.io/Logging_0382/kartor/A 33708-2022 karta.png", "A 33708-2022")</f>
        <v/>
      </c>
      <c r="V75">
        <f>HYPERLINK("https://klasma.github.io/Logging_0382/klagomål/A 33708-2022 FSC-klagomål.docx", "A 33708-2022")</f>
        <v/>
      </c>
      <c r="W75">
        <f>HYPERLINK("https://klasma.github.io/Logging_0382/klagomålsmail/A 33708-2022 FSC-klagomål mail.docx", "A 33708-2022")</f>
        <v/>
      </c>
      <c r="X75">
        <f>HYPERLINK("https://klasma.github.io/Logging_0382/tillsyn/A 33708-2022 tillsynsbegäran.docx", "A 33708-2022")</f>
        <v/>
      </c>
      <c r="Y75">
        <f>HYPERLINK("https://klasma.github.io/Logging_0382/tillsynsmail/A 33708-2022 tillsynsbegäran mail.docx", "A 33708-2022")</f>
        <v/>
      </c>
      <c r="Z75">
        <f>HYPERLINK("https://klasma.github.io/Logging_0382/fåglar/A 33708-2022 prioriterade fågelarter.docx", "A 33708-2022")</f>
        <v/>
      </c>
    </row>
    <row r="76" ht="15" customHeight="1">
      <c r="A76" t="inlineStr">
        <is>
          <t>A 58453-2022</t>
        </is>
      </c>
      <c r="B76" s="1" t="n">
        <v>44901</v>
      </c>
      <c r="C76" s="1" t="n">
        <v>45705</v>
      </c>
      <c r="D76" t="inlineStr">
        <is>
          <t>UPPSALA LÄN</t>
        </is>
      </c>
      <c r="E76" t="inlineStr">
        <is>
          <t>UPPSALA</t>
        </is>
      </c>
      <c r="G76" t="n">
        <v>1.5</v>
      </c>
      <c r="H76" t="n">
        <v>1</v>
      </c>
      <c r="I76" t="n">
        <v>4</v>
      </c>
      <c r="J76" t="n">
        <v>3</v>
      </c>
      <c r="K76" t="n">
        <v>0</v>
      </c>
      <c r="L76" t="n">
        <v>0</v>
      </c>
      <c r="M76" t="n">
        <v>0</v>
      </c>
      <c r="N76" t="n">
        <v>0</v>
      </c>
      <c r="O76" t="n">
        <v>3</v>
      </c>
      <c r="P76" t="n">
        <v>0</v>
      </c>
      <c r="Q76" t="n">
        <v>8</v>
      </c>
      <c r="R76" s="2" t="inlineStr">
        <is>
          <t>Lunglav
Rutskinn
Skuggorangelav
Fällmossa
Guldlockmossa
Hasselticka
Svart trolldruva
Blåsippa</t>
        </is>
      </c>
      <c r="S76">
        <f>HYPERLINK("https://klasma.github.io/Logging_0380/artfynd/A 58453-2022 artfynd.xlsx", "A 58453-2022")</f>
        <v/>
      </c>
      <c r="T76">
        <f>HYPERLINK("https://klasma.github.io/Logging_0380/kartor/A 58453-2022 karta.png", "A 58453-2022")</f>
        <v/>
      </c>
      <c r="V76">
        <f>HYPERLINK("https://klasma.github.io/Logging_0380/klagomål/A 58453-2022 FSC-klagomål.docx", "A 58453-2022")</f>
        <v/>
      </c>
      <c r="W76">
        <f>HYPERLINK("https://klasma.github.io/Logging_0380/klagomålsmail/A 58453-2022 FSC-klagomål mail.docx", "A 58453-2022")</f>
        <v/>
      </c>
      <c r="X76">
        <f>HYPERLINK("https://klasma.github.io/Logging_0380/tillsyn/A 58453-2022 tillsynsbegäran.docx", "A 58453-2022")</f>
        <v/>
      </c>
      <c r="Y76">
        <f>HYPERLINK("https://klasma.github.io/Logging_0380/tillsynsmail/A 58453-2022 tillsynsbegäran mail.docx", "A 58453-2022")</f>
        <v/>
      </c>
    </row>
    <row r="77" ht="15" customHeight="1">
      <c r="A77" t="inlineStr">
        <is>
          <t>A 60805-2022</t>
        </is>
      </c>
      <c r="B77" s="1" t="n">
        <v>44914</v>
      </c>
      <c r="C77" s="1" t="n">
        <v>45705</v>
      </c>
      <c r="D77" t="inlineStr">
        <is>
          <t>UPPSALA LÄN</t>
        </is>
      </c>
      <c r="E77" t="inlineStr">
        <is>
          <t>HEBY</t>
        </is>
      </c>
      <c r="G77" t="n">
        <v>6.8</v>
      </c>
      <c r="H77" t="n">
        <v>1</v>
      </c>
      <c r="I77" t="n">
        <v>4</v>
      </c>
      <c r="J77" t="n">
        <v>2</v>
      </c>
      <c r="K77" t="n">
        <v>2</v>
      </c>
      <c r="L77" t="n">
        <v>0</v>
      </c>
      <c r="M77" t="n">
        <v>0</v>
      </c>
      <c r="N77" t="n">
        <v>0</v>
      </c>
      <c r="O77" t="n">
        <v>4</v>
      </c>
      <c r="P77" t="n">
        <v>2</v>
      </c>
      <c r="Q77" t="n">
        <v>8</v>
      </c>
      <c r="R77" s="2" t="inlineStr">
        <is>
          <t>Knärot
Rynkskinn
Kandelabersvamp
Ullticka
Aspvedgnagare
Bronshjon
Thomsons trägnagare
Vedticka</t>
        </is>
      </c>
      <c r="S77">
        <f>HYPERLINK("https://klasma.github.io/Logging_0331/artfynd/A 60805-2022 artfynd.xlsx", "A 60805-2022")</f>
        <v/>
      </c>
      <c r="T77">
        <f>HYPERLINK("https://klasma.github.io/Logging_0331/kartor/A 60805-2022 karta.png", "A 60805-2022")</f>
        <v/>
      </c>
      <c r="U77">
        <f>HYPERLINK("https://klasma.github.io/Logging_0331/knärot/A 60805-2022 karta knärot.png", "A 60805-2022")</f>
        <v/>
      </c>
      <c r="V77">
        <f>HYPERLINK("https://klasma.github.io/Logging_0331/klagomål/A 60805-2022 FSC-klagomål.docx", "A 60805-2022")</f>
        <v/>
      </c>
      <c r="W77">
        <f>HYPERLINK("https://klasma.github.io/Logging_0331/klagomålsmail/A 60805-2022 FSC-klagomål mail.docx", "A 60805-2022")</f>
        <v/>
      </c>
      <c r="X77">
        <f>HYPERLINK("https://klasma.github.io/Logging_0331/tillsyn/A 60805-2022 tillsynsbegäran.docx", "A 60805-2022")</f>
        <v/>
      </c>
      <c r="Y77">
        <f>HYPERLINK("https://klasma.github.io/Logging_0331/tillsynsmail/A 60805-2022 tillsynsbegäran mail.docx", "A 60805-2022")</f>
        <v/>
      </c>
    </row>
    <row r="78" ht="15" customHeight="1">
      <c r="A78" t="inlineStr">
        <is>
          <t>A 1783-2023</t>
        </is>
      </c>
      <c r="B78" s="1" t="n">
        <v>44938</v>
      </c>
      <c r="C78" s="1" t="n">
        <v>45705</v>
      </c>
      <c r="D78" t="inlineStr">
        <is>
          <t>UPPSALA LÄN</t>
        </is>
      </c>
      <c r="E78" t="inlineStr">
        <is>
          <t>ÖSTHAMMAR</t>
        </is>
      </c>
      <c r="G78" t="n">
        <v>4.1</v>
      </c>
      <c r="H78" t="n">
        <v>4</v>
      </c>
      <c r="I78" t="n">
        <v>4</v>
      </c>
      <c r="J78" t="n">
        <v>1</v>
      </c>
      <c r="K78" t="n">
        <v>2</v>
      </c>
      <c r="L78" t="n">
        <v>0</v>
      </c>
      <c r="M78" t="n">
        <v>0</v>
      </c>
      <c r="N78" t="n">
        <v>0</v>
      </c>
      <c r="O78" t="n">
        <v>3</v>
      </c>
      <c r="P78" t="n">
        <v>2</v>
      </c>
      <c r="Q78" t="n">
        <v>8</v>
      </c>
      <c r="R78" s="2" t="inlineStr">
        <is>
          <t>Fjällfotad fingersvamp
Knärot
Svart taggsvamp
Skogsknipprot
Sårläka
Tibast
Tvåblad
Fläcknycklar</t>
        </is>
      </c>
      <c r="S78">
        <f>HYPERLINK("https://klasma.github.io/Logging_0382/artfynd/A 1783-2023 artfynd.xlsx", "A 1783-2023")</f>
        <v/>
      </c>
      <c r="T78">
        <f>HYPERLINK("https://klasma.github.io/Logging_0382/kartor/A 1783-2023 karta.png", "A 1783-2023")</f>
        <v/>
      </c>
      <c r="U78">
        <f>HYPERLINK("https://klasma.github.io/Logging_0382/knärot/A 1783-2023 karta knärot.png", "A 1783-2023")</f>
        <v/>
      </c>
      <c r="V78">
        <f>HYPERLINK("https://klasma.github.io/Logging_0382/klagomål/A 1783-2023 FSC-klagomål.docx", "A 1783-2023")</f>
        <v/>
      </c>
      <c r="W78">
        <f>HYPERLINK("https://klasma.github.io/Logging_0382/klagomålsmail/A 1783-2023 FSC-klagomål mail.docx", "A 1783-2023")</f>
        <v/>
      </c>
      <c r="X78">
        <f>HYPERLINK("https://klasma.github.io/Logging_0382/tillsyn/A 1783-2023 tillsynsbegäran.docx", "A 1783-2023")</f>
        <v/>
      </c>
      <c r="Y78">
        <f>HYPERLINK("https://klasma.github.io/Logging_0382/tillsynsmail/A 1783-2023 tillsynsbegäran mail.docx", "A 1783-2023")</f>
        <v/>
      </c>
    </row>
    <row r="79" ht="15" customHeight="1">
      <c r="A79" t="inlineStr">
        <is>
          <t>A 26460-2023</t>
        </is>
      </c>
      <c r="B79" s="1" t="n">
        <v>45092</v>
      </c>
      <c r="C79" s="1" t="n">
        <v>45705</v>
      </c>
      <c r="D79" t="inlineStr">
        <is>
          <t>UPPSALA LÄN</t>
        </is>
      </c>
      <c r="E79" t="inlineStr">
        <is>
          <t>UPPSALA</t>
        </is>
      </c>
      <c r="G79" t="n">
        <v>6.3</v>
      </c>
      <c r="H79" t="n">
        <v>1</v>
      </c>
      <c r="I79" t="n">
        <v>6</v>
      </c>
      <c r="J79" t="n">
        <v>2</v>
      </c>
      <c r="K79" t="n">
        <v>0</v>
      </c>
      <c r="L79" t="n">
        <v>0</v>
      </c>
      <c r="M79" t="n">
        <v>0</v>
      </c>
      <c r="N79" t="n">
        <v>0</v>
      </c>
      <c r="O79" t="n">
        <v>2</v>
      </c>
      <c r="P79" t="n">
        <v>0</v>
      </c>
      <c r="Q79" t="n">
        <v>8</v>
      </c>
      <c r="R79" s="2" t="inlineStr">
        <is>
          <t>Blek fingersvamp
Grön aspvedbock
Granbarkgnagare
Grön sköldmossa
Jättesvampmal
Korallblylav
Skinnlav
Vedticka</t>
        </is>
      </c>
      <c r="S79">
        <f>HYPERLINK("https://klasma.github.io/Logging_0380/artfynd/A 26460-2023 artfynd.xlsx", "A 26460-2023")</f>
        <v/>
      </c>
      <c r="T79">
        <f>HYPERLINK("https://klasma.github.io/Logging_0380/kartor/A 26460-2023 karta.png", "A 26460-2023")</f>
        <v/>
      </c>
      <c r="U79">
        <f>HYPERLINK("https://klasma.github.io/Logging_0380/knärot/A 26460-2023 karta knärot.png", "A 26460-2023")</f>
        <v/>
      </c>
      <c r="V79">
        <f>HYPERLINK("https://klasma.github.io/Logging_0380/klagomål/A 26460-2023 FSC-klagomål.docx", "A 26460-2023")</f>
        <v/>
      </c>
      <c r="W79">
        <f>HYPERLINK("https://klasma.github.io/Logging_0380/klagomålsmail/A 26460-2023 FSC-klagomål mail.docx", "A 26460-2023")</f>
        <v/>
      </c>
      <c r="X79">
        <f>HYPERLINK("https://klasma.github.io/Logging_0380/tillsyn/A 26460-2023 tillsynsbegäran.docx", "A 26460-2023")</f>
        <v/>
      </c>
      <c r="Y79">
        <f>HYPERLINK("https://klasma.github.io/Logging_0380/tillsynsmail/A 26460-2023 tillsynsbegäran mail.docx", "A 26460-2023")</f>
        <v/>
      </c>
    </row>
    <row r="80" ht="15" customHeight="1">
      <c r="A80" t="inlineStr">
        <is>
          <t>A 44505-2023</t>
        </is>
      </c>
      <c r="B80" s="1" t="n">
        <v>45184</v>
      </c>
      <c r="C80" s="1" t="n">
        <v>45705</v>
      </c>
      <c r="D80" t="inlineStr">
        <is>
          <t>UPPSALA LÄN</t>
        </is>
      </c>
      <c r="E80" t="inlineStr">
        <is>
          <t>TIERP</t>
        </is>
      </c>
      <c r="G80" t="n">
        <v>2.9</v>
      </c>
      <c r="H80" t="n">
        <v>3</v>
      </c>
      <c r="I80" t="n">
        <v>6</v>
      </c>
      <c r="J80" t="n">
        <v>1</v>
      </c>
      <c r="K80" t="n">
        <v>0</v>
      </c>
      <c r="L80" t="n">
        <v>0</v>
      </c>
      <c r="M80" t="n">
        <v>0</v>
      </c>
      <c r="N80" t="n">
        <v>0</v>
      </c>
      <c r="O80" t="n">
        <v>1</v>
      </c>
      <c r="P80" t="n">
        <v>0</v>
      </c>
      <c r="Q80" t="n">
        <v>8</v>
      </c>
      <c r="R80" s="2" t="inlineStr">
        <is>
          <t>Svart taggsvamp
Anisspindling
Dropptaggsvamp
Guckusko
Olivspindling
Skarp dropptaggsvamp
Tvåblad
Nattviol</t>
        </is>
      </c>
      <c r="S80">
        <f>HYPERLINK("https://klasma.github.io/Logging_0360/artfynd/A 44505-2023 artfynd.xlsx", "A 44505-2023")</f>
        <v/>
      </c>
      <c r="T80">
        <f>HYPERLINK("https://klasma.github.io/Logging_0360/kartor/A 44505-2023 karta.png", "A 44505-2023")</f>
        <v/>
      </c>
      <c r="V80">
        <f>HYPERLINK("https://klasma.github.io/Logging_0360/klagomål/A 44505-2023 FSC-klagomål.docx", "A 44505-2023")</f>
        <v/>
      </c>
      <c r="W80">
        <f>HYPERLINK("https://klasma.github.io/Logging_0360/klagomålsmail/A 44505-2023 FSC-klagomål mail.docx", "A 44505-2023")</f>
        <v/>
      </c>
      <c r="X80">
        <f>HYPERLINK("https://klasma.github.io/Logging_0360/tillsyn/A 44505-2023 tillsynsbegäran.docx", "A 44505-2023")</f>
        <v/>
      </c>
      <c r="Y80">
        <f>HYPERLINK("https://klasma.github.io/Logging_0360/tillsynsmail/A 44505-2023 tillsynsbegäran mail.docx", "A 44505-2023")</f>
        <v/>
      </c>
    </row>
    <row r="81" ht="15" customHeight="1">
      <c r="A81" t="inlineStr">
        <is>
          <t>A 43725-2023</t>
        </is>
      </c>
      <c r="B81" s="1" t="n">
        <v>45187</v>
      </c>
      <c r="C81" s="1" t="n">
        <v>45705</v>
      </c>
      <c r="D81" t="inlineStr">
        <is>
          <t>UPPSALA LÄN</t>
        </is>
      </c>
      <c r="E81" t="inlineStr">
        <is>
          <t>HEBY</t>
        </is>
      </c>
      <c r="G81" t="n">
        <v>2.4</v>
      </c>
      <c r="H81" t="n">
        <v>1</v>
      </c>
      <c r="I81" t="n">
        <v>3</v>
      </c>
      <c r="J81" t="n">
        <v>4</v>
      </c>
      <c r="K81" t="n">
        <v>1</v>
      </c>
      <c r="L81" t="n">
        <v>0</v>
      </c>
      <c r="M81" t="n">
        <v>0</v>
      </c>
      <c r="N81" t="n">
        <v>0</v>
      </c>
      <c r="O81" t="n">
        <v>5</v>
      </c>
      <c r="P81" t="n">
        <v>1</v>
      </c>
      <c r="Q81" t="n">
        <v>8</v>
      </c>
      <c r="R81" s="2" t="inlineStr">
        <is>
          <t>Knärot
Dvärgbägarlav
Garnlav
Ullticka
Vedtrappmossa
Bronshjon
Grönpyrola
Vedticka</t>
        </is>
      </c>
      <c r="S81">
        <f>HYPERLINK("https://klasma.github.io/Logging_0331/artfynd/A 43725-2023 artfynd.xlsx", "A 43725-2023")</f>
        <v/>
      </c>
      <c r="T81">
        <f>HYPERLINK("https://klasma.github.io/Logging_0331/kartor/A 43725-2023 karta.png", "A 43725-2023")</f>
        <v/>
      </c>
      <c r="U81">
        <f>HYPERLINK("https://klasma.github.io/Logging_0331/knärot/A 43725-2023 karta knärot.png", "A 43725-2023")</f>
        <v/>
      </c>
      <c r="V81">
        <f>HYPERLINK("https://klasma.github.io/Logging_0331/klagomål/A 43725-2023 FSC-klagomål.docx", "A 43725-2023")</f>
        <v/>
      </c>
      <c r="W81">
        <f>HYPERLINK("https://klasma.github.io/Logging_0331/klagomålsmail/A 43725-2023 FSC-klagomål mail.docx", "A 43725-2023")</f>
        <v/>
      </c>
      <c r="X81">
        <f>HYPERLINK("https://klasma.github.io/Logging_0331/tillsyn/A 43725-2023 tillsynsbegäran.docx", "A 43725-2023")</f>
        <v/>
      </c>
      <c r="Y81">
        <f>HYPERLINK("https://klasma.github.io/Logging_0331/tillsynsmail/A 43725-2023 tillsynsbegäran mail.docx", "A 43725-2023")</f>
        <v/>
      </c>
    </row>
    <row r="82" ht="15" customHeight="1">
      <c r="A82" t="inlineStr">
        <is>
          <t>A 48995-2023</t>
        </is>
      </c>
      <c r="B82" s="1" t="n">
        <v>45209</v>
      </c>
      <c r="C82" s="1" t="n">
        <v>45705</v>
      </c>
      <c r="D82" t="inlineStr">
        <is>
          <t>UPPSALA LÄN</t>
        </is>
      </c>
      <c r="E82" t="inlineStr">
        <is>
          <t>KNIVSTA</t>
        </is>
      </c>
      <c r="G82" t="n">
        <v>13.5</v>
      </c>
      <c r="H82" t="n">
        <v>7</v>
      </c>
      <c r="I82" t="n">
        <v>1</v>
      </c>
      <c r="J82" t="n">
        <v>2</v>
      </c>
      <c r="K82" t="n">
        <v>1</v>
      </c>
      <c r="L82" t="n">
        <v>1</v>
      </c>
      <c r="M82" t="n">
        <v>0</v>
      </c>
      <c r="N82" t="n">
        <v>0</v>
      </c>
      <c r="O82" t="n">
        <v>4</v>
      </c>
      <c r="P82" t="n">
        <v>2</v>
      </c>
      <c r="Q82" t="n">
        <v>8</v>
      </c>
      <c r="R82" s="2" t="inlineStr">
        <is>
          <t>Grönfink
Stare
Gulsparv
Ärtsångare
Tibast
Grönsiska
Järnsparv
Kungsfågel</t>
        </is>
      </c>
      <c r="S82">
        <f>HYPERLINK("https://klasma.github.io/Logging_0330/artfynd/A 48995-2023 artfynd.xlsx", "A 48995-2023")</f>
        <v/>
      </c>
      <c r="T82">
        <f>HYPERLINK("https://klasma.github.io/Logging_0330/kartor/A 48995-2023 karta.png", "A 48995-2023")</f>
        <v/>
      </c>
      <c r="V82">
        <f>HYPERLINK("https://klasma.github.io/Logging_0330/klagomål/A 48995-2023 FSC-klagomål.docx", "A 48995-2023")</f>
        <v/>
      </c>
      <c r="W82">
        <f>HYPERLINK("https://klasma.github.io/Logging_0330/klagomålsmail/A 48995-2023 FSC-klagomål mail.docx", "A 48995-2023")</f>
        <v/>
      </c>
      <c r="X82">
        <f>HYPERLINK("https://klasma.github.io/Logging_0330/tillsyn/A 48995-2023 tillsynsbegäran.docx", "A 48995-2023")</f>
        <v/>
      </c>
      <c r="Y82">
        <f>HYPERLINK("https://klasma.github.io/Logging_0330/tillsynsmail/A 48995-2023 tillsynsbegäran mail.docx", "A 48995-2023")</f>
        <v/>
      </c>
      <c r="Z82">
        <f>HYPERLINK("https://klasma.github.io/Logging_0330/fåglar/A 48995-2023 prioriterade fågelarter.docx", "A 48995-2023")</f>
        <v/>
      </c>
    </row>
    <row r="83" ht="15" customHeight="1">
      <c r="A83" t="inlineStr">
        <is>
          <t>A 55345-2023</t>
        </is>
      </c>
      <c r="B83" s="1" t="n">
        <v>45238</v>
      </c>
      <c r="C83" s="1" t="n">
        <v>45705</v>
      </c>
      <c r="D83" t="inlineStr">
        <is>
          <t>UPPSALA LÄN</t>
        </is>
      </c>
      <c r="E83" t="inlineStr">
        <is>
          <t>ÖSTHAMMAR</t>
        </is>
      </c>
      <c r="F83" t="inlineStr">
        <is>
          <t>Bergvik skog öst AB</t>
        </is>
      </c>
      <c r="G83" t="n">
        <v>10.2</v>
      </c>
      <c r="H83" t="n">
        <v>5</v>
      </c>
      <c r="I83" t="n">
        <v>3</v>
      </c>
      <c r="J83" t="n">
        <v>1</v>
      </c>
      <c r="K83" t="n">
        <v>1</v>
      </c>
      <c r="L83" t="n">
        <v>0</v>
      </c>
      <c r="M83" t="n">
        <v>0</v>
      </c>
      <c r="N83" t="n">
        <v>0</v>
      </c>
      <c r="O83" t="n">
        <v>2</v>
      </c>
      <c r="P83" t="n">
        <v>1</v>
      </c>
      <c r="Q83" t="n">
        <v>8</v>
      </c>
      <c r="R83" s="2" t="inlineStr">
        <is>
          <t>Knärot
Spillkråka
Grönpyrola
Kattfotslav
Vågbandad barkbock
Tjäder
Blåsippa
Revlummer</t>
        </is>
      </c>
      <c r="S83">
        <f>HYPERLINK("https://klasma.github.io/Logging_0382/artfynd/A 55345-2023 artfynd.xlsx", "A 55345-2023")</f>
        <v/>
      </c>
      <c r="T83">
        <f>HYPERLINK("https://klasma.github.io/Logging_0382/kartor/A 55345-2023 karta.png", "A 55345-2023")</f>
        <v/>
      </c>
      <c r="U83">
        <f>HYPERLINK("https://klasma.github.io/Logging_0382/knärot/A 55345-2023 karta knärot.png", "A 55345-2023")</f>
        <v/>
      </c>
      <c r="V83">
        <f>HYPERLINK("https://klasma.github.io/Logging_0382/klagomål/A 55345-2023 FSC-klagomål.docx", "A 55345-2023")</f>
        <v/>
      </c>
      <c r="W83">
        <f>HYPERLINK("https://klasma.github.io/Logging_0382/klagomålsmail/A 55345-2023 FSC-klagomål mail.docx", "A 55345-2023")</f>
        <v/>
      </c>
      <c r="X83">
        <f>HYPERLINK("https://klasma.github.io/Logging_0382/tillsyn/A 55345-2023 tillsynsbegäran.docx", "A 55345-2023")</f>
        <v/>
      </c>
      <c r="Y83">
        <f>HYPERLINK("https://klasma.github.io/Logging_0382/tillsynsmail/A 55345-2023 tillsynsbegäran mail.docx", "A 55345-2023")</f>
        <v/>
      </c>
      <c r="Z83">
        <f>HYPERLINK("https://klasma.github.io/Logging_0382/fåglar/A 55345-2023 prioriterade fågelarter.docx", "A 55345-2023")</f>
        <v/>
      </c>
    </row>
    <row r="84" ht="15" customHeight="1">
      <c r="A84" t="inlineStr">
        <is>
          <t>A 56952-2023</t>
        </is>
      </c>
      <c r="B84" s="1" t="n">
        <v>45244</v>
      </c>
      <c r="C84" s="1" t="n">
        <v>45705</v>
      </c>
      <c r="D84" t="inlineStr">
        <is>
          <t>UPPSALA LÄN</t>
        </is>
      </c>
      <c r="E84" t="inlineStr">
        <is>
          <t>ÖSTHAMMAR</t>
        </is>
      </c>
      <c r="G84" t="n">
        <v>4.2</v>
      </c>
      <c r="H84" t="n">
        <v>4</v>
      </c>
      <c r="I84" t="n">
        <v>1</v>
      </c>
      <c r="J84" t="n">
        <v>5</v>
      </c>
      <c r="K84" t="n">
        <v>1</v>
      </c>
      <c r="L84" t="n">
        <v>0</v>
      </c>
      <c r="M84" t="n">
        <v>0</v>
      </c>
      <c r="N84" t="n">
        <v>0</v>
      </c>
      <c r="O84" t="n">
        <v>6</v>
      </c>
      <c r="P84" t="n">
        <v>1</v>
      </c>
      <c r="Q84" t="n">
        <v>8</v>
      </c>
      <c r="R84" s="2" t="inlineStr">
        <is>
          <t>Knärot
Garnlav
Granticka
Spillkråka
Tallticka
Talltita
Blodticka
Kungsfågel</t>
        </is>
      </c>
      <c r="S84">
        <f>HYPERLINK("https://klasma.github.io/Logging_0382/artfynd/A 56952-2023 artfynd.xlsx", "A 56952-2023")</f>
        <v/>
      </c>
      <c r="T84">
        <f>HYPERLINK("https://klasma.github.io/Logging_0382/kartor/A 56952-2023 karta.png", "A 56952-2023")</f>
        <v/>
      </c>
      <c r="U84">
        <f>HYPERLINK("https://klasma.github.io/Logging_0382/knärot/A 56952-2023 karta knärot.png", "A 56952-2023")</f>
        <v/>
      </c>
      <c r="V84">
        <f>HYPERLINK("https://klasma.github.io/Logging_0382/klagomål/A 56952-2023 FSC-klagomål.docx", "A 56952-2023")</f>
        <v/>
      </c>
      <c r="W84">
        <f>HYPERLINK("https://klasma.github.io/Logging_0382/klagomålsmail/A 56952-2023 FSC-klagomål mail.docx", "A 56952-2023")</f>
        <v/>
      </c>
      <c r="X84">
        <f>HYPERLINK("https://klasma.github.io/Logging_0382/tillsyn/A 56952-2023 tillsynsbegäran.docx", "A 56952-2023")</f>
        <v/>
      </c>
      <c r="Y84">
        <f>HYPERLINK("https://klasma.github.io/Logging_0382/tillsynsmail/A 56952-2023 tillsynsbegäran mail.docx", "A 56952-2023")</f>
        <v/>
      </c>
      <c r="Z84">
        <f>HYPERLINK("https://klasma.github.io/Logging_0382/fåglar/A 56952-2023 prioriterade fågelarter.docx", "A 56952-2023")</f>
        <v/>
      </c>
    </row>
    <row r="85" ht="15" customHeight="1">
      <c r="A85" t="inlineStr">
        <is>
          <t>A 21674-2024</t>
        </is>
      </c>
      <c r="B85" s="1" t="n">
        <v>45442</v>
      </c>
      <c r="C85" s="1" t="n">
        <v>45705</v>
      </c>
      <c r="D85" t="inlineStr">
        <is>
          <t>UPPSALA LÄN</t>
        </is>
      </c>
      <c r="E85" t="inlineStr">
        <is>
          <t>UPPSALA</t>
        </is>
      </c>
      <c r="G85" t="n">
        <v>0.9</v>
      </c>
      <c r="H85" t="n">
        <v>8</v>
      </c>
      <c r="I85" t="n">
        <v>0</v>
      </c>
      <c r="J85" t="n">
        <v>4</v>
      </c>
      <c r="K85" t="n">
        <v>1</v>
      </c>
      <c r="L85" t="n">
        <v>2</v>
      </c>
      <c r="M85" t="n">
        <v>0</v>
      </c>
      <c r="N85" t="n">
        <v>0</v>
      </c>
      <c r="O85" t="n">
        <v>7</v>
      </c>
      <c r="P85" t="n">
        <v>3</v>
      </c>
      <c r="Q85" t="n">
        <v>8</v>
      </c>
      <c r="R85" s="2" t="inlineStr">
        <is>
          <t>Grönfink
Tornseglare
Stare
Entita
Gulsparv
Kråka
Svartvit flugsnappare
Sångsvan</t>
        </is>
      </c>
      <c r="S85">
        <f>HYPERLINK("https://klasma.github.io/Logging_0380/artfynd/A 21674-2024 artfynd.xlsx", "A 21674-2024")</f>
        <v/>
      </c>
      <c r="T85">
        <f>HYPERLINK("https://klasma.github.io/Logging_0380/kartor/A 21674-2024 karta.png", "A 21674-2024")</f>
        <v/>
      </c>
      <c r="V85">
        <f>HYPERLINK("https://klasma.github.io/Logging_0380/klagomål/A 21674-2024 FSC-klagomål.docx", "A 21674-2024")</f>
        <v/>
      </c>
      <c r="W85">
        <f>HYPERLINK("https://klasma.github.io/Logging_0380/klagomålsmail/A 21674-2024 FSC-klagomål mail.docx", "A 21674-2024")</f>
        <v/>
      </c>
      <c r="X85">
        <f>HYPERLINK("https://klasma.github.io/Logging_0380/tillsyn/A 21674-2024 tillsynsbegäran.docx", "A 21674-2024")</f>
        <v/>
      </c>
      <c r="Y85">
        <f>HYPERLINK("https://klasma.github.io/Logging_0380/tillsynsmail/A 21674-2024 tillsynsbegäran mail.docx", "A 21674-2024")</f>
        <v/>
      </c>
      <c r="Z85">
        <f>HYPERLINK("https://klasma.github.io/Logging_0380/fåglar/A 21674-2024 prioriterade fågelarter.docx", "A 21674-2024")</f>
        <v/>
      </c>
    </row>
    <row r="86" ht="15" customHeight="1">
      <c r="A86" t="inlineStr">
        <is>
          <t>A 46275-2024</t>
        </is>
      </c>
      <c r="B86" s="1" t="n">
        <v>45581</v>
      </c>
      <c r="C86" s="1" t="n">
        <v>45705</v>
      </c>
      <c r="D86" t="inlineStr">
        <is>
          <t>UPPSALA LÄN</t>
        </is>
      </c>
      <c r="E86" t="inlineStr">
        <is>
          <t>ÄLVKARLEBY</t>
        </is>
      </c>
      <c r="G86" t="n">
        <v>1.9</v>
      </c>
      <c r="H86" t="n">
        <v>2</v>
      </c>
      <c r="I86" t="n">
        <v>5</v>
      </c>
      <c r="J86" t="n">
        <v>2</v>
      </c>
      <c r="K86" t="n">
        <v>1</v>
      </c>
      <c r="L86" t="n">
        <v>0</v>
      </c>
      <c r="M86" t="n">
        <v>0</v>
      </c>
      <c r="N86" t="n">
        <v>0</v>
      </c>
      <c r="O86" t="n">
        <v>3</v>
      </c>
      <c r="P86" t="n">
        <v>1</v>
      </c>
      <c r="Q86" t="n">
        <v>8</v>
      </c>
      <c r="R86" s="2" t="inlineStr">
        <is>
          <t>Violgubbe
Backklöver
Ullticka
Nästrot
Skogsknipprot
Sårläka
Thomsons trägnagare
Vanlig flatbagge</t>
        </is>
      </c>
      <c r="S86">
        <f>HYPERLINK("https://klasma.github.io/Logging_0319/artfynd/A 46275-2024 artfynd.xlsx", "A 46275-2024")</f>
        <v/>
      </c>
      <c r="T86">
        <f>HYPERLINK("https://klasma.github.io/Logging_0319/kartor/A 46275-2024 karta.png", "A 46275-2024")</f>
        <v/>
      </c>
      <c r="V86">
        <f>HYPERLINK("https://klasma.github.io/Logging_0319/klagomål/A 46275-2024 FSC-klagomål.docx", "A 46275-2024")</f>
        <v/>
      </c>
      <c r="W86">
        <f>HYPERLINK("https://klasma.github.io/Logging_0319/klagomålsmail/A 46275-2024 FSC-klagomål mail.docx", "A 46275-2024")</f>
        <v/>
      </c>
      <c r="X86">
        <f>HYPERLINK("https://klasma.github.io/Logging_0319/tillsyn/A 46275-2024 tillsynsbegäran.docx", "A 46275-2024")</f>
        <v/>
      </c>
      <c r="Y86">
        <f>HYPERLINK("https://klasma.github.io/Logging_0319/tillsynsmail/A 46275-2024 tillsynsbegäran mail.docx", "A 46275-2024")</f>
        <v/>
      </c>
    </row>
    <row r="87" ht="15" customHeight="1">
      <c r="A87" t="inlineStr">
        <is>
          <t>A 46741-2024</t>
        </is>
      </c>
      <c r="B87" s="1" t="n">
        <v>45583</v>
      </c>
      <c r="C87" s="1" t="n">
        <v>45705</v>
      </c>
      <c r="D87" t="inlineStr">
        <is>
          <t>UPPSALA LÄN</t>
        </is>
      </c>
      <c r="E87" t="inlineStr">
        <is>
          <t>UPPSALA</t>
        </is>
      </c>
      <c r="F87" t="inlineStr">
        <is>
          <t>Sveaskog</t>
        </is>
      </c>
      <c r="G87" t="n">
        <v>5.1</v>
      </c>
      <c r="H87" t="n">
        <v>2</v>
      </c>
      <c r="I87" t="n">
        <v>3</v>
      </c>
      <c r="J87" t="n">
        <v>3</v>
      </c>
      <c r="K87" t="n">
        <v>1</v>
      </c>
      <c r="L87" t="n">
        <v>0</v>
      </c>
      <c r="M87" t="n">
        <v>0</v>
      </c>
      <c r="N87" t="n">
        <v>0</v>
      </c>
      <c r="O87" t="n">
        <v>4</v>
      </c>
      <c r="P87" t="n">
        <v>1</v>
      </c>
      <c r="Q87" t="n">
        <v>8</v>
      </c>
      <c r="R87" s="2" t="inlineStr">
        <is>
          <t>Knärot
Granticka
Lunglav
Vedtrappmossa
Barkkornlav
Lönnlav
Vedticka
Vanlig padda</t>
        </is>
      </c>
      <c r="S87">
        <f>HYPERLINK("https://klasma.github.io/Logging_0380/artfynd/A 46741-2024 artfynd.xlsx", "A 46741-2024")</f>
        <v/>
      </c>
      <c r="T87">
        <f>HYPERLINK("https://klasma.github.io/Logging_0380/kartor/A 46741-2024 karta.png", "A 46741-2024")</f>
        <v/>
      </c>
      <c r="U87">
        <f>HYPERLINK("https://klasma.github.io/Logging_0380/knärot/A 46741-2024 karta knärot.png", "A 46741-2024")</f>
        <v/>
      </c>
      <c r="V87">
        <f>HYPERLINK("https://klasma.github.io/Logging_0380/klagomål/A 46741-2024 FSC-klagomål.docx", "A 46741-2024")</f>
        <v/>
      </c>
      <c r="W87">
        <f>HYPERLINK("https://klasma.github.io/Logging_0380/klagomålsmail/A 46741-2024 FSC-klagomål mail.docx", "A 46741-2024")</f>
        <v/>
      </c>
      <c r="X87">
        <f>HYPERLINK("https://klasma.github.io/Logging_0380/tillsyn/A 46741-2024 tillsynsbegäran.docx", "A 46741-2024")</f>
        <v/>
      </c>
      <c r="Y87">
        <f>HYPERLINK("https://klasma.github.io/Logging_0380/tillsynsmail/A 46741-2024 tillsynsbegäran mail.docx", "A 46741-2024")</f>
        <v/>
      </c>
    </row>
    <row r="88" ht="15" customHeight="1">
      <c r="A88" t="inlineStr">
        <is>
          <t>A 55518-2024</t>
        </is>
      </c>
      <c r="B88" s="1" t="n">
        <v>45622</v>
      </c>
      <c r="C88" s="1" t="n">
        <v>45705</v>
      </c>
      <c r="D88" t="inlineStr">
        <is>
          <t>UPPSALA LÄN</t>
        </is>
      </c>
      <c r="E88" t="inlineStr">
        <is>
          <t>ÖSTHAMMAR</t>
        </is>
      </c>
      <c r="F88" t="inlineStr">
        <is>
          <t>Bergvik skog öst AB</t>
        </is>
      </c>
      <c r="G88" t="n">
        <v>9.5</v>
      </c>
      <c r="H88" t="n">
        <v>4</v>
      </c>
      <c r="I88" t="n">
        <v>2</v>
      </c>
      <c r="J88" t="n">
        <v>4</v>
      </c>
      <c r="K88" t="n">
        <v>1</v>
      </c>
      <c r="L88" t="n">
        <v>0</v>
      </c>
      <c r="M88" t="n">
        <v>0</v>
      </c>
      <c r="N88" t="n">
        <v>0</v>
      </c>
      <c r="O88" t="n">
        <v>5</v>
      </c>
      <c r="P88" t="n">
        <v>1</v>
      </c>
      <c r="Q88" t="n">
        <v>8</v>
      </c>
      <c r="R88" s="2" t="inlineStr">
        <is>
          <t>Knärot
Spillkråka
Talltita
Ullticka
Vedtrappmossa
Gullgröppa
Rödgul trumpetsvamp
Blåsippa</t>
        </is>
      </c>
      <c r="S88">
        <f>HYPERLINK("https://klasma.github.io/Logging_0382/artfynd/A 55518-2024 artfynd.xlsx", "A 55518-2024")</f>
        <v/>
      </c>
      <c r="T88">
        <f>HYPERLINK("https://klasma.github.io/Logging_0382/kartor/A 55518-2024 karta.png", "A 55518-2024")</f>
        <v/>
      </c>
      <c r="U88">
        <f>HYPERLINK("https://klasma.github.io/Logging_0382/knärot/A 55518-2024 karta knärot.png", "A 55518-2024")</f>
        <v/>
      </c>
      <c r="V88">
        <f>HYPERLINK("https://klasma.github.io/Logging_0382/klagomål/A 55518-2024 FSC-klagomål.docx", "A 55518-2024")</f>
        <v/>
      </c>
      <c r="W88">
        <f>HYPERLINK("https://klasma.github.io/Logging_0382/klagomålsmail/A 55518-2024 FSC-klagomål mail.docx", "A 55518-2024")</f>
        <v/>
      </c>
      <c r="X88">
        <f>HYPERLINK("https://klasma.github.io/Logging_0382/tillsyn/A 55518-2024 tillsynsbegäran.docx", "A 55518-2024")</f>
        <v/>
      </c>
      <c r="Y88">
        <f>HYPERLINK("https://klasma.github.io/Logging_0382/tillsynsmail/A 55518-2024 tillsynsbegäran mail.docx", "A 55518-2024")</f>
        <v/>
      </c>
      <c r="Z88">
        <f>HYPERLINK("https://klasma.github.io/Logging_0382/fåglar/A 55518-2024 prioriterade fågelarter.docx", "A 55518-2024")</f>
        <v/>
      </c>
    </row>
    <row r="89" ht="15" customHeight="1">
      <c r="A89" t="inlineStr">
        <is>
          <t>A 33313-2019</t>
        </is>
      </c>
      <c r="B89" s="1" t="n">
        <v>43650</v>
      </c>
      <c r="C89" s="1" t="n">
        <v>45705</v>
      </c>
      <c r="D89" t="inlineStr">
        <is>
          <t>UPPSALA LÄN</t>
        </is>
      </c>
      <c r="E89" t="inlineStr">
        <is>
          <t>ENKÖPING</t>
        </is>
      </c>
      <c r="G89" t="n">
        <v>2.1</v>
      </c>
      <c r="H89" t="n">
        <v>0</v>
      </c>
      <c r="I89" t="n">
        <v>6</v>
      </c>
      <c r="J89" t="n">
        <v>1</v>
      </c>
      <c r="K89" t="n">
        <v>0</v>
      </c>
      <c r="L89" t="n">
        <v>0</v>
      </c>
      <c r="M89" t="n">
        <v>0</v>
      </c>
      <c r="N89" t="n">
        <v>0</v>
      </c>
      <c r="O89" t="n">
        <v>1</v>
      </c>
      <c r="P89" t="n">
        <v>0</v>
      </c>
      <c r="Q89" t="n">
        <v>7</v>
      </c>
      <c r="R89" s="2" t="inlineStr">
        <is>
          <t>Grynig filtlav
Barkticka
Hasselticka
Platt fjädermossa
Rävticka
Stor aspticka
Trubbfjädermossa</t>
        </is>
      </c>
      <c r="S89">
        <f>HYPERLINK("https://klasma.github.io/Logging_0381/artfynd/A 33313-2019 artfynd.xlsx", "A 33313-2019")</f>
        <v/>
      </c>
      <c r="T89">
        <f>HYPERLINK("https://klasma.github.io/Logging_0381/kartor/A 33313-2019 karta.png", "A 33313-2019")</f>
        <v/>
      </c>
      <c r="V89">
        <f>HYPERLINK("https://klasma.github.io/Logging_0381/klagomål/A 33313-2019 FSC-klagomål.docx", "A 33313-2019")</f>
        <v/>
      </c>
      <c r="W89">
        <f>HYPERLINK("https://klasma.github.io/Logging_0381/klagomålsmail/A 33313-2019 FSC-klagomål mail.docx", "A 33313-2019")</f>
        <v/>
      </c>
      <c r="X89">
        <f>HYPERLINK("https://klasma.github.io/Logging_0381/tillsyn/A 33313-2019 tillsynsbegäran.docx", "A 33313-2019")</f>
        <v/>
      </c>
      <c r="Y89">
        <f>HYPERLINK("https://klasma.github.io/Logging_0381/tillsynsmail/A 33313-2019 tillsynsbegäran mail.docx", "A 33313-2019")</f>
        <v/>
      </c>
    </row>
    <row r="90" ht="15" customHeight="1">
      <c r="A90" t="inlineStr">
        <is>
          <t>A 65970-2019</t>
        </is>
      </c>
      <c r="B90" s="1" t="n">
        <v>43805</v>
      </c>
      <c r="C90" s="1" t="n">
        <v>45705</v>
      </c>
      <c r="D90" t="inlineStr">
        <is>
          <t>UPPSALA LÄN</t>
        </is>
      </c>
      <c r="E90" t="inlineStr">
        <is>
          <t>HEBY</t>
        </is>
      </c>
      <c r="G90" t="n">
        <v>12.7</v>
      </c>
      <c r="H90" t="n">
        <v>2</v>
      </c>
      <c r="I90" t="n">
        <v>3</v>
      </c>
      <c r="J90" t="n">
        <v>1</v>
      </c>
      <c r="K90" t="n">
        <v>3</v>
      </c>
      <c r="L90" t="n">
        <v>0</v>
      </c>
      <c r="M90" t="n">
        <v>0</v>
      </c>
      <c r="N90" t="n">
        <v>0</v>
      </c>
      <c r="O90" t="n">
        <v>4</v>
      </c>
      <c r="P90" t="n">
        <v>3</v>
      </c>
      <c r="Q90" t="n">
        <v>7</v>
      </c>
      <c r="R90" s="2" t="inlineStr">
        <is>
          <t>Bombmurkla
Knärot
Rynkskinn
Ullticka
Bronshjon
Thomsons trägnagare
Vågbandad barkbock</t>
        </is>
      </c>
      <c r="S90">
        <f>HYPERLINK("https://klasma.github.io/Logging_0331/artfynd/A 65970-2019 artfynd.xlsx", "A 65970-2019")</f>
        <v/>
      </c>
      <c r="T90">
        <f>HYPERLINK("https://klasma.github.io/Logging_0331/kartor/A 65970-2019 karta.png", "A 65970-2019")</f>
        <v/>
      </c>
      <c r="U90">
        <f>HYPERLINK("https://klasma.github.io/Logging_0331/knärot/A 65970-2019 karta knärot.png", "A 65970-2019")</f>
        <v/>
      </c>
      <c r="V90">
        <f>HYPERLINK("https://klasma.github.io/Logging_0331/klagomål/A 65970-2019 FSC-klagomål.docx", "A 65970-2019")</f>
        <v/>
      </c>
      <c r="W90">
        <f>HYPERLINK("https://klasma.github.io/Logging_0331/klagomålsmail/A 65970-2019 FSC-klagomål mail.docx", "A 65970-2019")</f>
        <v/>
      </c>
      <c r="X90">
        <f>HYPERLINK("https://klasma.github.io/Logging_0331/tillsyn/A 65970-2019 tillsynsbegäran.docx", "A 65970-2019")</f>
        <v/>
      </c>
      <c r="Y90">
        <f>HYPERLINK("https://klasma.github.io/Logging_0331/tillsynsmail/A 65970-2019 tillsynsbegäran mail.docx", "A 65970-2019")</f>
        <v/>
      </c>
    </row>
    <row r="91" ht="15" customHeight="1">
      <c r="A91" t="inlineStr">
        <is>
          <t>A 1030-2021</t>
        </is>
      </c>
      <c r="B91" s="1" t="n">
        <v>44206</v>
      </c>
      <c r="C91" s="1" t="n">
        <v>45705</v>
      </c>
      <c r="D91" t="inlineStr">
        <is>
          <t>UPPSALA LÄN</t>
        </is>
      </c>
      <c r="E91" t="inlineStr">
        <is>
          <t>KNIVSTA</t>
        </is>
      </c>
      <c r="G91" t="n">
        <v>4.4</v>
      </c>
      <c r="H91" t="n">
        <v>2</v>
      </c>
      <c r="I91" t="n">
        <v>0</v>
      </c>
      <c r="J91" t="n">
        <v>5</v>
      </c>
      <c r="K91" t="n">
        <v>0</v>
      </c>
      <c r="L91" t="n">
        <v>0</v>
      </c>
      <c r="M91" t="n">
        <v>1</v>
      </c>
      <c r="N91" t="n">
        <v>0</v>
      </c>
      <c r="O91" t="n">
        <v>6</v>
      </c>
      <c r="P91" t="n">
        <v>1</v>
      </c>
      <c r="Q91" t="n">
        <v>7</v>
      </c>
      <c r="R91" s="2" t="inlineStr">
        <is>
          <t>Skogsalm
Backklöver
Duvhök
Sexfläckig bastardsvärmare
Solvända
Svartpälsbi
Blåsippa</t>
        </is>
      </c>
      <c r="S91">
        <f>HYPERLINK("https://klasma.github.io/Logging_0330/artfynd/A 1030-2021 artfynd.xlsx", "A 1030-2021")</f>
        <v/>
      </c>
      <c r="T91">
        <f>HYPERLINK("https://klasma.github.io/Logging_0330/kartor/A 1030-2021 karta.png", "A 1030-2021")</f>
        <v/>
      </c>
      <c r="V91">
        <f>HYPERLINK("https://klasma.github.io/Logging_0330/klagomål/A 1030-2021 FSC-klagomål.docx", "A 1030-2021")</f>
        <v/>
      </c>
      <c r="W91">
        <f>HYPERLINK("https://klasma.github.io/Logging_0330/klagomålsmail/A 1030-2021 FSC-klagomål mail.docx", "A 1030-2021")</f>
        <v/>
      </c>
      <c r="X91">
        <f>HYPERLINK("https://klasma.github.io/Logging_0330/tillsyn/A 1030-2021 tillsynsbegäran.docx", "A 1030-2021")</f>
        <v/>
      </c>
      <c r="Y91">
        <f>HYPERLINK("https://klasma.github.io/Logging_0330/tillsynsmail/A 1030-2021 tillsynsbegäran mail.docx", "A 1030-2021")</f>
        <v/>
      </c>
      <c r="Z91">
        <f>HYPERLINK("https://klasma.github.io/Logging_0330/fåglar/A 1030-2021 prioriterade fågelarter.docx", "A 1030-2021")</f>
        <v/>
      </c>
    </row>
    <row r="92" ht="15" customHeight="1">
      <c r="A92" t="inlineStr">
        <is>
          <t>A 19544-2021</t>
        </is>
      </c>
      <c r="B92" s="1" t="n">
        <v>44312</v>
      </c>
      <c r="C92" s="1" t="n">
        <v>45705</v>
      </c>
      <c r="D92" t="inlineStr">
        <is>
          <t>UPPSALA LÄN</t>
        </is>
      </c>
      <c r="E92" t="inlineStr">
        <is>
          <t>ÖSTHAMMAR</t>
        </is>
      </c>
      <c r="G92" t="n">
        <v>11.1</v>
      </c>
      <c r="H92" t="n">
        <v>0</v>
      </c>
      <c r="I92" t="n">
        <v>5</v>
      </c>
      <c r="J92" t="n">
        <v>0</v>
      </c>
      <c r="K92" t="n">
        <v>2</v>
      </c>
      <c r="L92" t="n">
        <v>0</v>
      </c>
      <c r="M92" t="n">
        <v>0</v>
      </c>
      <c r="N92" t="n">
        <v>0</v>
      </c>
      <c r="O92" t="n">
        <v>2</v>
      </c>
      <c r="P92" t="n">
        <v>2</v>
      </c>
      <c r="Q92" t="n">
        <v>7</v>
      </c>
      <c r="R92" s="2" t="inlineStr">
        <is>
          <t>Bullspindling
Gul lammticka
Anisspindling
Olivspindling
Rödgul trumpetsvamp
Strimspindling
Svavelriska</t>
        </is>
      </c>
      <c r="S92">
        <f>HYPERLINK("https://klasma.github.io/Logging_0382/artfynd/A 19544-2021 artfynd.xlsx", "A 19544-2021")</f>
        <v/>
      </c>
      <c r="T92">
        <f>HYPERLINK("https://klasma.github.io/Logging_0382/kartor/A 19544-2021 karta.png", "A 19544-2021")</f>
        <v/>
      </c>
      <c r="V92">
        <f>HYPERLINK("https://klasma.github.io/Logging_0382/klagomål/A 19544-2021 FSC-klagomål.docx", "A 19544-2021")</f>
        <v/>
      </c>
      <c r="W92">
        <f>HYPERLINK("https://klasma.github.io/Logging_0382/klagomålsmail/A 19544-2021 FSC-klagomål mail.docx", "A 19544-2021")</f>
        <v/>
      </c>
      <c r="X92">
        <f>HYPERLINK("https://klasma.github.io/Logging_0382/tillsyn/A 19544-2021 tillsynsbegäran.docx", "A 19544-2021")</f>
        <v/>
      </c>
      <c r="Y92">
        <f>HYPERLINK("https://klasma.github.io/Logging_0382/tillsynsmail/A 19544-2021 tillsynsbegäran mail.docx", "A 19544-2021")</f>
        <v/>
      </c>
    </row>
    <row r="93" ht="15" customHeight="1">
      <c r="A93" t="inlineStr">
        <is>
          <t>A 23874-2021</t>
        </is>
      </c>
      <c r="B93" s="1" t="n">
        <v>44335</v>
      </c>
      <c r="C93" s="1" t="n">
        <v>45705</v>
      </c>
      <c r="D93" t="inlineStr">
        <is>
          <t>UPPSALA LÄN</t>
        </is>
      </c>
      <c r="E93" t="inlineStr">
        <is>
          <t>ÖSTHAMMAR</t>
        </is>
      </c>
      <c r="G93" t="n">
        <v>6</v>
      </c>
      <c r="H93" t="n">
        <v>2</v>
      </c>
      <c r="I93" t="n">
        <v>4</v>
      </c>
      <c r="J93" t="n">
        <v>1</v>
      </c>
      <c r="K93" t="n">
        <v>1</v>
      </c>
      <c r="L93" t="n">
        <v>0</v>
      </c>
      <c r="M93" t="n">
        <v>0</v>
      </c>
      <c r="N93" t="n">
        <v>0</v>
      </c>
      <c r="O93" t="n">
        <v>2</v>
      </c>
      <c r="P93" t="n">
        <v>1</v>
      </c>
      <c r="Q93" t="n">
        <v>7</v>
      </c>
      <c r="R93" s="2" t="inlineStr">
        <is>
          <t>Aspgelélav
Havsörn
Granbarkgnagare
Kattfotslav
Skinnlav
Tibast
Blåsippa</t>
        </is>
      </c>
      <c r="S93">
        <f>HYPERLINK("https://klasma.github.io/Logging_0382/artfynd/A 23874-2021 artfynd.xlsx", "A 23874-2021")</f>
        <v/>
      </c>
      <c r="T93">
        <f>HYPERLINK("https://klasma.github.io/Logging_0382/kartor/A 23874-2021 karta.png", "A 23874-2021")</f>
        <v/>
      </c>
      <c r="V93">
        <f>HYPERLINK("https://klasma.github.io/Logging_0382/klagomål/A 23874-2021 FSC-klagomål.docx", "A 23874-2021")</f>
        <v/>
      </c>
      <c r="W93">
        <f>HYPERLINK("https://klasma.github.io/Logging_0382/klagomålsmail/A 23874-2021 FSC-klagomål mail.docx", "A 23874-2021")</f>
        <v/>
      </c>
      <c r="X93">
        <f>HYPERLINK("https://klasma.github.io/Logging_0382/tillsyn/A 23874-2021 tillsynsbegäran.docx", "A 23874-2021")</f>
        <v/>
      </c>
      <c r="Y93">
        <f>HYPERLINK("https://klasma.github.io/Logging_0382/tillsynsmail/A 23874-2021 tillsynsbegäran mail.docx", "A 23874-2021")</f>
        <v/>
      </c>
      <c r="Z93">
        <f>HYPERLINK("https://klasma.github.io/Logging_0382/fåglar/A 23874-2021 prioriterade fågelarter.docx", "A 23874-2021")</f>
        <v/>
      </c>
    </row>
    <row r="94" ht="15" customHeight="1">
      <c r="A94" t="inlineStr">
        <is>
          <t>A 33012-2021</t>
        </is>
      </c>
      <c r="B94" s="1" t="n">
        <v>44376</v>
      </c>
      <c r="C94" s="1" t="n">
        <v>45705</v>
      </c>
      <c r="D94" t="inlineStr">
        <is>
          <t>UPPSALA LÄN</t>
        </is>
      </c>
      <c r="E94" t="inlineStr">
        <is>
          <t>UPPSALA</t>
        </is>
      </c>
      <c r="F94" t="inlineStr">
        <is>
          <t>Holmen skog AB</t>
        </is>
      </c>
      <c r="G94" t="n">
        <v>10.9</v>
      </c>
      <c r="H94" t="n">
        <v>4</v>
      </c>
      <c r="I94" t="n">
        <v>4</v>
      </c>
      <c r="J94" t="n">
        <v>0</v>
      </c>
      <c r="K94" t="n">
        <v>1</v>
      </c>
      <c r="L94" t="n">
        <v>0</v>
      </c>
      <c r="M94" t="n">
        <v>0</v>
      </c>
      <c r="N94" t="n">
        <v>0</v>
      </c>
      <c r="O94" t="n">
        <v>1</v>
      </c>
      <c r="P94" t="n">
        <v>1</v>
      </c>
      <c r="Q94" t="n">
        <v>7</v>
      </c>
      <c r="R94" s="2" t="inlineStr">
        <is>
          <t>Knärot
Grön sköldmossa
Grönpyrola
Källpraktmossa
Skogshakmossa
Blåsippa
Revlummer</t>
        </is>
      </c>
      <c r="S94">
        <f>HYPERLINK("https://klasma.github.io/Logging_0380/artfynd/A 33012-2021 artfynd.xlsx", "A 33012-2021")</f>
        <v/>
      </c>
      <c r="T94">
        <f>HYPERLINK("https://klasma.github.io/Logging_0380/kartor/A 33012-2021 karta.png", "A 33012-2021")</f>
        <v/>
      </c>
      <c r="U94">
        <f>HYPERLINK("https://klasma.github.io/Logging_0380/knärot/A 33012-2021 karta knärot.png", "A 33012-2021")</f>
        <v/>
      </c>
      <c r="V94">
        <f>HYPERLINK("https://klasma.github.io/Logging_0380/klagomål/A 33012-2021 FSC-klagomål.docx", "A 33012-2021")</f>
        <v/>
      </c>
      <c r="W94">
        <f>HYPERLINK("https://klasma.github.io/Logging_0380/klagomålsmail/A 33012-2021 FSC-klagomål mail.docx", "A 33012-2021")</f>
        <v/>
      </c>
      <c r="X94">
        <f>HYPERLINK("https://klasma.github.io/Logging_0380/tillsyn/A 33012-2021 tillsynsbegäran.docx", "A 33012-2021")</f>
        <v/>
      </c>
      <c r="Y94">
        <f>HYPERLINK("https://klasma.github.io/Logging_0380/tillsynsmail/A 33012-2021 tillsynsbegäran mail.docx", "A 33012-2021")</f>
        <v/>
      </c>
    </row>
    <row r="95" ht="15" customHeight="1">
      <c r="A95" t="inlineStr">
        <is>
          <t>A 1760-2023</t>
        </is>
      </c>
      <c r="B95" s="1" t="n">
        <v>44938</v>
      </c>
      <c r="C95" s="1" t="n">
        <v>45705</v>
      </c>
      <c r="D95" t="inlineStr">
        <is>
          <t>UPPSALA LÄN</t>
        </is>
      </c>
      <c r="E95" t="inlineStr">
        <is>
          <t>UPPSALA</t>
        </is>
      </c>
      <c r="F95" t="inlineStr">
        <is>
          <t>Holmen skog AB</t>
        </is>
      </c>
      <c r="G95" t="n">
        <v>2.1</v>
      </c>
      <c r="H95" t="n">
        <v>2</v>
      </c>
      <c r="I95" t="n">
        <v>2</v>
      </c>
      <c r="J95" t="n">
        <v>3</v>
      </c>
      <c r="K95" t="n">
        <v>0</v>
      </c>
      <c r="L95" t="n">
        <v>0</v>
      </c>
      <c r="M95" t="n">
        <v>0</v>
      </c>
      <c r="N95" t="n">
        <v>0</v>
      </c>
      <c r="O95" t="n">
        <v>3</v>
      </c>
      <c r="P95" t="n">
        <v>0</v>
      </c>
      <c r="Q95" t="n">
        <v>7</v>
      </c>
      <c r="R95" s="2" t="inlineStr">
        <is>
          <t>Lunglav
Ullticka
Vippärt
Svart trolldruva
Vårärt
Skogsödla
Gullviva</t>
        </is>
      </c>
      <c r="S95">
        <f>HYPERLINK("https://klasma.github.io/Logging_0380/artfynd/A 1760-2023 artfynd.xlsx", "A 1760-2023")</f>
        <v/>
      </c>
      <c r="T95">
        <f>HYPERLINK("https://klasma.github.io/Logging_0380/kartor/A 1760-2023 karta.png", "A 1760-2023")</f>
        <v/>
      </c>
      <c r="V95">
        <f>HYPERLINK("https://klasma.github.io/Logging_0380/klagomål/A 1760-2023 FSC-klagomål.docx", "A 1760-2023")</f>
        <v/>
      </c>
      <c r="W95">
        <f>HYPERLINK("https://klasma.github.io/Logging_0380/klagomålsmail/A 1760-2023 FSC-klagomål mail.docx", "A 1760-2023")</f>
        <v/>
      </c>
      <c r="X95">
        <f>HYPERLINK("https://klasma.github.io/Logging_0380/tillsyn/A 1760-2023 tillsynsbegäran.docx", "A 1760-2023")</f>
        <v/>
      </c>
      <c r="Y95">
        <f>HYPERLINK("https://klasma.github.io/Logging_0380/tillsynsmail/A 1760-2023 tillsynsbegäran mail.docx", "A 1760-2023")</f>
        <v/>
      </c>
    </row>
    <row r="96" ht="15" customHeight="1">
      <c r="A96" t="inlineStr">
        <is>
          <t>A 14836-2023</t>
        </is>
      </c>
      <c r="B96" s="1" t="n">
        <v>45013</v>
      </c>
      <c r="C96" s="1" t="n">
        <v>45705</v>
      </c>
      <c r="D96" t="inlineStr">
        <is>
          <t>UPPSALA LÄN</t>
        </is>
      </c>
      <c r="E96" t="inlineStr">
        <is>
          <t>UPPSALA</t>
        </is>
      </c>
      <c r="G96" t="n">
        <v>8.199999999999999</v>
      </c>
      <c r="H96" t="n">
        <v>5</v>
      </c>
      <c r="I96" t="n">
        <v>2</v>
      </c>
      <c r="J96" t="n">
        <v>3</v>
      </c>
      <c r="K96" t="n">
        <v>1</v>
      </c>
      <c r="L96" t="n">
        <v>0</v>
      </c>
      <c r="M96" t="n">
        <v>0</v>
      </c>
      <c r="N96" t="n">
        <v>0</v>
      </c>
      <c r="O96" t="n">
        <v>4</v>
      </c>
      <c r="P96" t="n">
        <v>1</v>
      </c>
      <c r="Q96" t="n">
        <v>7</v>
      </c>
      <c r="R96" s="2" t="inlineStr">
        <is>
          <t>Kricka
Entita
Gulsparv
Rödvingetrast
Björksplintborre
Jättesvampmal
Nötkråka</t>
        </is>
      </c>
      <c r="S96">
        <f>HYPERLINK("https://klasma.github.io/Logging_0380/artfynd/A 14836-2023 artfynd.xlsx", "A 14836-2023")</f>
        <v/>
      </c>
      <c r="T96">
        <f>HYPERLINK("https://klasma.github.io/Logging_0380/kartor/A 14836-2023 karta.png", "A 14836-2023")</f>
        <v/>
      </c>
      <c r="V96">
        <f>HYPERLINK("https://klasma.github.io/Logging_0380/klagomål/A 14836-2023 FSC-klagomål.docx", "A 14836-2023")</f>
        <v/>
      </c>
      <c r="W96">
        <f>HYPERLINK("https://klasma.github.io/Logging_0380/klagomålsmail/A 14836-2023 FSC-klagomål mail.docx", "A 14836-2023")</f>
        <v/>
      </c>
      <c r="X96">
        <f>HYPERLINK("https://klasma.github.io/Logging_0380/tillsyn/A 14836-2023 tillsynsbegäran.docx", "A 14836-2023")</f>
        <v/>
      </c>
      <c r="Y96">
        <f>HYPERLINK("https://klasma.github.io/Logging_0380/tillsynsmail/A 14836-2023 tillsynsbegäran mail.docx", "A 14836-2023")</f>
        <v/>
      </c>
      <c r="Z96">
        <f>HYPERLINK("https://klasma.github.io/Logging_0380/fåglar/A 14836-2023 prioriterade fågelarter.docx", "A 14836-2023")</f>
        <v/>
      </c>
    </row>
    <row r="97" ht="15" customHeight="1">
      <c r="A97" t="inlineStr">
        <is>
          <t>A 21038-2023</t>
        </is>
      </c>
      <c r="B97" s="1" t="n">
        <v>45061</v>
      </c>
      <c r="C97" s="1" t="n">
        <v>45705</v>
      </c>
      <c r="D97" t="inlineStr">
        <is>
          <t>UPPSALA LÄN</t>
        </is>
      </c>
      <c r="E97" t="inlineStr">
        <is>
          <t>TIERP</t>
        </is>
      </c>
      <c r="F97" t="inlineStr">
        <is>
          <t>Bergvik skog öst AB</t>
        </is>
      </c>
      <c r="G97" t="n">
        <v>7.8</v>
      </c>
      <c r="H97" t="n">
        <v>0</v>
      </c>
      <c r="I97" t="n">
        <v>5</v>
      </c>
      <c r="J97" t="n">
        <v>2</v>
      </c>
      <c r="K97" t="n">
        <v>0</v>
      </c>
      <c r="L97" t="n">
        <v>0</v>
      </c>
      <c r="M97" t="n">
        <v>0</v>
      </c>
      <c r="N97" t="n">
        <v>0</v>
      </c>
      <c r="O97" t="n">
        <v>2</v>
      </c>
      <c r="P97" t="n">
        <v>0</v>
      </c>
      <c r="Q97" t="n">
        <v>7</v>
      </c>
      <c r="R97" s="2" t="inlineStr">
        <is>
          <t>Orange taggsvamp
Ullticka
Fjällig taggsvamp s.str.
Grönpyrola
Rödgul trumpetsvamp
Skarp dropptaggsvamp
Skogshakmossa</t>
        </is>
      </c>
      <c r="S97">
        <f>HYPERLINK("https://klasma.github.io/Logging_0360/artfynd/A 21038-2023 artfynd.xlsx", "A 21038-2023")</f>
        <v/>
      </c>
      <c r="T97">
        <f>HYPERLINK("https://klasma.github.io/Logging_0360/kartor/A 21038-2023 karta.png", "A 21038-2023")</f>
        <v/>
      </c>
      <c r="U97">
        <f>HYPERLINK("https://klasma.github.io/Logging_0360/knärot/A 21038-2023 karta knärot.png", "A 21038-2023")</f>
        <v/>
      </c>
      <c r="V97">
        <f>HYPERLINK("https://klasma.github.io/Logging_0360/klagomål/A 21038-2023 FSC-klagomål.docx", "A 21038-2023")</f>
        <v/>
      </c>
      <c r="W97">
        <f>HYPERLINK("https://klasma.github.io/Logging_0360/klagomålsmail/A 21038-2023 FSC-klagomål mail.docx", "A 21038-2023")</f>
        <v/>
      </c>
      <c r="X97">
        <f>HYPERLINK("https://klasma.github.io/Logging_0360/tillsyn/A 21038-2023 tillsynsbegäran.docx", "A 21038-2023")</f>
        <v/>
      </c>
      <c r="Y97">
        <f>HYPERLINK("https://klasma.github.io/Logging_0360/tillsynsmail/A 21038-2023 tillsynsbegäran mail.docx", "A 21038-2023")</f>
        <v/>
      </c>
    </row>
    <row r="98" ht="15" customHeight="1">
      <c r="A98" t="inlineStr">
        <is>
          <t>A 31628-2023</t>
        </is>
      </c>
      <c r="B98" s="1" t="n">
        <v>45117</v>
      </c>
      <c r="C98" s="1" t="n">
        <v>45705</v>
      </c>
      <c r="D98" t="inlineStr">
        <is>
          <t>UPPSALA LÄN</t>
        </is>
      </c>
      <c r="E98" t="inlineStr">
        <is>
          <t>UPPSALA</t>
        </is>
      </c>
      <c r="G98" t="n">
        <v>15</v>
      </c>
      <c r="H98" t="n">
        <v>2</v>
      </c>
      <c r="I98" t="n">
        <v>2</v>
      </c>
      <c r="J98" t="n">
        <v>4</v>
      </c>
      <c r="K98" t="n">
        <v>1</v>
      </c>
      <c r="L98" t="n">
        <v>0</v>
      </c>
      <c r="M98" t="n">
        <v>0</v>
      </c>
      <c r="N98" t="n">
        <v>0</v>
      </c>
      <c r="O98" t="n">
        <v>5</v>
      </c>
      <c r="P98" t="n">
        <v>1</v>
      </c>
      <c r="Q98" t="n">
        <v>7</v>
      </c>
      <c r="R98" s="2" t="inlineStr">
        <is>
          <t>Knärot
Skogsklocka
Spillkråka
Tallticka
Vedtrappmossa
Grönpyrola
Stubbspretmossa</t>
        </is>
      </c>
      <c r="S98">
        <f>HYPERLINK("https://klasma.github.io/Logging_0380/artfynd/A 31628-2023 artfynd.xlsx", "A 31628-2023")</f>
        <v/>
      </c>
      <c r="T98">
        <f>HYPERLINK("https://klasma.github.io/Logging_0380/kartor/A 31628-2023 karta.png", "A 31628-2023")</f>
        <v/>
      </c>
      <c r="U98">
        <f>HYPERLINK("https://klasma.github.io/Logging_0380/knärot/A 31628-2023 karta knärot.png", "A 31628-2023")</f>
        <v/>
      </c>
      <c r="V98">
        <f>HYPERLINK("https://klasma.github.io/Logging_0380/klagomål/A 31628-2023 FSC-klagomål.docx", "A 31628-2023")</f>
        <v/>
      </c>
      <c r="W98">
        <f>HYPERLINK("https://klasma.github.io/Logging_0380/klagomålsmail/A 31628-2023 FSC-klagomål mail.docx", "A 31628-2023")</f>
        <v/>
      </c>
      <c r="X98">
        <f>HYPERLINK("https://klasma.github.io/Logging_0380/tillsyn/A 31628-2023 tillsynsbegäran.docx", "A 31628-2023")</f>
        <v/>
      </c>
      <c r="Y98">
        <f>HYPERLINK("https://klasma.github.io/Logging_0380/tillsynsmail/A 31628-2023 tillsynsbegäran mail.docx", "A 31628-2023")</f>
        <v/>
      </c>
      <c r="Z98">
        <f>HYPERLINK("https://klasma.github.io/Logging_0380/fåglar/A 31628-2023 prioriterade fågelarter.docx", "A 31628-2023")</f>
        <v/>
      </c>
    </row>
    <row r="99" ht="15" customHeight="1">
      <c r="A99" t="inlineStr">
        <is>
          <t>A 57663-2023</t>
        </is>
      </c>
      <c r="B99" s="1" t="n">
        <v>45246</v>
      </c>
      <c r="C99" s="1" t="n">
        <v>45705</v>
      </c>
      <c r="D99" t="inlineStr">
        <is>
          <t>UPPSALA LÄN</t>
        </is>
      </c>
      <c r="E99" t="inlineStr">
        <is>
          <t>ÖSTHAMMAR</t>
        </is>
      </c>
      <c r="F99" t="inlineStr">
        <is>
          <t>Bergvik skog öst AB</t>
        </is>
      </c>
      <c r="G99" t="n">
        <v>17.4</v>
      </c>
      <c r="H99" t="n">
        <v>2</v>
      </c>
      <c r="I99" t="n">
        <v>6</v>
      </c>
      <c r="J99" t="n">
        <v>1</v>
      </c>
      <c r="K99" t="n">
        <v>0</v>
      </c>
      <c r="L99" t="n">
        <v>0</v>
      </c>
      <c r="M99" t="n">
        <v>0</v>
      </c>
      <c r="N99" t="n">
        <v>0</v>
      </c>
      <c r="O99" t="n">
        <v>1</v>
      </c>
      <c r="P99" t="n">
        <v>0</v>
      </c>
      <c r="Q99" t="n">
        <v>7</v>
      </c>
      <c r="R99" s="2" t="inlineStr">
        <is>
          <t>Slåtterfibbla
Fjällig taggsvamp s.str.
Nästrot
Skogsknipprot
Strimspindling
Svavelriska
Tibast</t>
        </is>
      </c>
      <c r="S99">
        <f>HYPERLINK("https://klasma.github.io/Logging_0382/artfynd/A 57663-2023 artfynd.xlsx", "A 57663-2023")</f>
        <v/>
      </c>
      <c r="T99">
        <f>HYPERLINK("https://klasma.github.io/Logging_0382/kartor/A 57663-2023 karta.png", "A 57663-2023")</f>
        <v/>
      </c>
      <c r="V99">
        <f>HYPERLINK("https://klasma.github.io/Logging_0382/klagomål/A 57663-2023 FSC-klagomål.docx", "A 57663-2023")</f>
        <v/>
      </c>
      <c r="W99">
        <f>HYPERLINK("https://klasma.github.io/Logging_0382/klagomålsmail/A 57663-2023 FSC-klagomål mail.docx", "A 57663-2023")</f>
        <v/>
      </c>
      <c r="X99">
        <f>HYPERLINK("https://klasma.github.io/Logging_0382/tillsyn/A 57663-2023 tillsynsbegäran.docx", "A 57663-2023")</f>
        <v/>
      </c>
      <c r="Y99">
        <f>HYPERLINK("https://klasma.github.io/Logging_0382/tillsynsmail/A 57663-2023 tillsynsbegäran mail.docx", "A 57663-2023")</f>
        <v/>
      </c>
    </row>
    <row r="100" ht="15" customHeight="1">
      <c r="A100" t="inlineStr">
        <is>
          <t>A 31073-2024</t>
        </is>
      </c>
      <c r="B100" s="1" t="n">
        <v>45502</v>
      </c>
      <c r="C100" s="1" t="n">
        <v>45705</v>
      </c>
      <c r="D100" t="inlineStr">
        <is>
          <t>UPPSALA LÄN</t>
        </is>
      </c>
      <c r="E100" t="inlineStr">
        <is>
          <t>UPPSALA</t>
        </is>
      </c>
      <c r="G100" t="n">
        <v>12.9</v>
      </c>
      <c r="H100" t="n">
        <v>1</v>
      </c>
      <c r="I100" t="n">
        <v>4</v>
      </c>
      <c r="J100" t="n">
        <v>2</v>
      </c>
      <c r="K100" t="n">
        <v>1</v>
      </c>
      <c r="L100" t="n">
        <v>0</v>
      </c>
      <c r="M100" t="n">
        <v>0</v>
      </c>
      <c r="N100" t="n">
        <v>0</v>
      </c>
      <c r="O100" t="n">
        <v>3</v>
      </c>
      <c r="P100" t="n">
        <v>1</v>
      </c>
      <c r="Q100" t="n">
        <v>7</v>
      </c>
      <c r="R100" s="2" t="inlineStr">
        <is>
          <t>Knärot
Gul taggsvamp
Orange taggsvamp
Brandticka
Mandelriska
Rödgul trumpetsvamp
Rökmusseron</t>
        </is>
      </c>
      <c r="S100">
        <f>HYPERLINK("https://klasma.github.io/Logging_0380/artfynd/A 31073-2024 artfynd.xlsx", "A 31073-2024")</f>
        <v/>
      </c>
      <c r="T100">
        <f>HYPERLINK("https://klasma.github.io/Logging_0380/kartor/A 31073-2024 karta.png", "A 31073-2024")</f>
        <v/>
      </c>
      <c r="U100">
        <f>HYPERLINK("https://klasma.github.io/Logging_0380/knärot/A 31073-2024 karta knärot.png", "A 31073-2024")</f>
        <v/>
      </c>
      <c r="V100">
        <f>HYPERLINK("https://klasma.github.io/Logging_0380/klagomål/A 31073-2024 FSC-klagomål.docx", "A 31073-2024")</f>
        <v/>
      </c>
      <c r="W100">
        <f>HYPERLINK("https://klasma.github.io/Logging_0380/klagomålsmail/A 31073-2024 FSC-klagomål mail.docx", "A 31073-2024")</f>
        <v/>
      </c>
      <c r="X100">
        <f>HYPERLINK("https://klasma.github.io/Logging_0380/tillsyn/A 31073-2024 tillsynsbegäran.docx", "A 31073-2024")</f>
        <v/>
      </c>
      <c r="Y100">
        <f>HYPERLINK("https://klasma.github.io/Logging_0380/tillsynsmail/A 31073-2024 tillsynsbegäran mail.docx", "A 31073-2024")</f>
        <v/>
      </c>
    </row>
    <row r="101" ht="15" customHeight="1">
      <c r="A101" t="inlineStr">
        <is>
          <t>A 42231-2024</t>
        </is>
      </c>
      <c r="B101" s="1" t="n">
        <v>45562</v>
      </c>
      <c r="C101" s="1" t="n">
        <v>45705</v>
      </c>
      <c r="D101" t="inlineStr">
        <is>
          <t>UPPSALA LÄN</t>
        </is>
      </c>
      <c r="E101" t="inlineStr">
        <is>
          <t>TIERP</t>
        </is>
      </c>
      <c r="F101" t="inlineStr">
        <is>
          <t>Bergvik skog öst AB</t>
        </is>
      </c>
      <c r="G101" t="n">
        <v>17.1</v>
      </c>
      <c r="H101" t="n">
        <v>4</v>
      </c>
      <c r="I101" t="n">
        <v>4</v>
      </c>
      <c r="J101" t="n">
        <v>1</v>
      </c>
      <c r="K101" t="n">
        <v>1</v>
      </c>
      <c r="L101" t="n">
        <v>0</v>
      </c>
      <c r="M101" t="n">
        <v>0</v>
      </c>
      <c r="N101" t="n">
        <v>0</v>
      </c>
      <c r="O101" t="n">
        <v>2</v>
      </c>
      <c r="P101" t="n">
        <v>1</v>
      </c>
      <c r="Q101" t="n">
        <v>7</v>
      </c>
      <c r="R101" s="2" t="inlineStr">
        <is>
          <t>Väddnätfjäril
Slåtterfibbla
Guckusko
Nästrot
Tibast
Underviol
Revlummer</t>
        </is>
      </c>
      <c r="S101">
        <f>HYPERLINK("https://klasma.github.io/Logging_0360/artfynd/A 42231-2024 artfynd.xlsx", "A 42231-2024")</f>
        <v/>
      </c>
      <c r="T101">
        <f>HYPERLINK("https://klasma.github.io/Logging_0360/kartor/A 42231-2024 karta.png", "A 42231-2024")</f>
        <v/>
      </c>
      <c r="V101">
        <f>HYPERLINK("https://klasma.github.io/Logging_0360/klagomål/A 42231-2024 FSC-klagomål.docx", "A 42231-2024")</f>
        <v/>
      </c>
      <c r="W101">
        <f>HYPERLINK("https://klasma.github.io/Logging_0360/klagomålsmail/A 42231-2024 FSC-klagomål mail.docx", "A 42231-2024")</f>
        <v/>
      </c>
      <c r="X101">
        <f>HYPERLINK("https://klasma.github.io/Logging_0360/tillsyn/A 42231-2024 tillsynsbegäran.docx", "A 42231-2024")</f>
        <v/>
      </c>
      <c r="Y101">
        <f>HYPERLINK("https://klasma.github.io/Logging_0360/tillsynsmail/A 42231-2024 tillsynsbegäran mail.docx", "A 42231-2024")</f>
        <v/>
      </c>
    </row>
    <row r="102" ht="15" customHeight="1">
      <c r="A102" t="inlineStr">
        <is>
          <t>A 58432-2024</t>
        </is>
      </c>
      <c r="B102" s="1" t="n">
        <v>45634</v>
      </c>
      <c r="C102" s="1" t="n">
        <v>45705</v>
      </c>
      <c r="D102" t="inlineStr">
        <is>
          <t>UPPSALA LÄN</t>
        </is>
      </c>
      <c r="E102" t="inlineStr">
        <is>
          <t>ÖSTHAMMAR</t>
        </is>
      </c>
      <c r="G102" t="n">
        <v>8.4</v>
      </c>
      <c r="H102" t="n">
        <v>7</v>
      </c>
      <c r="I102" t="n">
        <v>0</v>
      </c>
      <c r="J102" t="n">
        <v>6</v>
      </c>
      <c r="K102" t="n">
        <v>1</v>
      </c>
      <c r="L102" t="n">
        <v>0</v>
      </c>
      <c r="M102" t="n">
        <v>0</v>
      </c>
      <c r="N102" t="n">
        <v>0</v>
      </c>
      <c r="O102" t="n">
        <v>7</v>
      </c>
      <c r="P102" t="n">
        <v>1</v>
      </c>
      <c r="Q102" t="n">
        <v>7</v>
      </c>
      <c r="R102" s="2" t="inlineStr">
        <is>
          <t>Stare
Buskskvätta
Rosenfink
Rödvingetrast
Spillkråka
Svartvit flugsnappare
Ärtsångare</t>
        </is>
      </c>
      <c r="S102">
        <f>HYPERLINK("https://klasma.github.io/Logging_0382/artfynd/A 58432-2024 artfynd.xlsx", "A 58432-2024")</f>
        <v/>
      </c>
      <c r="T102">
        <f>HYPERLINK("https://klasma.github.io/Logging_0382/kartor/A 58432-2024 karta.png", "A 58432-2024")</f>
        <v/>
      </c>
      <c r="V102">
        <f>HYPERLINK("https://klasma.github.io/Logging_0382/klagomål/A 58432-2024 FSC-klagomål.docx", "A 58432-2024")</f>
        <v/>
      </c>
      <c r="W102">
        <f>HYPERLINK("https://klasma.github.io/Logging_0382/klagomålsmail/A 58432-2024 FSC-klagomål mail.docx", "A 58432-2024")</f>
        <v/>
      </c>
      <c r="X102">
        <f>HYPERLINK("https://klasma.github.io/Logging_0382/tillsyn/A 58432-2024 tillsynsbegäran.docx", "A 58432-2024")</f>
        <v/>
      </c>
      <c r="Y102">
        <f>HYPERLINK("https://klasma.github.io/Logging_0382/tillsynsmail/A 58432-2024 tillsynsbegäran mail.docx", "A 58432-2024")</f>
        <v/>
      </c>
      <c r="Z102">
        <f>HYPERLINK("https://klasma.github.io/Logging_0382/fåglar/A 58432-2024 prioriterade fågelarter.docx", "A 58432-2024")</f>
        <v/>
      </c>
    </row>
    <row r="103" ht="15" customHeight="1">
      <c r="A103" t="inlineStr">
        <is>
          <t>A 3954-2025</t>
        </is>
      </c>
      <c r="B103" s="1" t="n">
        <v>45684</v>
      </c>
      <c r="C103" s="1" t="n">
        <v>45705</v>
      </c>
      <c r="D103" t="inlineStr">
        <is>
          <t>UPPSALA LÄN</t>
        </is>
      </c>
      <c r="E103" t="inlineStr">
        <is>
          <t>ÄLVKARLEBY</t>
        </is>
      </c>
      <c r="G103" t="n">
        <v>5.5</v>
      </c>
      <c r="H103" t="n">
        <v>1</v>
      </c>
      <c r="I103" t="n">
        <v>1</v>
      </c>
      <c r="J103" t="n">
        <v>5</v>
      </c>
      <c r="K103" t="n">
        <v>0</v>
      </c>
      <c r="L103" t="n">
        <v>0</v>
      </c>
      <c r="M103" t="n">
        <v>0</v>
      </c>
      <c r="N103" t="n">
        <v>0</v>
      </c>
      <c r="O103" t="n">
        <v>5</v>
      </c>
      <c r="P103" t="n">
        <v>0</v>
      </c>
      <c r="Q103" t="n">
        <v>7</v>
      </c>
      <c r="R103" s="2" t="inlineStr">
        <is>
          <t>Backklöver
Flentimotej
Sandviol
Slåtterfibbla
Vanlig sandviol
Igelkottsröksvamp
Revlummer</t>
        </is>
      </c>
      <c r="S103">
        <f>HYPERLINK("https://klasma.github.io/Logging_0319/artfynd/A 3954-2025 artfynd.xlsx", "A 3954-2025")</f>
        <v/>
      </c>
      <c r="T103">
        <f>HYPERLINK("https://klasma.github.io/Logging_0319/kartor/A 3954-2025 karta.png", "A 3954-2025")</f>
        <v/>
      </c>
      <c r="V103">
        <f>HYPERLINK("https://klasma.github.io/Logging_0319/klagomål/A 3954-2025 FSC-klagomål.docx", "A 3954-2025")</f>
        <v/>
      </c>
      <c r="W103">
        <f>HYPERLINK("https://klasma.github.io/Logging_0319/klagomålsmail/A 3954-2025 FSC-klagomål mail.docx", "A 3954-2025")</f>
        <v/>
      </c>
      <c r="X103">
        <f>HYPERLINK("https://klasma.github.io/Logging_0319/tillsyn/A 3954-2025 tillsynsbegäran.docx", "A 3954-2025")</f>
        <v/>
      </c>
      <c r="Y103">
        <f>HYPERLINK("https://klasma.github.io/Logging_0319/tillsynsmail/A 3954-2025 tillsynsbegäran mail.docx", "A 3954-2025")</f>
        <v/>
      </c>
    </row>
    <row r="104" ht="15" customHeight="1">
      <c r="A104" t="inlineStr">
        <is>
          <t>A 39073-2019</t>
        </is>
      </c>
      <c r="B104" s="1" t="n">
        <v>43689</v>
      </c>
      <c r="C104" s="1" t="n">
        <v>45705</v>
      </c>
      <c r="D104" t="inlineStr">
        <is>
          <t>UPPSALA LÄN</t>
        </is>
      </c>
      <c r="E104" t="inlineStr">
        <is>
          <t>HEBY</t>
        </is>
      </c>
      <c r="G104" t="n">
        <v>4.8</v>
      </c>
      <c r="H104" t="n">
        <v>1</v>
      </c>
      <c r="I104" t="n">
        <v>3</v>
      </c>
      <c r="J104" t="n">
        <v>1</v>
      </c>
      <c r="K104" t="n">
        <v>2</v>
      </c>
      <c r="L104" t="n">
        <v>0</v>
      </c>
      <c r="M104" t="n">
        <v>0</v>
      </c>
      <c r="N104" t="n">
        <v>0</v>
      </c>
      <c r="O104" t="n">
        <v>3</v>
      </c>
      <c r="P104" t="n">
        <v>2</v>
      </c>
      <c r="Q104" t="n">
        <v>6</v>
      </c>
      <c r="R104" s="2" t="inlineStr">
        <is>
          <t>Knärot
Rynkskinn
Ullticka
Bronshjon
Thomsons trägnagare
Vedticka</t>
        </is>
      </c>
      <c r="S104">
        <f>HYPERLINK("https://klasma.github.io/Logging_0331/artfynd/A 39073-2019 artfynd.xlsx", "A 39073-2019")</f>
        <v/>
      </c>
      <c r="T104">
        <f>HYPERLINK("https://klasma.github.io/Logging_0331/kartor/A 39073-2019 karta.png", "A 39073-2019")</f>
        <v/>
      </c>
      <c r="U104">
        <f>HYPERLINK("https://klasma.github.io/Logging_0331/knärot/A 39073-2019 karta knärot.png", "A 39073-2019")</f>
        <v/>
      </c>
      <c r="V104">
        <f>HYPERLINK("https://klasma.github.io/Logging_0331/klagomål/A 39073-2019 FSC-klagomål.docx", "A 39073-2019")</f>
        <v/>
      </c>
      <c r="W104">
        <f>HYPERLINK("https://klasma.github.io/Logging_0331/klagomålsmail/A 39073-2019 FSC-klagomål mail.docx", "A 39073-2019")</f>
        <v/>
      </c>
      <c r="X104">
        <f>HYPERLINK("https://klasma.github.io/Logging_0331/tillsyn/A 39073-2019 tillsynsbegäran.docx", "A 39073-2019")</f>
        <v/>
      </c>
      <c r="Y104">
        <f>HYPERLINK("https://klasma.github.io/Logging_0331/tillsynsmail/A 39073-2019 tillsynsbegäran mail.docx", "A 39073-2019")</f>
        <v/>
      </c>
    </row>
    <row r="105" ht="15" customHeight="1">
      <c r="A105" t="inlineStr">
        <is>
          <t>A 33087-2020</t>
        </is>
      </c>
      <c r="B105" s="1" t="n">
        <v>44021</v>
      </c>
      <c r="C105" s="1" t="n">
        <v>45705</v>
      </c>
      <c r="D105" t="inlineStr">
        <is>
          <t>UPPSALA LÄN</t>
        </is>
      </c>
      <c r="E105" t="inlineStr">
        <is>
          <t>ÖSTHAMMAR</t>
        </is>
      </c>
      <c r="G105" t="n">
        <v>5.5</v>
      </c>
      <c r="H105" t="n">
        <v>2</v>
      </c>
      <c r="I105" t="n">
        <v>1</v>
      </c>
      <c r="J105" t="n">
        <v>3</v>
      </c>
      <c r="K105" t="n">
        <v>2</v>
      </c>
      <c r="L105" t="n">
        <v>0</v>
      </c>
      <c r="M105" t="n">
        <v>0</v>
      </c>
      <c r="N105" t="n">
        <v>0</v>
      </c>
      <c r="O105" t="n">
        <v>5</v>
      </c>
      <c r="P105" t="n">
        <v>2</v>
      </c>
      <c r="Q105" t="n">
        <v>6</v>
      </c>
      <c r="R105" s="2" t="inlineStr">
        <is>
          <t>Knärot
Violgubbe
Dofttaggsvamp
Gultoppig fingersvamp
Orange taggsvamp
Skogsknipprot</t>
        </is>
      </c>
      <c r="S105">
        <f>HYPERLINK("https://klasma.github.io/Logging_0382/artfynd/A 33087-2020 artfynd.xlsx", "A 33087-2020")</f>
        <v/>
      </c>
      <c r="T105">
        <f>HYPERLINK("https://klasma.github.io/Logging_0382/kartor/A 33087-2020 karta.png", "A 33087-2020")</f>
        <v/>
      </c>
      <c r="U105">
        <f>HYPERLINK("https://klasma.github.io/Logging_0382/knärot/A 33087-2020 karta knärot.png", "A 33087-2020")</f>
        <v/>
      </c>
      <c r="V105">
        <f>HYPERLINK("https://klasma.github.io/Logging_0382/klagomål/A 33087-2020 FSC-klagomål.docx", "A 33087-2020")</f>
        <v/>
      </c>
      <c r="W105">
        <f>HYPERLINK("https://klasma.github.io/Logging_0382/klagomålsmail/A 33087-2020 FSC-klagomål mail.docx", "A 33087-2020")</f>
        <v/>
      </c>
      <c r="X105">
        <f>HYPERLINK("https://klasma.github.io/Logging_0382/tillsyn/A 33087-2020 tillsynsbegäran.docx", "A 33087-2020")</f>
        <v/>
      </c>
      <c r="Y105">
        <f>HYPERLINK("https://klasma.github.io/Logging_0382/tillsynsmail/A 33087-2020 tillsynsbegäran mail.docx", "A 33087-2020")</f>
        <v/>
      </c>
    </row>
    <row r="106" ht="15" customHeight="1">
      <c r="A106" t="inlineStr">
        <is>
          <t>A 52838-2020</t>
        </is>
      </c>
      <c r="B106" s="1" t="n">
        <v>44119</v>
      </c>
      <c r="C106" s="1" t="n">
        <v>45705</v>
      </c>
      <c r="D106" t="inlineStr">
        <is>
          <t>UPPSALA LÄN</t>
        </is>
      </c>
      <c r="E106" t="inlineStr">
        <is>
          <t>UPPSALA</t>
        </is>
      </c>
      <c r="G106" t="n">
        <v>4.8</v>
      </c>
      <c r="H106" t="n">
        <v>3</v>
      </c>
      <c r="I106" t="n">
        <v>3</v>
      </c>
      <c r="J106" t="n">
        <v>2</v>
      </c>
      <c r="K106" t="n">
        <v>0</v>
      </c>
      <c r="L106" t="n">
        <v>0</v>
      </c>
      <c r="M106" t="n">
        <v>0</v>
      </c>
      <c r="N106" t="n">
        <v>0</v>
      </c>
      <c r="O106" t="n">
        <v>2</v>
      </c>
      <c r="P106" t="n">
        <v>0</v>
      </c>
      <c r="Q106" t="n">
        <v>6</v>
      </c>
      <c r="R106" s="2" t="inlineStr">
        <is>
          <t>Spillkråka
Ärtsångare
Bronshjon
Fjällig taggsvamp s.str.
Thomsons trägnagare
Blåsippa</t>
        </is>
      </c>
      <c r="S106">
        <f>HYPERLINK("https://klasma.github.io/Logging_0380/artfynd/A 52838-2020 artfynd.xlsx", "A 52838-2020")</f>
        <v/>
      </c>
      <c r="T106">
        <f>HYPERLINK("https://klasma.github.io/Logging_0380/kartor/A 52838-2020 karta.png", "A 52838-2020")</f>
        <v/>
      </c>
      <c r="V106">
        <f>HYPERLINK("https://klasma.github.io/Logging_0380/klagomål/A 52838-2020 FSC-klagomål.docx", "A 52838-2020")</f>
        <v/>
      </c>
      <c r="W106">
        <f>HYPERLINK("https://klasma.github.io/Logging_0380/klagomålsmail/A 52838-2020 FSC-klagomål mail.docx", "A 52838-2020")</f>
        <v/>
      </c>
      <c r="X106">
        <f>HYPERLINK("https://klasma.github.io/Logging_0380/tillsyn/A 52838-2020 tillsynsbegäran.docx", "A 52838-2020")</f>
        <v/>
      </c>
      <c r="Y106">
        <f>HYPERLINK("https://klasma.github.io/Logging_0380/tillsynsmail/A 52838-2020 tillsynsbegäran mail.docx", "A 52838-2020")</f>
        <v/>
      </c>
      <c r="Z106">
        <f>HYPERLINK("https://klasma.github.io/Logging_0380/fåglar/A 52838-2020 prioriterade fågelarter.docx", "A 52838-2020")</f>
        <v/>
      </c>
    </row>
    <row r="107" ht="15" customHeight="1">
      <c r="A107" t="inlineStr">
        <is>
          <t>A 28577-2021</t>
        </is>
      </c>
      <c r="B107" s="1" t="n">
        <v>44356</v>
      </c>
      <c r="C107" s="1" t="n">
        <v>45705</v>
      </c>
      <c r="D107" t="inlineStr">
        <is>
          <t>UPPSALA LÄN</t>
        </is>
      </c>
      <c r="E107" t="inlineStr">
        <is>
          <t>UPPSALA</t>
        </is>
      </c>
      <c r="G107" t="n">
        <v>13.1</v>
      </c>
      <c r="H107" t="n">
        <v>2</v>
      </c>
      <c r="I107" t="n">
        <v>3</v>
      </c>
      <c r="J107" t="n">
        <v>2</v>
      </c>
      <c r="K107" t="n">
        <v>0</v>
      </c>
      <c r="L107" t="n">
        <v>0</v>
      </c>
      <c r="M107" t="n">
        <v>0</v>
      </c>
      <c r="N107" t="n">
        <v>0</v>
      </c>
      <c r="O107" t="n">
        <v>2</v>
      </c>
      <c r="P107" t="n">
        <v>0</v>
      </c>
      <c r="Q107" t="n">
        <v>6</v>
      </c>
      <c r="R107" s="2" t="inlineStr">
        <is>
          <t>Spillkråka
Ullticka
Bronshjon
Korallblylav
Thomsons trägnagare
Blåsippa</t>
        </is>
      </c>
      <c r="S107">
        <f>HYPERLINK("https://klasma.github.io/Logging_0380/artfynd/A 28577-2021 artfynd.xlsx", "A 28577-2021")</f>
        <v/>
      </c>
      <c r="T107">
        <f>HYPERLINK("https://klasma.github.io/Logging_0380/kartor/A 28577-2021 karta.png", "A 28577-2021")</f>
        <v/>
      </c>
      <c r="V107">
        <f>HYPERLINK("https://klasma.github.io/Logging_0380/klagomål/A 28577-2021 FSC-klagomål.docx", "A 28577-2021")</f>
        <v/>
      </c>
      <c r="W107">
        <f>HYPERLINK("https://klasma.github.io/Logging_0380/klagomålsmail/A 28577-2021 FSC-klagomål mail.docx", "A 28577-2021")</f>
        <v/>
      </c>
      <c r="X107">
        <f>HYPERLINK("https://klasma.github.io/Logging_0380/tillsyn/A 28577-2021 tillsynsbegäran.docx", "A 28577-2021")</f>
        <v/>
      </c>
      <c r="Y107">
        <f>HYPERLINK("https://klasma.github.io/Logging_0380/tillsynsmail/A 28577-2021 tillsynsbegäran mail.docx", "A 28577-2021")</f>
        <v/>
      </c>
      <c r="Z107">
        <f>HYPERLINK("https://klasma.github.io/Logging_0380/fåglar/A 28577-2021 prioriterade fågelarter.docx", "A 28577-2021")</f>
        <v/>
      </c>
    </row>
    <row r="108" ht="15" customHeight="1">
      <c r="A108" t="inlineStr">
        <is>
          <t>A 35911-2021</t>
        </is>
      </c>
      <c r="B108" s="1" t="n">
        <v>44387</v>
      </c>
      <c r="C108" s="1" t="n">
        <v>45705</v>
      </c>
      <c r="D108" t="inlineStr">
        <is>
          <t>UPPSALA LÄN</t>
        </is>
      </c>
      <c r="E108" t="inlineStr">
        <is>
          <t>ÖSTHAMMAR</t>
        </is>
      </c>
      <c r="F108" t="inlineStr">
        <is>
          <t>Sveaskog</t>
        </is>
      </c>
      <c r="G108" t="n">
        <v>5.5</v>
      </c>
      <c r="H108" t="n">
        <v>3</v>
      </c>
      <c r="I108" t="n">
        <v>2</v>
      </c>
      <c r="J108" t="n">
        <v>3</v>
      </c>
      <c r="K108" t="n">
        <v>0</v>
      </c>
      <c r="L108" t="n">
        <v>0</v>
      </c>
      <c r="M108" t="n">
        <v>0</v>
      </c>
      <c r="N108" t="n">
        <v>0</v>
      </c>
      <c r="O108" t="n">
        <v>3</v>
      </c>
      <c r="P108" t="n">
        <v>0</v>
      </c>
      <c r="Q108" t="n">
        <v>6</v>
      </c>
      <c r="R108" s="2" t="inlineStr">
        <is>
          <t>Gulsparv
Lunglav
Mindre hackspett
Lönnlav
Tibast
Blåsippa</t>
        </is>
      </c>
      <c r="S108">
        <f>HYPERLINK("https://klasma.github.io/Logging_0382/artfynd/A 35911-2021 artfynd.xlsx", "A 35911-2021")</f>
        <v/>
      </c>
      <c r="T108">
        <f>HYPERLINK("https://klasma.github.io/Logging_0382/kartor/A 35911-2021 karta.png", "A 35911-2021")</f>
        <v/>
      </c>
      <c r="V108">
        <f>HYPERLINK("https://klasma.github.io/Logging_0382/klagomål/A 35911-2021 FSC-klagomål.docx", "A 35911-2021")</f>
        <v/>
      </c>
      <c r="W108">
        <f>HYPERLINK("https://klasma.github.io/Logging_0382/klagomålsmail/A 35911-2021 FSC-klagomål mail.docx", "A 35911-2021")</f>
        <v/>
      </c>
      <c r="X108">
        <f>HYPERLINK("https://klasma.github.io/Logging_0382/tillsyn/A 35911-2021 tillsynsbegäran.docx", "A 35911-2021")</f>
        <v/>
      </c>
      <c r="Y108">
        <f>HYPERLINK("https://klasma.github.io/Logging_0382/tillsynsmail/A 35911-2021 tillsynsbegäran mail.docx", "A 35911-2021")</f>
        <v/>
      </c>
      <c r="Z108">
        <f>HYPERLINK("https://klasma.github.io/Logging_0382/fåglar/A 35911-2021 prioriterade fågelarter.docx", "A 35911-2021")</f>
        <v/>
      </c>
    </row>
    <row r="109" ht="15" customHeight="1">
      <c r="A109" t="inlineStr">
        <is>
          <t>A 32140-2022</t>
        </is>
      </c>
      <c r="B109" s="1" t="n">
        <v>44779</v>
      </c>
      <c r="C109" s="1" t="n">
        <v>45705</v>
      </c>
      <c r="D109" t="inlineStr">
        <is>
          <t>UPPSALA LÄN</t>
        </is>
      </c>
      <c r="E109" t="inlineStr">
        <is>
          <t>ÖSTHAMMAR</t>
        </is>
      </c>
      <c r="G109" t="n">
        <v>1.7</v>
      </c>
      <c r="H109" t="n">
        <v>3</v>
      </c>
      <c r="I109" t="n">
        <v>3</v>
      </c>
      <c r="J109" t="n">
        <v>1</v>
      </c>
      <c r="K109" t="n">
        <v>1</v>
      </c>
      <c r="L109" t="n">
        <v>0</v>
      </c>
      <c r="M109" t="n">
        <v>0</v>
      </c>
      <c r="N109" t="n">
        <v>0</v>
      </c>
      <c r="O109" t="n">
        <v>2</v>
      </c>
      <c r="P109" t="n">
        <v>1</v>
      </c>
      <c r="Q109" t="n">
        <v>6</v>
      </c>
      <c r="R109" s="2" t="inlineStr">
        <is>
          <t>Knärot
Spillkråka
Fjällig taggsvamp s.str.
Skarp dropptaggsvamp
Svavelriska
Blåsippa</t>
        </is>
      </c>
      <c r="S109">
        <f>HYPERLINK("https://klasma.github.io/Logging_0382/artfynd/A 32140-2022 artfynd.xlsx", "A 32140-2022")</f>
        <v/>
      </c>
      <c r="T109">
        <f>HYPERLINK("https://klasma.github.io/Logging_0382/kartor/A 32140-2022 karta.png", "A 32140-2022")</f>
        <v/>
      </c>
      <c r="U109">
        <f>HYPERLINK("https://klasma.github.io/Logging_0382/knärot/A 32140-2022 karta knärot.png", "A 32140-2022")</f>
        <v/>
      </c>
      <c r="V109">
        <f>HYPERLINK("https://klasma.github.io/Logging_0382/klagomål/A 32140-2022 FSC-klagomål.docx", "A 32140-2022")</f>
        <v/>
      </c>
      <c r="W109">
        <f>HYPERLINK("https://klasma.github.io/Logging_0382/klagomålsmail/A 32140-2022 FSC-klagomål mail.docx", "A 32140-2022")</f>
        <v/>
      </c>
      <c r="X109">
        <f>HYPERLINK("https://klasma.github.io/Logging_0382/tillsyn/A 32140-2022 tillsynsbegäran.docx", "A 32140-2022")</f>
        <v/>
      </c>
      <c r="Y109">
        <f>HYPERLINK("https://klasma.github.io/Logging_0382/tillsynsmail/A 32140-2022 tillsynsbegäran mail.docx", "A 32140-2022")</f>
        <v/>
      </c>
      <c r="Z109">
        <f>HYPERLINK("https://klasma.github.io/Logging_0382/fåglar/A 32140-2022 prioriterade fågelarter.docx", "A 32140-2022")</f>
        <v/>
      </c>
    </row>
    <row r="110" ht="15" customHeight="1">
      <c r="A110" t="inlineStr">
        <is>
          <t>A 34459-2022</t>
        </is>
      </c>
      <c r="B110" s="1" t="n">
        <v>44792</v>
      </c>
      <c r="C110" s="1" t="n">
        <v>45705</v>
      </c>
      <c r="D110" t="inlineStr">
        <is>
          <t>UPPSALA LÄN</t>
        </is>
      </c>
      <c r="E110" t="inlineStr">
        <is>
          <t>UPPSALA</t>
        </is>
      </c>
      <c r="F110" t="inlineStr">
        <is>
          <t>Kommuner</t>
        </is>
      </c>
      <c r="G110" t="n">
        <v>2.6</v>
      </c>
      <c r="H110" t="n">
        <v>5</v>
      </c>
      <c r="I110" t="n">
        <v>1</v>
      </c>
      <c r="J110" t="n">
        <v>0</v>
      </c>
      <c r="K110" t="n">
        <v>0</v>
      </c>
      <c r="L110" t="n">
        <v>1</v>
      </c>
      <c r="M110" t="n">
        <v>0</v>
      </c>
      <c r="N110" t="n">
        <v>0</v>
      </c>
      <c r="O110" t="n">
        <v>1</v>
      </c>
      <c r="P110" t="n">
        <v>1</v>
      </c>
      <c r="Q110" t="n">
        <v>6</v>
      </c>
      <c r="R110" s="2" t="inlineStr">
        <is>
          <t>Cinnoberbagge
Svart trolldruva
Åkergroda
Huggorm
Vanlig padda
Vanlig snok</t>
        </is>
      </c>
      <c r="S110">
        <f>HYPERLINK("https://klasma.github.io/Logging_0380/artfynd/A 34459-2022 artfynd.xlsx", "A 34459-2022")</f>
        <v/>
      </c>
      <c r="T110">
        <f>HYPERLINK("https://klasma.github.io/Logging_0380/kartor/A 34459-2022 karta.png", "A 34459-2022")</f>
        <v/>
      </c>
      <c r="V110">
        <f>HYPERLINK("https://klasma.github.io/Logging_0380/klagomål/A 34459-2022 FSC-klagomål.docx", "A 34459-2022")</f>
        <v/>
      </c>
      <c r="W110">
        <f>HYPERLINK("https://klasma.github.io/Logging_0380/klagomålsmail/A 34459-2022 FSC-klagomål mail.docx", "A 34459-2022")</f>
        <v/>
      </c>
      <c r="X110">
        <f>HYPERLINK("https://klasma.github.io/Logging_0380/tillsyn/A 34459-2022 tillsynsbegäran.docx", "A 34459-2022")</f>
        <v/>
      </c>
      <c r="Y110">
        <f>HYPERLINK("https://klasma.github.io/Logging_0380/tillsynsmail/A 34459-2022 tillsynsbegäran mail.docx", "A 34459-2022")</f>
        <v/>
      </c>
    </row>
    <row r="111" ht="15" customHeight="1">
      <c r="A111" t="inlineStr">
        <is>
          <t>A 41020-2022</t>
        </is>
      </c>
      <c r="B111" s="1" t="n">
        <v>44824</v>
      </c>
      <c r="C111" s="1" t="n">
        <v>45705</v>
      </c>
      <c r="D111" t="inlineStr">
        <is>
          <t>UPPSALA LÄN</t>
        </is>
      </c>
      <c r="E111" t="inlineStr">
        <is>
          <t>HEBY</t>
        </is>
      </c>
      <c r="F111" t="inlineStr">
        <is>
          <t>Bergvik skog väst AB</t>
        </is>
      </c>
      <c r="G111" t="n">
        <v>32.8</v>
      </c>
      <c r="H111" t="n">
        <v>3</v>
      </c>
      <c r="I111" t="n">
        <v>2</v>
      </c>
      <c r="J111" t="n">
        <v>2</v>
      </c>
      <c r="K111" t="n">
        <v>1</v>
      </c>
      <c r="L111" t="n">
        <v>0</v>
      </c>
      <c r="M111" t="n">
        <v>0</v>
      </c>
      <c r="N111" t="n">
        <v>0</v>
      </c>
      <c r="O111" t="n">
        <v>3</v>
      </c>
      <c r="P111" t="n">
        <v>1</v>
      </c>
      <c r="Q111" t="n">
        <v>6</v>
      </c>
      <c r="R111" s="2" t="inlineStr">
        <is>
          <t>Knärot
Garnlav
Motaggsvamp
Grönpyrola
Plattlummer
Fläcknycklar</t>
        </is>
      </c>
      <c r="S111">
        <f>HYPERLINK("https://klasma.github.io/Logging_0331/artfynd/A 41020-2022 artfynd.xlsx", "A 41020-2022")</f>
        <v/>
      </c>
      <c r="T111">
        <f>HYPERLINK("https://klasma.github.io/Logging_0331/kartor/A 41020-2022 karta.png", "A 41020-2022")</f>
        <v/>
      </c>
      <c r="U111">
        <f>HYPERLINK("https://klasma.github.io/Logging_0331/knärot/A 41020-2022 karta knärot.png", "A 41020-2022")</f>
        <v/>
      </c>
      <c r="V111">
        <f>HYPERLINK("https://klasma.github.io/Logging_0331/klagomål/A 41020-2022 FSC-klagomål.docx", "A 41020-2022")</f>
        <v/>
      </c>
      <c r="W111">
        <f>HYPERLINK("https://klasma.github.io/Logging_0331/klagomålsmail/A 41020-2022 FSC-klagomål mail.docx", "A 41020-2022")</f>
        <v/>
      </c>
      <c r="X111">
        <f>HYPERLINK("https://klasma.github.io/Logging_0331/tillsyn/A 41020-2022 tillsynsbegäran.docx", "A 41020-2022")</f>
        <v/>
      </c>
      <c r="Y111">
        <f>HYPERLINK("https://klasma.github.io/Logging_0331/tillsynsmail/A 41020-2022 tillsynsbegäran mail.docx", "A 41020-2022")</f>
        <v/>
      </c>
    </row>
    <row r="112" ht="15" customHeight="1">
      <c r="A112" t="inlineStr">
        <is>
          <t>A 62137-2022</t>
        </is>
      </c>
      <c r="B112" s="1" t="n">
        <v>44914</v>
      </c>
      <c r="C112" s="1" t="n">
        <v>45705</v>
      </c>
      <c r="D112" t="inlineStr">
        <is>
          <t>UPPSALA LÄN</t>
        </is>
      </c>
      <c r="E112" t="inlineStr">
        <is>
          <t>HEBY</t>
        </is>
      </c>
      <c r="G112" t="n">
        <v>5.3</v>
      </c>
      <c r="H112" t="n">
        <v>1</v>
      </c>
      <c r="I112" t="n">
        <v>4</v>
      </c>
      <c r="J112" t="n">
        <v>1</v>
      </c>
      <c r="K112" t="n">
        <v>1</v>
      </c>
      <c r="L112" t="n">
        <v>0</v>
      </c>
      <c r="M112" t="n">
        <v>0</v>
      </c>
      <c r="N112" t="n">
        <v>0</v>
      </c>
      <c r="O112" t="n">
        <v>2</v>
      </c>
      <c r="P112" t="n">
        <v>1</v>
      </c>
      <c r="Q112" t="n">
        <v>6</v>
      </c>
      <c r="R112" s="2" t="inlineStr">
        <is>
          <t>Knärot
Ullticka
Grovticka
Grönpyrola
Trådticka
Vedticka</t>
        </is>
      </c>
      <c r="S112">
        <f>HYPERLINK("https://klasma.github.io/Logging_0331/artfynd/A 62137-2022 artfynd.xlsx", "A 62137-2022")</f>
        <v/>
      </c>
      <c r="T112">
        <f>HYPERLINK("https://klasma.github.io/Logging_0331/kartor/A 62137-2022 karta.png", "A 62137-2022")</f>
        <v/>
      </c>
      <c r="U112">
        <f>HYPERLINK("https://klasma.github.io/Logging_0331/knärot/A 62137-2022 karta knärot.png", "A 62137-2022")</f>
        <v/>
      </c>
      <c r="V112">
        <f>HYPERLINK("https://klasma.github.io/Logging_0331/klagomål/A 62137-2022 FSC-klagomål.docx", "A 62137-2022")</f>
        <v/>
      </c>
      <c r="W112">
        <f>HYPERLINK("https://klasma.github.io/Logging_0331/klagomålsmail/A 62137-2022 FSC-klagomål mail.docx", "A 62137-2022")</f>
        <v/>
      </c>
      <c r="X112">
        <f>HYPERLINK("https://klasma.github.io/Logging_0331/tillsyn/A 62137-2022 tillsynsbegäran.docx", "A 62137-2022")</f>
        <v/>
      </c>
      <c r="Y112">
        <f>HYPERLINK("https://klasma.github.io/Logging_0331/tillsynsmail/A 62137-2022 tillsynsbegäran mail.docx", "A 62137-2022")</f>
        <v/>
      </c>
    </row>
    <row r="113" ht="15" customHeight="1">
      <c r="A113" t="inlineStr">
        <is>
          <t>A 8507-2023</t>
        </is>
      </c>
      <c r="B113" s="1" t="n">
        <v>44977</v>
      </c>
      <c r="C113" s="1" t="n">
        <v>45705</v>
      </c>
      <c r="D113" t="inlineStr">
        <is>
          <t>UPPSALA LÄN</t>
        </is>
      </c>
      <c r="E113" t="inlineStr">
        <is>
          <t>TIERP</t>
        </is>
      </c>
      <c r="F113" t="inlineStr">
        <is>
          <t>Bergvik skog väst AB</t>
        </is>
      </c>
      <c r="G113" t="n">
        <v>7.6</v>
      </c>
      <c r="H113" t="n">
        <v>1</v>
      </c>
      <c r="I113" t="n">
        <v>1</v>
      </c>
      <c r="J113" t="n">
        <v>4</v>
      </c>
      <c r="K113" t="n">
        <v>1</v>
      </c>
      <c r="L113" t="n">
        <v>0</v>
      </c>
      <c r="M113" t="n">
        <v>0</v>
      </c>
      <c r="N113" t="n">
        <v>0</v>
      </c>
      <c r="O113" t="n">
        <v>5</v>
      </c>
      <c r="P113" t="n">
        <v>1</v>
      </c>
      <c r="Q113" t="n">
        <v>6</v>
      </c>
      <c r="R113" s="2" t="inlineStr">
        <is>
          <t>Violgubbe
Dofttaggsvamp
Flattoppad klubbsvamp
Orange taggsvamp
Spillkråka
Dropptaggsvamp</t>
        </is>
      </c>
      <c r="S113">
        <f>HYPERLINK("https://klasma.github.io/Logging_0360/artfynd/A 8507-2023 artfynd.xlsx", "A 8507-2023")</f>
        <v/>
      </c>
      <c r="T113">
        <f>HYPERLINK("https://klasma.github.io/Logging_0360/kartor/A 8507-2023 karta.png", "A 8507-2023")</f>
        <v/>
      </c>
      <c r="V113">
        <f>HYPERLINK("https://klasma.github.io/Logging_0360/klagomål/A 8507-2023 FSC-klagomål.docx", "A 8507-2023")</f>
        <v/>
      </c>
      <c r="W113">
        <f>HYPERLINK("https://klasma.github.io/Logging_0360/klagomålsmail/A 8507-2023 FSC-klagomål mail.docx", "A 8507-2023")</f>
        <v/>
      </c>
      <c r="X113">
        <f>HYPERLINK("https://klasma.github.io/Logging_0360/tillsyn/A 8507-2023 tillsynsbegäran.docx", "A 8507-2023")</f>
        <v/>
      </c>
      <c r="Y113">
        <f>HYPERLINK("https://klasma.github.io/Logging_0360/tillsynsmail/A 8507-2023 tillsynsbegäran mail.docx", "A 8507-2023")</f>
        <v/>
      </c>
      <c r="Z113">
        <f>HYPERLINK("https://klasma.github.io/Logging_0360/fåglar/A 8507-2023 prioriterade fågelarter.docx", "A 8507-2023")</f>
        <v/>
      </c>
    </row>
    <row r="114" ht="15" customHeight="1">
      <c r="A114" t="inlineStr">
        <is>
          <t>A 9126-2023</t>
        </is>
      </c>
      <c r="B114" s="1" t="n">
        <v>44980</v>
      </c>
      <c r="C114" s="1" t="n">
        <v>45705</v>
      </c>
      <c r="D114" t="inlineStr">
        <is>
          <t>UPPSALA LÄN</t>
        </is>
      </c>
      <c r="E114" t="inlineStr">
        <is>
          <t>TIERP</t>
        </is>
      </c>
      <c r="F114" t="inlineStr">
        <is>
          <t>Bergvik skog öst AB</t>
        </is>
      </c>
      <c r="G114" t="n">
        <v>21.8</v>
      </c>
      <c r="H114" t="n">
        <v>6</v>
      </c>
      <c r="I114" t="n">
        <v>0</v>
      </c>
      <c r="J114" t="n">
        <v>1</v>
      </c>
      <c r="K114" t="n">
        <v>1</v>
      </c>
      <c r="L114" t="n">
        <v>0</v>
      </c>
      <c r="M114" t="n">
        <v>0</v>
      </c>
      <c r="N114" t="n">
        <v>0</v>
      </c>
      <c r="O114" t="n">
        <v>2</v>
      </c>
      <c r="P114" t="n">
        <v>1</v>
      </c>
      <c r="Q114" t="n">
        <v>6</v>
      </c>
      <c r="R114" s="2" t="inlineStr">
        <is>
          <t>Knärot
Spillkråka
Tjäder
Skogsödla
Blåsippa
Revlummer</t>
        </is>
      </c>
      <c r="S114">
        <f>HYPERLINK("https://klasma.github.io/Logging_0360/artfynd/A 9126-2023 artfynd.xlsx", "A 9126-2023")</f>
        <v/>
      </c>
      <c r="T114">
        <f>HYPERLINK("https://klasma.github.io/Logging_0360/kartor/A 9126-2023 karta.png", "A 9126-2023")</f>
        <v/>
      </c>
      <c r="U114">
        <f>HYPERLINK("https://klasma.github.io/Logging_0360/knärot/A 9126-2023 karta knärot.png", "A 9126-2023")</f>
        <v/>
      </c>
      <c r="V114">
        <f>HYPERLINK("https://klasma.github.io/Logging_0360/klagomål/A 9126-2023 FSC-klagomål.docx", "A 9126-2023")</f>
        <v/>
      </c>
      <c r="W114">
        <f>HYPERLINK("https://klasma.github.io/Logging_0360/klagomålsmail/A 9126-2023 FSC-klagomål mail.docx", "A 9126-2023")</f>
        <v/>
      </c>
      <c r="X114">
        <f>HYPERLINK("https://klasma.github.io/Logging_0360/tillsyn/A 9126-2023 tillsynsbegäran.docx", "A 9126-2023")</f>
        <v/>
      </c>
      <c r="Y114">
        <f>HYPERLINK("https://klasma.github.io/Logging_0360/tillsynsmail/A 9126-2023 tillsynsbegäran mail.docx", "A 9126-2023")</f>
        <v/>
      </c>
      <c r="Z114">
        <f>HYPERLINK("https://klasma.github.io/Logging_0360/fåglar/A 9126-2023 prioriterade fågelarter.docx", "A 9126-2023")</f>
        <v/>
      </c>
    </row>
    <row r="115" ht="15" customHeight="1">
      <c r="A115" t="inlineStr">
        <is>
          <t>A 23496-2023</t>
        </is>
      </c>
      <c r="B115" s="1" t="n">
        <v>45076</v>
      </c>
      <c r="C115" s="1" t="n">
        <v>45705</v>
      </c>
      <c r="D115" t="inlineStr">
        <is>
          <t>UPPSALA LÄN</t>
        </is>
      </c>
      <c r="E115" t="inlineStr">
        <is>
          <t>ÖSTHAMMAR</t>
        </is>
      </c>
      <c r="F115" t="inlineStr">
        <is>
          <t>Sveaskog</t>
        </is>
      </c>
      <c r="G115" t="n">
        <v>2</v>
      </c>
      <c r="H115" t="n">
        <v>6</v>
      </c>
      <c r="I115" t="n">
        <v>0</v>
      </c>
      <c r="J115" t="n">
        <v>4</v>
      </c>
      <c r="K115" t="n">
        <v>0</v>
      </c>
      <c r="L115" t="n">
        <v>2</v>
      </c>
      <c r="M115" t="n">
        <v>0</v>
      </c>
      <c r="N115" t="n">
        <v>0</v>
      </c>
      <c r="O115" t="n">
        <v>6</v>
      </c>
      <c r="P115" t="n">
        <v>2</v>
      </c>
      <c r="Q115" t="n">
        <v>6</v>
      </c>
      <c r="R115" s="2" t="inlineStr">
        <is>
          <t>Grönfink
Tornseglare
Gulsparv
Svartvit flugsnappare
Sävsparv
Talltita</t>
        </is>
      </c>
      <c r="S115">
        <f>HYPERLINK("https://klasma.github.io/Logging_0382/artfynd/A 23496-2023 artfynd.xlsx", "A 23496-2023")</f>
        <v/>
      </c>
      <c r="T115">
        <f>HYPERLINK("https://klasma.github.io/Logging_0382/kartor/A 23496-2023 karta.png", "A 23496-2023")</f>
        <v/>
      </c>
      <c r="V115">
        <f>HYPERLINK("https://klasma.github.io/Logging_0382/klagomål/A 23496-2023 FSC-klagomål.docx", "A 23496-2023")</f>
        <v/>
      </c>
      <c r="W115">
        <f>HYPERLINK("https://klasma.github.io/Logging_0382/klagomålsmail/A 23496-2023 FSC-klagomål mail.docx", "A 23496-2023")</f>
        <v/>
      </c>
      <c r="X115">
        <f>HYPERLINK("https://klasma.github.io/Logging_0382/tillsyn/A 23496-2023 tillsynsbegäran.docx", "A 23496-2023")</f>
        <v/>
      </c>
      <c r="Y115">
        <f>HYPERLINK("https://klasma.github.io/Logging_0382/tillsynsmail/A 23496-2023 tillsynsbegäran mail.docx", "A 23496-2023")</f>
        <v/>
      </c>
      <c r="Z115">
        <f>HYPERLINK("https://klasma.github.io/Logging_0382/fåglar/A 23496-2023 prioriterade fågelarter.docx", "A 23496-2023")</f>
        <v/>
      </c>
    </row>
    <row r="116" ht="15" customHeight="1">
      <c r="A116" t="inlineStr">
        <is>
          <t>A 31018-2023</t>
        </is>
      </c>
      <c r="B116" s="1" t="n">
        <v>45113</v>
      </c>
      <c r="C116" s="1" t="n">
        <v>45705</v>
      </c>
      <c r="D116" t="inlineStr">
        <is>
          <t>UPPSALA LÄN</t>
        </is>
      </c>
      <c r="E116" t="inlineStr">
        <is>
          <t>HEBY</t>
        </is>
      </c>
      <c r="G116" t="n">
        <v>11</v>
      </c>
      <c r="H116" t="n">
        <v>4</v>
      </c>
      <c r="I116" t="n">
        <v>2</v>
      </c>
      <c r="J116" t="n">
        <v>0</v>
      </c>
      <c r="K116" t="n">
        <v>1</v>
      </c>
      <c r="L116" t="n">
        <v>0</v>
      </c>
      <c r="M116" t="n">
        <v>0</v>
      </c>
      <c r="N116" t="n">
        <v>0</v>
      </c>
      <c r="O116" t="n">
        <v>1</v>
      </c>
      <c r="P116" t="n">
        <v>1</v>
      </c>
      <c r="Q116" t="n">
        <v>6</v>
      </c>
      <c r="R116" s="2" t="inlineStr">
        <is>
          <t>Knärot
Grönpyrola
Rödgul trumpetsvamp
Fläcknycklar
Mattlummer
Revlummer</t>
        </is>
      </c>
      <c r="S116">
        <f>HYPERLINK("https://klasma.github.io/Logging_0331/artfynd/A 31018-2023 artfynd.xlsx", "A 31018-2023")</f>
        <v/>
      </c>
      <c r="T116">
        <f>HYPERLINK("https://klasma.github.io/Logging_0331/kartor/A 31018-2023 karta.png", "A 31018-2023")</f>
        <v/>
      </c>
      <c r="U116">
        <f>HYPERLINK("https://klasma.github.io/Logging_0331/knärot/A 31018-2023 karta knärot.png", "A 31018-2023")</f>
        <v/>
      </c>
      <c r="V116">
        <f>HYPERLINK("https://klasma.github.io/Logging_0331/klagomål/A 31018-2023 FSC-klagomål.docx", "A 31018-2023")</f>
        <v/>
      </c>
      <c r="W116">
        <f>HYPERLINK("https://klasma.github.io/Logging_0331/klagomålsmail/A 31018-2023 FSC-klagomål mail.docx", "A 31018-2023")</f>
        <v/>
      </c>
      <c r="X116">
        <f>HYPERLINK("https://klasma.github.io/Logging_0331/tillsyn/A 31018-2023 tillsynsbegäran.docx", "A 31018-2023")</f>
        <v/>
      </c>
      <c r="Y116">
        <f>HYPERLINK("https://klasma.github.io/Logging_0331/tillsynsmail/A 31018-2023 tillsynsbegäran mail.docx", "A 31018-2023")</f>
        <v/>
      </c>
    </row>
    <row r="117" ht="15" customHeight="1">
      <c r="A117" t="inlineStr">
        <is>
          <t>A 44867-2023</t>
        </is>
      </c>
      <c r="B117" s="1" t="n">
        <v>45190</v>
      </c>
      <c r="C117" s="1" t="n">
        <v>45705</v>
      </c>
      <c r="D117" t="inlineStr">
        <is>
          <t>UPPSALA LÄN</t>
        </is>
      </c>
      <c r="E117" t="inlineStr">
        <is>
          <t>KNIVSTA</t>
        </is>
      </c>
      <c r="G117" t="n">
        <v>7.8</v>
      </c>
      <c r="H117" t="n">
        <v>1</v>
      </c>
      <c r="I117" t="n">
        <v>3</v>
      </c>
      <c r="J117" t="n">
        <v>2</v>
      </c>
      <c r="K117" t="n">
        <v>1</v>
      </c>
      <c r="L117" t="n">
        <v>0</v>
      </c>
      <c r="M117" t="n">
        <v>0</v>
      </c>
      <c r="N117" t="n">
        <v>0</v>
      </c>
      <c r="O117" t="n">
        <v>3</v>
      </c>
      <c r="P117" t="n">
        <v>1</v>
      </c>
      <c r="Q117" t="n">
        <v>6</v>
      </c>
      <c r="R117" s="2" t="inlineStr">
        <is>
          <t>Bombmurkla
Granticka
Kandelabersvamp
Granbräken
Myskmadra
Stor aspticka</t>
        </is>
      </c>
      <c r="S117">
        <f>HYPERLINK("https://klasma.github.io/Logging_0330/artfynd/A 44867-2023 artfynd.xlsx", "A 44867-2023")</f>
        <v/>
      </c>
      <c r="T117">
        <f>HYPERLINK("https://klasma.github.io/Logging_0330/kartor/A 44867-2023 karta.png", "A 44867-2023")</f>
        <v/>
      </c>
      <c r="V117">
        <f>HYPERLINK("https://klasma.github.io/Logging_0330/klagomål/A 44867-2023 FSC-klagomål.docx", "A 44867-2023")</f>
        <v/>
      </c>
      <c r="W117">
        <f>HYPERLINK("https://klasma.github.io/Logging_0330/klagomålsmail/A 44867-2023 FSC-klagomål mail.docx", "A 44867-2023")</f>
        <v/>
      </c>
      <c r="X117">
        <f>HYPERLINK("https://klasma.github.io/Logging_0330/tillsyn/A 44867-2023 tillsynsbegäran.docx", "A 44867-2023")</f>
        <v/>
      </c>
      <c r="Y117">
        <f>HYPERLINK("https://klasma.github.io/Logging_0330/tillsynsmail/A 44867-2023 tillsynsbegäran mail.docx", "A 44867-2023")</f>
        <v/>
      </c>
    </row>
    <row r="118" ht="15" customHeight="1">
      <c r="A118" t="inlineStr">
        <is>
          <t>A 56374-2023</t>
        </is>
      </c>
      <c r="B118" s="1" t="n">
        <v>45243</v>
      </c>
      <c r="C118" s="1" t="n">
        <v>45705</v>
      </c>
      <c r="D118" t="inlineStr">
        <is>
          <t>UPPSALA LÄN</t>
        </is>
      </c>
      <c r="E118" t="inlineStr">
        <is>
          <t>HEBY</t>
        </is>
      </c>
      <c r="F118" t="inlineStr">
        <is>
          <t>Allmännings- och besparingsskogar</t>
        </is>
      </c>
      <c r="G118" t="n">
        <v>12.9</v>
      </c>
      <c r="H118" t="n">
        <v>4</v>
      </c>
      <c r="I118" t="n">
        <v>1</v>
      </c>
      <c r="J118" t="n">
        <v>3</v>
      </c>
      <c r="K118" t="n">
        <v>1</v>
      </c>
      <c r="L118" t="n">
        <v>0</v>
      </c>
      <c r="M118" t="n">
        <v>0</v>
      </c>
      <c r="N118" t="n">
        <v>0</v>
      </c>
      <c r="O118" t="n">
        <v>4</v>
      </c>
      <c r="P118" t="n">
        <v>1</v>
      </c>
      <c r="Q118" t="n">
        <v>6</v>
      </c>
      <c r="R118" s="2" t="inlineStr">
        <is>
          <t>Knärot
Spillkråka
Talltita
Ullticka
Grönpyrola
Tjäder</t>
        </is>
      </c>
      <c r="S118">
        <f>HYPERLINK("https://klasma.github.io/Logging_0331/artfynd/A 56374-2023 artfynd.xlsx", "A 56374-2023")</f>
        <v/>
      </c>
      <c r="T118">
        <f>HYPERLINK("https://klasma.github.io/Logging_0331/kartor/A 56374-2023 karta.png", "A 56374-2023")</f>
        <v/>
      </c>
      <c r="U118">
        <f>HYPERLINK("https://klasma.github.io/Logging_0331/knärot/A 56374-2023 karta knärot.png", "A 56374-2023")</f>
        <v/>
      </c>
      <c r="V118">
        <f>HYPERLINK("https://klasma.github.io/Logging_0331/klagomål/A 56374-2023 FSC-klagomål.docx", "A 56374-2023")</f>
        <v/>
      </c>
      <c r="W118">
        <f>HYPERLINK("https://klasma.github.io/Logging_0331/klagomålsmail/A 56374-2023 FSC-klagomål mail.docx", "A 56374-2023")</f>
        <v/>
      </c>
      <c r="X118">
        <f>HYPERLINK("https://klasma.github.io/Logging_0331/tillsyn/A 56374-2023 tillsynsbegäran.docx", "A 56374-2023")</f>
        <v/>
      </c>
      <c r="Y118">
        <f>HYPERLINK("https://klasma.github.io/Logging_0331/tillsynsmail/A 56374-2023 tillsynsbegäran mail.docx", "A 56374-2023")</f>
        <v/>
      </c>
      <c r="Z118">
        <f>HYPERLINK("https://klasma.github.io/Logging_0331/fåglar/A 56374-2023 prioriterade fågelarter.docx", "A 56374-2023")</f>
        <v/>
      </c>
    </row>
    <row r="119" ht="15" customHeight="1">
      <c r="A119" t="inlineStr">
        <is>
          <t>A 58015-2023</t>
        </is>
      </c>
      <c r="B119" s="1" t="n">
        <v>45245</v>
      </c>
      <c r="C119" s="1" t="n">
        <v>45705</v>
      </c>
      <c r="D119" t="inlineStr">
        <is>
          <t>UPPSALA LÄN</t>
        </is>
      </c>
      <c r="E119" t="inlineStr">
        <is>
          <t>UPPSALA</t>
        </is>
      </c>
      <c r="G119" t="n">
        <v>12.8</v>
      </c>
      <c r="H119" t="n">
        <v>0</v>
      </c>
      <c r="I119" t="n">
        <v>4</v>
      </c>
      <c r="J119" t="n">
        <v>2</v>
      </c>
      <c r="K119" t="n">
        <v>0</v>
      </c>
      <c r="L119" t="n">
        <v>0</v>
      </c>
      <c r="M119" t="n">
        <v>0</v>
      </c>
      <c r="N119" t="n">
        <v>0</v>
      </c>
      <c r="O119" t="n">
        <v>2</v>
      </c>
      <c r="P119" t="n">
        <v>0</v>
      </c>
      <c r="Q119" t="n">
        <v>6</v>
      </c>
      <c r="R119" s="2" t="inlineStr">
        <is>
          <t>Kandelabersvamp
Orange taggsvamp
Dropptaggsvamp
Fjällig taggsvamp s.str.
Svavelriska
Trådticka</t>
        </is>
      </c>
      <c r="S119">
        <f>HYPERLINK("https://klasma.github.io/Logging_0380/artfynd/A 58015-2023 artfynd.xlsx", "A 58015-2023")</f>
        <v/>
      </c>
      <c r="T119">
        <f>HYPERLINK("https://klasma.github.io/Logging_0380/kartor/A 58015-2023 karta.png", "A 58015-2023")</f>
        <v/>
      </c>
      <c r="V119">
        <f>HYPERLINK("https://klasma.github.io/Logging_0380/klagomål/A 58015-2023 FSC-klagomål.docx", "A 58015-2023")</f>
        <v/>
      </c>
      <c r="W119">
        <f>HYPERLINK("https://klasma.github.io/Logging_0380/klagomålsmail/A 58015-2023 FSC-klagomål mail.docx", "A 58015-2023")</f>
        <v/>
      </c>
      <c r="X119">
        <f>HYPERLINK("https://klasma.github.io/Logging_0380/tillsyn/A 58015-2023 tillsynsbegäran.docx", "A 58015-2023")</f>
        <v/>
      </c>
      <c r="Y119">
        <f>HYPERLINK("https://klasma.github.io/Logging_0380/tillsynsmail/A 58015-2023 tillsynsbegäran mail.docx", "A 58015-2023")</f>
        <v/>
      </c>
    </row>
    <row r="120" ht="15" customHeight="1">
      <c r="A120" t="inlineStr">
        <is>
          <t>A 58884-2023</t>
        </is>
      </c>
      <c r="B120" s="1" t="n">
        <v>45252</v>
      </c>
      <c r="C120" s="1" t="n">
        <v>45705</v>
      </c>
      <c r="D120" t="inlineStr">
        <is>
          <t>UPPSALA LÄN</t>
        </is>
      </c>
      <c r="E120" t="inlineStr">
        <is>
          <t>TIERP</t>
        </is>
      </c>
      <c r="G120" t="n">
        <v>3.4</v>
      </c>
      <c r="H120" t="n">
        <v>0</v>
      </c>
      <c r="I120" t="n">
        <v>5</v>
      </c>
      <c r="J120" t="n">
        <v>0</v>
      </c>
      <c r="K120" t="n">
        <v>1</v>
      </c>
      <c r="L120" t="n">
        <v>0</v>
      </c>
      <c r="M120" t="n">
        <v>0</v>
      </c>
      <c r="N120" t="n">
        <v>0</v>
      </c>
      <c r="O120" t="n">
        <v>1</v>
      </c>
      <c r="P120" t="n">
        <v>1</v>
      </c>
      <c r="Q120" t="n">
        <v>6</v>
      </c>
      <c r="R120" s="2" t="inlineStr">
        <is>
          <t>Kopparspindling
Anisspindling
Barrfagerspindling
Fjällig taggsvamp s.str.
Olivspindling
Rödgul trumpetsvamp</t>
        </is>
      </c>
      <c r="S120">
        <f>HYPERLINK("https://klasma.github.io/Logging_0360/artfynd/A 58884-2023 artfynd.xlsx", "A 58884-2023")</f>
        <v/>
      </c>
      <c r="T120">
        <f>HYPERLINK("https://klasma.github.io/Logging_0360/kartor/A 58884-2023 karta.png", "A 58884-2023")</f>
        <v/>
      </c>
      <c r="V120">
        <f>HYPERLINK("https://klasma.github.io/Logging_0360/klagomål/A 58884-2023 FSC-klagomål.docx", "A 58884-2023")</f>
        <v/>
      </c>
      <c r="W120">
        <f>HYPERLINK("https://klasma.github.io/Logging_0360/klagomålsmail/A 58884-2023 FSC-klagomål mail.docx", "A 58884-2023")</f>
        <v/>
      </c>
      <c r="X120">
        <f>HYPERLINK("https://klasma.github.io/Logging_0360/tillsyn/A 58884-2023 tillsynsbegäran.docx", "A 58884-2023")</f>
        <v/>
      </c>
      <c r="Y120">
        <f>HYPERLINK("https://klasma.github.io/Logging_0360/tillsynsmail/A 58884-2023 tillsynsbegäran mail.docx", "A 58884-2023")</f>
        <v/>
      </c>
    </row>
    <row r="121" ht="15" customHeight="1">
      <c r="A121" t="inlineStr">
        <is>
          <t>A 1303-2024</t>
        </is>
      </c>
      <c r="B121" s="1" t="n">
        <v>45303</v>
      </c>
      <c r="C121" s="1" t="n">
        <v>45705</v>
      </c>
      <c r="D121" t="inlineStr">
        <is>
          <t>UPPSALA LÄN</t>
        </is>
      </c>
      <c r="E121" t="inlineStr">
        <is>
          <t>ÖSTHAMMAR</t>
        </is>
      </c>
      <c r="F121" t="inlineStr">
        <is>
          <t>Övriga Aktiebolag</t>
        </is>
      </c>
      <c r="G121" t="n">
        <v>19.5</v>
      </c>
      <c r="H121" t="n">
        <v>2</v>
      </c>
      <c r="I121" t="n">
        <v>3</v>
      </c>
      <c r="J121" t="n">
        <v>1</v>
      </c>
      <c r="K121" t="n">
        <v>0</v>
      </c>
      <c r="L121" t="n">
        <v>0</v>
      </c>
      <c r="M121" t="n">
        <v>0</v>
      </c>
      <c r="N121" t="n">
        <v>0</v>
      </c>
      <c r="O121" t="n">
        <v>1</v>
      </c>
      <c r="P121" t="n">
        <v>0</v>
      </c>
      <c r="Q121" t="n">
        <v>6</v>
      </c>
      <c r="R121" s="2" t="inlineStr">
        <is>
          <t>Dofttaggsvamp
Kamjordstjärna
Rödgul trumpetsvamp
Vårärt
Blåsippa
Revlummer</t>
        </is>
      </c>
      <c r="S121">
        <f>HYPERLINK("https://klasma.github.io/Logging_0382/artfynd/A 1303-2024 artfynd.xlsx", "A 1303-2024")</f>
        <v/>
      </c>
      <c r="T121">
        <f>HYPERLINK("https://klasma.github.io/Logging_0382/kartor/A 1303-2024 karta.png", "A 1303-2024")</f>
        <v/>
      </c>
      <c r="V121">
        <f>HYPERLINK("https://klasma.github.io/Logging_0382/klagomål/A 1303-2024 FSC-klagomål.docx", "A 1303-2024")</f>
        <v/>
      </c>
      <c r="W121">
        <f>HYPERLINK("https://klasma.github.io/Logging_0382/klagomålsmail/A 1303-2024 FSC-klagomål mail.docx", "A 1303-2024")</f>
        <v/>
      </c>
      <c r="X121">
        <f>HYPERLINK("https://klasma.github.io/Logging_0382/tillsyn/A 1303-2024 tillsynsbegäran.docx", "A 1303-2024")</f>
        <v/>
      </c>
      <c r="Y121">
        <f>HYPERLINK("https://klasma.github.io/Logging_0382/tillsynsmail/A 1303-2024 tillsynsbegäran mail.docx", "A 1303-2024")</f>
        <v/>
      </c>
    </row>
    <row r="122" ht="15" customHeight="1">
      <c r="A122" t="inlineStr">
        <is>
          <t>A 2163-2024</t>
        </is>
      </c>
      <c r="B122" s="1" t="n">
        <v>45309</v>
      </c>
      <c r="C122" s="1" t="n">
        <v>45705</v>
      </c>
      <c r="D122" t="inlineStr">
        <is>
          <t>UPPSALA LÄN</t>
        </is>
      </c>
      <c r="E122" t="inlineStr">
        <is>
          <t>KNIVSTA</t>
        </is>
      </c>
      <c r="F122" t="inlineStr">
        <is>
          <t>Holmen skog AB</t>
        </is>
      </c>
      <c r="G122" t="n">
        <v>16.4</v>
      </c>
      <c r="H122" t="n">
        <v>0</v>
      </c>
      <c r="I122" t="n">
        <v>4</v>
      </c>
      <c r="J122" t="n">
        <v>2</v>
      </c>
      <c r="K122" t="n">
        <v>0</v>
      </c>
      <c r="L122" t="n">
        <v>0</v>
      </c>
      <c r="M122" t="n">
        <v>0</v>
      </c>
      <c r="N122" t="n">
        <v>0</v>
      </c>
      <c r="O122" t="n">
        <v>2</v>
      </c>
      <c r="P122" t="n">
        <v>0</v>
      </c>
      <c r="Q122" t="n">
        <v>6</v>
      </c>
      <c r="R122" s="2" t="inlineStr">
        <is>
          <t>Tallticka
Vedtrappmossa
Mörk husmossa
Svavelriska
Trind spretmossa
Vedticka</t>
        </is>
      </c>
      <c r="S122">
        <f>HYPERLINK("https://klasma.github.io/Logging_0330/artfynd/A 2163-2024 artfynd.xlsx", "A 2163-2024")</f>
        <v/>
      </c>
      <c r="T122">
        <f>HYPERLINK("https://klasma.github.io/Logging_0330/kartor/A 2163-2024 karta.png", "A 2163-2024")</f>
        <v/>
      </c>
      <c r="V122">
        <f>HYPERLINK("https://klasma.github.io/Logging_0330/klagomål/A 2163-2024 FSC-klagomål.docx", "A 2163-2024")</f>
        <v/>
      </c>
      <c r="W122">
        <f>HYPERLINK("https://klasma.github.io/Logging_0330/klagomålsmail/A 2163-2024 FSC-klagomål mail.docx", "A 2163-2024")</f>
        <v/>
      </c>
      <c r="X122">
        <f>HYPERLINK("https://klasma.github.io/Logging_0330/tillsyn/A 2163-2024 tillsynsbegäran.docx", "A 2163-2024")</f>
        <v/>
      </c>
      <c r="Y122">
        <f>HYPERLINK("https://klasma.github.io/Logging_0330/tillsynsmail/A 2163-2024 tillsynsbegäran mail.docx", "A 2163-2024")</f>
        <v/>
      </c>
    </row>
    <row r="123" ht="15" customHeight="1">
      <c r="A123" t="inlineStr">
        <is>
          <t>A 50464-2024</t>
        </is>
      </c>
      <c r="B123" s="1" t="n">
        <v>45601</v>
      </c>
      <c r="C123" s="1" t="n">
        <v>45705</v>
      </c>
      <c r="D123" t="inlineStr">
        <is>
          <t>UPPSALA LÄN</t>
        </is>
      </c>
      <c r="E123" t="inlineStr">
        <is>
          <t>HEBY</t>
        </is>
      </c>
      <c r="G123" t="n">
        <v>6.8</v>
      </c>
      <c r="H123" t="n">
        <v>3</v>
      </c>
      <c r="I123" t="n">
        <v>2</v>
      </c>
      <c r="J123" t="n">
        <v>2</v>
      </c>
      <c r="K123" t="n">
        <v>1</v>
      </c>
      <c r="L123" t="n">
        <v>0</v>
      </c>
      <c r="M123" t="n">
        <v>0</v>
      </c>
      <c r="N123" t="n">
        <v>0</v>
      </c>
      <c r="O123" t="n">
        <v>3</v>
      </c>
      <c r="P123" t="n">
        <v>1</v>
      </c>
      <c r="Q123" t="n">
        <v>6</v>
      </c>
      <c r="R123" s="2" t="inlineStr">
        <is>
          <t>Knärot
Brunpudrad nållav
Spillkråka
Grönpyrola
Thomsons trägnagare
Revlummer</t>
        </is>
      </c>
      <c r="S123">
        <f>HYPERLINK("https://klasma.github.io/Logging_0331/artfynd/A 50464-2024 artfynd.xlsx", "A 50464-2024")</f>
        <v/>
      </c>
      <c r="T123">
        <f>HYPERLINK("https://klasma.github.io/Logging_0331/kartor/A 50464-2024 karta.png", "A 50464-2024")</f>
        <v/>
      </c>
      <c r="U123">
        <f>HYPERLINK("https://klasma.github.io/Logging_0331/knärot/A 50464-2024 karta knärot.png", "A 50464-2024")</f>
        <v/>
      </c>
      <c r="V123">
        <f>HYPERLINK("https://klasma.github.io/Logging_0331/klagomål/A 50464-2024 FSC-klagomål.docx", "A 50464-2024")</f>
        <v/>
      </c>
      <c r="W123">
        <f>HYPERLINK("https://klasma.github.io/Logging_0331/klagomålsmail/A 50464-2024 FSC-klagomål mail.docx", "A 50464-2024")</f>
        <v/>
      </c>
      <c r="X123">
        <f>HYPERLINK("https://klasma.github.io/Logging_0331/tillsyn/A 50464-2024 tillsynsbegäran.docx", "A 50464-2024")</f>
        <v/>
      </c>
      <c r="Y123">
        <f>HYPERLINK("https://klasma.github.io/Logging_0331/tillsynsmail/A 50464-2024 tillsynsbegäran mail.docx", "A 50464-2024")</f>
        <v/>
      </c>
      <c r="Z123">
        <f>HYPERLINK("https://klasma.github.io/Logging_0331/fåglar/A 50464-2024 prioriterade fågelarter.docx", "A 50464-2024")</f>
        <v/>
      </c>
    </row>
    <row r="124" ht="15" customHeight="1">
      <c r="A124" t="inlineStr">
        <is>
          <t>A 54808-2024</t>
        </is>
      </c>
      <c r="B124" s="1" t="n">
        <v>45618</v>
      </c>
      <c r="C124" s="1" t="n">
        <v>45705</v>
      </c>
      <c r="D124" t="inlineStr">
        <is>
          <t>UPPSALA LÄN</t>
        </is>
      </c>
      <c r="E124" t="inlineStr">
        <is>
          <t>HEBY</t>
        </is>
      </c>
      <c r="G124" t="n">
        <v>3.2</v>
      </c>
      <c r="H124" t="n">
        <v>5</v>
      </c>
      <c r="I124" t="n">
        <v>1</v>
      </c>
      <c r="J124" t="n">
        <v>3</v>
      </c>
      <c r="K124" t="n">
        <v>1</v>
      </c>
      <c r="L124" t="n">
        <v>0</v>
      </c>
      <c r="M124" t="n">
        <v>0</v>
      </c>
      <c r="N124" t="n">
        <v>0</v>
      </c>
      <c r="O124" t="n">
        <v>4</v>
      </c>
      <c r="P124" t="n">
        <v>1</v>
      </c>
      <c r="Q124" t="n">
        <v>6</v>
      </c>
      <c r="R124" s="2" t="inlineStr">
        <is>
          <t>Knärot
Spillkråka
Talltita
Ärtsångare
Flagellkvastmossa
Pärluggla</t>
        </is>
      </c>
      <c r="S124">
        <f>HYPERLINK("https://klasma.github.io/Logging_0331/artfynd/A 54808-2024 artfynd.xlsx", "A 54808-2024")</f>
        <v/>
      </c>
      <c r="T124">
        <f>HYPERLINK("https://klasma.github.io/Logging_0331/kartor/A 54808-2024 karta.png", "A 54808-2024")</f>
        <v/>
      </c>
      <c r="U124">
        <f>HYPERLINK("https://klasma.github.io/Logging_0331/knärot/A 54808-2024 karta knärot.png", "A 54808-2024")</f>
        <v/>
      </c>
      <c r="V124">
        <f>HYPERLINK("https://klasma.github.io/Logging_0331/klagomål/A 54808-2024 FSC-klagomål.docx", "A 54808-2024")</f>
        <v/>
      </c>
      <c r="W124">
        <f>HYPERLINK("https://klasma.github.io/Logging_0331/klagomålsmail/A 54808-2024 FSC-klagomål mail.docx", "A 54808-2024")</f>
        <v/>
      </c>
      <c r="X124">
        <f>HYPERLINK("https://klasma.github.io/Logging_0331/tillsyn/A 54808-2024 tillsynsbegäran.docx", "A 54808-2024")</f>
        <v/>
      </c>
      <c r="Y124">
        <f>HYPERLINK("https://klasma.github.io/Logging_0331/tillsynsmail/A 54808-2024 tillsynsbegäran mail.docx", "A 54808-2024")</f>
        <v/>
      </c>
      <c r="Z124">
        <f>HYPERLINK("https://klasma.github.io/Logging_0331/fåglar/A 54808-2024 prioriterade fågelarter.docx", "A 54808-2024")</f>
        <v/>
      </c>
    </row>
    <row r="125" ht="15" customHeight="1">
      <c r="A125" t="inlineStr">
        <is>
          <t>A 55237-2024</t>
        </is>
      </c>
      <c r="B125" s="1" t="n">
        <v>45621</v>
      </c>
      <c r="C125" s="1" t="n">
        <v>45705</v>
      </c>
      <c r="D125" t="inlineStr">
        <is>
          <t>UPPSALA LÄN</t>
        </is>
      </c>
      <c r="E125" t="inlineStr">
        <is>
          <t>HEBY</t>
        </is>
      </c>
      <c r="G125" t="n">
        <v>5.1</v>
      </c>
      <c r="H125" t="n">
        <v>2</v>
      </c>
      <c r="I125" t="n">
        <v>1</v>
      </c>
      <c r="J125" t="n">
        <v>3</v>
      </c>
      <c r="K125" t="n">
        <v>0</v>
      </c>
      <c r="L125" t="n">
        <v>0</v>
      </c>
      <c r="M125" t="n">
        <v>0</v>
      </c>
      <c r="N125" t="n">
        <v>0</v>
      </c>
      <c r="O125" t="n">
        <v>3</v>
      </c>
      <c r="P125" t="n">
        <v>0</v>
      </c>
      <c r="Q125" t="n">
        <v>6</v>
      </c>
      <c r="R125" s="2" t="inlineStr">
        <is>
          <t>Garnlav
Kolflarnlav
Motaggsvamp
Skarp dropptaggsvamp
Tjäder
Fläcknycklar</t>
        </is>
      </c>
      <c r="S125">
        <f>HYPERLINK("https://klasma.github.io/Logging_0331/artfynd/A 55237-2024 artfynd.xlsx", "A 55237-2024")</f>
        <v/>
      </c>
      <c r="T125">
        <f>HYPERLINK("https://klasma.github.io/Logging_0331/kartor/A 55237-2024 karta.png", "A 55237-2024")</f>
        <v/>
      </c>
      <c r="V125">
        <f>HYPERLINK("https://klasma.github.io/Logging_0331/klagomål/A 55237-2024 FSC-klagomål.docx", "A 55237-2024")</f>
        <v/>
      </c>
      <c r="W125">
        <f>HYPERLINK("https://klasma.github.io/Logging_0331/klagomålsmail/A 55237-2024 FSC-klagomål mail.docx", "A 55237-2024")</f>
        <v/>
      </c>
      <c r="X125">
        <f>HYPERLINK("https://klasma.github.io/Logging_0331/tillsyn/A 55237-2024 tillsynsbegäran.docx", "A 55237-2024")</f>
        <v/>
      </c>
      <c r="Y125">
        <f>HYPERLINK("https://klasma.github.io/Logging_0331/tillsynsmail/A 55237-2024 tillsynsbegäran mail.docx", "A 55237-2024")</f>
        <v/>
      </c>
      <c r="Z125">
        <f>HYPERLINK("https://klasma.github.io/Logging_0331/fåglar/A 55237-2024 prioriterade fågelarter.docx", "A 55237-2024")</f>
        <v/>
      </c>
    </row>
    <row r="126" ht="15" customHeight="1">
      <c r="A126" t="inlineStr">
        <is>
          <t>A 3853-2025</t>
        </is>
      </c>
      <c r="B126" s="1" t="n">
        <v>45683</v>
      </c>
      <c r="C126" s="1" t="n">
        <v>45705</v>
      </c>
      <c r="D126" t="inlineStr">
        <is>
          <t>UPPSALA LÄN</t>
        </is>
      </c>
      <c r="E126" t="inlineStr">
        <is>
          <t>TIERP</t>
        </is>
      </c>
      <c r="G126" t="n">
        <v>2.8</v>
      </c>
      <c r="H126" t="n">
        <v>4</v>
      </c>
      <c r="I126" t="n">
        <v>6</v>
      </c>
      <c r="J126" t="n">
        <v>0</v>
      </c>
      <c r="K126" t="n">
        <v>0</v>
      </c>
      <c r="L126" t="n">
        <v>0</v>
      </c>
      <c r="M126" t="n">
        <v>0</v>
      </c>
      <c r="N126" t="n">
        <v>0</v>
      </c>
      <c r="O126" t="n">
        <v>0</v>
      </c>
      <c r="P126" t="n">
        <v>0</v>
      </c>
      <c r="Q126" t="n">
        <v>6</v>
      </c>
      <c r="R126" s="2" t="inlineStr">
        <is>
          <t>Guckusko
Nästrot
Olivspindling
Skogsknipprot
Tvåblad
Underviol</t>
        </is>
      </c>
      <c r="S126">
        <f>HYPERLINK("https://klasma.github.io/Logging_0360/artfynd/A 3853-2025 artfynd.xlsx", "A 3853-2025")</f>
        <v/>
      </c>
      <c r="T126">
        <f>HYPERLINK("https://klasma.github.io/Logging_0360/kartor/A 3853-2025 karta.png", "A 3853-2025")</f>
        <v/>
      </c>
      <c r="V126">
        <f>HYPERLINK("https://klasma.github.io/Logging_0360/klagomål/A 3853-2025 FSC-klagomål.docx", "A 3853-2025")</f>
        <v/>
      </c>
      <c r="W126">
        <f>HYPERLINK("https://klasma.github.io/Logging_0360/klagomålsmail/A 3853-2025 FSC-klagomål mail.docx", "A 3853-2025")</f>
        <v/>
      </c>
      <c r="X126">
        <f>HYPERLINK("https://klasma.github.io/Logging_0360/tillsyn/A 3853-2025 tillsynsbegäran.docx", "A 3853-2025")</f>
        <v/>
      </c>
      <c r="Y126">
        <f>HYPERLINK("https://klasma.github.io/Logging_0360/tillsynsmail/A 3853-2025 tillsynsbegäran mail.docx", "A 3853-2025")</f>
        <v/>
      </c>
    </row>
    <row r="127" ht="15" customHeight="1">
      <c r="A127" t="inlineStr">
        <is>
          <t>A 3949-2025</t>
        </is>
      </c>
      <c r="B127" s="1" t="n">
        <v>45684</v>
      </c>
      <c r="C127" s="1" t="n">
        <v>45705</v>
      </c>
      <c r="D127" t="inlineStr">
        <is>
          <t>UPPSALA LÄN</t>
        </is>
      </c>
      <c r="E127" t="inlineStr">
        <is>
          <t>ÄLVKARLEBY</t>
        </is>
      </c>
      <c r="G127" t="n">
        <v>5.2</v>
      </c>
      <c r="H127" t="n">
        <v>6</v>
      </c>
      <c r="I127" t="n">
        <v>2</v>
      </c>
      <c r="J127" t="n">
        <v>0</v>
      </c>
      <c r="K127" t="n">
        <v>0</v>
      </c>
      <c r="L127" t="n">
        <v>0</v>
      </c>
      <c r="M127" t="n">
        <v>0</v>
      </c>
      <c r="N127" t="n">
        <v>0</v>
      </c>
      <c r="O127" t="n">
        <v>0</v>
      </c>
      <c r="P127" t="n">
        <v>0</v>
      </c>
      <c r="Q127" t="n">
        <v>6</v>
      </c>
      <c r="R127" s="2" t="inlineStr">
        <is>
          <t>Skogsknipprot
Tvåblad
Fläcknycklar
Kärrknipprot
Nattviol
Ängsnycklar</t>
        </is>
      </c>
      <c r="S127">
        <f>HYPERLINK("https://klasma.github.io/Logging_0319/artfynd/A 3949-2025 artfynd.xlsx", "A 3949-2025")</f>
        <v/>
      </c>
      <c r="T127">
        <f>HYPERLINK("https://klasma.github.io/Logging_0319/kartor/A 3949-2025 karta.png", "A 3949-2025")</f>
        <v/>
      </c>
      <c r="V127">
        <f>HYPERLINK("https://klasma.github.io/Logging_0319/klagomål/A 3949-2025 FSC-klagomål.docx", "A 3949-2025")</f>
        <v/>
      </c>
      <c r="W127">
        <f>HYPERLINK("https://klasma.github.io/Logging_0319/klagomålsmail/A 3949-2025 FSC-klagomål mail.docx", "A 3949-2025")</f>
        <v/>
      </c>
      <c r="X127">
        <f>HYPERLINK("https://klasma.github.io/Logging_0319/tillsyn/A 3949-2025 tillsynsbegäran.docx", "A 3949-2025")</f>
        <v/>
      </c>
      <c r="Y127">
        <f>HYPERLINK("https://klasma.github.io/Logging_0319/tillsynsmail/A 3949-2025 tillsynsbegäran mail.docx", "A 3949-2025")</f>
        <v/>
      </c>
    </row>
    <row r="128" ht="15" customHeight="1">
      <c r="A128" t="inlineStr">
        <is>
          <t>A 31098-2019</t>
        </is>
      </c>
      <c r="B128" s="1" t="n">
        <v>43635</v>
      </c>
      <c r="C128" s="1" t="n">
        <v>45705</v>
      </c>
      <c r="D128" t="inlineStr">
        <is>
          <t>UPPSALA LÄN</t>
        </is>
      </c>
      <c r="E128" t="inlineStr">
        <is>
          <t>ÖSTHAMMAR</t>
        </is>
      </c>
      <c r="F128" t="inlineStr">
        <is>
          <t>Övriga statliga verk och myndigheter</t>
        </is>
      </c>
      <c r="G128" t="n">
        <v>6.9</v>
      </c>
      <c r="H128" t="n">
        <v>5</v>
      </c>
      <c r="I128" t="n">
        <v>0</v>
      </c>
      <c r="J128" t="n">
        <v>5</v>
      </c>
      <c r="K128" t="n">
        <v>0</v>
      </c>
      <c r="L128" t="n">
        <v>0</v>
      </c>
      <c r="M128" t="n">
        <v>0</v>
      </c>
      <c r="N128" t="n">
        <v>0</v>
      </c>
      <c r="O128" t="n">
        <v>5</v>
      </c>
      <c r="P128" t="n">
        <v>0</v>
      </c>
      <c r="Q128" t="n">
        <v>5</v>
      </c>
      <c r="R128" s="2" t="inlineStr">
        <is>
          <t>Grönsångare
Rödvingetrast
Skrattmås
Svartvit flugsnappare
Ärtsångare</t>
        </is>
      </c>
      <c r="S128">
        <f>HYPERLINK("https://klasma.github.io/Logging_0382/artfynd/A 31098-2019 artfynd.xlsx", "A 31098-2019")</f>
        <v/>
      </c>
      <c r="T128">
        <f>HYPERLINK("https://klasma.github.io/Logging_0382/kartor/A 31098-2019 karta.png", "A 31098-2019")</f>
        <v/>
      </c>
      <c r="V128">
        <f>HYPERLINK("https://klasma.github.io/Logging_0382/klagomål/A 31098-2019 FSC-klagomål.docx", "A 31098-2019")</f>
        <v/>
      </c>
      <c r="W128">
        <f>HYPERLINK("https://klasma.github.io/Logging_0382/klagomålsmail/A 31098-2019 FSC-klagomål mail.docx", "A 31098-2019")</f>
        <v/>
      </c>
      <c r="X128">
        <f>HYPERLINK("https://klasma.github.io/Logging_0382/tillsyn/A 31098-2019 tillsynsbegäran.docx", "A 31098-2019")</f>
        <v/>
      </c>
      <c r="Y128">
        <f>HYPERLINK("https://klasma.github.io/Logging_0382/tillsynsmail/A 31098-2019 tillsynsbegäran mail.docx", "A 31098-2019")</f>
        <v/>
      </c>
      <c r="Z128">
        <f>HYPERLINK("https://klasma.github.io/Logging_0382/fåglar/A 31098-2019 prioriterade fågelarter.docx", "A 31098-2019")</f>
        <v/>
      </c>
    </row>
    <row r="129" ht="15" customHeight="1">
      <c r="A129" t="inlineStr">
        <is>
          <t>A 61354-2019</t>
        </is>
      </c>
      <c r="B129" s="1" t="n">
        <v>43783</v>
      </c>
      <c r="C129" s="1" t="n">
        <v>45705</v>
      </c>
      <c r="D129" t="inlineStr">
        <is>
          <t>UPPSALA LÄN</t>
        </is>
      </c>
      <c r="E129" t="inlineStr">
        <is>
          <t>ÄLVKARLEBY</t>
        </is>
      </c>
      <c r="F129" t="inlineStr">
        <is>
          <t>Bergvik skog väst AB</t>
        </is>
      </c>
      <c r="G129" t="n">
        <v>4.9</v>
      </c>
      <c r="H129" t="n">
        <v>4</v>
      </c>
      <c r="I129" t="n">
        <v>3</v>
      </c>
      <c r="J129" t="n">
        <v>0</v>
      </c>
      <c r="K129" t="n">
        <v>0</v>
      </c>
      <c r="L129" t="n">
        <v>0</v>
      </c>
      <c r="M129" t="n">
        <v>0</v>
      </c>
      <c r="N129" t="n">
        <v>0</v>
      </c>
      <c r="O129" t="n">
        <v>0</v>
      </c>
      <c r="P129" t="n">
        <v>0</v>
      </c>
      <c r="Q129" t="n">
        <v>5</v>
      </c>
      <c r="R129" s="2" t="inlineStr">
        <is>
          <t>Olivspindling
Skogsknipprot
Tvåblad
Dactylorhiza incarnata subsp. incarnata
Fläcknycklar</t>
        </is>
      </c>
      <c r="S129">
        <f>HYPERLINK("https://klasma.github.io/Logging_0319/artfynd/A 61354-2019 artfynd.xlsx", "A 61354-2019")</f>
        <v/>
      </c>
      <c r="T129">
        <f>HYPERLINK("https://klasma.github.io/Logging_0319/kartor/A 61354-2019 karta.png", "A 61354-2019")</f>
        <v/>
      </c>
      <c r="V129">
        <f>HYPERLINK("https://klasma.github.io/Logging_0319/klagomål/A 61354-2019 FSC-klagomål.docx", "A 61354-2019")</f>
        <v/>
      </c>
      <c r="W129">
        <f>HYPERLINK("https://klasma.github.io/Logging_0319/klagomålsmail/A 61354-2019 FSC-klagomål mail.docx", "A 61354-2019")</f>
        <v/>
      </c>
      <c r="X129">
        <f>HYPERLINK("https://klasma.github.io/Logging_0319/tillsyn/A 61354-2019 tillsynsbegäran.docx", "A 61354-2019")</f>
        <v/>
      </c>
      <c r="Y129">
        <f>HYPERLINK("https://klasma.github.io/Logging_0319/tillsynsmail/A 61354-2019 tillsynsbegäran mail.docx", "A 61354-2019")</f>
        <v/>
      </c>
    </row>
    <row r="130" ht="15" customHeight="1">
      <c r="A130" t="inlineStr">
        <is>
          <t>A 67522-2019</t>
        </is>
      </c>
      <c r="B130" s="1" t="n">
        <v>43814</v>
      </c>
      <c r="C130" s="1" t="n">
        <v>45705</v>
      </c>
      <c r="D130" t="inlineStr">
        <is>
          <t>UPPSALA LÄN</t>
        </is>
      </c>
      <c r="E130" t="inlineStr">
        <is>
          <t>UPPSALA</t>
        </is>
      </c>
      <c r="F130" t="inlineStr">
        <is>
          <t>Allmännings- och besparingsskogar</t>
        </is>
      </c>
      <c r="G130" t="n">
        <v>27.9</v>
      </c>
      <c r="H130" t="n">
        <v>0</v>
      </c>
      <c r="I130" t="n">
        <v>3</v>
      </c>
      <c r="J130" t="n">
        <v>2</v>
      </c>
      <c r="K130" t="n">
        <v>0</v>
      </c>
      <c r="L130" t="n">
        <v>0</v>
      </c>
      <c r="M130" t="n">
        <v>0</v>
      </c>
      <c r="N130" t="n">
        <v>0</v>
      </c>
      <c r="O130" t="n">
        <v>2</v>
      </c>
      <c r="P130" t="n">
        <v>0</v>
      </c>
      <c r="Q130" t="n">
        <v>5</v>
      </c>
      <c r="R130" s="2" t="inlineStr">
        <is>
          <t>Större flatbagge
Tallticka
Bronshjon
Granbarkgnagare
Jättesvampmal</t>
        </is>
      </c>
      <c r="S130">
        <f>HYPERLINK("https://klasma.github.io/Logging_0380/artfynd/A 67522-2019 artfynd.xlsx", "A 67522-2019")</f>
        <v/>
      </c>
      <c r="T130">
        <f>HYPERLINK("https://klasma.github.io/Logging_0380/kartor/A 67522-2019 karta.png", "A 67522-2019")</f>
        <v/>
      </c>
      <c r="V130">
        <f>HYPERLINK("https://klasma.github.io/Logging_0380/klagomål/A 67522-2019 FSC-klagomål.docx", "A 67522-2019")</f>
        <v/>
      </c>
      <c r="W130">
        <f>HYPERLINK("https://klasma.github.io/Logging_0380/klagomålsmail/A 67522-2019 FSC-klagomål mail.docx", "A 67522-2019")</f>
        <v/>
      </c>
      <c r="X130">
        <f>HYPERLINK("https://klasma.github.io/Logging_0380/tillsyn/A 67522-2019 tillsynsbegäran.docx", "A 67522-2019")</f>
        <v/>
      </c>
      <c r="Y130">
        <f>HYPERLINK("https://klasma.github.io/Logging_0380/tillsynsmail/A 67522-2019 tillsynsbegäran mail.docx", "A 67522-2019")</f>
        <v/>
      </c>
    </row>
    <row r="131" ht="15" customHeight="1">
      <c r="A131" t="inlineStr">
        <is>
          <t>A 5673-2020</t>
        </is>
      </c>
      <c r="B131" s="1" t="n">
        <v>43861</v>
      </c>
      <c r="C131" s="1" t="n">
        <v>45705</v>
      </c>
      <c r="D131" t="inlineStr">
        <is>
          <t>UPPSALA LÄN</t>
        </is>
      </c>
      <c r="E131" t="inlineStr">
        <is>
          <t>UPPSALA</t>
        </is>
      </c>
      <c r="G131" t="n">
        <v>1.2</v>
      </c>
      <c r="H131" t="n">
        <v>1</v>
      </c>
      <c r="I131" t="n">
        <v>4</v>
      </c>
      <c r="J131" t="n">
        <v>0</v>
      </c>
      <c r="K131" t="n">
        <v>0</v>
      </c>
      <c r="L131" t="n">
        <v>0</v>
      </c>
      <c r="M131" t="n">
        <v>0</v>
      </c>
      <c r="N131" t="n">
        <v>0</v>
      </c>
      <c r="O131" t="n">
        <v>0</v>
      </c>
      <c r="P131" t="n">
        <v>0</v>
      </c>
      <c r="Q131" t="n">
        <v>5</v>
      </c>
      <c r="R131" s="2" t="inlineStr">
        <is>
          <t>Hasselticka
Platt fjädermossa
Trubbfjädermossa
Vedticka
Blåsippa</t>
        </is>
      </c>
      <c r="S131">
        <f>HYPERLINK("https://klasma.github.io/Logging_0380/artfynd/A 5673-2020 artfynd.xlsx", "A 5673-2020")</f>
        <v/>
      </c>
      <c r="T131">
        <f>HYPERLINK("https://klasma.github.io/Logging_0380/kartor/A 5673-2020 karta.png", "A 5673-2020")</f>
        <v/>
      </c>
      <c r="V131">
        <f>HYPERLINK("https://klasma.github.io/Logging_0380/klagomål/A 5673-2020 FSC-klagomål.docx", "A 5673-2020")</f>
        <v/>
      </c>
      <c r="W131">
        <f>HYPERLINK("https://klasma.github.io/Logging_0380/klagomålsmail/A 5673-2020 FSC-klagomål mail.docx", "A 5673-2020")</f>
        <v/>
      </c>
      <c r="X131">
        <f>HYPERLINK("https://klasma.github.io/Logging_0380/tillsyn/A 5673-2020 tillsynsbegäran.docx", "A 5673-2020")</f>
        <v/>
      </c>
      <c r="Y131">
        <f>HYPERLINK("https://klasma.github.io/Logging_0380/tillsynsmail/A 5673-2020 tillsynsbegäran mail.docx", "A 5673-2020")</f>
        <v/>
      </c>
    </row>
    <row r="132" ht="15" customHeight="1">
      <c r="A132" t="inlineStr">
        <is>
          <t>A 33096-2020</t>
        </is>
      </c>
      <c r="B132" s="1" t="n">
        <v>44021</v>
      </c>
      <c r="C132" s="1" t="n">
        <v>45705</v>
      </c>
      <c r="D132" t="inlineStr">
        <is>
          <t>UPPSALA LÄN</t>
        </is>
      </c>
      <c r="E132" t="inlineStr">
        <is>
          <t>ÖSTHAMMAR</t>
        </is>
      </c>
      <c r="G132" t="n">
        <v>1.9</v>
      </c>
      <c r="H132" t="n">
        <v>2</v>
      </c>
      <c r="I132" t="n">
        <v>1</v>
      </c>
      <c r="J132" t="n">
        <v>3</v>
      </c>
      <c r="K132" t="n">
        <v>1</v>
      </c>
      <c r="L132" t="n">
        <v>0</v>
      </c>
      <c r="M132" t="n">
        <v>0</v>
      </c>
      <c r="N132" t="n">
        <v>0</v>
      </c>
      <c r="O132" t="n">
        <v>4</v>
      </c>
      <c r="P132" t="n">
        <v>1</v>
      </c>
      <c r="Q132" t="n">
        <v>5</v>
      </c>
      <c r="R132" s="2" t="inlineStr">
        <is>
          <t>Knärot
Dofttaggsvamp
Gultoppig fingersvamp
Orange taggsvamp
Skogsknipprot</t>
        </is>
      </c>
      <c r="S132">
        <f>HYPERLINK("https://klasma.github.io/Logging_0382/artfynd/A 33096-2020 artfynd.xlsx", "A 33096-2020")</f>
        <v/>
      </c>
      <c r="T132">
        <f>HYPERLINK("https://klasma.github.io/Logging_0382/kartor/A 33096-2020 karta.png", "A 33096-2020")</f>
        <v/>
      </c>
      <c r="U132">
        <f>HYPERLINK("https://klasma.github.io/Logging_0382/knärot/A 33096-2020 karta knärot.png", "A 33096-2020")</f>
        <v/>
      </c>
      <c r="V132">
        <f>HYPERLINK("https://klasma.github.io/Logging_0382/klagomål/A 33096-2020 FSC-klagomål.docx", "A 33096-2020")</f>
        <v/>
      </c>
      <c r="W132">
        <f>HYPERLINK("https://klasma.github.io/Logging_0382/klagomålsmail/A 33096-2020 FSC-klagomål mail.docx", "A 33096-2020")</f>
        <v/>
      </c>
      <c r="X132">
        <f>HYPERLINK("https://klasma.github.io/Logging_0382/tillsyn/A 33096-2020 tillsynsbegäran.docx", "A 33096-2020")</f>
        <v/>
      </c>
      <c r="Y132">
        <f>HYPERLINK("https://klasma.github.io/Logging_0382/tillsynsmail/A 33096-2020 tillsynsbegäran mail.docx", "A 33096-2020")</f>
        <v/>
      </c>
    </row>
    <row r="133" ht="15" customHeight="1">
      <c r="A133" t="inlineStr">
        <is>
          <t>A 27389-2021</t>
        </is>
      </c>
      <c r="B133" s="1" t="n">
        <v>44351</v>
      </c>
      <c r="C133" s="1" t="n">
        <v>45705</v>
      </c>
      <c r="D133" t="inlineStr">
        <is>
          <t>UPPSALA LÄN</t>
        </is>
      </c>
      <c r="E133" t="inlineStr">
        <is>
          <t>UPPSALA</t>
        </is>
      </c>
      <c r="G133" t="n">
        <v>2.9</v>
      </c>
      <c r="H133" t="n">
        <v>1</v>
      </c>
      <c r="I133" t="n">
        <v>2</v>
      </c>
      <c r="J133" t="n">
        <v>2</v>
      </c>
      <c r="K133" t="n">
        <v>1</v>
      </c>
      <c r="L133" t="n">
        <v>0</v>
      </c>
      <c r="M133" t="n">
        <v>0</v>
      </c>
      <c r="N133" t="n">
        <v>0</v>
      </c>
      <c r="O133" t="n">
        <v>3</v>
      </c>
      <c r="P133" t="n">
        <v>1</v>
      </c>
      <c r="Q133" t="n">
        <v>5</v>
      </c>
      <c r="R133" s="2" t="inlineStr">
        <is>
          <t>Knärot
Rutskinn
Vedtrappmossa
Terpentinmossa
Vedticka</t>
        </is>
      </c>
      <c r="S133">
        <f>HYPERLINK("https://klasma.github.io/Logging_0380/artfynd/A 27389-2021 artfynd.xlsx", "A 27389-2021")</f>
        <v/>
      </c>
      <c r="T133">
        <f>HYPERLINK("https://klasma.github.io/Logging_0380/kartor/A 27389-2021 karta.png", "A 27389-2021")</f>
        <v/>
      </c>
      <c r="U133">
        <f>HYPERLINK("https://klasma.github.io/Logging_0380/knärot/A 27389-2021 karta knärot.png", "A 27389-2021")</f>
        <v/>
      </c>
      <c r="V133">
        <f>HYPERLINK("https://klasma.github.io/Logging_0380/klagomål/A 27389-2021 FSC-klagomål.docx", "A 27389-2021")</f>
        <v/>
      </c>
      <c r="W133">
        <f>HYPERLINK("https://klasma.github.io/Logging_0380/klagomålsmail/A 27389-2021 FSC-klagomål mail.docx", "A 27389-2021")</f>
        <v/>
      </c>
      <c r="X133">
        <f>HYPERLINK("https://klasma.github.io/Logging_0380/tillsyn/A 27389-2021 tillsynsbegäran.docx", "A 27389-2021")</f>
        <v/>
      </c>
      <c r="Y133">
        <f>HYPERLINK("https://klasma.github.io/Logging_0380/tillsynsmail/A 27389-2021 tillsynsbegäran mail.docx", "A 27389-2021")</f>
        <v/>
      </c>
    </row>
    <row r="134" ht="15" customHeight="1">
      <c r="A134" t="inlineStr">
        <is>
          <t>A 61388-2021</t>
        </is>
      </c>
      <c r="B134" s="1" t="n">
        <v>44500</v>
      </c>
      <c r="C134" s="1" t="n">
        <v>45705</v>
      </c>
      <c r="D134" t="inlineStr">
        <is>
          <t>UPPSALA LÄN</t>
        </is>
      </c>
      <c r="E134" t="inlineStr">
        <is>
          <t>UPPSALA</t>
        </is>
      </c>
      <c r="G134" t="n">
        <v>4.8</v>
      </c>
      <c r="H134" t="n">
        <v>0</v>
      </c>
      <c r="I134" t="n">
        <v>4</v>
      </c>
      <c r="J134" t="n">
        <v>1</v>
      </c>
      <c r="K134" t="n">
        <v>0</v>
      </c>
      <c r="L134" t="n">
        <v>0</v>
      </c>
      <c r="M134" t="n">
        <v>0</v>
      </c>
      <c r="N134" t="n">
        <v>0</v>
      </c>
      <c r="O134" t="n">
        <v>1</v>
      </c>
      <c r="P134" t="n">
        <v>0</v>
      </c>
      <c r="Q134" t="n">
        <v>5</v>
      </c>
      <c r="R134" s="2" t="inlineStr">
        <is>
          <t>Skogshare
Björksplintborre
Bronshjon
Jättesvampmal
Thomsons trägnagare</t>
        </is>
      </c>
      <c r="S134">
        <f>HYPERLINK("https://klasma.github.io/Logging_0380/artfynd/A 61388-2021 artfynd.xlsx", "A 61388-2021")</f>
        <v/>
      </c>
      <c r="T134">
        <f>HYPERLINK("https://klasma.github.io/Logging_0380/kartor/A 61388-2021 karta.png", "A 61388-2021")</f>
        <v/>
      </c>
      <c r="U134">
        <f>HYPERLINK("https://klasma.github.io/Logging_0380/knärot/A 61388-2021 karta knärot.png", "A 61388-2021")</f>
        <v/>
      </c>
      <c r="V134">
        <f>HYPERLINK("https://klasma.github.io/Logging_0380/klagomål/A 61388-2021 FSC-klagomål.docx", "A 61388-2021")</f>
        <v/>
      </c>
      <c r="W134">
        <f>HYPERLINK("https://klasma.github.io/Logging_0380/klagomålsmail/A 61388-2021 FSC-klagomål mail.docx", "A 61388-2021")</f>
        <v/>
      </c>
      <c r="X134">
        <f>HYPERLINK("https://klasma.github.io/Logging_0380/tillsyn/A 61388-2021 tillsynsbegäran.docx", "A 61388-2021")</f>
        <v/>
      </c>
      <c r="Y134">
        <f>HYPERLINK("https://klasma.github.io/Logging_0380/tillsynsmail/A 61388-2021 tillsynsbegäran mail.docx", "A 61388-2021")</f>
        <v/>
      </c>
    </row>
    <row r="135" ht="15" customHeight="1">
      <c r="A135" t="inlineStr">
        <is>
          <t>A 64564-2021</t>
        </is>
      </c>
      <c r="B135" s="1" t="n">
        <v>44511</v>
      </c>
      <c r="C135" s="1" t="n">
        <v>45705</v>
      </c>
      <c r="D135" t="inlineStr">
        <is>
          <t>UPPSALA LÄN</t>
        </is>
      </c>
      <c r="E135" t="inlineStr">
        <is>
          <t>ÖSTHAMMAR</t>
        </is>
      </c>
      <c r="G135" t="n">
        <v>7.2</v>
      </c>
      <c r="H135" t="n">
        <v>1</v>
      </c>
      <c r="I135" t="n">
        <v>2</v>
      </c>
      <c r="J135" t="n">
        <v>1</v>
      </c>
      <c r="K135" t="n">
        <v>1</v>
      </c>
      <c r="L135" t="n">
        <v>0</v>
      </c>
      <c r="M135" t="n">
        <v>0</v>
      </c>
      <c r="N135" t="n">
        <v>0</v>
      </c>
      <c r="O135" t="n">
        <v>2</v>
      </c>
      <c r="P135" t="n">
        <v>1</v>
      </c>
      <c r="Q135" t="n">
        <v>5</v>
      </c>
      <c r="R135" s="2" t="inlineStr">
        <is>
          <t>Violgubbe
Gultoppig fingersvamp
Kalktallört
Rödgul trumpetsvamp
Tjäder</t>
        </is>
      </c>
      <c r="S135">
        <f>HYPERLINK("https://klasma.github.io/Logging_0382/artfynd/A 64564-2021 artfynd.xlsx", "A 64564-2021")</f>
        <v/>
      </c>
      <c r="T135">
        <f>HYPERLINK("https://klasma.github.io/Logging_0382/kartor/A 64564-2021 karta.png", "A 64564-2021")</f>
        <v/>
      </c>
      <c r="V135">
        <f>HYPERLINK("https://klasma.github.io/Logging_0382/klagomål/A 64564-2021 FSC-klagomål.docx", "A 64564-2021")</f>
        <v/>
      </c>
      <c r="W135">
        <f>HYPERLINK("https://klasma.github.io/Logging_0382/klagomålsmail/A 64564-2021 FSC-klagomål mail.docx", "A 64564-2021")</f>
        <v/>
      </c>
      <c r="X135">
        <f>HYPERLINK("https://klasma.github.io/Logging_0382/tillsyn/A 64564-2021 tillsynsbegäran.docx", "A 64564-2021")</f>
        <v/>
      </c>
      <c r="Y135">
        <f>HYPERLINK("https://klasma.github.io/Logging_0382/tillsynsmail/A 64564-2021 tillsynsbegäran mail.docx", "A 64564-2021")</f>
        <v/>
      </c>
      <c r="Z135">
        <f>HYPERLINK("https://klasma.github.io/Logging_0382/fåglar/A 64564-2021 prioriterade fågelarter.docx", "A 64564-2021")</f>
        <v/>
      </c>
    </row>
    <row r="136" ht="15" customHeight="1">
      <c r="A136" t="inlineStr">
        <is>
          <t>A 72667-2021</t>
        </is>
      </c>
      <c r="B136" s="1" t="n">
        <v>44546</v>
      </c>
      <c r="C136" s="1" t="n">
        <v>45705</v>
      </c>
      <c r="D136" t="inlineStr">
        <is>
          <t>UPPSALA LÄN</t>
        </is>
      </c>
      <c r="E136" t="inlineStr">
        <is>
          <t>ÖSTHAMMAR</t>
        </is>
      </c>
      <c r="G136" t="n">
        <v>1.2</v>
      </c>
      <c r="H136" t="n">
        <v>0</v>
      </c>
      <c r="I136" t="n">
        <v>4</v>
      </c>
      <c r="J136" t="n">
        <v>0</v>
      </c>
      <c r="K136" t="n">
        <v>1</v>
      </c>
      <c r="L136" t="n">
        <v>0</v>
      </c>
      <c r="M136" t="n">
        <v>0</v>
      </c>
      <c r="N136" t="n">
        <v>0</v>
      </c>
      <c r="O136" t="n">
        <v>1</v>
      </c>
      <c r="P136" t="n">
        <v>1</v>
      </c>
      <c r="Q136" t="n">
        <v>5</v>
      </c>
      <c r="R136" s="2" t="inlineStr">
        <is>
          <t>Duvspindling
Anisspindling
Olivspindling
Strimspindling
Svavelriska</t>
        </is>
      </c>
      <c r="S136">
        <f>HYPERLINK("https://klasma.github.io/Logging_0382/artfynd/A 72667-2021 artfynd.xlsx", "A 72667-2021")</f>
        <v/>
      </c>
      <c r="T136">
        <f>HYPERLINK("https://klasma.github.io/Logging_0382/kartor/A 72667-2021 karta.png", "A 72667-2021")</f>
        <v/>
      </c>
      <c r="V136">
        <f>HYPERLINK("https://klasma.github.io/Logging_0382/klagomål/A 72667-2021 FSC-klagomål.docx", "A 72667-2021")</f>
        <v/>
      </c>
      <c r="W136">
        <f>HYPERLINK("https://klasma.github.io/Logging_0382/klagomålsmail/A 72667-2021 FSC-klagomål mail.docx", "A 72667-2021")</f>
        <v/>
      </c>
      <c r="X136">
        <f>HYPERLINK("https://klasma.github.io/Logging_0382/tillsyn/A 72667-2021 tillsynsbegäran.docx", "A 72667-2021")</f>
        <v/>
      </c>
      <c r="Y136">
        <f>HYPERLINK("https://klasma.github.io/Logging_0382/tillsynsmail/A 72667-2021 tillsynsbegäran mail.docx", "A 72667-2021")</f>
        <v/>
      </c>
    </row>
    <row r="137" ht="15" customHeight="1">
      <c r="A137" t="inlineStr">
        <is>
          <t>A 1224-2022</t>
        </is>
      </c>
      <c r="B137" s="1" t="n">
        <v>44572</v>
      </c>
      <c r="C137" s="1" t="n">
        <v>45705</v>
      </c>
      <c r="D137" t="inlineStr">
        <is>
          <t>UPPSALA LÄN</t>
        </is>
      </c>
      <c r="E137" t="inlineStr">
        <is>
          <t>ÖSTHAMMAR</t>
        </is>
      </c>
      <c r="G137" t="n">
        <v>4.7</v>
      </c>
      <c r="H137" t="n">
        <v>2</v>
      </c>
      <c r="I137" t="n">
        <v>4</v>
      </c>
      <c r="J137" t="n">
        <v>0</v>
      </c>
      <c r="K137" t="n">
        <v>0</v>
      </c>
      <c r="L137" t="n">
        <v>0</v>
      </c>
      <c r="M137" t="n">
        <v>0</v>
      </c>
      <c r="N137" t="n">
        <v>0</v>
      </c>
      <c r="O137" t="n">
        <v>0</v>
      </c>
      <c r="P137" t="n">
        <v>0</v>
      </c>
      <c r="Q137" t="n">
        <v>5</v>
      </c>
      <c r="R137" s="2" t="inlineStr">
        <is>
          <t>Skogsknipprot
Svavelriska
Trubbfjädermossa
Vårärt
Blåsippa</t>
        </is>
      </c>
      <c r="S137">
        <f>HYPERLINK("https://klasma.github.io/Logging_0382/artfynd/A 1224-2022 artfynd.xlsx", "A 1224-2022")</f>
        <v/>
      </c>
      <c r="T137">
        <f>HYPERLINK("https://klasma.github.io/Logging_0382/kartor/A 1224-2022 karta.png", "A 1224-2022")</f>
        <v/>
      </c>
      <c r="V137">
        <f>HYPERLINK("https://klasma.github.io/Logging_0382/klagomål/A 1224-2022 FSC-klagomål.docx", "A 1224-2022")</f>
        <v/>
      </c>
      <c r="W137">
        <f>HYPERLINK("https://klasma.github.io/Logging_0382/klagomålsmail/A 1224-2022 FSC-klagomål mail.docx", "A 1224-2022")</f>
        <v/>
      </c>
      <c r="X137">
        <f>HYPERLINK("https://klasma.github.io/Logging_0382/tillsyn/A 1224-2022 tillsynsbegäran.docx", "A 1224-2022")</f>
        <v/>
      </c>
      <c r="Y137">
        <f>HYPERLINK("https://klasma.github.io/Logging_0382/tillsynsmail/A 1224-2022 tillsynsbegäran mail.docx", "A 1224-2022")</f>
        <v/>
      </c>
    </row>
    <row r="138" ht="15" customHeight="1">
      <c r="A138" t="inlineStr">
        <is>
          <t>A 1725-2022</t>
        </is>
      </c>
      <c r="B138" s="1" t="n">
        <v>44574</v>
      </c>
      <c r="C138" s="1" t="n">
        <v>45705</v>
      </c>
      <c r="D138" t="inlineStr">
        <is>
          <t>UPPSALA LÄN</t>
        </is>
      </c>
      <c r="E138" t="inlineStr">
        <is>
          <t>UPPSALA</t>
        </is>
      </c>
      <c r="G138" t="n">
        <v>6.1</v>
      </c>
      <c r="H138" t="n">
        <v>1</v>
      </c>
      <c r="I138" t="n">
        <v>4</v>
      </c>
      <c r="J138" t="n">
        <v>1</v>
      </c>
      <c r="K138" t="n">
        <v>0</v>
      </c>
      <c r="L138" t="n">
        <v>0</v>
      </c>
      <c r="M138" t="n">
        <v>0</v>
      </c>
      <c r="N138" t="n">
        <v>0</v>
      </c>
      <c r="O138" t="n">
        <v>1</v>
      </c>
      <c r="P138" t="n">
        <v>0</v>
      </c>
      <c r="Q138" t="n">
        <v>5</v>
      </c>
      <c r="R138" s="2" t="inlineStr">
        <is>
          <t>Järpe
Fjällig taggsvamp s.str.
Fällmossa
Platt fjädermossa
Stubbspretmossa</t>
        </is>
      </c>
      <c r="S138">
        <f>HYPERLINK("https://klasma.github.io/Logging_0380/artfynd/A 1725-2022 artfynd.xlsx", "A 1725-2022")</f>
        <v/>
      </c>
      <c r="T138">
        <f>HYPERLINK("https://klasma.github.io/Logging_0380/kartor/A 1725-2022 karta.png", "A 1725-2022")</f>
        <v/>
      </c>
      <c r="V138">
        <f>HYPERLINK("https://klasma.github.io/Logging_0380/klagomål/A 1725-2022 FSC-klagomål.docx", "A 1725-2022")</f>
        <v/>
      </c>
      <c r="W138">
        <f>HYPERLINK("https://klasma.github.io/Logging_0380/klagomålsmail/A 1725-2022 FSC-klagomål mail.docx", "A 1725-2022")</f>
        <v/>
      </c>
      <c r="X138">
        <f>HYPERLINK("https://klasma.github.io/Logging_0380/tillsyn/A 1725-2022 tillsynsbegäran.docx", "A 1725-2022")</f>
        <v/>
      </c>
      <c r="Y138">
        <f>HYPERLINK("https://klasma.github.io/Logging_0380/tillsynsmail/A 1725-2022 tillsynsbegäran mail.docx", "A 1725-2022")</f>
        <v/>
      </c>
      <c r="Z138">
        <f>HYPERLINK("https://klasma.github.io/Logging_0380/fåglar/A 1725-2022 prioriterade fågelarter.docx", "A 1725-2022")</f>
        <v/>
      </c>
    </row>
    <row r="139" ht="15" customHeight="1">
      <c r="A139" t="inlineStr">
        <is>
          <t>A 1988-2022</t>
        </is>
      </c>
      <c r="B139" s="1" t="n">
        <v>44575</v>
      </c>
      <c r="C139" s="1" t="n">
        <v>45705</v>
      </c>
      <c r="D139" t="inlineStr">
        <is>
          <t>UPPSALA LÄN</t>
        </is>
      </c>
      <c r="E139" t="inlineStr">
        <is>
          <t>ENKÖPING</t>
        </is>
      </c>
      <c r="G139" t="n">
        <v>5.7</v>
      </c>
      <c r="H139" t="n">
        <v>0</v>
      </c>
      <c r="I139" t="n">
        <v>1</v>
      </c>
      <c r="J139" t="n">
        <v>2</v>
      </c>
      <c r="K139" t="n">
        <v>0</v>
      </c>
      <c r="L139" t="n">
        <v>1</v>
      </c>
      <c r="M139" t="n">
        <v>1</v>
      </c>
      <c r="N139" t="n">
        <v>0</v>
      </c>
      <c r="O139" t="n">
        <v>4</v>
      </c>
      <c r="P139" t="n">
        <v>2</v>
      </c>
      <c r="Q139" t="n">
        <v>5</v>
      </c>
      <c r="R139" s="2" t="inlineStr">
        <is>
          <t>Skogsalm
Ask
Fyrflikig jordstjärna
Ängsskära
Svart trolldruva</t>
        </is>
      </c>
      <c r="S139">
        <f>HYPERLINK("https://klasma.github.io/Logging_0381/artfynd/A 1988-2022 artfynd.xlsx", "A 1988-2022")</f>
        <v/>
      </c>
      <c r="T139">
        <f>HYPERLINK("https://klasma.github.io/Logging_0381/kartor/A 1988-2022 karta.png", "A 1988-2022")</f>
        <v/>
      </c>
      <c r="V139">
        <f>HYPERLINK("https://klasma.github.io/Logging_0381/klagomål/A 1988-2022 FSC-klagomål.docx", "A 1988-2022")</f>
        <v/>
      </c>
      <c r="W139">
        <f>HYPERLINK("https://klasma.github.io/Logging_0381/klagomålsmail/A 1988-2022 FSC-klagomål mail.docx", "A 1988-2022")</f>
        <v/>
      </c>
      <c r="X139">
        <f>HYPERLINK("https://klasma.github.io/Logging_0381/tillsyn/A 1988-2022 tillsynsbegäran.docx", "A 1988-2022")</f>
        <v/>
      </c>
      <c r="Y139">
        <f>HYPERLINK("https://klasma.github.io/Logging_0381/tillsynsmail/A 1988-2022 tillsynsbegäran mail.docx", "A 1988-2022")</f>
        <v/>
      </c>
    </row>
    <row r="140" ht="15" customHeight="1">
      <c r="A140" t="inlineStr">
        <is>
          <t>A 8753-2022</t>
        </is>
      </c>
      <c r="B140" s="1" t="n">
        <v>44614</v>
      </c>
      <c r="C140" s="1" t="n">
        <v>45705</v>
      </c>
      <c r="D140" t="inlineStr">
        <is>
          <t>UPPSALA LÄN</t>
        </is>
      </c>
      <c r="E140" t="inlineStr">
        <is>
          <t>ÖSTHAMMAR</t>
        </is>
      </c>
      <c r="G140" t="n">
        <v>5.3</v>
      </c>
      <c r="H140" t="n">
        <v>0</v>
      </c>
      <c r="I140" t="n">
        <v>3</v>
      </c>
      <c r="J140" t="n">
        <v>0</v>
      </c>
      <c r="K140" t="n">
        <v>2</v>
      </c>
      <c r="L140" t="n">
        <v>0</v>
      </c>
      <c r="M140" t="n">
        <v>0</v>
      </c>
      <c r="N140" t="n">
        <v>0</v>
      </c>
      <c r="O140" t="n">
        <v>2</v>
      </c>
      <c r="P140" t="n">
        <v>2</v>
      </c>
      <c r="Q140" t="n">
        <v>5</v>
      </c>
      <c r="R140" s="2" t="inlineStr">
        <is>
          <t>Gyllenspindling
Spricktaggsvamp
Olivspindling
Skarp dropptaggsvamp
Svavelriska</t>
        </is>
      </c>
      <c r="S140">
        <f>HYPERLINK("https://klasma.github.io/Logging_0382/artfynd/A 8753-2022 artfynd.xlsx", "A 8753-2022")</f>
        <v/>
      </c>
      <c r="T140">
        <f>HYPERLINK("https://klasma.github.io/Logging_0382/kartor/A 8753-2022 karta.png", "A 8753-2022")</f>
        <v/>
      </c>
      <c r="V140">
        <f>HYPERLINK("https://klasma.github.io/Logging_0382/klagomål/A 8753-2022 FSC-klagomål.docx", "A 8753-2022")</f>
        <v/>
      </c>
      <c r="W140">
        <f>HYPERLINK("https://klasma.github.io/Logging_0382/klagomålsmail/A 8753-2022 FSC-klagomål mail.docx", "A 8753-2022")</f>
        <v/>
      </c>
      <c r="X140">
        <f>HYPERLINK("https://klasma.github.io/Logging_0382/tillsyn/A 8753-2022 tillsynsbegäran.docx", "A 8753-2022")</f>
        <v/>
      </c>
      <c r="Y140">
        <f>HYPERLINK("https://klasma.github.io/Logging_0382/tillsynsmail/A 8753-2022 tillsynsbegäran mail.docx", "A 8753-2022")</f>
        <v/>
      </c>
    </row>
    <row r="141" ht="15" customHeight="1">
      <c r="A141" t="inlineStr">
        <is>
          <t>A 15556-2022</t>
        </is>
      </c>
      <c r="B141" s="1" t="n">
        <v>44662</v>
      </c>
      <c r="C141" s="1" t="n">
        <v>45705</v>
      </c>
      <c r="D141" t="inlineStr">
        <is>
          <t>UPPSALA LÄN</t>
        </is>
      </c>
      <c r="E141" t="inlineStr">
        <is>
          <t>ÖSTHAMMAR</t>
        </is>
      </c>
      <c r="G141" t="n">
        <v>9.9</v>
      </c>
      <c r="H141" t="n">
        <v>1</v>
      </c>
      <c r="I141" t="n">
        <v>4</v>
      </c>
      <c r="J141" t="n">
        <v>1</v>
      </c>
      <c r="K141" t="n">
        <v>0</v>
      </c>
      <c r="L141" t="n">
        <v>0</v>
      </c>
      <c r="M141" t="n">
        <v>0</v>
      </c>
      <c r="N141" t="n">
        <v>0</v>
      </c>
      <c r="O141" t="n">
        <v>1</v>
      </c>
      <c r="P141" t="n">
        <v>0</v>
      </c>
      <c r="Q141" t="n">
        <v>5</v>
      </c>
      <c r="R141" s="2" t="inlineStr">
        <is>
          <t>Tallticka
Hasselticka
Skogsknipprot
Svart trolldruva
Tibast</t>
        </is>
      </c>
      <c r="S141">
        <f>HYPERLINK("https://klasma.github.io/Logging_0382/artfynd/A 15556-2022 artfynd.xlsx", "A 15556-2022")</f>
        <v/>
      </c>
      <c r="T141">
        <f>HYPERLINK("https://klasma.github.io/Logging_0382/kartor/A 15556-2022 karta.png", "A 15556-2022")</f>
        <v/>
      </c>
      <c r="V141">
        <f>HYPERLINK("https://klasma.github.io/Logging_0382/klagomål/A 15556-2022 FSC-klagomål.docx", "A 15556-2022")</f>
        <v/>
      </c>
      <c r="W141">
        <f>HYPERLINK("https://klasma.github.io/Logging_0382/klagomålsmail/A 15556-2022 FSC-klagomål mail.docx", "A 15556-2022")</f>
        <v/>
      </c>
      <c r="X141">
        <f>HYPERLINK("https://klasma.github.io/Logging_0382/tillsyn/A 15556-2022 tillsynsbegäran.docx", "A 15556-2022")</f>
        <v/>
      </c>
      <c r="Y141">
        <f>HYPERLINK("https://klasma.github.io/Logging_0382/tillsynsmail/A 15556-2022 tillsynsbegäran mail.docx", "A 15556-2022")</f>
        <v/>
      </c>
    </row>
    <row r="142" ht="15" customHeight="1">
      <c r="A142" t="inlineStr">
        <is>
          <t>A 24563-2022</t>
        </is>
      </c>
      <c r="B142" s="1" t="n">
        <v>44727</v>
      </c>
      <c r="C142" s="1" t="n">
        <v>45705</v>
      </c>
      <c r="D142" t="inlineStr">
        <is>
          <t>UPPSALA LÄN</t>
        </is>
      </c>
      <c r="E142" t="inlineStr">
        <is>
          <t>ÖSTHAMMAR</t>
        </is>
      </c>
      <c r="G142" t="n">
        <v>7.4</v>
      </c>
      <c r="H142" t="n">
        <v>0</v>
      </c>
      <c r="I142" t="n">
        <v>3</v>
      </c>
      <c r="J142" t="n">
        <v>0</v>
      </c>
      <c r="K142" t="n">
        <v>2</v>
      </c>
      <c r="L142" t="n">
        <v>0</v>
      </c>
      <c r="M142" t="n">
        <v>0</v>
      </c>
      <c r="N142" t="n">
        <v>0</v>
      </c>
      <c r="O142" t="n">
        <v>2</v>
      </c>
      <c r="P142" t="n">
        <v>2</v>
      </c>
      <c r="Q142" t="n">
        <v>5</v>
      </c>
      <c r="R142" s="2" t="inlineStr">
        <is>
          <t>Gul lammticka
Koppartaggsvamp
Kamjordstjärna
Olivspindling
Rödgul trumpetsvamp</t>
        </is>
      </c>
      <c r="S142">
        <f>HYPERLINK("https://klasma.github.io/Logging_0382/artfynd/A 24563-2022 artfynd.xlsx", "A 24563-2022")</f>
        <v/>
      </c>
      <c r="T142">
        <f>HYPERLINK("https://klasma.github.io/Logging_0382/kartor/A 24563-2022 karta.png", "A 24563-2022")</f>
        <v/>
      </c>
      <c r="V142">
        <f>HYPERLINK("https://klasma.github.io/Logging_0382/klagomål/A 24563-2022 FSC-klagomål.docx", "A 24563-2022")</f>
        <v/>
      </c>
      <c r="W142">
        <f>HYPERLINK("https://klasma.github.io/Logging_0382/klagomålsmail/A 24563-2022 FSC-klagomål mail.docx", "A 24563-2022")</f>
        <v/>
      </c>
      <c r="X142">
        <f>HYPERLINK("https://klasma.github.io/Logging_0382/tillsyn/A 24563-2022 tillsynsbegäran.docx", "A 24563-2022")</f>
        <v/>
      </c>
      <c r="Y142">
        <f>HYPERLINK("https://klasma.github.io/Logging_0382/tillsynsmail/A 24563-2022 tillsynsbegäran mail.docx", "A 24563-2022")</f>
        <v/>
      </c>
    </row>
    <row r="143" ht="15" customHeight="1">
      <c r="A143" t="inlineStr">
        <is>
          <t>A 39763-2022</t>
        </is>
      </c>
      <c r="B143" s="1" t="n">
        <v>44819</v>
      </c>
      <c r="C143" s="1" t="n">
        <v>45705</v>
      </c>
      <c r="D143" t="inlineStr">
        <is>
          <t>UPPSALA LÄN</t>
        </is>
      </c>
      <c r="E143" t="inlineStr">
        <is>
          <t>ÖSTHAMMAR</t>
        </is>
      </c>
      <c r="G143" t="n">
        <v>7</v>
      </c>
      <c r="H143" t="n">
        <v>1</v>
      </c>
      <c r="I143" t="n">
        <v>1</v>
      </c>
      <c r="J143" t="n">
        <v>2</v>
      </c>
      <c r="K143" t="n">
        <v>2</v>
      </c>
      <c r="L143" t="n">
        <v>0</v>
      </c>
      <c r="M143" t="n">
        <v>0</v>
      </c>
      <c r="N143" t="n">
        <v>0</v>
      </c>
      <c r="O143" t="n">
        <v>4</v>
      </c>
      <c r="P143" t="n">
        <v>2</v>
      </c>
      <c r="Q143" t="n">
        <v>5</v>
      </c>
      <c r="R143" s="2" t="inlineStr">
        <is>
          <t>Knärot
Violgubbe
Blek fingersvamp
Orange taggsvamp
Fjällig taggsvamp s.str.</t>
        </is>
      </c>
      <c r="S143">
        <f>HYPERLINK("https://klasma.github.io/Logging_0382/artfynd/A 39763-2022 artfynd.xlsx", "A 39763-2022")</f>
        <v/>
      </c>
      <c r="T143">
        <f>HYPERLINK("https://klasma.github.io/Logging_0382/kartor/A 39763-2022 karta.png", "A 39763-2022")</f>
        <v/>
      </c>
      <c r="U143">
        <f>HYPERLINK("https://klasma.github.io/Logging_0382/knärot/A 39763-2022 karta knärot.png", "A 39763-2022")</f>
        <v/>
      </c>
      <c r="V143">
        <f>HYPERLINK("https://klasma.github.io/Logging_0382/klagomål/A 39763-2022 FSC-klagomål.docx", "A 39763-2022")</f>
        <v/>
      </c>
      <c r="W143">
        <f>HYPERLINK("https://klasma.github.io/Logging_0382/klagomålsmail/A 39763-2022 FSC-klagomål mail.docx", "A 39763-2022")</f>
        <v/>
      </c>
      <c r="X143">
        <f>HYPERLINK("https://klasma.github.io/Logging_0382/tillsyn/A 39763-2022 tillsynsbegäran.docx", "A 39763-2022")</f>
        <v/>
      </c>
      <c r="Y143">
        <f>HYPERLINK("https://klasma.github.io/Logging_0382/tillsynsmail/A 39763-2022 tillsynsbegäran mail.docx", "A 39763-2022")</f>
        <v/>
      </c>
    </row>
    <row r="144" ht="15" customHeight="1">
      <c r="A144" t="inlineStr">
        <is>
          <t>A 43992-2022</t>
        </is>
      </c>
      <c r="B144" s="1" t="n">
        <v>44837</v>
      </c>
      <c r="C144" s="1" t="n">
        <v>45705</v>
      </c>
      <c r="D144" t="inlineStr">
        <is>
          <t>UPPSALA LÄN</t>
        </is>
      </c>
      <c r="E144" t="inlineStr">
        <is>
          <t>ÖSTHAMMAR</t>
        </is>
      </c>
      <c r="F144" t="inlineStr">
        <is>
          <t>Sveaskog</t>
        </is>
      </c>
      <c r="G144" t="n">
        <v>1.8</v>
      </c>
      <c r="H144" t="n">
        <v>5</v>
      </c>
      <c r="I144" t="n">
        <v>0</v>
      </c>
      <c r="J144" t="n">
        <v>4</v>
      </c>
      <c r="K144" t="n">
        <v>1</v>
      </c>
      <c r="L144" t="n">
        <v>0</v>
      </c>
      <c r="M144" t="n">
        <v>0</v>
      </c>
      <c r="N144" t="n">
        <v>0</v>
      </c>
      <c r="O144" t="n">
        <v>5</v>
      </c>
      <c r="P144" t="n">
        <v>1</v>
      </c>
      <c r="Q144" t="n">
        <v>5</v>
      </c>
      <c r="R144" s="2" t="inlineStr">
        <is>
          <t>Stare
Buskskvätta
Fiskmås
Gulsparv
Svartvit flugsnappare</t>
        </is>
      </c>
      <c r="S144">
        <f>HYPERLINK("https://klasma.github.io/Logging_0382/artfynd/A 43992-2022 artfynd.xlsx", "A 43992-2022")</f>
        <v/>
      </c>
      <c r="T144">
        <f>HYPERLINK("https://klasma.github.io/Logging_0382/kartor/A 43992-2022 karta.png", "A 43992-2022")</f>
        <v/>
      </c>
      <c r="V144">
        <f>HYPERLINK("https://klasma.github.io/Logging_0382/klagomål/A 43992-2022 FSC-klagomål.docx", "A 43992-2022")</f>
        <v/>
      </c>
      <c r="W144">
        <f>HYPERLINK("https://klasma.github.io/Logging_0382/klagomålsmail/A 43992-2022 FSC-klagomål mail.docx", "A 43992-2022")</f>
        <v/>
      </c>
      <c r="X144">
        <f>HYPERLINK("https://klasma.github.io/Logging_0382/tillsyn/A 43992-2022 tillsynsbegäran.docx", "A 43992-2022")</f>
        <v/>
      </c>
      <c r="Y144">
        <f>HYPERLINK("https://klasma.github.io/Logging_0382/tillsynsmail/A 43992-2022 tillsynsbegäran mail.docx", "A 43992-2022")</f>
        <v/>
      </c>
      <c r="Z144">
        <f>HYPERLINK("https://klasma.github.io/Logging_0382/fåglar/A 43992-2022 prioriterade fågelarter.docx", "A 43992-2022")</f>
        <v/>
      </c>
    </row>
    <row r="145" ht="15" customHeight="1">
      <c r="A145" t="inlineStr">
        <is>
          <t>A 53574-2022</t>
        </is>
      </c>
      <c r="B145" s="1" t="n">
        <v>44879</v>
      </c>
      <c r="C145" s="1" t="n">
        <v>45705</v>
      </c>
      <c r="D145" t="inlineStr">
        <is>
          <t>UPPSALA LÄN</t>
        </is>
      </c>
      <c r="E145" t="inlineStr">
        <is>
          <t>UPPSALA</t>
        </is>
      </c>
      <c r="G145" t="n">
        <v>19.2</v>
      </c>
      <c r="H145" t="n">
        <v>1</v>
      </c>
      <c r="I145" t="n">
        <v>4</v>
      </c>
      <c r="J145" t="n">
        <v>1</v>
      </c>
      <c r="K145" t="n">
        <v>0</v>
      </c>
      <c r="L145" t="n">
        <v>0</v>
      </c>
      <c r="M145" t="n">
        <v>0</v>
      </c>
      <c r="N145" t="n">
        <v>0</v>
      </c>
      <c r="O145" t="n">
        <v>1</v>
      </c>
      <c r="P145" t="n">
        <v>0</v>
      </c>
      <c r="Q145" t="n">
        <v>5</v>
      </c>
      <c r="R145" s="2" t="inlineStr">
        <is>
          <t>Ullticka
Fällmossa
Grön sköldmossa
Korallblylav
Stuplav</t>
        </is>
      </c>
      <c r="S145">
        <f>HYPERLINK("https://klasma.github.io/Logging_0380/artfynd/A 53574-2022 artfynd.xlsx", "A 53574-2022")</f>
        <v/>
      </c>
      <c r="T145">
        <f>HYPERLINK("https://klasma.github.io/Logging_0380/kartor/A 53574-2022 karta.png", "A 53574-2022")</f>
        <v/>
      </c>
      <c r="V145">
        <f>HYPERLINK("https://klasma.github.io/Logging_0380/klagomål/A 53574-2022 FSC-klagomål.docx", "A 53574-2022")</f>
        <v/>
      </c>
      <c r="W145">
        <f>HYPERLINK("https://klasma.github.io/Logging_0380/klagomålsmail/A 53574-2022 FSC-klagomål mail.docx", "A 53574-2022")</f>
        <v/>
      </c>
      <c r="X145">
        <f>HYPERLINK("https://klasma.github.io/Logging_0380/tillsyn/A 53574-2022 tillsynsbegäran.docx", "A 53574-2022")</f>
        <v/>
      </c>
      <c r="Y145">
        <f>HYPERLINK("https://klasma.github.io/Logging_0380/tillsynsmail/A 53574-2022 tillsynsbegäran mail.docx", "A 53574-2022")</f>
        <v/>
      </c>
    </row>
    <row r="146" ht="15" customHeight="1">
      <c r="A146" t="inlineStr">
        <is>
          <t>A 60284-2022</t>
        </is>
      </c>
      <c r="B146" s="1" t="n">
        <v>44910</v>
      </c>
      <c r="C146" s="1" t="n">
        <v>45705</v>
      </c>
      <c r="D146" t="inlineStr">
        <is>
          <t>UPPSALA LÄN</t>
        </is>
      </c>
      <c r="E146" t="inlineStr">
        <is>
          <t>ENKÖPING</t>
        </is>
      </c>
      <c r="G146" t="n">
        <v>2.9</v>
      </c>
      <c r="H146" t="n">
        <v>2</v>
      </c>
      <c r="I146" t="n">
        <v>4</v>
      </c>
      <c r="J146" t="n">
        <v>0</v>
      </c>
      <c r="K146" t="n">
        <v>0</v>
      </c>
      <c r="L146" t="n">
        <v>0</v>
      </c>
      <c r="M146" t="n">
        <v>0</v>
      </c>
      <c r="N146" t="n">
        <v>0</v>
      </c>
      <c r="O146" t="n">
        <v>0</v>
      </c>
      <c r="P146" t="n">
        <v>0</v>
      </c>
      <c r="Q146" t="n">
        <v>5</v>
      </c>
      <c r="R146" s="2" t="inlineStr">
        <is>
          <t>Fjällig taggsvamp s.str.
Nästrot
Olivspindling
Strimspindling
Gullviva</t>
        </is>
      </c>
      <c r="S146">
        <f>HYPERLINK("https://klasma.github.io/Logging_0381/artfynd/A 60284-2022 artfynd.xlsx", "A 60284-2022")</f>
        <v/>
      </c>
      <c r="T146">
        <f>HYPERLINK("https://klasma.github.io/Logging_0381/kartor/A 60284-2022 karta.png", "A 60284-2022")</f>
        <v/>
      </c>
      <c r="V146">
        <f>HYPERLINK("https://klasma.github.io/Logging_0381/klagomål/A 60284-2022 FSC-klagomål.docx", "A 60284-2022")</f>
        <v/>
      </c>
      <c r="W146">
        <f>HYPERLINK("https://klasma.github.io/Logging_0381/klagomålsmail/A 60284-2022 FSC-klagomål mail.docx", "A 60284-2022")</f>
        <v/>
      </c>
      <c r="X146">
        <f>HYPERLINK("https://klasma.github.io/Logging_0381/tillsyn/A 60284-2022 tillsynsbegäran.docx", "A 60284-2022")</f>
        <v/>
      </c>
      <c r="Y146">
        <f>HYPERLINK("https://klasma.github.io/Logging_0381/tillsynsmail/A 60284-2022 tillsynsbegäran mail.docx", "A 60284-2022")</f>
        <v/>
      </c>
    </row>
    <row r="147" ht="15" customHeight="1">
      <c r="A147" t="inlineStr">
        <is>
          <t>A 61139-2022</t>
        </is>
      </c>
      <c r="B147" s="1" t="n">
        <v>44915</v>
      </c>
      <c r="C147" s="1" t="n">
        <v>45705</v>
      </c>
      <c r="D147" t="inlineStr">
        <is>
          <t>UPPSALA LÄN</t>
        </is>
      </c>
      <c r="E147" t="inlineStr">
        <is>
          <t>HEBY</t>
        </is>
      </c>
      <c r="G147" t="n">
        <v>2</v>
      </c>
      <c r="H147" t="n">
        <v>1</v>
      </c>
      <c r="I147" t="n">
        <v>3</v>
      </c>
      <c r="J147" t="n">
        <v>1</v>
      </c>
      <c r="K147" t="n">
        <v>0</v>
      </c>
      <c r="L147" t="n">
        <v>0</v>
      </c>
      <c r="M147" t="n">
        <v>0</v>
      </c>
      <c r="N147" t="n">
        <v>0</v>
      </c>
      <c r="O147" t="n">
        <v>1</v>
      </c>
      <c r="P147" t="n">
        <v>0</v>
      </c>
      <c r="Q147" t="n">
        <v>5</v>
      </c>
      <c r="R147" s="2" t="inlineStr">
        <is>
          <t>Grönhjon
Björksplintborre
Jättesvampmal
Noshornsoxe
Blåsippa</t>
        </is>
      </c>
      <c r="S147">
        <f>HYPERLINK("https://klasma.github.io/Logging_0331/artfynd/A 61139-2022 artfynd.xlsx", "A 61139-2022")</f>
        <v/>
      </c>
      <c r="T147">
        <f>HYPERLINK("https://klasma.github.io/Logging_0331/kartor/A 61139-2022 karta.png", "A 61139-2022")</f>
        <v/>
      </c>
      <c r="V147">
        <f>HYPERLINK("https://klasma.github.io/Logging_0331/klagomål/A 61139-2022 FSC-klagomål.docx", "A 61139-2022")</f>
        <v/>
      </c>
      <c r="W147">
        <f>HYPERLINK("https://klasma.github.io/Logging_0331/klagomålsmail/A 61139-2022 FSC-klagomål mail.docx", "A 61139-2022")</f>
        <v/>
      </c>
      <c r="X147">
        <f>HYPERLINK("https://klasma.github.io/Logging_0331/tillsyn/A 61139-2022 tillsynsbegäran.docx", "A 61139-2022")</f>
        <v/>
      </c>
      <c r="Y147">
        <f>HYPERLINK("https://klasma.github.io/Logging_0331/tillsynsmail/A 61139-2022 tillsynsbegäran mail.docx", "A 61139-2022")</f>
        <v/>
      </c>
    </row>
    <row r="148" ht="15" customHeight="1">
      <c r="A148" t="inlineStr">
        <is>
          <t>A 62169-2022</t>
        </is>
      </c>
      <c r="B148" s="1" t="n">
        <v>44922</v>
      </c>
      <c r="C148" s="1" t="n">
        <v>45705</v>
      </c>
      <c r="D148" t="inlineStr">
        <is>
          <t>UPPSALA LÄN</t>
        </is>
      </c>
      <c r="E148" t="inlineStr">
        <is>
          <t>UPPSALA</t>
        </is>
      </c>
      <c r="G148" t="n">
        <v>19.6</v>
      </c>
      <c r="H148" t="n">
        <v>2</v>
      </c>
      <c r="I148" t="n">
        <v>2</v>
      </c>
      <c r="J148" t="n">
        <v>1</v>
      </c>
      <c r="K148" t="n">
        <v>1</v>
      </c>
      <c r="L148" t="n">
        <v>0</v>
      </c>
      <c r="M148" t="n">
        <v>0</v>
      </c>
      <c r="N148" t="n">
        <v>0</v>
      </c>
      <c r="O148" t="n">
        <v>2</v>
      </c>
      <c r="P148" t="n">
        <v>1</v>
      </c>
      <c r="Q148" t="n">
        <v>5</v>
      </c>
      <c r="R148" s="2" t="inlineStr">
        <is>
          <t>Knärot
Tallticka
Björksplintborre
Kamjordstjärna
Revlummer</t>
        </is>
      </c>
      <c r="S148">
        <f>HYPERLINK("https://klasma.github.io/Logging_0380/artfynd/A 62169-2022 artfynd.xlsx", "A 62169-2022")</f>
        <v/>
      </c>
      <c r="T148">
        <f>HYPERLINK("https://klasma.github.io/Logging_0380/kartor/A 62169-2022 karta.png", "A 62169-2022")</f>
        <v/>
      </c>
      <c r="U148">
        <f>HYPERLINK("https://klasma.github.io/Logging_0380/knärot/A 62169-2022 karta knärot.png", "A 62169-2022")</f>
        <v/>
      </c>
      <c r="V148">
        <f>HYPERLINK("https://klasma.github.io/Logging_0380/klagomål/A 62169-2022 FSC-klagomål.docx", "A 62169-2022")</f>
        <v/>
      </c>
      <c r="W148">
        <f>HYPERLINK("https://klasma.github.io/Logging_0380/klagomålsmail/A 62169-2022 FSC-klagomål mail.docx", "A 62169-2022")</f>
        <v/>
      </c>
      <c r="X148">
        <f>HYPERLINK("https://klasma.github.io/Logging_0380/tillsyn/A 62169-2022 tillsynsbegäran.docx", "A 62169-2022")</f>
        <v/>
      </c>
      <c r="Y148">
        <f>HYPERLINK("https://klasma.github.io/Logging_0380/tillsynsmail/A 62169-2022 tillsynsbegäran mail.docx", "A 62169-2022")</f>
        <v/>
      </c>
    </row>
    <row r="149" ht="15" customHeight="1">
      <c r="A149" t="inlineStr">
        <is>
          <t>A 3511-2023</t>
        </is>
      </c>
      <c r="B149" s="1" t="n">
        <v>44950</v>
      </c>
      <c r="C149" s="1" t="n">
        <v>45705</v>
      </c>
      <c r="D149" t="inlineStr">
        <is>
          <t>UPPSALA LÄN</t>
        </is>
      </c>
      <c r="E149" t="inlineStr">
        <is>
          <t>TIERP</t>
        </is>
      </c>
      <c r="F149" t="inlineStr">
        <is>
          <t>Bergvik skog öst AB</t>
        </is>
      </c>
      <c r="G149" t="n">
        <v>20.5</v>
      </c>
      <c r="H149" t="n">
        <v>3</v>
      </c>
      <c r="I149" t="n">
        <v>2</v>
      </c>
      <c r="J149" t="n">
        <v>0</v>
      </c>
      <c r="K149" t="n">
        <v>0</v>
      </c>
      <c r="L149" t="n">
        <v>0</v>
      </c>
      <c r="M149" t="n">
        <v>0</v>
      </c>
      <c r="N149" t="n">
        <v>0</v>
      </c>
      <c r="O149" t="n">
        <v>0</v>
      </c>
      <c r="P149" t="n">
        <v>0</v>
      </c>
      <c r="Q149" t="n">
        <v>5</v>
      </c>
      <c r="R149" s="2" t="inlineStr">
        <is>
          <t>Rödgul trumpetsvamp
Tibast
Tjäder
Blåsippa
Revlummer</t>
        </is>
      </c>
      <c r="S149">
        <f>HYPERLINK("https://klasma.github.io/Logging_0360/artfynd/A 3511-2023 artfynd.xlsx", "A 3511-2023")</f>
        <v/>
      </c>
      <c r="T149">
        <f>HYPERLINK("https://klasma.github.io/Logging_0360/kartor/A 3511-2023 karta.png", "A 3511-2023")</f>
        <v/>
      </c>
      <c r="V149">
        <f>HYPERLINK("https://klasma.github.io/Logging_0360/klagomål/A 3511-2023 FSC-klagomål.docx", "A 3511-2023")</f>
        <v/>
      </c>
      <c r="W149">
        <f>HYPERLINK("https://klasma.github.io/Logging_0360/klagomålsmail/A 3511-2023 FSC-klagomål mail.docx", "A 3511-2023")</f>
        <v/>
      </c>
      <c r="X149">
        <f>HYPERLINK("https://klasma.github.io/Logging_0360/tillsyn/A 3511-2023 tillsynsbegäran.docx", "A 3511-2023")</f>
        <v/>
      </c>
      <c r="Y149">
        <f>HYPERLINK("https://klasma.github.io/Logging_0360/tillsynsmail/A 3511-2023 tillsynsbegäran mail.docx", "A 3511-2023")</f>
        <v/>
      </c>
      <c r="Z149">
        <f>HYPERLINK("https://klasma.github.io/Logging_0360/fåglar/A 3511-2023 prioriterade fågelarter.docx", "A 3511-2023")</f>
        <v/>
      </c>
    </row>
    <row r="150" ht="15" customHeight="1">
      <c r="A150" t="inlineStr">
        <is>
          <t>A 7125-2023</t>
        </is>
      </c>
      <c r="B150" s="1" t="n">
        <v>44970</v>
      </c>
      <c r="C150" s="1" t="n">
        <v>45705</v>
      </c>
      <c r="D150" t="inlineStr">
        <is>
          <t>UPPSALA LÄN</t>
        </is>
      </c>
      <c r="E150" t="inlineStr">
        <is>
          <t>TIERP</t>
        </is>
      </c>
      <c r="F150" t="inlineStr">
        <is>
          <t>Bergvik skog öst AB</t>
        </is>
      </c>
      <c r="G150" t="n">
        <v>23.2</v>
      </c>
      <c r="H150" t="n">
        <v>4</v>
      </c>
      <c r="I150" t="n">
        <v>2</v>
      </c>
      <c r="J150" t="n">
        <v>0</v>
      </c>
      <c r="K150" t="n">
        <v>1</v>
      </c>
      <c r="L150" t="n">
        <v>0</v>
      </c>
      <c r="M150" t="n">
        <v>0</v>
      </c>
      <c r="N150" t="n">
        <v>0</v>
      </c>
      <c r="O150" t="n">
        <v>1</v>
      </c>
      <c r="P150" t="n">
        <v>1</v>
      </c>
      <c r="Q150" t="n">
        <v>5</v>
      </c>
      <c r="R150" s="2" t="inlineStr">
        <is>
          <t>Knärot
Rödgul trumpetsvamp
Skogsknipprot
Blåsippa
Revlummer</t>
        </is>
      </c>
      <c r="S150">
        <f>HYPERLINK("https://klasma.github.io/Logging_0360/artfynd/A 7125-2023 artfynd.xlsx", "A 7125-2023")</f>
        <v/>
      </c>
      <c r="T150">
        <f>HYPERLINK("https://klasma.github.io/Logging_0360/kartor/A 7125-2023 karta.png", "A 7125-2023")</f>
        <v/>
      </c>
      <c r="U150">
        <f>HYPERLINK("https://klasma.github.io/Logging_0360/knärot/A 7125-2023 karta knärot.png", "A 7125-2023")</f>
        <v/>
      </c>
      <c r="V150">
        <f>HYPERLINK("https://klasma.github.io/Logging_0360/klagomål/A 7125-2023 FSC-klagomål.docx", "A 7125-2023")</f>
        <v/>
      </c>
      <c r="W150">
        <f>HYPERLINK("https://klasma.github.io/Logging_0360/klagomålsmail/A 7125-2023 FSC-klagomål mail.docx", "A 7125-2023")</f>
        <v/>
      </c>
      <c r="X150">
        <f>HYPERLINK("https://klasma.github.io/Logging_0360/tillsyn/A 7125-2023 tillsynsbegäran.docx", "A 7125-2023")</f>
        <v/>
      </c>
      <c r="Y150">
        <f>HYPERLINK("https://klasma.github.io/Logging_0360/tillsynsmail/A 7125-2023 tillsynsbegäran mail.docx", "A 7125-2023")</f>
        <v/>
      </c>
    </row>
    <row r="151" ht="15" customHeight="1">
      <c r="A151" t="inlineStr">
        <is>
          <t>A 9422-2023</t>
        </is>
      </c>
      <c r="B151" s="1" t="n">
        <v>44977</v>
      </c>
      <c r="C151" s="1" t="n">
        <v>45705</v>
      </c>
      <c r="D151" t="inlineStr">
        <is>
          <t>UPPSALA LÄN</t>
        </is>
      </c>
      <c r="E151" t="inlineStr">
        <is>
          <t>UPPSALA</t>
        </is>
      </c>
      <c r="G151" t="n">
        <v>4.5</v>
      </c>
      <c r="H151" t="n">
        <v>0</v>
      </c>
      <c r="I151" t="n">
        <v>5</v>
      </c>
      <c r="J151" t="n">
        <v>0</v>
      </c>
      <c r="K151" t="n">
        <v>0</v>
      </c>
      <c r="L151" t="n">
        <v>0</v>
      </c>
      <c r="M151" t="n">
        <v>0</v>
      </c>
      <c r="N151" t="n">
        <v>0</v>
      </c>
      <c r="O151" t="n">
        <v>0</v>
      </c>
      <c r="P151" t="n">
        <v>0</v>
      </c>
      <c r="Q151" t="n">
        <v>5</v>
      </c>
      <c r="R151" s="2" t="inlineStr">
        <is>
          <t>Anisspindling
Brun klibbskivling
Olivspindling
Skarp dropptaggsvamp
Strimspindling</t>
        </is>
      </c>
      <c r="S151">
        <f>HYPERLINK("https://klasma.github.io/Logging_0380/artfynd/A 9422-2023 artfynd.xlsx", "A 9422-2023")</f>
        <v/>
      </c>
      <c r="T151">
        <f>HYPERLINK("https://klasma.github.io/Logging_0380/kartor/A 9422-2023 karta.png", "A 9422-2023")</f>
        <v/>
      </c>
      <c r="V151">
        <f>HYPERLINK("https://klasma.github.io/Logging_0380/klagomål/A 9422-2023 FSC-klagomål.docx", "A 9422-2023")</f>
        <v/>
      </c>
      <c r="W151">
        <f>HYPERLINK("https://klasma.github.io/Logging_0380/klagomålsmail/A 9422-2023 FSC-klagomål mail.docx", "A 9422-2023")</f>
        <v/>
      </c>
      <c r="X151">
        <f>HYPERLINK("https://klasma.github.io/Logging_0380/tillsyn/A 9422-2023 tillsynsbegäran.docx", "A 9422-2023")</f>
        <v/>
      </c>
      <c r="Y151">
        <f>HYPERLINK("https://klasma.github.io/Logging_0380/tillsynsmail/A 9422-2023 tillsynsbegäran mail.docx", "A 9422-2023")</f>
        <v/>
      </c>
    </row>
    <row r="152" ht="15" customHeight="1">
      <c r="A152" t="inlineStr">
        <is>
          <t>A 13604-2023</t>
        </is>
      </c>
      <c r="B152" s="1" t="n">
        <v>45006</v>
      </c>
      <c r="C152" s="1" t="n">
        <v>45705</v>
      </c>
      <c r="D152" t="inlineStr">
        <is>
          <t>UPPSALA LÄN</t>
        </is>
      </c>
      <c r="E152" t="inlineStr">
        <is>
          <t>ÖSTHAMMAR</t>
        </is>
      </c>
      <c r="G152" t="n">
        <v>5.7</v>
      </c>
      <c r="H152" t="n">
        <v>0</v>
      </c>
      <c r="I152" t="n">
        <v>4</v>
      </c>
      <c r="J152" t="n">
        <v>1</v>
      </c>
      <c r="K152" t="n">
        <v>0</v>
      </c>
      <c r="L152" t="n">
        <v>0</v>
      </c>
      <c r="M152" t="n">
        <v>0</v>
      </c>
      <c r="N152" t="n">
        <v>0</v>
      </c>
      <c r="O152" t="n">
        <v>1</v>
      </c>
      <c r="P152" t="n">
        <v>0</v>
      </c>
      <c r="Q152" t="n">
        <v>5</v>
      </c>
      <c r="R152" s="2" t="inlineStr">
        <is>
          <t>Odörspindling
Anisspindling
Diskvaxskivling
Olivspindling
Rödgul trumpetsvamp</t>
        </is>
      </c>
      <c r="S152">
        <f>HYPERLINK("https://klasma.github.io/Logging_0382/artfynd/A 13604-2023 artfynd.xlsx", "A 13604-2023")</f>
        <v/>
      </c>
      <c r="T152">
        <f>HYPERLINK("https://klasma.github.io/Logging_0382/kartor/A 13604-2023 karta.png", "A 13604-2023")</f>
        <v/>
      </c>
      <c r="V152">
        <f>HYPERLINK("https://klasma.github.io/Logging_0382/klagomål/A 13604-2023 FSC-klagomål.docx", "A 13604-2023")</f>
        <v/>
      </c>
      <c r="W152">
        <f>HYPERLINK("https://klasma.github.io/Logging_0382/klagomålsmail/A 13604-2023 FSC-klagomål mail.docx", "A 13604-2023")</f>
        <v/>
      </c>
      <c r="X152">
        <f>HYPERLINK("https://klasma.github.io/Logging_0382/tillsyn/A 13604-2023 tillsynsbegäran.docx", "A 13604-2023")</f>
        <v/>
      </c>
      <c r="Y152">
        <f>HYPERLINK("https://klasma.github.io/Logging_0382/tillsynsmail/A 13604-2023 tillsynsbegäran mail.docx", "A 13604-2023")</f>
        <v/>
      </c>
    </row>
    <row r="153" ht="15" customHeight="1">
      <c r="A153" t="inlineStr">
        <is>
          <t>A 17954-2023</t>
        </is>
      </c>
      <c r="B153" s="1" t="n">
        <v>45040</v>
      </c>
      <c r="C153" s="1" t="n">
        <v>45705</v>
      </c>
      <c r="D153" t="inlineStr">
        <is>
          <t>UPPSALA LÄN</t>
        </is>
      </c>
      <c r="E153" t="inlineStr">
        <is>
          <t>TIERP</t>
        </is>
      </c>
      <c r="G153" t="n">
        <v>8.199999999999999</v>
      </c>
      <c r="H153" t="n">
        <v>0</v>
      </c>
      <c r="I153" t="n">
        <v>2</v>
      </c>
      <c r="J153" t="n">
        <v>1</v>
      </c>
      <c r="K153" t="n">
        <v>2</v>
      </c>
      <c r="L153" t="n">
        <v>0</v>
      </c>
      <c r="M153" t="n">
        <v>0</v>
      </c>
      <c r="N153" t="n">
        <v>0</v>
      </c>
      <c r="O153" t="n">
        <v>3</v>
      </c>
      <c r="P153" t="n">
        <v>2</v>
      </c>
      <c r="Q153" t="n">
        <v>5</v>
      </c>
      <c r="R153" s="2" t="inlineStr">
        <is>
          <t>Duvspindling
Taggfingersvamp
Äggspindling
Anisspindling
Olivspindling</t>
        </is>
      </c>
      <c r="S153">
        <f>HYPERLINK("https://klasma.github.io/Logging_0360/artfynd/A 17954-2023 artfynd.xlsx", "A 17954-2023")</f>
        <v/>
      </c>
      <c r="T153">
        <f>HYPERLINK("https://klasma.github.io/Logging_0360/kartor/A 17954-2023 karta.png", "A 17954-2023")</f>
        <v/>
      </c>
      <c r="V153">
        <f>HYPERLINK("https://klasma.github.io/Logging_0360/klagomål/A 17954-2023 FSC-klagomål.docx", "A 17954-2023")</f>
        <v/>
      </c>
      <c r="W153">
        <f>HYPERLINK("https://klasma.github.io/Logging_0360/klagomålsmail/A 17954-2023 FSC-klagomål mail.docx", "A 17954-2023")</f>
        <v/>
      </c>
      <c r="X153">
        <f>HYPERLINK("https://klasma.github.io/Logging_0360/tillsyn/A 17954-2023 tillsynsbegäran.docx", "A 17954-2023")</f>
        <v/>
      </c>
      <c r="Y153">
        <f>HYPERLINK("https://klasma.github.io/Logging_0360/tillsynsmail/A 17954-2023 tillsynsbegäran mail.docx", "A 17954-2023")</f>
        <v/>
      </c>
    </row>
    <row r="154" ht="15" customHeight="1">
      <c r="A154" t="inlineStr">
        <is>
          <t>A 23498-2023</t>
        </is>
      </c>
      <c r="B154" s="1" t="n">
        <v>45076</v>
      </c>
      <c r="C154" s="1" t="n">
        <v>45705</v>
      </c>
      <c r="D154" t="inlineStr">
        <is>
          <t>UPPSALA LÄN</t>
        </is>
      </c>
      <c r="E154" t="inlineStr">
        <is>
          <t>ÖSTHAMMAR</t>
        </is>
      </c>
      <c r="F154" t="inlineStr">
        <is>
          <t>Sveaskog</t>
        </is>
      </c>
      <c r="G154" t="n">
        <v>1.4</v>
      </c>
      <c r="H154" t="n">
        <v>5</v>
      </c>
      <c r="I154" t="n">
        <v>0</v>
      </c>
      <c r="J154" t="n">
        <v>3</v>
      </c>
      <c r="K154" t="n">
        <v>1</v>
      </c>
      <c r="L154" t="n">
        <v>1</v>
      </c>
      <c r="M154" t="n">
        <v>0</v>
      </c>
      <c r="N154" t="n">
        <v>0</v>
      </c>
      <c r="O154" t="n">
        <v>5</v>
      </c>
      <c r="P154" t="n">
        <v>2</v>
      </c>
      <c r="Q154" t="n">
        <v>5</v>
      </c>
      <c r="R154" s="2" t="inlineStr">
        <is>
          <t>Grönfink
Gråtrut
Gulsparv
Svartvit flugsnappare
Talltita</t>
        </is>
      </c>
      <c r="S154">
        <f>HYPERLINK("https://klasma.github.io/Logging_0382/artfynd/A 23498-2023 artfynd.xlsx", "A 23498-2023")</f>
        <v/>
      </c>
      <c r="T154">
        <f>HYPERLINK("https://klasma.github.io/Logging_0382/kartor/A 23498-2023 karta.png", "A 23498-2023")</f>
        <v/>
      </c>
      <c r="V154">
        <f>HYPERLINK("https://klasma.github.io/Logging_0382/klagomål/A 23498-2023 FSC-klagomål.docx", "A 23498-2023")</f>
        <v/>
      </c>
      <c r="W154">
        <f>HYPERLINK("https://klasma.github.io/Logging_0382/klagomålsmail/A 23498-2023 FSC-klagomål mail.docx", "A 23498-2023")</f>
        <v/>
      </c>
      <c r="X154">
        <f>HYPERLINK("https://klasma.github.io/Logging_0382/tillsyn/A 23498-2023 tillsynsbegäran.docx", "A 23498-2023")</f>
        <v/>
      </c>
      <c r="Y154">
        <f>HYPERLINK("https://klasma.github.io/Logging_0382/tillsynsmail/A 23498-2023 tillsynsbegäran mail.docx", "A 23498-2023")</f>
        <v/>
      </c>
      <c r="Z154">
        <f>HYPERLINK("https://klasma.github.io/Logging_0382/fåglar/A 23498-2023 prioriterade fågelarter.docx", "A 23498-2023")</f>
        <v/>
      </c>
    </row>
    <row r="155" ht="15" customHeight="1">
      <c r="A155" t="inlineStr">
        <is>
          <t>A 27625-2023</t>
        </is>
      </c>
      <c r="B155" s="1" t="n">
        <v>45097</v>
      </c>
      <c r="C155" s="1" t="n">
        <v>45705</v>
      </c>
      <c r="D155" t="inlineStr">
        <is>
          <t>UPPSALA LÄN</t>
        </is>
      </c>
      <c r="E155" t="inlineStr">
        <is>
          <t>UPPSALA</t>
        </is>
      </c>
      <c r="G155" t="n">
        <v>6</v>
      </c>
      <c r="H155" t="n">
        <v>4</v>
      </c>
      <c r="I155" t="n">
        <v>1</v>
      </c>
      <c r="J155" t="n">
        <v>1</v>
      </c>
      <c r="K155" t="n">
        <v>0</v>
      </c>
      <c r="L155" t="n">
        <v>0</v>
      </c>
      <c r="M155" t="n">
        <v>0</v>
      </c>
      <c r="N155" t="n">
        <v>0</v>
      </c>
      <c r="O155" t="n">
        <v>1</v>
      </c>
      <c r="P155" t="n">
        <v>0</v>
      </c>
      <c r="Q155" t="n">
        <v>5</v>
      </c>
      <c r="R155" s="2" t="inlineStr">
        <is>
          <t>Spillkråka
Fällmossa
Gröngöling
Skogsödla
Blåsippa</t>
        </is>
      </c>
      <c r="S155">
        <f>HYPERLINK("https://klasma.github.io/Logging_0380/artfynd/A 27625-2023 artfynd.xlsx", "A 27625-2023")</f>
        <v/>
      </c>
      <c r="T155">
        <f>HYPERLINK("https://klasma.github.io/Logging_0380/kartor/A 27625-2023 karta.png", "A 27625-2023")</f>
        <v/>
      </c>
      <c r="V155">
        <f>HYPERLINK("https://klasma.github.io/Logging_0380/klagomål/A 27625-2023 FSC-klagomål.docx", "A 27625-2023")</f>
        <v/>
      </c>
      <c r="W155">
        <f>HYPERLINK("https://klasma.github.io/Logging_0380/klagomålsmail/A 27625-2023 FSC-klagomål mail.docx", "A 27625-2023")</f>
        <v/>
      </c>
      <c r="X155">
        <f>HYPERLINK("https://klasma.github.io/Logging_0380/tillsyn/A 27625-2023 tillsynsbegäran.docx", "A 27625-2023")</f>
        <v/>
      </c>
      <c r="Y155">
        <f>HYPERLINK("https://klasma.github.io/Logging_0380/tillsynsmail/A 27625-2023 tillsynsbegäran mail.docx", "A 27625-2023")</f>
        <v/>
      </c>
      <c r="Z155">
        <f>HYPERLINK("https://klasma.github.io/Logging_0380/fåglar/A 27625-2023 prioriterade fågelarter.docx", "A 27625-2023")</f>
        <v/>
      </c>
    </row>
    <row r="156" ht="15" customHeight="1">
      <c r="A156" t="inlineStr">
        <is>
          <t>A 28211-2023</t>
        </is>
      </c>
      <c r="B156" s="1" t="n">
        <v>45099</v>
      </c>
      <c r="C156" s="1" t="n">
        <v>45705</v>
      </c>
      <c r="D156" t="inlineStr">
        <is>
          <t>UPPSALA LÄN</t>
        </is>
      </c>
      <c r="E156" t="inlineStr">
        <is>
          <t>ÖSTHAMMAR</t>
        </is>
      </c>
      <c r="G156" t="n">
        <v>3.2</v>
      </c>
      <c r="H156" t="n">
        <v>5</v>
      </c>
      <c r="I156" t="n">
        <v>0</v>
      </c>
      <c r="J156" t="n">
        <v>1</v>
      </c>
      <c r="K156" t="n">
        <v>2</v>
      </c>
      <c r="L156" t="n">
        <v>2</v>
      </c>
      <c r="M156" t="n">
        <v>0</v>
      </c>
      <c r="N156" t="n">
        <v>0</v>
      </c>
      <c r="O156" t="n">
        <v>5</v>
      </c>
      <c r="P156" t="n">
        <v>4</v>
      </c>
      <c r="Q156" t="n">
        <v>5</v>
      </c>
      <c r="R156" s="2" t="inlineStr">
        <is>
          <t>Ejder
Grönfink
Havstrut
Kricka
Rödvingetrast</t>
        </is>
      </c>
      <c r="S156">
        <f>HYPERLINK("https://klasma.github.io/Logging_0382/artfynd/A 28211-2023 artfynd.xlsx", "A 28211-2023")</f>
        <v/>
      </c>
      <c r="T156">
        <f>HYPERLINK("https://klasma.github.io/Logging_0382/kartor/A 28211-2023 karta.png", "A 28211-2023")</f>
        <v/>
      </c>
      <c r="V156">
        <f>HYPERLINK("https://klasma.github.io/Logging_0382/klagomål/A 28211-2023 FSC-klagomål.docx", "A 28211-2023")</f>
        <v/>
      </c>
      <c r="W156">
        <f>HYPERLINK("https://klasma.github.io/Logging_0382/klagomålsmail/A 28211-2023 FSC-klagomål mail.docx", "A 28211-2023")</f>
        <v/>
      </c>
      <c r="X156">
        <f>HYPERLINK("https://klasma.github.io/Logging_0382/tillsyn/A 28211-2023 tillsynsbegäran.docx", "A 28211-2023")</f>
        <v/>
      </c>
      <c r="Y156">
        <f>HYPERLINK("https://klasma.github.io/Logging_0382/tillsynsmail/A 28211-2023 tillsynsbegäran mail.docx", "A 28211-2023")</f>
        <v/>
      </c>
      <c r="Z156">
        <f>HYPERLINK("https://klasma.github.io/Logging_0382/fåglar/A 28211-2023 prioriterade fågelarter.docx", "A 28211-2023")</f>
        <v/>
      </c>
    </row>
    <row r="157" ht="15" customHeight="1">
      <c r="A157" t="inlineStr">
        <is>
          <t>A 29803-2023</t>
        </is>
      </c>
      <c r="B157" s="1" t="n">
        <v>45107</v>
      </c>
      <c r="C157" s="1" t="n">
        <v>45705</v>
      </c>
      <c r="D157" t="inlineStr">
        <is>
          <t>UPPSALA LÄN</t>
        </is>
      </c>
      <c r="E157" t="inlineStr">
        <is>
          <t>UPPSALA</t>
        </is>
      </c>
      <c r="G157" t="n">
        <v>2.5</v>
      </c>
      <c r="H157" t="n">
        <v>0</v>
      </c>
      <c r="I157" t="n">
        <v>3</v>
      </c>
      <c r="J157" t="n">
        <v>2</v>
      </c>
      <c r="K157" t="n">
        <v>0</v>
      </c>
      <c r="L157" t="n">
        <v>0</v>
      </c>
      <c r="M157" t="n">
        <v>0</v>
      </c>
      <c r="N157" t="n">
        <v>0</v>
      </c>
      <c r="O157" t="n">
        <v>2</v>
      </c>
      <c r="P157" t="n">
        <v>0</v>
      </c>
      <c r="Q157" t="n">
        <v>5</v>
      </c>
      <c r="R157" s="2" t="inlineStr">
        <is>
          <t>Barrviolspindling
Flattoppad klubbsvamp
Blomkålssvamp
Fjällig taggsvamp s.str.
Svavelriska</t>
        </is>
      </c>
      <c r="S157">
        <f>HYPERLINK("https://klasma.github.io/Logging_0380/artfynd/A 29803-2023 artfynd.xlsx", "A 29803-2023")</f>
        <v/>
      </c>
      <c r="T157">
        <f>HYPERLINK("https://klasma.github.io/Logging_0380/kartor/A 29803-2023 karta.png", "A 29803-2023")</f>
        <v/>
      </c>
      <c r="V157">
        <f>HYPERLINK("https://klasma.github.io/Logging_0380/klagomål/A 29803-2023 FSC-klagomål.docx", "A 29803-2023")</f>
        <v/>
      </c>
      <c r="W157">
        <f>HYPERLINK("https://klasma.github.io/Logging_0380/klagomålsmail/A 29803-2023 FSC-klagomål mail.docx", "A 29803-2023")</f>
        <v/>
      </c>
      <c r="X157">
        <f>HYPERLINK("https://klasma.github.io/Logging_0380/tillsyn/A 29803-2023 tillsynsbegäran.docx", "A 29803-2023")</f>
        <v/>
      </c>
      <c r="Y157">
        <f>HYPERLINK("https://klasma.github.io/Logging_0380/tillsynsmail/A 29803-2023 tillsynsbegäran mail.docx", "A 29803-2023")</f>
        <v/>
      </c>
    </row>
    <row r="158" ht="15" customHeight="1">
      <c r="A158" t="inlineStr">
        <is>
          <t>A 31572-2023</t>
        </is>
      </c>
      <c r="B158" s="1" t="n">
        <v>45117</v>
      </c>
      <c r="C158" s="1" t="n">
        <v>45705</v>
      </c>
      <c r="D158" t="inlineStr">
        <is>
          <t>UPPSALA LÄN</t>
        </is>
      </c>
      <c r="E158" t="inlineStr">
        <is>
          <t>HEBY</t>
        </is>
      </c>
      <c r="G158" t="n">
        <v>6.1</v>
      </c>
      <c r="H158" t="n">
        <v>2</v>
      </c>
      <c r="I158" t="n">
        <v>3</v>
      </c>
      <c r="J158" t="n">
        <v>0</v>
      </c>
      <c r="K158" t="n">
        <v>1</v>
      </c>
      <c r="L158" t="n">
        <v>0</v>
      </c>
      <c r="M158" t="n">
        <v>0</v>
      </c>
      <c r="N158" t="n">
        <v>0</v>
      </c>
      <c r="O158" t="n">
        <v>1</v>
      </c>
      <c r="P158" t="n">
        <v>1</v>
      </c>
      <c r="Q158" t="n">
        <v>5</v>
      </c>
      <c r="R158" s="2" t="inlineStr">
        <is>
          <t>Knärot
Grönpyrola
Norrlandslav
Vedticka
Fläcknycklar</t>
        </is>
      </c>
      <c r="S158">
        <f>HYPERLINK("https://klasma.github.io/Logging_0331/artfynd/A 31572-2023 artfynd.xlsx", "A 31572-2023")</f>
        <v/>
      </c>
      <c r="T158">
        <f>HYPERLINK("https://klasma.github.io/Logging_0331/kartor/A 31572-2023 karta.png", "A 31572-2023")</f>
        <v/>
      </c>
      <c r="U158">
        <f>HYPERLINK("https://klasma.github.io/Logging_0331/knärot/A 31572-2023 karta knärot.png", "A 31572-2023")</f>
        <v/>
      </c>
      <c r="V158">
        <f>HYPERLINK("https://klasma.github.io/Logging_0331/klagomål/A 31572-2023 FSC-klagomål.docx", "A 31572-2023")</f>
        <v/>
      </c>
      <c r="W158">
        <f>HYPERLINK("https://klasma.github.io/Logging_0331/klagomålsmail/A 31572-2023 FSC-klagomål mail.docx", "A 31572-2023")</f>
        <v/>
      </c>
      <c r="X158">
        <f>HYPERLINK("https://klasma.github.io/Logging_0331/tillsyn/A 31572-2023 tillsynsbegäran.docx", "A 31572-2023")</f>
        <v/>
      </c>
      <c r="Y158">
        <f>HYPERLINK("https://klasma.github.io/Logging_0331/tillsynsmail/A 31572-2023 tillsynsbegäran mail.docx", "A 31572-2023")</f>
        <v/>
      </c>
    </row>
    <row r="159" ht="15" customHeight="1">
      <c r="A159" t="inlineStr">
        <is>
          <t>A 46964-2023</t>
        </is>
      </c>
      <c r="B159" s="1" t="n">
        <v>45201</v>
      </c>
      <c r="C159" s="1" t="n">
        <v>45705</v>
      </c>
      <c r="D159" t="inlineStr">
        <is>
          <t>UPPSALA LÄN</t>
        </is>
      </c>
      <c r="E159" t="inlineStr">
        <is>
          <t>ÖSTHAMMAR</t>
        </is>
      </c>
      <c r="G159" t="n">
        <v>1.1</v>
      </c>
      <c r="H159" t="n">
        <v>0</v>
      </c>
      <c r="I159" t="n">
        <v>3</v>
      </c>
      <c r="J159" t="n">
        <v>2</v>
      </c>
      <c r="K159" t="n">
        <v>0</v>
      </c>
      <c r="L159" t="n">
        <v>0</v>
      </c>
      <c r="M159" t="n">
        <v>0</v>
      </c>
      <c r="N159" t="n">
        <v>0</v>
      </c>
      <c r="O159" t="n">
        <v>2</v>
      </c>
      <c r="P159" t="n">
        <v>0</v>
      </c>
      <c r="Q159" t="n">
        <v>5</v>
      </c>
      <c r="R159" s="2" t="inlineStr">
        <is>
          <t>Granticka
Orange taggsvamp
Anisspindling
Granbarkgnagare
Trådticka</t>
        </is>
      </c>
      <c r="S159">
        <f>HYPERLINK("https://klasma.github.io/Logging_0382/artfynd/A 46964-2023 artfynd.xlsx", "A 46964-2023")</f>
        <v/>
      </c>
      <c r="T159">
        <f>HYPERLINK("https://klasma.github.io/Logging_0382/kartor/A 46964-2023 karta.png", "A 46964-2023")</f>
        <v/>
      </c>
      <c r="V159">
        <f>HYPERLINK("https://klasma.github.io/Logging_0382/klagomål/A 46964-2023 FSC-klagomål.docx", "A 46964-2023")</f>
        <v/>
      </c>
      <c r="W159">
        <f>HYPERLINK("https://klasma.github.io/Logging_0382/klagomålsmail/A 46964-2023 FSC-klagomål mail.docx", "A 46964-2023")</f>
        <v/>
      </c>
      <c r="X159">
        <f>HYPERLINK("https://klasma.github.io/Logging_0382/tillsyn/A 46964-2023 tillsynsbegäran.docx", "A 46964-2023")</f>
        <v/>
      </c>
      <c r="Y159">
        <f>HYPERLINK("https://klasma.github.io/Logging_0382/tillsynsmail/A 46964-2023 tillsynsbegäran mail.docx", "A 46964-2023")</f>
        <v/>
      </c>
    </row>
    <row r="160" ht="15" customHeight="1">
      <c r="A160" t="inlineStr">
        <is>
          <t>A 48277-2023</t>
        </is>
      </c>
      <c r="B160" s="1" t="n">
        <v>45205</v>
      </c>
      <c r="C160" s="1" t="n">
        <v>45705</v>
      </c>
      <c r="D160" t="inlineStr">
        <is>
          <t>UPPSALA LÄN</t>
        </is>
      </c>
      <c r="E160" t="inlineStr">
        <is>
          <t>ÖSTHAMMAR</t>
        </is>
      </c>
      <c r="G160" t="n">
        <v>4.2</v>
      </c>
      <c r="H160" t="n">
        <v>1</v>
      </c>
      <c r="I160" t="n">
        <v>2</v>
      </c>
      <c r="J160" t="n">
        <v>2</v>
      </c>
      <c r="K160" t="n">
        <v>1</v>
      </c>
      <c r="L160" t="n">
        <v>0</v>
      </c>
      <c r="M160" t="n">
        <v>0</v>
      </c>
      <c r="N160" t="n">
        <v>0</v>
      </c>
      <c r="O160" t="n">
        <v>3</v>
      </c>
      <c r="P160" t="n">
        <v>1</v>
      </c>
      <c r="Q160" t="n">
        <v>5</v>
      </c>
      <c r="R160" s="2" t="inlineStr">
        <is>
          <t>Gul lammticka
Odörspindling
Svart taggsvamp
Nästrot
Zontaggsvamp</t>
        </is>
      </c>
      <c r="S160">
        <f>HYPERLINK("https://klasma.github.io/Logging_0382/artfynd/A 48277-2023 artfynd.xlsx", "A 48277-2023")</f>
        <v/>
      </c>
      <c r="T160">
        <f>HYPERLINK("https://klasma.github.io/Logging_0382/kartor/A 48277-2023 karta.png", "A 48277-2023")</f>
        <v/>
      </c>
      <c r="V160">
        <f>HYPERLINK("https://klasma.github.io/Logging_0382/klagomål/A 48277-2023 FSC-klagomål.docx", "A 48277-2023")</f>
        <v/>
      </c>
      <c r="W160">
        <f>HYPERLINK("https://klasma.github.io/Logging_0382/klagomålsmail/A 48277-2023 FSC-klagomål mail.docx", "A 48277-2023")</f>
        <v/>
      </c>
      <c r="X160">
        <f>HYPERLINK("https://klasma.github.io/Logging_0382/tillsyn/A 48277-2023 tillsynsbegäran.docx", "A 48277-2023")</f>
        <v/>
      </c>
      <c r="Y160">
        <f>HYPERLINK("https://klasma.github.io/Logging_0382/tillsynsmail/A 48277-2023 tillsynsbegäran mail.docx", "A 48277-2023")</f>
        <v/>
      </c>
    </row>
    <row r="161" ht="15" customHeight="1">
      <c r="A161" t="inlineStr">
        <is>
          <t>A 49896-2023</t>
        </is>
      </c>
      <c r="B161" s="1" t="n">
        <v>45213</v>
      </c>
      <c r="C161" s="1" t="n">
        <v>45705</v>
      </c>
      <c r="D161" t="inlineStr">
        <is>
          <t>UPPSALA LÄN</t>
        </is>
      </c>
      <c r="E161" t="inlineStr">
        <is>
          <t>KNIVSTA</t>
        </is>
      </c>
      <c r="G161" t="n">
        <v>4.8</v>
      </c>
      <c r="H161" t="n">
        <v>5</v>
      </c>
      <c r="I161" t="n">
        <v>0</v>
      </c>
      <c r="J161" t="n">
        <v>2</v>
      </c>
      <c r="K161" t="n">
        <v>0</v>
      </c>
      <c r="L161" t="n">
        <v>0</v>
      </c>
      <c r="M161" t="n">
        <v>0</v>
      </c>
      <c r="N161" t="n">
        <v>0</v>
      </c>
      <c r="O161" t="n">
        <v>2</v>
      </c>
      <c r="P161" t="n">
        <v>0</v>
      </c>
      <c r="Q161" t="n">
        <v>5</v>
      </c>
      <c r="R161" s="2" t="inlineStr">
        <is>
          <t>Gulsparv
Talltita
Grönsiska
Järnsparv
Kungsfågel</t>
        </is>
      </c>
      <c r="S161">
        <f>HYPERLINK("https://klasma.github.io/Logging_0330/artfynd/A 49896-2023 artfynd.xlsx", "A 49896-2023")</f>
        <v/>
      </c>
      <c r="T161">
        <f>HYPERLINK("https://klasma.github.io/Logging_0330/kartor/A 49896-2023 karta.png", "A 49896-2023")</f>
        <v/>
      </c>
      <c r="V161">
        <f>HYPERLINK("https://klasma.github.io/Logging_0330/klagomål/A 49896-2023 FSC-klagomål.docx", "A 49896-2023")</f>
        <v/>
      </c>
      <c r="W161">
        <f>HYPERLINK("https://klasma.github.io/Logging_0330/klagomålsmail/A 49896-2023 FSC-klagomål mail.docx", "A 49896-2023")</f>
        <v/>
      </c>
      <c r="X161">
        <f>HYPERLINK("https://klasma.github.io/Logging_0330/tillsyn/A 49896-2023 tillsynsbegäran.docx", "A 49896-2023")</f>
        <v/>
      </c>
      <c r="Y161">
        <f>HYPERLINK("https://klasma.github.io/Logging_0330/tillsynsmail/A 49896-2023 tillsynsbegäran mail.docx", "A 49896-2023")</f>
        <v/>
      </c>
      <c r="Z161">
        <f>HYPERLINK("https://klasma.github.io/Logging_0330/fåglar/A 49896-2023 prioriterade fågelarter.docx", "A 49896-2023")</f>
        <v/>
      </c>
    </row>
    <row r="162" ht="15" customHeight="1">
      <c r="A162" t="inlineStr">
        <is>
          <t>A 54749-2023</t>
        </is>
      </c>
      <c r="B162" s="1" t="n">
        <v>45236</v>
      </c>
      <c r="C162" s="1" t="n">
        <v>45705</v>
      </c>
      <c r="D162" t="inlineStr">
        <is>
          <t>UPPSALA LÄN</t>
        </is>
      </c>
      <c r="E162" t="inlineStr">
        <is>
          <t>TIERP</t>
        </is>
      </c>
      <c r="G162" t="n">
        <v>4.9</v>
      </c>
      <c r="H162" t="n">
        <v>4</v>
      </c>
      <c r="I162" t="n">
        <v>0</v>
      </c>
      <c r="J162" t="n">
        <v>4</v>
      </c>
      <c r="K162" t="n">
        <v>0</v>
      </c>
      <c r="L162" t="n">
        <v>0</v>
      </c>
      <c r="M162" t="n">
        <v>0</v>
      </c>
      <c r="N162" t="n">
        <v>0</v>
      </c>
      <c r="O162" t="n">
        <v>4</v>
      </c>
      <c r="P162" t="n">
        <v>0</v>
      </c>
      <c r="Q162" t="n">
        <v>5</v>
      </c>
      <c r="R162" s="2" t="inlineStr">
        <is>
          <t>Grönsångare
Rödvingetrast
Storgröe
Svartvit flugsnappare
Blåsippa</t>
        </is>
      </c>
      <c r="S162">
        <f>HYPERLINK("https://klasma.github.io/Logging_0360/artfynd/A 54749-2023 artfynd.xlsx", "A 54749-2023")</f>
        <v/>
      </c>
      <c r="T162">
        <f>HYPERLINK("https://klasma.github.io/Logging_0360/kartor/A 54749-2023 karta.png", "A 54749-2023")</f>
        <v/>
      </c>
      <c r="V162">
        <f>HYPERLINK("https://klasma.github.io/Logging_0360/klagomål/A 54749-2023 FSC-klagomål.docx", "A 54749-2023")</f>
        <v/>
      </c>
      <c r="W162">
        <f>HYPERLINK("https://klasma.github.io/Logging_0360/klagomålsmail/A 54749-2023 FSC-klagomål mail.docx", "A 54749-2023")</f>
        <v/>
      </c>
      <c r="X162">
        <f>HYPERLINK("https://klasma.github.io/Logging_0360/tillsyn/A 54749-2023 tillsynsbegäran.docx", "A 54749-2023")</f>
        <v/>
      </c>
      <c r="Y162">
        <f>HYPERLINK("https://klasma.github.io/Logging_0360/tillsynsmail/A 54749-2023 tillsynsbegäran mail.docx", "A 54749-2023")</f>
        <v/>
      </c>
      <c r="Z162">
        <f>HYPERLINK("https://klasma.github.io/Logging_0360/fåglar/A 54749-2023 prioriterade fågelarter.docx", "A 54749-2023")</f>
        <v/>
      </c>
    </row>
    <row r="163" ht="15" customHeight="1">
      <c r="A163" t="inlineStr">
        <is>
          <t>A 56075-2023</t>
        </is>
      </c>
      <c r="B163" s="1" t="n">
        <v>45240</v>
      </c>
      <c r="C163" s="1" t="n">
        <v>45705</v>
      </c>
      <c r="D163" t="inlineStr">
        <is>
          <t>UPPSALA LÄN</t>
        </is>
      </c>
      <c r="E163" t="inlineStr">
        <is>
          <t>HEBY</t>
        </is>
      </c>
      <c r="G163" t="n">
        <v>3.8</v>
      </c>
      <c r="H163" t="n">
        <v>1</v>
      </c>
      <c r="I163" t="n">
        <v>2</v>
      </c>
      <c r="J163" t="n">
        <v>2</v>
      </c>
      <c r="K163" t="n">
        <v>0</v>
      </c>
      <c r="L163" t="n">
        <v>0</v>
      </c>
      <c r="M163" t="n">
        <v>0</v>
      </c>
      <c r="N163" t="n">
        <v>0</v>
      </c>
      <c r="O163" t="n">
        <v>2</v>
      </c>
      <c r="P163" t="n">
        <v>0</v>
      </c>
      <c r="Q163" t="n">
        <v>5</v>
      </c>
      <c r="R163" s="2" t="inlineStr">
        <is>
          <t>Ullticka
Vedtrappmossa
Jättesvampmal
Rostfläck
Blåsippa</t>
        </is>
      </c>
      <c r="S163">
        <f>HYPERLINK("https://klasma.github.io/Logging_0331/artfynd/A 56075-2023 artfynd.xlsx", "A 56075-2023")</f>
        <v/>
      </c>
      <c r="T163">
        <f>HYPERLINK("https://klasma.github.io/Logging_0331/kartor/A 56075-2023 karta.png", "A 56075-2023")</f>
        <v/>
      </c>
      <c r="V163">
        <f>HYPERLINK("https://klasma.github.io/Logging_0331/klagomål/A 56075-2023 FSC-klagomål.docx", "A 56075-2023")</f>
        <v/>
      </c>
      <c r="W163">
        <f>HYPERLINK("https://klasma.github.io/Logging_0331/klagomålsmail/A 56075-2023 FSC-klagomål mail.docx", "A 56075-2023")</f>
        <v/>
      </c>
      <c r="X163">
        <f>HYPERLINK("https://klasma.github.io/Logging_0331/tillsyn/A 56075-2023 tillsynsbegäran.docx", "A 56075-2023")</f>
        <v/>
      </c>
      <c r="Y163">
        <f>HYPERLINK("https://klasma.github.io/Logging_0331/tillsynsmail/A 56075-2023 tillsynsbegäran mail.docx", "A 56075-2023")</f>
        <v/>
      </c>
    </row>
    <row r="164" ht="15" customHeight="1">
      <c r="A164" t="inlineStr">
        <is>
          <t>A 63181-2023</t>
        </is>
      </c>
      <c r="B164" s="1" t="n">
        <v>45273</v>
      </c>
      <c r="C164" s="1" t="n">
        <v>45705</v>
      </c>
      <c r="D164" t="inlineStr">
        <is>
          <t>UPPSALA LÄN</t>
        </is>
      </c>
      <c r="E164" t="inlineStr">
        <is>
          <t>UPPSALA</t>
        </is>
      </c>
      <c r="G164" t="n">
        <v>3.2</v>
      </c>
      <c r="H164" t="n">
        <v>0</v>
      </c>
      <c r="I164" t="n">
        <v>2</v>
      </c>
      <c r="J164" t="n">
        <v>3</v>
      </c>
      <c r="K164" t="n">
        <v>0</v>
      </c>
      <c r="L164" t="n">
        <v>0</v>
      </c>
      <c r="M164" t="n">
        <v>0</v>
      </c>
      <c r="N164" t="n">
        <v>0</v>
      </c>
      <c r="O164" t="n">
        <v>3</v>
      </c>
      <c r="P164" t="n">
        <v>0</v>
      </c>
      <c r="Q164" t="n">
        <v>5</v>
      </c>
      <c r="R164" s="2" t="inlineStr">
        <is>
          <t>Barrviolspindling
Harticka
Kungsspindling
Brandticka
Kamjordstjärna</t>
        </is>
      </c>
      <c r="S164">
        <f>HYPERLINK("https://klasma.github.io/Logging_0380/artfynd/A 63181-2023 artfynd.xlsx", "A 63181-2023")</f>
        <v/>
      </c>
      <c r="T164">
        <f>HYPERLINK("https://klasma.github.io/Logging_0380/kartor/A 63181-2023 karta.png", "A 63181-2023")</f>
        <v/>
      </c>
      <c r="V164">
        <f>HYPERLINK("https://klasma.github.io/Logging_0380/klagomål/A 63181-2023 FSC-klagomål.docx", "A 63181-2023")</f>
        <v/>
      </c>
      <c r="W164">
        <f>HYPERLINK("https://klasma.github.io/Logging_0380/klagomålsmail/A 63181-2023 FSC-klagomål mail.docx", "A 63181-2023")</f>
        <v/>
      </c>
      <c r="X164">
        <f>HYPERLINK("https://klasma.github.io/Logging_0380/tillsyn/A 63181-2023 tillsynsbegäran.docx", "A 63181-2023")</f>
        <v/>
      </c>
      <c r="Y164">
        <f>HYPERLINK("https://klasma.github.io/Logging_0380/tillsynsmail/A 63181-2023 tillsynsbegäran mail.docx", "A 63181-2023")</f>
        <v/>
      </c>
    </row>
    <row r="165" ht="15" customHeight="1">
      <c r="A165" t="inlineStr">
        <is>
          <t>A 3100-2024</t>
        </is>
      </c>
      <c r="B165" s="1" t="n">
        <v>45316</v>
      </c>
      <c r="C165" s="1" t="n">
        <v>45705</v>
      </c>
      <c r="D165" t="inlineStr">
        <is>
          <t>UPPSALA LÄN</t>
        </is>
      </c>
      <c r="E165" t="inlineStr">
        <is>
          <t>UPPSALA</t>
        </is>
      </c>
      <c r="F165" t="inlineStr">
        <is>
          <t>Holmen skog AB</t>
        </is>
      </c>
      <c r="G165" t="n">
        <v>3.5</v>
      </c>
      <c r="H165" t="n">
        <v>5</v>
      </c>
      <c r="I165" t="n">
        <v>1</v>
      </c>
      <c r="J165" t="n">
        <v>0</v>
      </c>
      <c r="K165" t="n">
        <v>0</v>
      </c>
      <c r="L165" t="n">
        <v>0</v>
      </c>
      <c r="M165" t="n">
        <v>0</v>
      </c>
      <c r="N165" t="n">
        <v>0</v>
      </c>
      <c r="O165" t="n">
        <v>0</v>
      </c>
      <c r="P165" t="n">
        <v>0</v>
      </c>
      <c r="Q165" t="n">
        <v>5</v>
      </c>
      <c r="R165" s="2" t="inlineStr">
        <is>
          <t>Nästrot
Grönsiska
Järnsparv
Kungsfågel
Blåsippa</t>
        </is>
      </c>
      <c r="S165">
        <f>HYPERLINK("https://klasma.github.io/Logging_0380/artfynd/A 3100-2024 artfynd.xlsx", "A 3100-2024")</f>
        <v/>
      </c>
      <c r="T165">
        <f>HYPERLINK("https://klasma.github.io/Logging_0380/kartor/A 3100-2024 karta.png", "A 3100-2024")</f>
        <v/>
      </c>
      <c r="V165">
        <f>HYPERLINK("https://klasma.github.io/Logging_0380/klagomål/A 3100-2024 FSC-klagomål.docx", "A 3100-2024")</f>
        <v/>
      </c>
      <c r="W165">
        <f>HYPERLINK("https://klasma.github.io/Logging_0380/klagomålsmail/A 3100-2024 FSC-klagomål mail.docx", "A 3100-2024")</f>
        <v/>
      </c>
      <c r="X165">
        <f>HYPERLINK("https://klasma.github.io/Logging_0380/tillsyn/A 3100-2024 tillsynsbegäran.docx", "A 3100-2024")</f>
        <v/>
      </c>
      <c r="Y165">
        <f>HYPERLINK("https://klasma.github.io/Logging_0380/tillsynsmail/A 3100-2024 tillsynsbegäran mail.docx", "A 3100-2024")</f>
        <v/>
      </c>
      <c r="Z165">
        <f>HYPERLINK("https://klasma.github.io/Logging_0380/fåglar/A 3100-2024 prioriterade fågelarter.docx", "A 3100-2024")</f>
        <v/>
      </c>
    </row>
    <row r="166" ht="15" customHeight="1">
      <c r="A166" t="inlineStr">
        <is>
          <t>A 45285-2024</t>
        </is>
      </c>
      <c r="B166" s="1" t="n">
        <v>45576</v>
      </c>
      <c r="C166" s="1" t="n">
        <v>45705</v>
      </c>
      <c r="D166" t="inlineStr">
        <is>
          <t>UPPSALA LÄN</t>
        </is>
      </c>
      <c r="E166" t="inlineStr">
        <is>
          <t>TIERP</t>
        </is>
      </c>
      <c r="G166" t="n">
        <v>13.5</v>
      </c>
      <c r="H166" t="n">
        <v>0</v>
      </c>
      <c r="I166" t="n">
        <v>1</v>
      </c>
      <c r="J166" t="n">
        <v>3</v>
      </c>
      <c r="K166" t="n">
        <v>1</v>
      </c>
      <c r="L166" t="n">
        <v>0</v>
      </c>
      <c r="M166" t="n">
        <v>0</v>
      </c>
      <c r="N166" t="n">
        <v>0</v>
      </c>
      <c r="O166" t="n">
        <v>4</v>
      </c>
      <c r="P166" t="n">
        <v>1</v>
      </c>
      <c r="Q166" t="n">
        <v>5</v>
      </c>
      <c r="R166" s="2" t="inlineStr">
        <is>
          <t>Violgubbe
Dofttaggsvamp
Persiljespindling
Slåtterfibbla
Skarp dropptaggsvamp</t>
        </is>
      </c>
      <c r="S166">
        <f>HYPERLINK("https://klasma.github.io/Logging_0360/artfynd/A 45285-2024 artfynd.xlsx", "A 45285-2024")</f>
        <v/>
      </c>
      <c r="T166">
        <f>HYPERLINK("https://klasma.github.io/Logging_0360/kartor/A 45285-2024 karta.png", "A 45285-2024")</f>
        <v/>
      </c>
      <c r="V166">
        <f>HYPERLINK("https://klasma.github.io/Logging_0360/klagomål/A 45285-2024 FSC-klagomål.docx", "A 45285-2024")</f>
        <v/>
      </c>
      <c r="W166">
        <f>HYPERLINK("https://klasma.github.io/Logging_0360/klagomålsmail/A 45285-2024 FSC-klagomål mail.docx", "A 45285-2024")</f>
        <v/>
      </c>
      <c r="X166">
        <f>HYPERLINK("https://klasma.github.io/Logging_0360/tillsyn/A 45285-2024 tillsynsbegäran.docx", "A 45285-2024")</f>
        <v/>
      </c>
      <c r="Y166">
        <f>HYPERLINK("https://klasma.github.io/Logging_0360/tillsynsmail/A 45285-2024 tillsynsbegäran mail.docx", "A 45285-2024")</f>
        <v/>
      </c>
    </row>
    <row r="167" ht="15" customHeight="1">
      <c r="A167" t="inlineStr">
        <is>
          <t>A 46718-2024</t>
        </is>
      </c>
      <c r="B167" s="1" t="n">
        <v>45583</v>
      </c>
      <c r="C167" s="1" t="n">
        <v>45705</v>
      </c>
      <c r="D167" t="inlineStr">
        <is>
          <t>UPPSALA LÄN</t>
        </is>
      </c>
      <c r="E167" t="inlineStr">
        <is>
          <t>UPPSALA</t>
        </is>
      </c>
      <c r="F167" t="inlineStr">
        <is>
          <t>Sveaskog</t>
        </is>
      </c>
      <c r="G167" t="n">
        <v>3.1</v>
      </c>
      <c r="H167" t="n">
        <v>1</v>
      </c>
      <c r="I167" t="n">
        <v>3</v>
      </c>
      <c r="J167" t="n">
        <v>0</v>
      </c>
      <c r="K167" t="n">
        <v>1</v>
      </c>
      <c r="L167" t="n">
        <v>0</v>
      </c>
      <c r="M167" t="n">
        <v>0</v>
      </c>
      <c r="N167" t="n">
        <v>0</v>
      </c>
      <c r="O167" t="n">
        <v>1</v>
      </c>
      <c r="P167" t="n">
        <v>1</v>
      </c>
      <c r="Q167" t="n">
        <v>5</v>
      </c>
      <c r="R167" s="2" t="inlineStr">
        <is>
          <t>Rynkskinn
Fjällig taggsvamp s.str.
Skogshakmossa
Trådticka
Blåsippa</t>
        </is>
      </c>
      <c r="S167">
        <f>HYPERLINK("https://klasma.github.io/Logging_0380/artfynd/A 46718-2024 artfynd.xlsx", "A 46718-2024")</f>
        <v/>
      </c>
      <c r="T167">
        <f>HYPERLINK("https://klasma.github.io/Logging_0380/kartor/A 46718-2024 karta.png", "A 46718-2024")</f>
        <v/>
      </c>
      <c r="V167">
        <f>HYPERLINK("https://klasma.github.io/Logging_0380/klagomål/A 46718-2024 FSC-klagomål.docx", "A 46718-2024")</f>
        <v/>
      </c>
      <c r="W167">
        <f>HYPERLINK("https://klasma.github.io/Logging_0380/klagomålsmail/A 46718-2024 FSC-klagomål mail.docx", "A 46718-2024")</f>
        <v/>
      </c>
      <c r="X167">
        <f>HYPERLINK("https://klasma.github.io/Logging_0380/tillsyn/A 46718-2024 tillsynsbegäran.docx", "A 46718-2024")</f>
        <v/>
      </c>
      <c r="Y167">
        <f>HYPERLINK("https://klasma.github.io/Logging_0380/tillsynsmail/A 46718-2024 tillsynsbegäran mail.docx", "A 46718-2024")</f>
        <v/>
      </c>
    </row>
    <row r="168" ht="15" customHeight="1">
      <c r="A168" t="inlineStr">
        <is>
          <t>A 59194-2024</t>
        </is>
      </c>
      <c r="B168" s="1" t="n">
        <v>45637</v>
      </c>
      <c r="C168" s="1" t="n">
        <v>45705</v>
      </c>
      <c r="D168" t="inlineStr">
        <is>
          <t>UPPSALA LÄN</t>
        </is>
      </c>
      <c r="E168" t="inlineStr">
        <is>
          <t>ÖSTHAMMAR</t>
        </is>
      </c>
      <c r="F168" t="inlineStr">
        <is>
          <t>Övriga Aktiebolag</t>
        </is>
      </c>
      <c r="G168" t="n">
        <v>13.5</v>
      </c>
      <c r="H168" t="n">
        <v>4</v>
      </c>
      <c r="I168" t="n">
        <v>1</v>
      </c>
      <c r="J168" t="n">
        <v>1</v>
      </c>
      <c r="K168" t="n">
        <v>1</v>
      </c>
      <c r="L168" t="n">
        <v>0</v>
      </c>
      <c r="M168" t="n">
        <v>0</v>
      </c>
      <c r="N168" t="n">
        <v>0</v>
      </c>
      <c r="O168" t="n">
        <v>2</v>
      </c>
      <c r="P168" t="n">
        <v>1</v>
      </c>
      <c r="Q168" t="n">
        <v>5</v>
      </c>
      <c r="R168" s="2" t="inlineStr">
        <is>
          <t>Knärot
Spillkråka
Bronshjon
Tjäder
Revlummer</t>
        </is>
      </c>
      <c r="S168">
        <f>HYPERLINK("https://klasma.github.io/Logging_0382/artfynd/A 59194-2024 artfynd.xlsx", "A 59194-2024")</f>
        <v/>
      </c>
      <c r="T168">
        <f>HYPERLINK("https://klasma.github.io/Logging_0382/kartor/A 59194-2024 karta.png", "A 59194-2024")</f>
        <v/>
      </c>
      <c r="U168">
        <f>HYPERLINK("https://klasma.github.io/Logging_0382/knärot/A 59194-2024 karta knärot.png", "A 59194-2024")</f>
        <v/>
      </c>
      <c r="V168">
        <f>HYPERLINK("https://klasma.github.io/Logging_0382/klagomål/A 59194-2024 FSC-klagomål.docx", "A 59194-2024")</f>
        <v/>
      </c>
      <c r="W168">
        <f>HYPERLINK("https://klasma.github.io/Logging_0382/klagomålsmail/A 59194-2024 FSC-klagomål mail.docx", "A 59194-2024")</f>
        <v/>
      </c>
      <c r="X168">
        <f>HYPERLINK("https://klasma.github.io/Logging_0382/tillsyn/A 59194-2024 tillsynsbegäran.docx", "A 59194-2024")</f>
        <v/>
      </c>
      <c r="Y168">
        <f>HYPERLINK("https://klasma.github.io/Logging_0382/tillsynsmail/A 59194-2024 tillsynsbegäran mail.docx", "A 59194-2024")</f>
        <v/>
      </c>
      <c r="Z168">
        <f>HYPERLINK("https://klasma.github.io/Logging_0382/fåglar/A 59194-2024 prioriterade fågelarter.docx", "A 59194-2024")</f>
        <v/>
      </c>
    </row>
    <row r="169" ht="15" customHeight="1">
      <c r="A169" t="inlineStr">
        <is>
          <t>A 20696-2019</t>
        </is>
      </c>
      <c r="B169" s="1" t="n">
        <v>43573</v>
      </c>
      <c r="C169" s="1" t="n">
        <v>45705</v>
      </c>
      <c r="D169" t="inlineStr">
        <is>
          <t>UPPSALA LÄN</t>
        </is>
      </c>
      <c r="E169" t="inlineStr">
        <is>
          <t>ÖSTHAMMAR</t>
        </is>
      </c>
      <c r="G169" t="n">
        <v>2</v>
      </c>
      <c r="H169" t="n">
        <v>4</v>
      </c>
      <c r="I169" t="n">
        <v>2</v>
      </c>
      <c r="J169" t="n">
        <v>0</v>
      </c>
      <c r="K169" t="n">
        <v>0</v>
      </c>
      <c r="L169" t="n">
        <v>0</v>
      </c>
      <c r="M169" t="n">
        <v>0</v>
      </c>
      <c r="N169" t="n">
        <v>0</v>
      </c>
      <c r="O169" t="n">
        <v>0</v>
      </c>
      <c r="P169" t="n">
        <v>0</v>
      </c>
      <c r="Q169" t="n">
        <v>4</v>
      </c>
      <c r="R169" s="2" t="inlineStr">
        <is>
          <t>Skogsknipprot
Tvåblad
Blåsippa
Gullviva</t>
        </is>
      </c>
      <c r="S169">
        <f>HYPERLINK("https://klasma.github.io/Logging_0382/artfynd/A 20696-2019 artfynd.xlsx", "A 20696-2019")</f>
        <v/>
      </c>
      <c r="T169">
        <f>HYPERLINK("https://klasma.github.io/Logging_0382/kartor/A 20696-2019 karta.png", "A 20696-2019")</f>
        <v/>
      </c>
      <c r="V169">
        <f>HYPERLINK("https://klasma.github.io/Logging_0382/klagomål/A 20696-2019 FSC-klagomål.docx", "A 20696-2019")</f>
        <v/>
      </c>
      <c r="W169">
        <f>HYPERLINK("https://klasma.github.io/Logging_0382/klagomålsmail/A 20696-2019 FSC-klagomål mail.docx", "A 20696-2019")</f>
        <v/>
      </c>
      <c r="X169">
        <f>HYPERLINK("https://klasma.github.io/Logging_0382/tillsyn/A 20696-2019 tillsynsbegäran.docx", "A 20696-2019")</f>
        <v/>
      </c>
      <c r="Y169">
        <f>HYPERLINK("https://klasma.github.io/Logging_0382/tillsynsmail/A 20696-2019 tillsynsbegäran mail.docx", "A 20696-2019")</f>
        <v/>
      </c>
    </row>
    <row r="170" ht="15" customHeight="1">
      <c r="A170" t="inlineStr">
        <is>
          <t>A 36645-2019</t>
        </is>
      </c>
      <c r="B170" s="1" t="n">
        <v>43671</v>
      </c>
      <c r="C170" s="1" t="n">
        <v>45705</v>
      </c>
      <c r="D170" t="inlineStr">
        <is>
          <t>UPPSALA LÄN</t>
        </is>
      </c>
      <c r="E170" t="inlineStr">
        <is>
          <t>KNIVSTA</t>
        </is>
      </c>
      <c r="G170" t="n">
        <v>5.5</v>
      </c>
      <c r="H170" t="n">
        <v>1</v>
      </c>
      <c r="I170" t="n">
        <v>2</v>
      </c>
      <c r="J170" t="n">
        <v>1</v>
      </c>
      <c r="K170" t="n">
        <v>0</v>
      </c>
      <c r="L170" t="n">
        <v>0</v>
      </c>
      <c r="M170" t="n">
        <v>0</v>
      </c>
      <c r="N170" t="n">
        <v>0</v>
      </c>
      <c r="O170" t="n">
        <v>1</v>
      </c>
      <c r="P170" t="n">
        <v>0</v>
      </c>
      <c r="Q170" t="n">
        <v>4</v>
      </c>
      <c r="R170" s="2" t="inlineStr">
        <is>
          <t>Ullticka
Gulskölding
Kamjordstjärna
Blåsippa</t>
        </is>
      </c>
      <c r="S170">
        <f>HYPERLINK("https://klasma.github.io/Logging_0330/artfynd/A 36645-2019 artfynd.xlsx", "A 36645-2019")</f>
        <v/>
      </c>
      <c r="T170">
        <f>HYPERLINK("https://klasma.github.io/Logging_0330/kartor/A 36645-2019 karta.png", "A 36645-2019")</f>
        <v/>
      </c>
      <c r="V170">
        <f>HYPERLINK("https://klasma.github.io/Logging_0330/klagomål/A 36645-2019 FSC-klagomål.docx", "A 36645-2019")</f>
        <v/>
      </c>
      <c r="W170">
        <f>HYPERLINK("https://klasma.github.io/Logging_0330/klagomålsmail/A 36645-2019 FSC-klagomål mail.docx", "A 36645-2019")</f>
        <v/>
      </c>
      <c r="X170">
        <f>HYPERLINK("https://klasma.github.io/Logging_0330/tillsyn/A 36645-2019 tillsynsbegäran.docx", "A 36645-2019")</f>
        <v/>
      </c>
      <c r="Y170">
        <f>HYPERLINK("https://klasma.github.io/Logging_0330/tillsynsmail/A 36645-2019 tillsynsbegäran mail.docx", "A 36645-2019")</f>
        <v/>
      </c>
    </row>
    <row r="171" ht="15" customHeight="1">
      <c r="A171" t="inlineStr">
        <is>
          <t>A 62133-2019</t>
        </is>
      </c>
      <c r="B171" s="1" t="n">
        <v>43787</v>
      </c>
      <c r="C171" s="1" t="n">
        <v>45705</v>
      </c>
      <c r="D171" t="inlineStr">
        <is>
          <t>UPPSALA LÄN</t>
        </is>
      </c>
      <c r="E171" t="inlineStr">
        <is>
          <t>ÄLVKARLEBY</t>
        </is>
      </c>
      <c r="F171" t="inlineStr">
        <is>
          <t>Bergvik skog väst AB</t>
        </is>
      </c>
      <c r="G171" t="n">
        <v>2.5</v>
      </c>
      <c r="H171" t="n">
        <v>0</v>
      </c>
      <c r="I171" t="n">
        <v>2</v>
      </c>
      <c r="J171" t="n">
        <v>2</v>
      </c>
      <c r="K171" t="n">
        <v>0</v>
      </c>
      <c r="L171" t="n">
        <v>0</v>
      </c>
      <c r="M171" t="n">
        <v>0</v>
      </c>
      <c r="N171" t="n">
        <v>0</v>
      </c>
      <c r="O171" t="n">
        <v>2</v>
      </c>
      <c r="P171" t="n">
        <v>0</v>
      </c>
      <c r="Q171" t="n">
        <v>4</v>
      </c>
      <c r="R171" s="2" t="inlineStr">
        <is>
          <t>Rutskinn
Rödbrun blekspik
Brun nållav
Sårläka</t>
        </is>
      </c>
      <c r="S171">
        <f>HYPERLINK("https://klasma.github.io/Logging_0319/artfynd/A 62133-2019 artfynd.xlsx", "A 62133-2019")</f>
        <v/>
      </c>
      <c r="T171">
        <f>HYPERLINK("https://klasma.github.io/Logging_0319/kartor/A 62133-2019 karta.png", "A 62133-2019")</f>
        <v/>
      </c>
      <c r="V171">
        <f>HYPERLINK("https://klasma.github.io/Logging_0319/klagomål/A 62133-2019 FSC-klagomål.docx", "A 62133-2019")</f>
        <v/>
      </c>
      <c r="W171">
        <f>HYPERLINK("https://klasma.github.io/Logging_0319/klagomålsmail/A 62133-2019 FSC-klagomål mail.docx", "A 62133-2019")</f>
        <v/>
      </c>
      <c r="X171">
        <f>HYPERLINK("https://klasma.github.io/Logging_0319/tillsyn/A 62133-2019 tillsynsbegäran.docx", "A 62133-2019")</f>
        <v/>
      </c>
      <c r="Y171">
        <f>HYPERLINK("https://klasma.github.io/Logging_0319/tillsynsmail/A 62133-2019 tillsynsbegäran mail.docx", "A 62133-2019")</f>
        <v/>
      </c>
    </row>
    <row r="172" ht="15" customHeight="1">
      <c r="A172" t="inlineStr">
        <is>
          <t>A 4116-2020</t>
        </is>
      </c>
      <c r="B172" s="1" t="n">
        <v>43857</v>
      </c>
      <c r="C172" s="1" t="n">
        <v>45705</v>
      </c>
      <c r="D172" t="inlineStr">
        <is>
          <t>UPPSALA LÄN</t>
        </is>
      </c>
      <c r="E172" t="inlineStr">
        <is>
          <t>UPPSALA</t>
        </is>
      </c>
      <c r="G172" t="n">
        <v>2.4</v>
      </c>
      <c r="H172" t="n">
        <v>1</v>
      </c>
      <c r="I172" t="n">
        <v>1</v>
      </c>
      <c r="J172" t="n">
        <v>1</v>
      </c>
      <c r="K172" t="n">
        <v>1</v>
      </c>
      <c r="L172" t="n">
        <v>0</v>
      </c>
      <c r="M172" t="n">
        <v>0</v>
      </c>
      <c r="N172" t="n">
        <v>0</v>
      </c>
      <c r="O172" t="n">
        <v>2</v>
      </c>
      <c r="P172" t="n">
        <v>1</v>
      </c>
      <c r="Q172" t="n">
        <v>4</v>
      </c>
      <c r="R172" s="2" t="inlineStr">
        <is>
          <t>Grangråticka
Svart taggsvamp
Fjällig taggsvamp s.str.
Blåsippa</t>
        </is>
      </c>
      <c r="S172">
        <f>HYPERLINK("https://klasma.github.io/Logging_0380/artfynd/A 4116-2020 artfynd.xlsx", "A 4116-2020")</f>
        <v/>
      </c>
      <c r="T172">
        <f>HYPERLINK("https://klasma.github.io/Logging_0380/kartor/A 4116-2020 karta.png", "A 4116-2020")</f>
        <v/>
      </c>
      <c r="V172">
        <f>HYPERLINK("https://klasma.github.io/Logging_0380/klagomål/A 4116-2020 FSC-klagomål.docx", "A 4116-2020")</f>
        <v/>
      </c>
      <c r="W172">
        <f>HYPERLINK("https://klasma.github.io/Logging_0380/klagomålsmail/A 4116-2020 FSC-klagomål mail.docx", "A 4116-2020")</f>
        <v/>
      </c>
      <c r="X172">
        <f>HYPERLINK("https://klasma.github.io/Logging_0380/tillsyn/A 4116-2020 tillsynsbegäran.docx", "A 4116-2020")</f>
        <v/>
      </c>
      <c r="Y172">
        <f>HYPERLINK("https://klasma.github.io/Logging_0380/tillsynsmail/A 4116-2020 tillsynsbegäran mail.docx", "A 4116-2020")</f>
        <v/>
      </c>
    </row>
    <row r="173" ht="15" customHeight="1">
      <c r="A173" t="inlineStr">
        <is>
          <t>A 25264-2020</t>
        </is>
      </c>
      <c r="B173" s="1" t="n">
        <v>43980</v>
      </c>
      <c r="C173" s="1" t="n">
        <v>45705</v>
      </c>
      <c r="D173" t="inlineStr">
        <is>
          <t>UPPSALA LÄN</t>
        </is>
      </c>
      <c r="E173" t="inlineStr">
        <is>
          <t>UPPSALA</t>
        </is>
      </c>
      <c r="G173" t="n">
        <v>2.8</v>
      </c>
      <c r="H173" t="n">
        <v>4</v>
      </c>
      <c r="I173" t="n">
        <v>0</v>
      </c>
      <c r="J173" t="n">
        <v>0</v>
      </c>
      <c r="K173" t="n">
        <v>1</v>
      </c>
      <c r="L173" t="n">
        <v>0</v>
      </c>
      <c r="M173" t="n">
        <v>0</v>
      </c>
      <c r="N173" t="n">
        <v>0</v>
      </c>
      <c r="O173" t="n">
        <v>1</v>
      </c>
      <c r="P173" t="n">
        <v>1</v>
      </c>
      <c r="Q173" t="n">
        <v>4</v>
      </c>
      <c r="R173" s="2" t="inlineStr">
        <is>
          <t>Knärot
Kopparödla
Fläcknycklar
Revlummer</t>
        </is>
      </c>
      <c r="S173">
        <f>HYPERLINK("https://klasma.github.io/Logging_0380/artfynd/A 25264-2020 artfynd.xlsx", "A 25264-2020")</f>
        <v/>
      </c>
      <c r="T173">
        <f>HYPERLINK("https://klasma.github.io/Logging_0380/kartor/A 25264-2020 karta.png", "A 25264-2020")</f>
        <v/>
      </c>
      <c r="U173">
        <f>HYPERLINK("https://klasma.github.io/Logging_0380/knärot/A 25264-2020 karta knärot.png", "A 25264-2020")</f>
        <v/>
      </c>
      <c r="V173">
        <f>HYPERLINK("https://klasma.github.io/Logging_0380/klagomål/A 25264-2020 FSC-klagomål.docx", "A 25264-2020")</f>
        <v/>
      </c>
      <c r="W173">
        <f>HYPERLINK("https://klasma.github.io/Logging_0380/klagomålsmail/A 25264-2020 FSC-klagomål mail.docx", "A 25264-2020")</f>
        <v/>
      </c>
      <c r="X173">
        <f>HYPERLINK("https://klasma.github.io/Logging_0380/tillsyn/A 25264-2020 tillsynsbegäran.docx", "A 25264-2020")</f>
        <v/>
      </c>
      <c r="Y173">
        <f>HYPERLINK("https://klasma.github.io/Logging_0380/tillsynsmail/A 25264-2020 tillsynsbegäran mail.docx", "A 25264-2020")</f>
        <v/>
      </c>
    </row>
    <row r="174" ht="15" customHeight="1">
      <c r="A174" t="inlineStr">
        <is>
          <t>A 37670-2020</t>
        </is>
      </c>
      <c r="B174" s="1" t="n">
        <v>44056</v>
      </c>
      <c r="C174" s="1" t="n">
        <v>45705</v>
      </c>
      <c r="D174" t="inlineStr">
        <is>
          <t>UPPSALA LÄN</t>
        </is>
      </c>
      <c r="E174" t="inlineStr">
        <is>
          <t>UPPSALA</t>
        </is>
      </c>
      <c r="F174" t="inlineStr">
        <is>
          <t>Allmännings- och besparingsskogar</t>
        </is>
      </c>
      <c r="G174" t="n">
        <v>56.8</v>
      </c>
      <c r="H174" t="n">
        <v>3</v>
      </c>
      <c r="I174" t="n">
        <v>2</v>
      </c>
      <c r="J174" t="n">
        <v>1</v>
      </c>
      <c r="K174" t="n">
        <v>1</v>
      </c>
      <c r="L174" t="n">
        <v>0</v>
      </c>
      <c r="M174" t="n">
        <v>0</v>
      </c>
      <c r="N174" t="n">
        <v>0</v>
      </c>
      <c r="O174" t="n">
        <v>2</v>
      </c>
      <c r="P174" t="n">
        <v>1</v>
      </c>
      <c r="Q174" t="n">
        <v>4</v>
      </c>
      <c r="R174" s="2" t="inlineStr">
        <is>
          <t>Knärot
Talltita
Grönpyrola
Plattlummer</t>
        </is>
      </c>
      <c r="S174">
        <f>HYPERLINK("https://klasma.github.io/Logging_0380/artfynd/A 37670-2020 artfynd.xlsx", "A 37670-2020")</f>
        <v/>
      </c>
      <c r="T174">
        <f>HYPERLINK("https://klasma.github.io/Logging_0380/kartor/A 37670-2020 karta.png", "A 37670-2020")</f>
        <v/>
      </c>
      <c r="U174">
        <f>HYPERLINK("https://klasma.github.io/Logging_0380/knärot/A 37670-2020 karta knärot.png", "A 37670-2020")</f>
        <v/>
      </c>
      <c r="V174">
        <f>HYPERLINK("https://klasma.github.io/Logging_0380/klagomål/A 37670-2020 FSC-klagomål.docx", "A 37670-2020")</f>
        <v/>
      </c>
      <c r="W174">
        <f>HYPERLINK("https://klasma.github.io/Logging_0380/klagomålsmail/A 37670-2020 FSC-klagomål mail.docx", "A 37670-2020")</f>
        <v/>
      </c>
      <c r="X174">
        <f>HYPERLINK("https://klasma.github.io/Logging_0380/tillsyn/A 37670-2020 tillsynsbegäran.docx", "A 37670-2020")</f>
        <v/>
      </c>
      <c r="Y174">
        <f>HYPERLINK("https://klasma.github.io/Logging_0380/tillsynsmail/A 37670-2020 tillsynsbegäran mail.docx", "A 37670-2020")</f>
        <v/>
      </c>
      <c r="Z174">
        <f>HYPERLINK("https://klasma.github.io/Logging_0380/fåglar/A 37670-2020 prioriterade fågelarter.docx", "A 37670-2020")</f>
        <v/>
      </c>
    </row>
    <row r="175" ht="15" customHeight="1">
      <c r="A175" t="inlineStr">
        <is>
          <t>A 61504-2020</t>
        </is>
      </c>
      <c r="B175" s="1" t="n">
        <v>44158</v>
      </c>
      <c r="C175" s="1" t="n">
        <v>45705</v>
      </c>
      <c r="D175" t="inlineStr">
        <is>
          <t>UPPSALA LÄN</t>
        </is>
      </c>
      <c r="E175" t="inlineStr">
        <is>
          <t>ENKÖPING</t>
        </is>
      </c>
      <c r="F175" t="inlineStr">
        <is>
          <t>Övriga statliga verk och myndigheter</t>
        </is>
      </c>
      <c r="G175" t="n">
        <v>14.2</v>
      </c>
      <c r="H175" t="n">
        <v>0</v>
      </c>
      <c r="I175" t="n">
        <v>3</v>
      </c>
      <c r="J175" t="n">
        <v>1</v>
      </c>
      <c r="K175" t="n">
        <v>0</v>
      </c>
      <c r="L175" t="n">
        <v>0</v>
      </c>
      <c r="M175" t="n">
        <v>0</v>
      </c>
      <c r="N175" t="n">
        <v>0</v>
      </c>
      <c r="O175" t="n">
        <v>1</v>
      </c>
      <c r="P175" t="n">
        <v>0</v>
      </c>
      <c r="Q175" t="n">
        <v>4</v>
      </c>
      <c r="R175" s="2" t="inlineStr">
        <is>
          <t>Tallticka
Guldlockmossa
Piskbaronmossa
Platt fjädermossa</t>
        </is>
      </c>
      <c r="S175">
        <f>HYPERLINK("https://klasma.github.io/Logging_0381/artfynd/A 61504-2020 artfynd.xlsx", "A 61504-2020")</f>
        <v/>
      </c>
      <c r="T175">
        <f>HYPERLINK("https://klasma.github.io/Logging_0381/kartor/A 61504-2020 karta.png", "A 61504-2020")</f>
        <v/>
      </c>
      <c r="V175">
        <f>HYPERLINK("https://klasma.github.io/Logging_0381/klagomål/A 61504-2020 FSC-klagomål.docx", "A 61504-2020")</f>
        <v/>
      </c>
      <c r="W175">
        <f>HYPERLINK("https://klasma.github.io/Logging_0381/klagomålsmail/A 61504-2020 FSC-klagomål mail.docx", "A 61504-2020")</f>
        <v/>
      </c>
      <c r="X175">
        <f>HYPERLINK("https://klasma.github.io/Logging_0381/tillsyn/A 61504-2020 tillsynsbegäran.docx", "A 61504-2020")</f>
        <v/>
      </c>
      <c r="Y175">
        <f>HYPERLINK("https://klasma.github.io/Logging_0381/tillsynsmail/A 61504-2020 tillsynsbegäran mail.docx", "A 61504-2020")</f>
        <v/>
      </c>
    </row>
    <row r="176" ht="15" customHeight="1">
      <c r="A176" t="inlineStr">
        <is>
          <t>A 29306-2021</t>
        </is>
      </c>
      <c r="B176" s="1" t="n">
        <v>44361</v>
      </c>
      <c r="C176" s="1" t="n">
        <v>45705</v>
      </c>
      <c r="D176" t="inlineStr">
        <is>
          <t>UPPSALA LÄN</t>
        </is>
      </c>
      <c r="E176" t="inlineStr">
        <is>
          <t>TIERP</t>
        </is>
      </c>
      <c r="F176" t="inlineStr">
        <is>
          <t>Bergvik skog väst AB</t>
        </is>
      </c>
      <c r="G176" t="n">
        <v>3.7</v>
      </c>
      <c r="H176" t="n">
        <v>0</v>
      </c>
      <c r="I176" t="n">
        <v>4</v>
      </c>
      <c r="J176" t="n">
        <v>0</v>
      </c>
      <c r="K176" t="n">
        <v>0</v>
      </c>
      <c r="L176" t="n">
        <v>0</v>
      </c>
      <c r="M176" t="n">
        <v>0</v>
      </c>
      <c r="N176" t="n">
        <v>0</v>
      </c>
      <c r="O176" t="n">
        <v>0</v>
      </c>
      <c r="P176" t="n">
        <v>0</v>
      </c>
      <c r="Q176" t="n">
        <v>4</v>
      </c>
      <c r="R176" s="2" t="inlineStr">
        <is>
          <t>Dvärgtufs
Granbarkgnagare
Rostfläck
Stuplav</t>
        </is>
      </c>
      <c r="S176">
        <f>HYPERLINK("https://klasma.github.io/Logging_0360/artfynd/A 29306-2021 artfynd.xlsx", "A 29306-2021")</f>
        <v/>
      </c>
      <c r="T176">
        <f>HYPERLINK("https://klasma.github.io/Logging_0360/kartor/A 29306-2021 karta.png", "A 29306-2021")</f>
        <v/>
      </c>
      <c r="V176">
        <f>HYPERLINK("https://klasma.github.io/Logging_0360/klagomål/A 29306-2021 FSC-klagomål.docx", "A 29306-2021")</f>
        <v/>
      </c>
      <c r="W176">
        <f>HYPERLINK("https://klasma.github.io/Logging_0360/klagomålsmail/A 29306-2021 FSC-klagomål mail.docx", "A 29306-2021")</f>
        <v/>
      </c>
      <c r="X176">
        <f>HYPERLINK("https://klasma.github.io/Logging_0360/tillsyn/A 29306-2021 tillsynsbegäran.docx", "A 29306-2021")</f>
        <v/>
      </c>
      <c r="Y176">
        <f>HYPERLINK("https://klasma.github.io/Logging_0360/tillsynsmail/A 29306-2021 tillsynsbegäran mail.docx", "A 29306-2021")</f>
        <v/>
      </c>
    </row>
    <row r="177" ht="15" customHeight="1">
      <c r="A177" t="inlineStr">
        <is>
          <t>A 33051-2021</t>
        </is>
      </c>
      <c r="B177" s="1" t="n">
        <v>44376</v>
      </c>
      <c r="C177" s="1" t="n">
        <v>45705</v>
      </c>
      <c r="D177" t="inlineStr">
        <is>
          <t>UPPSALA LÄN</t>
        </is>
      </c>
      <c r="E177" t="inlineStr">
        <is>
          <t>ÖSTHAMMAR</t>
        </is>
      </c>
      <c r="G177" t="n">
        <v>3</v>
      </c>
      <c r="H177" t="n">
        <v>0</v>
      </c>
      <c r="I177" t="n">
        <v>3</v>
      </c>
      <c r="J177" t="n">
        <v>0</v>
      </c>
      <c r="K177" t="n">
        <v>1</v>
      </c>
      <c r="L177" t="n">
        <v>0</v>
      </c>
      <c r="M177" t="n">
        <v>0</v>
      </c>
      <c r="N177" t="n">
        <v>0</v>
      </c>
      <c r="O177" t="n">
        <v>1</v>
      </c>
      <c r="P177" t="n">
        <v>1</v>
      </c>
      <c r="Q177" t="n">
        <v>4</v>
      </c>
      <c r="R177" s="2" t="inlineStr">
        <is>
          <t>Gul lammticka
Anisspindling
Guldkremla
Kamjordstjärna</t>
        </is>
      </c>
      <c r="S177">
        <f>HYPERLINK("https://klasma.github.io/Logging_0382/artfynd/A 33051-2021 artfynd.xlsx", "A 33051-2021")</f>
        <v/>
      </c>
      <c r="T177">
        <f>HYPERLINK("https://klasma.github.io/Logging_0382/kartor/A 33051-2021 karta.png", "A 33051-2021")</f>
        <v/>
      </c>
      <c r="V177">
        <f>HYPERLINK("https://klasma.github.io/Logging_0382/klagomål/A 33051-2021 FSC-klagomål.docx", "A 33051-2021")</f>
        <v/>
      </c>
      <c r="W177">
        <f>HYPERLINK("https://klasma.github.io/Logging_0382/klagomålsmail/A 33051-2021 FSC-klagomål mail.docx", "A 33051-2021")</f>
        <v/>
      </c>
      <c r="X177">
        <f>HYPERLINK("https://klasma.github.io/Logging_0382/tillsyn/A 33051-2021 tillsynsbegäran.docx", "A 33051-2021")</f>
        <v/>
      </c>
      <c r="Y177">
        <f>HYPERLINK("https://klasma.github.io/Logging_0382/tillsynsmail/A 33051-2021 tillsynsbegäran mail.docx", "A 33051-2021")</f>
        <v/>
      </c>
    </row>
    <row r="178" ht="15" customHeight="1">
      <c r="A178" t="inlineStr">
        <is>
          <t>A 51688-2021</t>
        </is>
      </c>
      <c r="B178" s="1" t="n">
        <v>44462</v>
      </c>
      <c r="C178" s="1" t="n">
        <v>45705</v>
      </c>
      <c r="D178" t="inlineStr">
        <is>
          <t>UPPSALA LÄN</t>
        </is>
      </c>
      <c r="E178" t="inlineStr">
        <is>
          <t>UPPSALA</t>
        </is>
      </c>
      <c r="F178" t="inlineStr">
        <is>
          <t>Allmännings- och besparingsskogar</t>
        </is>
      </c>
      <c r="G178" t="n">
        <v>9.9</v>
      </c>
      <c r="H178" t="n">
        <v>1</v>
      </c>
      <c r="I178" t="n">
        <v>1</v>
      </c>
      <c r="J178" t="n">
        <v>2</v>
      </c>
      <c r="K178" t="n">
        <v>1</v>
      </c>
      <c r="L178" t="n">
        <v>0</v>
      </c>
      <c r="M178" t="n">
        <v>0</v>
      </c>
      <c r="N178" t="n">
        <v>0</v>
      </c>
      <c r="O178" t="n">
        <v>3</v>
      </c>
      <c r="P178" t="n">
        <v>1</v>
      </c>
      <c r="Q178" t="n">
        <v>4</v>
      </c>
      <c r="R178" s="2" t="inlineStr">
        <is>
          <t>Knärot
Garnlav
Ullticka
Vedticka</t>
        </is>
      </c>
      <c r="S178">
        <f>HYPERLINK("https://klasma.github.io/Logging_0380/artfynd/A 51688-2021 artfynd.xlsx", "A 51688-2021")</f>
        <v/>
      </c>
      <c r="T178">
        <f>HYPERLINK("https://klasma.github.io/Logging_0380/kartor/A 51688-2021 karta.png", "A 51688-2021")</f>
        <v/>
      </c>
      <c r="U178">
        <f>HYPERLINK("https://klasma.github.io/Logging_0380/knärot/A 51688-2021 karta knärot.png", "A 51688-2021")</f>
        <v/>
      </c>
      <c r="V178">
        <f>HYPERLINK("https://klasma.github.io/Logging_0380/klagomål/A 51688-2021 FSC-klagomål.docx", "A 51688-2021")</f>
        <v/>
      </c>
      <c r="W178">
        <f>HYPERLINK("https://klasma.github.io/Logging_0380/klagomålsmail/A 51688-2021 FSC-klagomål mail.docx", "A 51688-2021")</f>
        <v/>
      </c>
      <c r="X178">
        <f>HYPERLINK("https://klasma.github.io/Logging_0380/tillsyn/A 51688-2021 tillsynsbegäran.docx", "A 51688-2021")</f>
        <v/>
      </c>
      <c r="Y178">
        <f>HYPERLINK("https://klasma.github.io/Logging_0380/tillsynsmail/A 51688-2021 tillsynsbegäran mail.docx", "A 51688-2021")</f>
        <v/>
      </c>
    </row>
    <row r="179" ht="15" customHeight="1">
      <c r="A179" t="inlineStr">
        <is>
          <t>A 58656-2021</t>
        </is>
      </c>
      <c r="B179" s="1" t="n">
        <v>44489</v>
      </c>
      <c r="C179" s="1" t="n">
        <v>45705</v>
      </c>
      <c r="D179" t="inlineStr">
        <is>
          <t>UPPSALA LÄN</t>
        </is>
      </c>
      <c r="E179" t="inlineStr">
        <is>
          <t>HEBY</t>
        </is>
      </c>
      <c r="F179" t="inlineStr">
        <is>
          <t>Övriga Aktiebolag</t>
        </is>
      </c>
      <c r="G179" t="n">
        <v>3.4</v>
      </c>
      <c r="H179" t="n">
        <v>1</v>
      </c>
      <c r="I179" t="n">
        <v>2</v>
      </c>
      <c r="J179" t="n">
        <v>1</v>
      </c>
      <c r="K179" t="n">
        <v>0</v>
      </c>
      <c r="L179" t="n">
        <v>0</v>
      </c>
      <c r="M179" t="n">
        <v>0</v>
      </c>
      <c r="N179" t="n">
        <v>0</v>
      </c>
      <c r="O179" t="n">
        <v>1</v>
      </c>
      <c r="P179" t="n">
        <v>0</v>
      </c>
      <c r="Q179" t="n">
        <v>4</v>
      </c>
      <c r="R179" s="2" t="inlineStr">
        <is>
          <t>Ullticka
Bronshjon
Thomsons trägnagare
Blåsippa</t>
        </is>
      </c>
      <c r="S179">
        <f>HYPERLINK("https://klasma.github.io/Logging_0331/artfynd/A 58656-2021 artfynd.xlsx", "A 58656-2021")</f>
        <v/>
      </c>
      <c r="T179">
        <f>HYPERLINK("https://klasma.github.io/Logging_0331/kartor/A 58656-2021 karta.png", "A 58656-2021")</f>
        <v/>
      </c>
      <c r="V179">
        <f>HYPERLINK("https://klasma.github.io/Logging_0331/klagomål/A 58656-2021 FSC-klagomål.docx", "A 58656-2021")</f>
        <v/>
      </c>
      <c r="W179">
        <f>HYPERLINK("https://klasma.github.io/Logging_0331/klagomålsmail/A 58656-2021 FSC-klagomål mail.docx", "A 58656-2021")</f>
        <v/>
      </c>
      <c r="X179">
        <f>HYPERLINK("https://klasma.github.io/Logging_0331/tillsyn/A 58656-2021 tillsynsbegäran.docx", "A 58656-2021")</f>
        <v/>
      </c>
      <c r="Y179">
        <f>HYPERLINK("https://klasma.github.io/Logging_0331/tillsynsmail/A 58656-2021 tillsynsbegäran mail.docx", "A 58656-2021")</f>
        <v/>
      </c>
    </row>
    <row r="180" ht="15" customHeight="1">
      <c r="A180" t="inlineStr">
        <is>
          <t>A 68998-2021</t>
        </is>
      </c>
      <c r="B180" s="1" t="n">
        <v>44530</v>
      </c>
      <c r="C180" s="1" t="n">
        <v>45705</v>
      </c>
      <c r="D180" t="inlineStr">
        <is>
          <t>UPPSALA LÄN</t>
        </is>
      </c>
      <c r="E180" t="inlineStr">
        <is>
          <t>ENKÖPING</t>
        </is>
      </c>
      <c r="G180" t="n">
        <v>16.2</v>
      </c>
      <c r="H180" t="n">
        <v>1</v>
      </c>
      <c r="I180" t="n">
        <v>1</v>
      </c>
      <c r="J180" t="n">
        <v>2</v>
      </c>
      <c r="K180" t="n">
        <v>0</v>
      </c>
      <c r="L180" t="n">
        <v>0</v>
      </c>
      <c r="M180" t="n">
        <v>0</v>
      </c>
      <c r="N180" t="n">
        <v>0</v>
      </c>
      <c r="O180" t="n">
        <v>2</v>
      </c>
      <c r="P180" t="n">
        <v>0</v>
      </c>
      <c r="Q180" t="n">
        <v>4</v>
      </c>
      <c r="R180" s="2" t="inlineStr">
        <is>
          <t>Krusfrö
Svinrot
Svart trolldruva
Nattviol</t>
        </is>
      </c>
      <c r="S180">
        <f>HYPERLINK("https://klasma.github.io/Logging_0381/artfynd/A 68998-2021 artfynd.xlsx", "A 68998-2021")</f>
        <v/>
      </c>
      <c r="T180">
        <f>HYPERLINK("https://klasma.github.io/Logging_0381/kartor/A 68998-2021 karta.png", "A 68998-2021")</f>
        <v/>
      </c>
      <c r="V180">
        <f>HYPERLINK("https://klasma.github.io/Logging_0381/klagomål/A 68998-2021 FSC-klagomål.docx", "A 68998-2021")</f>
        <v/>
      </c>
      <c r="W180">
        <f>HYPERLINK("https://klasma.github.io/Logging_0381/klagomålsmail/A 68998-2021 FSC-klagomål mail.docx", "A 68998-2021")</f>
        <v/>
      </c>
      <c r="X180">
        <f>HYPERLINK("https://klasma.github.io/Logging_0381/tillsyn/A 68998-2021 tillsynsbegäran.docx", "A 68998-2021")</f>
        <v/>
      </c>
      <c r="Y180">
        <f>HYPERLINK("https://klasma.github.io/Logging_0381/tillsynsmail/A 68998-2021 tillsynsbegäran mail.docx", "A 68998-2021")</f>
        <v/>
      </c>
    </row>
    <row r="181" ht="15" customHeight="1">
      <c r="A181" t="inlineStr">
        <is>
          <t>A 73761-2021</t>
        </is>
      </c>
      <c r="B181" s="1" t="n">
        <v>44552</v>
      </c>
      <c r="C181" s="1" t="n">
        <v>45705</v>
      </c>
      <c r="D181" t="inlineStr">
        <is>
          <t>UPPSALA LÄN</t>
        </is>
      </c>
      <c r="E181" t="inlineStr">
        <is>
          <t>TIERP</t>
        </is>
      </c>
      <c r="F181" t="inlineStr">
        <is>
          <t>Bergvik skog väst AB</t>
        </is>
      </c>
      <c r="G181" t="n">
        <v>1.9</v>
      </c>
      <c r="H181" t="n">
        <v>2</v>
      </c>
      <c r="I181" t="n">
        <v>2</v>
      </c>
      <c r="J181" t="n">
        <v>1</v>
      </c>
      <c r="K181" t="n">
        <v>0</v>
      </c>
      <c r="L181" t="n">
        <v>0</v>
      </c>
      <c r="M181" t="n">
        <v>0</v>
      </c>
      <c r="N181" t="n">
        <v>0</v>
      </c>
      <c r="O181" t="n">
        <v>1</v>
      </c>
      <c r="P181" t="n">
        <v>0</v>
      </c>
      <c r="Q181" t="n">
        <v>4</v>
      </c>
      <c r="R181" s="2" t="inlineStr">
        <is>
          <t>Vedtrappmossa
Brandticka
Skogsknipprot
Fläcknycklar</t>
        </is>
      </c>
      <c r="S181">
        <f>HYPERLINK("https://klasma.github.io/Logging_0360/artfynd/A 73761-2021 artfynd.xlsx", "A 73761-2021")</f>
        <v/>
      </c>
      <c r="T181">
        <f>HYPERLINK("https://klasma.github.io/Logging_0360/kartor/A 73761-2021 karta.png", "A 73761-2021")</f>
        <v/>
      </c>
      <c r="V181">
        <f>HYPERLINK("https://klasma.github.io/Logging_0360/klagomål/A 73761-2021 FSC-klagomål.docx", "A 73761-2021")</f>
        <v/>
      </c>
      <c r="W181">
        <f>HYPERLINK("https://klasma.github.io/Logging_0360/klagomålsmail/A 73761-2021 FSC-klagomål mail.docx", "A 73761-2021")</f>
        <v/>
      </c>
      <c r="X181">
        <f>HYPERLINK("https://klasma.github.io/Logging_0360/tillsyn/A 73761-2021 tillsynsbegäran.docx", "A 73761-2021")</f>
        <v/>
      </c>
      <c r="Y181">
        <f>HYPERLINK("https://klasma.github.io/Logging_0360/tillsynsmail/A 73761-2021 tillsynsbegäran mail.docx", "A 73761-2021")</f>
        <v/>
      </c>
    </row>
    <row r="182" ht="15" customHeight="1">
      <c r="A182" t="inlineStr">
        <is>
          <t>A 74364-2021</t>
        </is>
      </c>
      <c r="B182" s="1" t="n">
        <v>44559</v>
      </c>
      <c r="C182" s="1" t="n">
        <v>45705</v>
      </c>
      <c r="D182" t="inlineStr">
        <is>
          <t>UPPSALA LÄN</t>
        </is>
      </c>
      <c r="E182" t="inlineStr">
        <is>
          <t>ÖSTHAMMAR</t>
        </is>
      </c>
      <c r="G182" t="n">
        <v>3.5</v>
      </c>
      <c r="H182" t="n">
        <v>2</v>
      </c>
      <c r="I182" t="n">
        <v>3</v>
      </c>
      <c r="J182" t="n">
        <v>0</v>
      </c>
      <c r="K182" t="n">
        <v>0</v>
      </c>
      <c r="L182" t="n">
        <v>0</v>
      </c>
      <c r="M182" t="n">
        <v>0</v>
      </c>
      <c r="N182" t="n">
        <v>0</v>
      </c>
      <c r="O182" t="n">
        <v>0</v>
      </c>
      <c r="P182" t="n">
        <v>0</v>
      </c>
      <c r="Q182" t="n">
        <v>4</v>
      </c>
      <c r="R182" s="2" t="inlineStr">
        <is>
          <t>Bronshjon
Skogsknipprot
Sårläka
Blåsippa</t>
        </is>
      </c>
      <c r="S182">
        <f>HYPERLINK("https://klasma.github.io/Logging_0382/artfynd/A 74364-2021 artfynd.xlsx", "A 74364-2021")</f>
        <v/>
      </c>
      <c r="T182">
        <f>HYPERLINK("https://klasma.github.io/Logging_0382/kartor/A 74364-2021 karta.png", "A 74364-2021")</f>
        <v/>
      </c>
      <c r="V182">
        <f>HYPERLINK("https://klasma.github.io/Logging_0382/klagomål/A 74364-2021 FSC-klagomål.docx", "A 74364-2021")</f>
        <v/>
      </c>
      <c r="W182">
        <f>HYPERLINK("https://klasma.github.io/Logging_0382/klagomålsmail/A 74364-2021 FSC-klagomål mail.docx", "A 74364-2021")</f>
        <v/>
      </c>
      <c r="X182">
        <f>HYPERLINK("https://klasma.github.io/Logging_0382/tillsyn/A 74364-2021 tillsynsbegäran.docx", "A 74364-2021")</f>
        <v/>
      </c>
      <c r="Y182">
        <f>HYPERLINK("https://klasma.github.io/Logging_0382/tillsynsmail/A 74364-2021 tillsynsbegäran mail.docx", "A 74364-2021")</f>
        <v/>
      </c>
    </row>
    <row r="183" ht="15" customHeight="1">
      <c r="A183" t="inlineStr">
        <is>
          <t>A 15956-2022</t>
        </is>
      </c>
      <c r="B183" s="1" t="n">
        <v>44664</v>
      </c>
      <c r="C183" s="1" t="n">
        <v>45705</v>
      </c>
      <c r="D183" t="inlineStr">
        <is>
          <t>UPPSALA LÄN</t>
        </is>
      </c>
      <c r="E183" t="inlineStr">
        <is>
          <t>UPPSALA</t>
        </is>
      </c>
      <c r="G183" t="n">
        <v>0.8</v>
      </c>
      <c r="H183" t="n">
        <v>0</v>
      </c>
      <c r="I183" t="n">
        <v>1</v>
      </c>
      <c r="J183" t="n">
        <v>2</v>
      </c>
      <c r="K183" t="n">
        <v>1</v>
      </c>
      <c r="L183" t="n">
        <v>0</v>
      </c>
      <c r="M183" t="n">
        <v>0</v>
      </c>
      <c r="N183" t="n">
        <v>0</v>
      </c>
      <c r="O183" t="n">
        <v>3</v>
      </c>
      <c r="P183" t="n">
        <v>1</v>
      </c>
      <c r="Q183" t="n">
        <v>4</v>
      </c>
      <c r="R183" s="2" t="inlineStr">
        <is>
          <t>Koppartaggsvamp
Orange taggsvamp
Svart taggsvamp
Mandelriska</t>
        </is>
      </c>
      <c r="S183">
        <f>HYPERLINK("https://klasma.github.io/Logging_0380/artfynd/A 15956-2022 artfynd.xlsx", "A 15956-2022")</f>
        <v/>
      </c>
      <c r="T183">
        <f>HYPERLINK("https://klasma.github.io/Logging_0380/kartor/A 15956-2022 karta.png", "A 15956-2022")</f>
        <v/>
      </c>
      <c r="V183">
        <f>HYPERLINK("https://klasma.github.io/Logging_0380/klagomål/A 15956-2022 FSC-klagomål.docx", "A 15956-2022")</f>
        <v/>
      </c>
      <c r="W183">
        <f>HYPERLINK("https://klasma.github.io/Logging_0380/klagomålsmail/A 15956-2022 FSC-klagomål mail.docx", "A 15956-2022")</f>
        <v/>
      </c>
      <c r="X183">
        <f>HYPERLINK("https://klasma.github.io/Logging_0380/tillsyn/A 15956-2022 tillsynsbegäran.docx", "A 15956-2022")</f>
        <v/>
      </c>
      <c r="Y183">
        <f>HYPERLINK("https://klasma.github.io/Logging_0380/tillsynsmail/A 15956-2022 tillsynsbegäran mail.docx", "A 15956-2022")</f>
        <v/>
      </c>
    </row>
    <row r="184" ht="15" customHeight="1">
      <c r="A184" t="inlineStr">
        <is>
          <t>A 16329-2022</t>
        </is>
      </c>
      <c r="B184" s="1" t="n">
        <v>44670</v>
      </c>
      <c r="C184" s="1" t="n">
        <v>45705</v>
      </c>
      <c r="D184" t="inlineStr">
        <is>
          <t>UPPSALA LÄN</t>
        </is>
      </c>
      <c r="E184" t="inlineStr">
        <is>
          <t>HEBY</t>
        </is>
      </c>
      <c r="G184" t="n">
        <v>24.5</v>
      </c>
      <c r="H184" t="n">
        <v>1</v>
      </c>
      <c r="I184" t="n">
        <v>4</v>
      </c>
      <c r="J184" t="n">
        <v>0</v>
      </c>
      <c r="K184" t="n">
        <v>0</v>
      </c>
      <c r="L184" t="n">
        <v>0</v>
      </c>
      <c r="M184" t="n">
        <v>0</v>
      </c>
      <c r="N184" t="n">
        <v>0</v>
      </c>
      <c r="O184" t="n">
        <v>0</v>
      </c>
      <c r="P184" t="n">
        <v>0</v>
      </c>
      <c r="Q184" t="n">
        <v>4</v>
      </c>
      <c r="R184" s="2" t="inlineStr">
        <is>
          <t>Aspvedgnagare
Bronshjon
Plattlummer
Thomsons trägnagare</t>
        </is>
      </c>
      <c r="S184">
        <f>HYPERLINK("https://klasma.github.io/Logging_0331/artfynd/A 16329-2022 artfynd.xlsx", "A 16329-2022")</f>
        <v/>
      </c>
      <c r="T184">
        <f>HYPERLINK("https://klasma.github.io/Logging_0331/kartor/A 16329-2022 karta.png", "A 16329-2022")</f>
        <v/>
      </c>
      <c r="V184">
        <f>HYPERLINK("https://klasma.github.io/Logging_0331/klagomål/A 16329-2022 FSC-klagomål.docx", "A 16329-2022")</f>
        <v/>
      </c>
      <c r="W184">
        <f>HYPERLINK("https://klasma.github.io/Logging_0331/klagomålsmail/A 16329-2022 FSC-klagomål mail.docx", "A 16329-2022")</f>
        <v/>
      </c>
      <c r="X184">
        <f>HYPERLINK("https://klasma.github.io/Logging_0331/tillsyn/A 16329-2022 tillsynsbegäran.docx", "A 16329-2022")</f>
        <v/>
      </c>
      <c r="Y184">
        <f>HYPERLINK("https://klasma.github.io/Logging_0331/tillsynsmail/A 16329-2022 tillsynsbegäran mail.docx", "A 16329-2022")</f>
        <v/>
      </c>
    </row>
    <row r="185" ht="15" customHeight="1">
      <c r="A185" t="inlineStr">
        <is>
          <t>A 18150-2022</t>
        </is>
      </c>
      <c r="B185" s="1" t="n">
        <v>44684</v>
      </c>
      <c r="C185" s="1" t="n">
        <v>45705</v>
      </c>
      <c r="D185" t="inlineStr">
        <is>
          <t>UPPSALA LÄN</t>
        </is>
      </c>
      <c r="E185" t="inlineStr">
        <is>
          <t>ÖSTHAMMAR</t>
        </is>
      </c>
      <c r="G185" t="n">
        <v>0.8</v>
      </c>
      <c r="H185" t="n">
        <v>3</v>
      </c>
      <c r="I185" t="n">
        <v>1</v>
      </c>
      <c r="J185" t="n">
        <v>1</v>
      </c>
      <c r="K185" t="n">
        <v>1</v>
      </c>
      <c r="L185" t="n">
        <v>0</v>
      </c>
      <c r="M185" t="n">
        <v>0</v>
      </c>
      <c r="N185" t="n">
        <v>0</v>
      </c>
      <c r="O185" t="n">
        <v>2</v>
      </c>
      <c r="P185" t="n">
        <v>1</v>
      </c>
      <c r="Q185" t="n">
        <v>4</v>
      </c>
      <c r="R185" s="2" t="inlineStr">
        <is>
          <t>Knärot
Talltita
Bronshjon
Blåsippa</t>
        </is>
      </c>
      <c r="S185">
        <f>HYPERLINK("https://klasma.github.io/Logging_0382/artfynd/A 18150-2022 artfynd.xlsx", "A 18150-2022")</f>
        <v/>
      </c>
      <c r="T185">
        <f>HYPERLINK("https://klasma.github.io/Logging_0382/kartor/A 18150-2022 karta.png", "A 18150-2022")</f>
        <v/>
      </c>
      <c r="U185">
        <f>HYPERLINK("https://klasma.github.io/Logging_0382/knärot/A 18150-2022 karta knärot.png", "A 18150-2022")</f>
        <v/>
      </c>
      <c r="V185">
        <f>HYPERLINK("https://klasma.github.io/Logging_0382/klagomål/A 18150-2022 FSC-klagomål.docx", "A 18150-2022")</f>
        <v/>
      </c>
      <c r="W185">
        <f>HYPERLINK("https://klasma.github.io/Logging_0382/klagomålsmail/A 18150-2022 FSC-klagomål mail.docx", "A 18150-2022")</f>
        <v/>
      </c>
      <c r="X185">
        <f>HYPERLINK("https://klasma.github.io/Logging_0382/tillsyn/A 18150-2022 tillsynsbegäran.docx", "A 18150-2022")</f>
        <v/>
      </c>
      <c r="Y185">
        <f>HYPERLINK("https://klasma.github.io/Logging_0382/tillsynsmail/A 18150-2022 tillsynsbegäran mail.docx", "A 18150-2022")</f>
        <v/>
      </c>
      <c r="Z185">
        <f>HYPERLINK("https://klasma.github.io/Logging_0382/fåglar/A 18150-2022 prioriterade fågelarter.docx", "A 18150-2022")</f>
        <v/>
      </c>
    </row>
    <row r="186" ht="15" customHeight="1">
      <c r="A186" t="inlineStr">
        <is>
          <t>A 22258-2022</t>
        </is>
      </c>
      <c r="B186" s="1" t="n">
        <v>44712</v>
      </c>
      <c r="C186" s="1" t="n">
        <v>45705</v>
      </c>
      <c r="D186" t="inlineStr">
        <is>
          <t>UPPSALA LÄN</t>
        </is>
      </c>
      <c r="E186" t="inlineStr">
        <is>
          <t>KNIVSTA</t>
        </is>
      </c>
      <c r="G186" t="n">
        <v>1.4</v>
      </c>
      <c r="H186" t="n">
        <v>2</v>
      </c>
      <c r="I186" t="n">
        <v>2</v>
      </c>
      <c r="J186" t="n">
        <v>0</v>
      </c>
      <c r="K186" t="n">
        <v>1</v>
      </c>
      <c r="L186" t="n">
        <v>0</v>
      </c>
      <c r="M186" t="n">
        <v>0</v>
      </c>
      <c r="N186" t="n">
        <v>0</v>
      </c>
      <c r="O186" t="n">
        <v>1</v>
      </c>
      <c r="P186" t="n">
        <v>1</v>
      </c>
      <c r="Q186" t="n">
        <v>4</v>
      </c>
      <c r="R186" s="2" t="inlineStr">
        <is>
          <t>Bombmurkla
Kamjordstjärna
Svart trolldruva
Blåsippa</t>
        </is>
      </c>
      <c r="S186">
        <f>HYPERLINK("https://klasma.github.io/Logging_0330/artfynd/A 22258-2022 artfynd.xlsx", "A 22258-2022")</f>
        <v/>
      </c>
      <c r="T186">
        <f>HYPERLINK("https://klasma.github.io/Logging_0330/kartor/A 22258-2022 karta.png", "A 22258-2022")</f>
        <v/>
      </c>
      <c r="V186">
        <f>HYPERLINK("https://klasma.github.io/Logging_0330/klagomål/A 22258-2022 FSC-klagomål.docx", "A 22258-2022")</f>
        <v/>
      </c>
      <c r="W186">
        <f>HYPERLINK("https://klasma.github.io/Logging_0330/klagomålsmail/A 22258-2022 FSC-klagomål mail.docx", "A 22258-2022")</f>
        <v/>
      </c>
      <c r="X186">
        <f>HYPERLINK("https://klasma.github.io/Logging_0330/tillsyn/A 22258-2022 tillsynsbegäran.docx", "A 22258-2022")</f>
        <v/>
      </c>
      <c r="Y186">
        <f>HYPERLINK("https://klasma.github.io/Logging_0330/tillsynsmail/A 22258-2022 tillsynsbegäran mail.docx", "A 22258-2022")</f>
        <v/>
      </c>
    </row>
    <row r="187" ht="15" customHeight="1">
      <c r="A187" t="inlineStr">
        <is>
          <t>A 23153-2022</t>
        </is>
      </c>
      <c r="B187" s="1" t="n">
        <v>44719</v>
      </c>
      <c r="C187" s="1" t="n">
        <v>45705</v>
      </c>
      <c r="D187" t="inlineStr">
        <is>
          <t>UPPSALA LÄN</t>
        </is>
      </c>
      <c r="E187" t="inlineStr">
        <is>
          <t>UPPSALA</t>
        </is>
      </c>
      <c r="G187" t="n">
        <v>5.4</v>
      </c>
      <c r="H187" t="n">
        <v>0</v>
      </c>
      <c r="I187" t="n">
        <v>3</v>
      </c>
      <c r="J187" t="n">
        <v>1</v>
      </c>
      <c r="K187" t="n">
        <v>0</v>
      </c>
      <c r="L187" t="n">
        <v>0</v>
      </c>
      <c r="M187" t="n">
        <v>0</v>
      </c>
      <c r="N187" t="n">
        <v>0</v>
      </c>
      <c r="O187" t="n">
        <v>1</v>
      </c>
      <c r="P187" t="n">
        <v>0</v>
      </c>
      <c r="Q187" t="n">
        <v>4</v>
      </c>
      <c r="R187" s="2" t="inlineStr">
        <is>
          <t>Större flatbagge
Bronshjon
Thomsons trägnagare
Trådticka</t>
        </is>
      </c>
      <c r="S187">
        <f>HYPERLINK("https://klasma.github.io/Logging_0380/artfynd/A 23153-2022 artfynd.xlsx", "A 23153-2022")</f>
        <v/>
      </c>
      <c r="T187">
        <f>HYPERLINK("https://klasma.github.io/Logging_0380/kartor/A 23153-2022 karta.png", "A 23153-2022")</f>
        <v/>
      </c>
      <c r="V187">
        <f>HYPERLINK("https://klasma.github.io/Logging_0380/klagomål/A 23153-2022 FSC-klagomål.docx", "A 23153-2022")</f>
        <v/>
      </c>
      <c r="W187">
        <f>HYPERLINK("https://klasma.github.io/Logging_0380/klagomålsmail/A 23153-2022 FSC-klagomål mail.docx", "A 23153-2022")</f>
        <v/>
      </c>
      <c r="X187">
        <f>HYPERLINK("https://klasma.github.io/Logging_0380/tillsyn/A 23153-2022 tillsynsbegäran.docx", "A 23153-2022")</f>
        <v/>
      </c>
      <c r="Y187">
        <f>HYPERLINK("https://klasma.github.io/Logging_0380/tillsynsmail/A 23153-2022 tillsynsbegäran mail.docx", "A 23153-2022")</f>
        <v/>
      </c>
    </row>
    <row r="188" ht="15" customHeight="1">
      <c r="A188" t="inlineStr">
        <is>
          <t>A 26758-2022</t>
        </is>
      </c>
      <c r="B188" s="1" t="n">
        <v>44740</v>
      </c>
      <c r="C188" s="1" t="n">
        <v>45705</v>
      </c>
      <c r="D188" t="inlineStr">
        <is>
          <t>UPPSALA LÄN</t>
        </is>
      </c>
      <c r="E188" t="inlineStr">
        <is>
          <t>UPPSALA</t>
        </is>
      </c>
      <c r="G188" t="n">
        <v>21.5</v>
      </c>
      <c r="H188" t="n">
        <v>0</v>
      </c>
      <c r="I188" t="n">
        <v>3</v>
      </c>
      <c r="J188" t="n">
        <v>1</v>
      </c>
      <c r="K188" t="n">
        <v>0</v>
      </c>
      <c r="L188" t="n">
        <v>0</v>
      </c>
      <c r="M188" t="n">
        <v>0</v>
      </c>
      <c r="N188" t="n">
        <v>0</v>
      </c>
      <c r="O188" t="n">
        <v>1</v>
      </c>
      <c r="P188" t="n">
        <v>0</v>
      </c>
      <c r="Q188" t="n">
        <v>4</v>
      </c>
      <c r="R188" s="2" t="inlineStr">
        <is>
          <t>Vedtrappmossa
Blåmossa
Bronshjon
Trådticka</t>
        </is>
      </c>
      <c r="S188">
        <f>HYPERLINK("https://klasma.github.io/Logging_0380/artfynd/A 26758-2022 artfynd.xlsx", "A 26758-2022")</f>
        <v/>
      </c>
      <c r="T188">
        <f>HYPERLINK("https://klasma.github.io/Logging_0380/kartor/A 26758-2022 karta.png", "A 26758-2022")</f>
        <v/>
      </c>
      <c r="V188">
        <f>HYPERLINK("https://klasma.github.io/Logging_0380/klagomål/A 26758-2022 FSC-klagomål.docx", "A 26758-2022")</f>
        <v/>
      </c>
      <c r="W188">
        <f>HYPERLINK("https://klasma.github.io/Logging_0380/klagomålsmail/A 26758-2022 FSC-klagomål mail.docx", "A 26758-2022")</f>
        <v/>
      </c>
      <c r="X188">
        <f>HYPERLINK("https://klasma.github.io/Logging_0380/tillsyn/A 26758-2022 tillsynsbegäran.docx", "A 26758-2022")</f>
        <v/>
      </c>
      <c r="Y188">
        <f>HYPERLINK("https://klasma.github.io/Logging_0380/tillsynsmail/A 26758-2022 tillsynsbegäran mail.docx", "A 26758-2022")</f>
        <v/>
      </c>
    </row>
    <row r="189" ht="15" customHeight="1">
      <c r="A189" t="inlineStr">
        <is>
          <t>A 42846-2022</t>
        </is>
      </c>
      <c r="B189" s="1" t="n">
        <v>44832</v>
      </c>
      <c r="C189" s="1" t="n">
        <v>45705</v>
      </c>
      <c r="D189" t="inlineStr">
        <is>
          <t>UPPSALA LÄN</t>
        </is>
      </c>
      <c r="E189" t="inlineStr">
        <is>
          <t>HEBY</t>
        </is>
      </c>
      <c r="G189" t="n">
        <v>4.8</v>
      </c>
      <c r="H189" t="n">
        <v>1</v>
      </c>
      <c r="I189" t="n">
        <v>3</v>
      </c>
      <c r="J189" t="n">
        <v>0</v>
      </c>
      <c r="K189" t="n">
        <v>1</v>
      </c>
      <c r="L189" t="n">
        <v>0</v>
      </c>
      <c r="M189" t="n">
        <v>0</v>
      </c>
      <c r="N189" t="n">
        <v>0</v>
      </c>
      <c r="O189" t="n">
        <v>1</v>
      </c>
      <c r="P189" t="n">
        <v>1</v>
      </c>
      <c r="Q189" t="n">
        <v>4</v>
      </c>
      <c r="R189" s="2" t="inlineStr">
        <is>
          <t>Knärot
Bronshjon
Thomsons trägnagare
Trådticka</t>
        </is>
      </c>
      <c r="S189">
        <f>HYPERLINK("https://klasma.github.io/Logging_0331/artfynd/A 42846-2022 artfynd.xlsx", "A 42846-2022")</f>
        <v/>
      </c>
      <c r="T189">
        <f>HYPERLINK("https://klasma.github.io/Logging_0331/kartor/A 42846-2022 karta.png", "A 42846-2022")</f>
        <v/>
      </c>
      <c r="U189">
        <f>HYPERLINK("https://klasma.github.io/Logging_0331/knärot/A 42846-2022 karta knärot.png", "A 42846-2022")</f>
        <v/>
      </c>
      <c r="V189">
        <f>HYPERLINK("https://klasma.github.io/Logging_0331/klagomål/A 42846-2022 FSC-klagomål.docx", "A 42846-2022")</f>
        <v/>
      </c>
      <c r="W189">
        <f>HYPERLINK("https://klasma.github.io/Logging_0331/klagomålsmail/A 42846-2022 FSC-klagomål mail.docx", "A 42846-2022")</f>
        <v/>
      </c>
      <c r="X189">
        <f>HYPERLINK("https://klasma.github.io/Logging_0331/tillsyn/A 42846-2022 tillsynsbegäran.docx", "A 42846-2022")</f>
        <v/>
      </c>
      <c r="Y189">
        <f>HYPERLINK("https://klasma.github.io/Logging_0331/tillsynsmail/A 42846-2022 tillsynsbegäran mail.docx", "A 42846-2022")</f>
        <v/>
      </c>
    </row>
    <row r="190" ht="15" customHeight="1">
      <c r="A190" t="inlineStr">
        <is>
          <t>A 48352-2022</t>
        </is>
      </c>
      <c r="B190" s="1" t="n">
        <v>44858</v>
      </c>
      <c r="C190" s="1" t="n">
        <v>45705</v>
      </c>
      <c r="D190" t="inlineStr">
        <is>
          <t>UPPSALA LÄN</t>
        </is>
      </c>
      <c r="E190" t="inlineStr">
        <is>
          <t>ÖSTHAMMAR</t>
        </is>
      </c>
      <c r="G190" t="n">
        <v>4.8</v>
      </c>
      <c r="H190" t="n">
        <v>0</v>
      </c>
      <c r="I190" t="n">
        <v>2</v>
      </c>
      <c r="J190" t="n">
        <v>2</v>
      </c>
      <c r="K190" t="n">
        <v>0</v>
      </c>
      <c r="L190" t="n">
        <v>0</v>
      </c>
      <c r="M190" t="n">
        <v>0</v>
      </c>
      <c r="N190" t="n">
        <v>0</v>
      </c>
      <c r="O190" t="n">
        <v>2</v>
      </c>
      <c r="P190" t="n">
        <v>0</v>
      </c>
      <c r="Q190" t="n">
        <v>4</v>
      </c>
      <c r="R190" s="2" t="inlineStr">
        <is>
          <t>Gultoppig fingersvamp
Svart taggsvamp
Anisspindling
Diskvaxskivling</t>
        </is>
      </c>
      <c r="S190">
        <f>HYPERLINK("https://klasma.github.io/Logging_0382/artfynd/A 48352-2022 artfynd.xlsx", "A 48352-2022")</f>
        <v/>
      </c>
      <c r="T190">
        <f>HYPERLINK("https://klasma.github.io/Logging_0382/kartor/A 48352-2022 karta.png", "A 48352-2022")</f>
        <v/>
      </c>
      <c r="V190">
        <f>HYPERLINK("https://klasma.github.io/Logging_0382/klagomål/A 48352-2022 FSC-klagomål.docx", "A 48352-2022")</f>
        <v/>
      </c>
      <c r="W190">
        <f>HYPERLINK("https://klasma.github.io/Logging_0382/klagomålsmail/A 48352-2022 FSC-klagomål mail.docx", "A 48352-2022")</f>
        <v/>
      </c>
      <c r="X190">
        <f>HYPERLINK("https://klasma.github.io/Logging_0382/tillsyn/A 48352-2022 tillsynsbegäran.docx", "A 48352-2022")</f>
        <v/>
      </c>
      <c r="Y190">
        <f>HYPERLINK("https://klasma.github.io/Logging_0382/tillsynsmail/A 48352-2022 tillsynsbegäran mail.docx", "A 48352-2022")</f>
        <v/>
      </c>
    </row>
    <row r="191" ht="15" customHeight="1">
      <c r="A191" t="inlineStr">
        <is>
          <t>A 49910-2022</t>
        </is>
      </c>
      <c r="B191" s="1" t="n">
        <v>44865</v>
      </c>
      <c r="C191" s="1" t="n">
        <v>45705</v>
      </c>
      <c r="D191" t="inlineStr">
        <is>
          <t>UPPSALA LÄN</t>
        </is>
      </c>
      <c r="E191" t="inlineStr">
        <is>
          <t>ÖSTHAMMAR</t>
        </is>
      </c>
      <c r="F191" t="inlineStr">
        <is>
          <t>Bergvik skog öst AB</t>
        </is>
      </c>
      <c r="G191" t="n">
        <v>5.7</v>
      </c>
      <c r="H191" t="n">
        <v>4</v>
      </c>
      <c r="I191" t="n">
        <v>0</v>
      </c>
      <c r="J191" t="n">
        <v>2</v>
      </c>
      <c r="K191" t="n">
        <v>0</v>
      </c>
      <c r="L191" t="n">
        <v>0</v>
      </c>
      <c r="M191" t="n">
        <v>0</v>
      </c>
      <c r="N191" t="n">
        <v>0</v>
      </c>
      <c r="O191" t="n">
        <v>2</v>
      </c>
      <c r="P191" t="n">
        <v>0</v>
      </c>
      <c r="Q191" t="n">
        <v>4</v>
      </c>
      <c r="R191" s="2" t="inlineStr">
        <is>
          <t>Svartvit flugsnappare
Sävsparv
Bivråk
Törnskata</t>
        </is>
      </c>
      <c r="S191">
        <f>HYPERLINK("https://klasma.github.io/Logging_0382/artfynd/A 49910-2022 artfynd.xlsx", "A 49910-2022")</f>
        <v/>
      </c>
      <c r="T191">
        <f>HYPERLINK("https://klasma.github.io/Logging_0382/kartor/A 49910-2022 karta.png", "A 49910-2022")</f>
        <v/>
      </c>
      <c r="V191">
        <f>HYPERLINK("https://klasma.github.io/Logging_0382/klagomål/A 49910-2022 FSC-klagomål.docx", "A 49910-2022")</f>
        <v/>
      </c>
      <c r="W191">
        <f>HYPERLINK("https://klasma.github.io/Logging_0382/klagomålsmail/A 49910-2022 FSC-klagomål mail.docx", "A 49910-2022")</f>
        <v/>
      </c>
      <c r="X191">
        <f>HYPERLINK("https://klasma.github.io/Logging_0382/tillsyn/A 49910-2022 tillsynsbegäran.docx", "A 49910-2022")</f>
        <v/>
      </c>
      <c r="Y191">
        <f>HYPERLINK("https://klasma.github.io/Logging_0382/tillsynsmail/A 49910-2022 tillsynsbegäran mail.docx", "A 49910-2022")</f>
        <v/>
      </c>
      <c r="Z191">
        <f>HYPERLINK("https://klasma.github.io/Logging_0382/fåglar/A 49910-2022 prioriterade fågelarter.docx", "A 49910-2022")</f>
        <v/>
      </c>
    </row>
    <row r="192" ht="15" customHeight="1">
      <c r="A192" t="inlineStr">
        <is>
          <t>A 52659-2022</t>
        </is>
      </c>
      <c r="B192" s="1" t="n">
        <v>44874</v>
      </c>
      <c r="C192" s="1" t="n">
        <v>45705</v>
      </c>
      <c r="D192" t="inlineStr">
        <is>
          <t>UPPSALA LÄN</t>
        </is>
      </c>
      <c r="E192" t="inlineStr">
        <is>
          <t>ÖSTHAMMAR</t>
        </is>
      </c>
      <c r="F192" t="inlineStr">
        <is>
          <t>Bergvik skog öst AB</t>
        </is>
      </c>
      <c r="G192" t="n">
        <v>1.8</v>
      </c>
      <c r="H192" t="n">
        <v>4</v>
      </c>
      <c r="I192" t="n">
        <v>0</v>
      </c>
      <c r="J192" t="n">
        <v>4</v>
      </c>
      <c r="K192" t="n">
        <v>0</v>
      </c>
      <c r="L192" t="n">
        <v>0</v>
      </c>
      <c r="M192" t="n">
        <v>0</v>
      </c>
      <c r="N192" t="n">
        <v>0</v>
      </c>
      <c r="O192" t="n">
        <v>4</v>
      </c>
      <c r="P192" t="n">
        <v>0</v>
      </c>
      <c r="Q192" t="n">
        <v>4</v>
      </c>
      <c r="R192" s="2" t="inlineStr">
        <is>
          <t>Gulsparv
Kråka
Svartvit flugsnappare
Sävsparv</t>
        </is>
      </c>
      <c r="S192">
        <f>HYPERLINK("https://klasma.github.io/Logging_0382/artfynd/A 52659-2022 artfynd.xlsx", "A 52659-2022")</f>
        <v/>
      </c>
      <c r="T192">
        <f>HYPERLINK("https://klasma.github.io/Logging_0382/kartor/A 52659-2022 karta.png", "A 52659-2022")</f>
        <v/>
      </c>
      <c r="V192">
        <f>HYPERLINK("https://klasma.github.io/Logging_0382/klagomål/A 52659-2022 FSC-klagomål.docx", "A 52659-2022")</f>
        <v/>
      </c>
      <c r="W192">
        <f>HYPERLINK("https://klasma.github.io/Logging_0382/klagomålsmail/A 52659-2022 FSC-klagomål mail.docx", "A 52659-2022")</f>
        <v/>
      </c>
      <c r="X192">
        <f>HYPERLINK("https://klasma.github.io/Logging_0382/tillsyn/A 52659-2022 tillsynsbegäran.docx", "A 52659-2022")</f>
        <v/>
      </c>
      <c r="Y192">
        <f>HYPERLINK("https://klasma.github.io/Logging_0382/tillsynsmail/A 52659-2022 tillsynsbegäran mail.docx", "A 52659-2022")</f>
        <v/>
      </c>
      <c r="Z192">
        <f>HYPERLINK("https://klasma.github.io/Logging_0382/fåglar/A 52659-2022 prioriterade fågelarter.docx", "A 52659-2022")</f>
        <v/>
      </c>
    </row>
    <row r="193" ht="15" customHeight="1">
      <c r="A193" t="inlineStr">
        <is>
          <t>A 5089-2023</t>
        </is>
      </c>
      <c r="B193" s="1" t="n">
        <v>44958</v>
      </c>
      <c r="C193" s="1" t="n">
        <v>45705</v>
      </c>
      <c r="D193" t="inlineStr">
        <is>
          <t>UPPSALA LÄN</t>
        </is>
      </c>
      <c r="E193" t="inlineStr">
        <is>
          <t>TIERP</t>
        </is>
      </c>
      <c r="F193" t="inlineStr">
        <is>
          <t>Bergvik skog öst AB</t>
        </is>
      </c>
      <c r="G193" t="n">
        <v>19.1</v>
      </c>
      <c r="H193" t="n">
        <v>1</v>
      </c>
      <c r="I193" t="n">
        <v>1</v>
      </c>
      <c r="J193" t="n">
        <v>3</v>
      </c>
      <c r="K193" t="n">
        <v>0</v>
      </c>
      <c r="L193" t="n">
        <v>0</v>
      </c>
      <c r="M193" t="n">
        <v>0</v>
      </c>
      <c r="N193" t="n">
        <v>0</v>
      </c>
      <c r="O193" t="n">
        <v>3</v>
      </c>
      <c r="P193" t="n">
        <v>0</v>
      </c>
      <c r="Q193" t="n">
        <v>4</v>
      </c>
      <c r="R193" s="2" t="inlineStr">
        <is>
          <t>Motaggsvamp
Talltita
Ullticka
Granbarkgnagare</t>
        </is>
      </c>
      <c r="S193">
        <f>HYPERLINK("https://klasma.github.io/Logging_0360/artfynd/A 5089-2023 artfynd.xlsx", "A 5089-2023")</f>
        <v/>
      </c>
      <c r="T193">
        <f>HYPERLINK("https://klasma.github.io/Logging_0360/kartor/A 5089-2023 karta.png", "A 5089-2023")</f>
        <v/>
      </c>
      <c r="V193">
        <f>HYPERLINK("https://klasma.github.io/Logging_0360/klagomål/A 5089-2023 FSC-klagomål.docx", "A 5089-2023")</f>
        <v/>
      </c>
      <c r="W193">
        <f>HYPERLINK("https://klasma.github.io/Logging_0360/klagomålsmail/A 5089-2023 FSC-klagomål mail.docx", "A 5089-2023")</f>
        <v/>
      </c>
      <c r="X193">
        <f>HYPERLINK("https://klasma.github.io/Logging_0360/tillsyn/A 5089-2023 tillsynsbegäran.docx", "A 5089-2023")</f>
        <v/>
      </c>
      <c r="Y193">
        <f>HYPERLINK("https://klasma.github.io/Logging_0360/tillsynsmail/A 5089-2023 tillsynsbegäran mail.docx", "A 5089-2023")</f>
        <v/>
      </c>
      <c r="Z193">
        <f>HYPERLINK("https://klasma.github.io/Logging_0360/fåglar/A 5089-2023 prioriterade fågelarter.docx", "A 5089-2023")</f>
        <v/>
      </c>
    </row>
    <row r="194" ht="15" customHeight="1">
      <c r="A194" t="inlineStr">
        <is>
          <t>A 8323-2023</t>
        </is>
      </c>
      <c r="B194" s="1" t="n">
        <v>44974</v>
      </c>
      <c r="C194" s="1" t="n">
        <v>45705</v>
      </c>
      <c r="D194" t="inlineStr">
        <is>
          <t>UPPSALA LÄN</t>
        </is>
      </c>
      <c r="E194" t="inlineStr">
        <is>
          <t>UPPSALA</t>
        </is>
      </c>
      <c r="G194" t="n">
        <v>9.4</v>
      </c>
      <c r="H194" t="n">
        <v>1</v>
      </c>
      <c r="I194" t="n">
        <v>2</v>
      </c>
      <c r="J194" t="n">
        <v>1</v>
      </c>
      <c r="K194" t="n">
        <v>0</v>
      </c>
      <c r="L194" t="n">
        <v>0</v>
      </c>
      <c r="M194" t="n">
        <v>0</v>
      </c>
      <c r="N194" t="n">
        <v>0</v>
      </c>
      <c r="O194" t="n">
        <v>1</v>
      </c>
      <c r="P194" t="n">
        <v>0</v>
      </c>
      <c r="Q194" t="n">
        <v>4</v>
      </c>
      <c r="R194" s="2" t="inlineStr">
        <is>
          <t>Leptoporus erubescens
Blodticka
Grönpyrola
Revlummer</t>
        </is>
      </c>
      <c r="S194">
        <f>HYPERLINK("https://klasma.github.io/Logging_0380/artfynd/A 8323-2023 artfynd.xlsx", "A 8323-2023")</f>
        <v/>
      </c>
      <c r="T194">
        <f>HYPERLINK("https://klasma.github.io/Logging_0380/kartor/A 8323-2023 karta.png", "A 8323-2023")</f>
        <v/>
      </c>
      <c r="V194">
        <f>HYPERLINK("https://klasma.github.io/Logging_0380/klagomål/A 8323-2023 FSC-klagomål.docx", "A 8323-2023")</f>
        <v/>
      </c>
      <c r="W194">
        <f>HYPERLINK("https://klasma.github.io/Logging_0380/klagomålsmail/A 8323-2023 FSC-klagomål mail.docx", "A 8323-2023")</f>
        <v/>
      </c>
      <c r="X194">
        <f>HYPERLINK("https://klasma.github.io/Logging_0380/tillsyn/A 8323-2023 tillsynsbegäran.docx", "A 8323-2023")</f>
        <v/>
      </c>
      <c r="Y194">
        <f>HYPERLINK("https://klasma.github.io/Logging_0380/tillsynsmail/A 8323-2023 tillsynsbegäran mail.docx", "A 8323-2023")</f>
        <v/>
      </c>
    </row>
    <row r="195" ht="15" customHeight="1">
      <c r="A195" t="inlineStr">
        <is>
          <t>A 13210-2023</t>
        </is>
      </c>
      <c r="B195" s="1" t="n">
        <v>45002</v>
      </c>
      <c r="C195" s="1" t="n">
        <v>45705</v>
      </c>
      <c r="D195" t="inlineStr">
        <is>
          <t>UPPSALA LÄN</t>
        </is>
      </c>
      <c r="E195" t="inlineStr">
        <is>
          <t>UPPSALA</t>
        </is>
      </c>
      <c r="F195" t="inlineStr">
        <is>
          <t>Holmen skog AB</t>
        </is>
      </c>
      <c r="G195" t="n">
        <v>6.5</v>
      </c>
      <c r="H195" t="n">
        <v>2</v>
      </c>
      <c r="I195" t="n">
        <v>2</v>
      </c>
      <c r="J195" t="n">
        <v>0</v>
      </c>
      <c r="K195" t="n">
        <v>1</v>
      </c>
      <c r="L195" t="n">
        <v>0</v>
      </c>
      <c r="M195" t="n">
        <v>0</v>
      </c>
      <c r="N195" t="n">
        <v>0</v>
      </c>
      <c r="O195" t="n">
        <v>1</v>
      </c>
      <c r="P195" t="n">
        <v>1</v>
      </c>
      <c r="Q195" t="n">
        <v>4</v>
      </c>
      <c r="R195" s="2" t="inlineStr">
        <is>
          <t>Knärot
Bronshjon
Vanlig rörsvepemossa
Blåsippa</t>
        </is>
      </c>
      <c r="S195">
        <f>HYPERLINK("https://klasma.github.io/Logging_0380/artfynd/A 13210-2023 artfynd.xlsx", "A 13210-2023")</f>
        <v/>
      </c>
      <c r="T195">
        <f>HYPERLINK("https://klasma.github.io/Logging_0380/kartor/A 13210-2023 karta.png", "A 13210-2023")</f>
        <v/>
      </c>
      <c r="U195">
        <f>HYPERLINK("https://klasma.github.io/Logging_0380/knärot/A 13210-2023 karta knärot.png", "A 13210-2023")</f>
        <v/>
      </c>
      <c r="V195">
        <f>HYPERLINK("https://klasma.github.io/Logging_0380/klagomål/A 13210-2023 FSC-klagomål.docx", "A 13210-2023")</f>
        <v/>
      </c>
      <c r="W195">
        <f>HYPERLINK("https://klasma.github.io/Logging_0380/klagomålsmail/A 13210-2023 FSC-klagomål mail.docx", "A 13210-2023")</f>
        <v/>
      </c>
      <c r="X195">
        <f>HYPERLINK("https://klasma.github.io/Logging_0380/tillsyn/A 13210-2023 tillsynsbegäran.docx", "A 13210-2023")</f>
        <v/>
      </c>
      <c r="Y195">
        <f>HYPERLINK("https://klasma.github.io/Logging_0380/tillsynsmail/A 13210-2023 tillsynsbegäran mail.docx", "A 13210-2023")</f>
        <v/>
      </c>
    </row>
    <row r="196" ht="15" customHeight="1">
      <c r="A196" t="inlineStr">
        <is>
          <t>A 16456-2023</t>
        </is>
      </c>
      <c r="B196" s="1" t="n">
        <v>45026</v>
      </c>
      <c r="C196" s="1" t="n">
        <v>45705</v>
      </c>
      <c r="D196" t="inlineStr">
        <is>
          <t>UPPSALA LÄN</t>
        </is>
      </c>
      <c r="E196" t="inlineStr">
        <is>
          <t>UPPSALA</t>
        </is>
      </c>
      <c r="G196" t="n">
        <v>6.5</v>
      </c>
      <c r="H196" t="n">
        <v>3</v>
      </c>
      <c r="I196" t="n">
        <v>1</v>
      </c>
      <c r="J196" t="n">
        <v>2</v>
      </c>
      <c r="K196" t="n">
        <v>0</v>
      </c>
      <c r="L196" t="n">
        <v>0</v>
      </c>
      <c r="M196" t="n">
        <v>0</v>
      </c>
      <c r="N196" t="n">
        <v>0</v>
      </c>
      <c r="O196" t="n">
        <v>2</v>
      </c>
      <c r="P196" t="n">
        <v>0</v>
      </c>
      <c r="Q196" t="n">
        <v>4</v>
      </c>
      <c r="R196" s="2" t="inlineStr">
        <is>
          <t>Entita
Rödvingetrast
Björksplintborre
Skogsduva</t>
        </is>
      </c>
      <c r="S196">
        <f>HYPERLINK("https://klasma.github.io/Logging_0380/artfynd/A 16456-2023 artfynd.xlsx", "A 16456-2023")</f>
        <v/>
      </c>
      <c r="T196">
        <f>HYPERLINK("https://klasma.github.io/Logging_0380/kartor/A 16456-2023 karta.png", "A 16456-2023")</f>
        <v/>
      </c>
      <c r="V196">
        <f>HYPERLINK("https://klasma.github.io/Logging_0380/klagomål/A 16456-2023 FSC-klagomål.docx", "A 16456-2023")</f>
        <v/>
      </c>
      <c r="W196">
        <f>HYPERLINK("https://klasma.github.io/Logging_0380/klagomålsmail/A 16456-2023 FSC-klagomål mail.docx", "A 16456-2023")</f>
        <v/>
      </c>
      <c r="X196">
        <f>HYPERLINK("https://klasma.github.io/Logging_0380/tillsyn/A 16456-2023 tillsynsbegäran.docx", "A 16456-2023")</f>
        <v/>
      </c>
      <c r="Y196">
        <f>HYPERLINK("https://klasma.github.io/Logging_0380/tillsynsmail/A 16456-2023 tillsynsbegäran mail.docx", "A 16456-2023")</f>
        <v/>
      </c>
      <c r="Z196">
        <f>HYPERLINK("https://klasma.github.io/Logging_0380/fåglar/A 16456-2023 prioriterade fågelarter.docx", "A 16456-2023")</f>
        <v/>
      </c>
    </row>
    <row r="197" ht="15" customHeight="1">
      <c r="A197" t="inlineStr">
        <is>
          <t>A 18814-2023</t>
        </is>
      </c>
      <c r="B197" s="1" t="n">
        <v>45043</v>
      </c>
      <c r="C197" s="1" t="n">
        <v>45705</v>
      </c>
      <c r="D197" t="inlineStr">
        <is>
          <t>UPPSALA LÄN</t>
        </is>
      </c>
      <c r="E197" t="inlineStr">
        <is>
          <t>KNIVSTA</t>
        </is>
      </c>
      <c r="G197" t="n">
        <v>8.9</v>
      </c>
      <c r="H197" t="n">
        <v>2</v>
      </c>
      <c r="I197" t="n">
        <v>1</v>
      </c>
      <c r="J197" t="n">
        <v>2</v>
      </c>
      <c r="K197" t="n">
        <v>0</v>
      </c>
      <c r="L197" t="n">
        <v>1</v>
      </c>
      <c r="M197" t="n">
        <v>0</v>
      </c>
      <c r="N197" t="n">
        <v>0</v>
      </c>
      <c r="O197" t="n">
        <v>3</v>
      </c>
      <c r="P197" t="n">
        <v>1</v>
      </c>
      <c r="Q197" t="n">
        <v>4</v>
      </c>
      <c r="R197" s="2" t="inlineStr">
        <is>
          <t>Grönfink
Gulsparv
Ullticka
Barkticka</t>
        </is>
      </c>
      <c r="S197">
        <f>HYPERLINK("https://klasma.github.io/Logging_0330/artfynd/A 18814-2023 artfynd.xlsx", "A 18814-2023")</f>
        <v/>
      </c>
      <c r="T197">
        <f>HYPERLINK("https://klasma.github.io/Logging_0330/kartor/A 18814-2023 karta.png", "A 18814-2023")</f>
        <v/>
      </c>
      <c r="V197">
        <f>HYPERLINK("https://klasma.github.io/Logging_0330/klagomål/A 18814-2023 FSC-klagomål.docx", "A 18814-2023")</f>
        <v/>
      </c>
      <c r="W197">
        <f>HYPERLINK("https://klasma.github.io/Logging_0330/klagomålsmail/A 18814-2023 FSC-klagomål mail.docx", "A 18814-2023")</f>
        <v/>
      </c>
      <c r="X197">
        <f>HYPERLINK("https://klasma.github.io/Logging_0330/tillsyn/A 18814-2023 tillsynsbegäran.docx", "A 18814-2023")</f>
        <v/>
      </c>
      <c r="Y197">
        <f>HYPERLINK("https://klasma.github.io/Logging_0330/tillsynsmail/A 18814-2023 tillsynsbegäran mail.docx", "A 18814-2023")</f>
        <v/>
      </c>
      <c r="Z197">
        <f>HYPERLINK("https://klasma.github.io/Logging_0330/fåglar/A 18814-2023 prioriterade fågelarter.docx", "A 18814-2023")</f>
        <v/>
      </c>
    </row>
    <row r="198" ht="15" customHeight="1">
      <c r="A198" t="inlineStr">
        <is>
          <t>A 19329-2023</t>
        </is>
      </c>
      <c r="B198" s="1" t="n">
        <v>45049</v>
      </c>
      <c r="C198" s="1" t="n">
        <v>45705</v>
      </c>
      <c r="D198" t="inlineStr">
        <is>
          <t>UPPSALA LÄN</t>
        </is>
      </c>
      <c r="E198" t="inlineStr">
        <is>
          <t>UPPSALA</t>
        </is>
      </c>
      <c r="G198" t="n">
        <v>10</v>
      </c>
      <c r="H198" t="n">
        <v>0</v>
      </c>
      <c r="I198" t="n">
        <v>3</v>
      </c>
      <c r="J198" t="n">
        <v>1</v>
      </c>
      <c r="K198" t="n">
        <v>0</v>
      </c>
      <c r="L198" t="n">
        <v>0</v>
      </c>
      <c r="M198" t="n">
        <v>0</v>
      </c>
      <c r="N198" t="n">
        <v>0</v>
      </c>
      <c r="O198" t="n">
        <v>1</v>
      </c>
      <c r="P198" t="n">
        <v>0</v>
      </c>
      <c r="Q198" t="n">
        <v>4</v>
      </c>
      <c r="R198" s="2" t="inlineStr">
        <is>
          <t>Erastia ochraceolateritia
Blodticka
Fjällig taggsvamp s.str.
Svavelriska</t>
        </is>
      </c>
      <c r="S198">
        <f>HYPERLINK("https://klasma.github.io/Logging_0380/artfynd/A 19329-2023 artfynd.xlsx", "A 19329-2023")</f>
        <v/>
      </c>
      <c r="T198">
        <f>HYPERLINK("https://klasma.github.io/Logging_0380/kartor/A 19329-2023 karta.png", "A 19329-2023")</f>
        <v/>
      </c>
      <c r="V198">
        <f>HYPERLINK("https://klasma.github.io/Logging_0380/klagomål/A 19329-2023 FSC-klagomål.docx", "A 19329-2023")</f>
        <v/>
      </c>
      <c r="W198">
        <f>HYPERLINK("https://klasma.github.io/Logging_0380/klagomålsmail/A 19329-2023 FSC-klagomål mail.docx", "A 19329-2023")</f>
        <v/>
      </c>
      <c r="X198">
        <f>HYPERLINK("https://klasma.github.io/Logging_0380/tillsyn/A 19329-2023 tillsynsbegäran.docx", "A 19329-2023")</f>
        <v/>
      </c>
      <c r="Y198">
        <f>HYPERLINK("https://klasma.github.io/Logging_0380/tillsynsmail/A 19329-2023 tillsynsbegäran mail.docx", "A 19329-2023")</f>
        <v/>
      </c>
    </row>
    <row r="199" ht="15" customHeight="1">
      <c r="A199" t="inlineStr">
        <is>
          <t>A 26600-2023</t>
        </is>
      </c>
      <c r="B199" s="1" t="n">
        <v>45092</v>
      </c>
      <c r="C199" s="1" t="n">
        <v>45705</v>
      </c>
      <c r="D199" t="inlineStr">
        <is>
          <t>UPPSALA LÄN</t>
        </is>
      </c>
      <c r="E199" t="inlineStr">
        <is>
          <t>ÖSTHAMMAR</t>
        </is>
      </c>
      <c r="F199" t="inlineStr">
        <is>
          <t>Sveaskog</t>
        </is>
      </c>
      <c r="G199" t="n">
        <v>3.5</v>
      </c>
      <c r="H199" t="n">
        <v>4</v>
      </c>
      <c r="I199" t="n">
        <v>0</v>
      </c>
      <c r="J199" t="n">
        <v>3</v>
      </c>
      <c r="K199" t="n">
        <v>0</v>
      </c>
      <c r="L199" t="n">
        <v>1</v>
      </c>
      <c r="M199" t="n">
        <v>0</v>
      </c>
      <c r="N199" t="n">
        <v>0</v>
      </c>
      <c r="O199" t="n">
        <v>4</v>
      </c>
      <c r="P199" t="n">
        <v>1</v>
      </c>
      <c r="Q199" t="n">
        <v>4</v>
      </c>
      <c r="R199" s="2" t="inlineStr">
        <is>
          <t>Grönfink
Fiskmås
Nordfladdermus
Rörsångare</t>
        </is>
      </c>
      <c r="S199">
        <f>HYPERLINK("https://klasma.github.io/Logging_0382/artfynd/A 26600-2023 artfynd.xlsx", "A 26600-2023")</f>
        <v/>
      </c>
      <c r="T199">
        <f>HYPERLINK("https://klasma.github.io/Logging_0382/kartor/A 26600-2023 karta.png", "A 26600-2023")</f>
        <v/>
      </c>
      <c r="V199">
        <f>HYPERLINK("https://klasma.github.io/Logging_0382/klagomål/A 26600-2023 FSC-klagomål.docx", "A 26600-2023")</f>
        <v/>
      </c>
      <c r="W199">
        <f>HYPERLINK("https://klasma.github.io/Logging_0382/klagomålsmail/A 26600-2023 FSC-klagomål mail.docx", "A 26600-2023")</f>
        <v/>
      </c>
      <c r="X199">
        <f>HYPERLINK("https://klasma.github.io/Logging_0382/tillsyn/A 26600-2023 tillsynsbegäran.docx", "A 26600-2023")</f>
        <v/>
      </c>
      <c r="Y199">
        <f>HYPERLINK("https://klasma.github.io/Logging_0382/tillsynsmail/A 26600-2023 tillsynsbegäran mail.docx", "A 26600-2023")</f>
        <v/>
      </c>
      <c r="Z199">
        <f>HYPERLINK("https://klasma.github.io/Logging_0382/fåglar/A 26600-2023 prioriterade fågelarter.docx", "A 26600-2023")</f>
        <v/>
      </c>
    </row>
    <row r="200" ht="15" customHeight="1">
      <c r="A200" t="inlineStr">
        <is>
          <t>A 32785-2023</t>
        </is>
      </c>
      <c r="B200" s="1" t="n">
        <v>45124</v>
      </c>
      <c r="C200" s="1" t="n">
        <v>45705</v>
      </c>
      <c r="D200" t="inlineStr">
        <is>
          <t>UPPSALA LÄN</t>
        </is>
      </c>
      <c r="E200" t="inlineStr">
        <is>
          <t>HEBY</t>
        </is>
      </c>
      <c r="G200" t="n">
        <v>3.1</v>
      </c>
      <c r="H200" t="n">
        <v>3</v>
      </c>
      <c r="I200" t="n">
        <v>0</v>
      </c>
      <c r="J200" t="n">
        <v>3</v>
      </c>
      <c r="K200" t="n">
        <v>0</v>
      </c>
      <c r="L200" t="n">
        <v>0</v>
      </c>
      <c r="M200" t="n">
        <v>0</v>
      </c>
      <c r="N200" t="n">
        <v>0</v>
      </c>
      <c r="O200" t="n">
        <v>3</v>
      </c>
      <c r="P200" t="n">
        <v>0</v>
      </c>
      <c r="Q200" t="n">
        <v>4</v>
      </c>
      <c r="R200" s="2" t="inlineStr">
        <is>
          <t>Garnlav
Spillkråka
Talltita
Huggorm</t>
        </is>
      </c>
      <c r="S200">
        <f>HYPERLINK("https://klasma.github.io/Logging_0331/artfynd/A 32785-2023 artfynd.xlsx", "A 32785-2023")</f>
        <v/>
      </c>
      <c r="T200">
        <f>HYPERLINK("https://klasma.github.io/Logging_0331/kartor/A 32785-2023 karta.png", "A 32785-2023")</f>
        <v/>
      </c>
      <c r="V200">
        <f>HYPERLINK("https://klasma.github.io/Logging_0331/klagomål/A 32785-2023 FSC-klagomål.docx", "A 32785-2023")</f>
        <v/>
      </c>
      <c r="W200">
        <f>HYPERLINK("https://klasma.github.io/Logging_0331/klagomålsmail/A 32785-2023 FSC-klagomål mail.docx", "A 32785-2023")</f>
        <v/>
      </c>
      <c r="X200">
        <f>HYPERLINK("https://klasma.github.io/Logging_0331/tillsyn/A 32785-2023 tillsynsbegäran.docx", "A 32785-2023")</f>
        <v/>
      </c>
      <c r="Y200">
        <f>HYPERLINK("https://klasma.github.io/Logging_0331/tillsynsmail/A 32785-2023 tillsynsbegäran mail.docx", "A 32785-2023")</f>
        <v/>
      </c>
      <c r="Z200">
        <f>HYPERLINK("https://klasma.github.io/Logging_0331/fåglar/A 32785-2023 prioriterade fågelarter.docx", "A 32785-2023")</f>
        <v/>
      </c>
    </row>
    <row r="201" ht="15" customHeight="1">
      <c r="A201" t="inlineStr">
        <is>
          <t>A 40648-2023</t>
        </is>
      </c>
      <c r="B201" s="1" t="n">
        <v>45170</v>
      </c>
      <c r="C201" s="1" t="n">
        <v>45705</v>
      </c>
      <c r="D201" t="inlineStr">
        <is>
          <t>UPPSALA LÄN</t>
        </is>
      </c>
      <c r="E201" t="inlineStr">
        <is>
          <t>HEBY</t>
        </is>
      </c>
      <c r="F201" t="inlineStr">
        <is>
          <t>Övriga Aktiebolag</t>
        </is>
      </c>
      <c r="G201" t="n">
        <v>5.3</v>
      </c>
      <c r="H201" t="n">
        <v>0</v>
      </c>
      <c r="I201" t="n">
        <v>2</v>
      </c>
      <c r="J201" t="n">
        <v>2</v>
      </c>
      <c r="K201" t="n">
        <v>0</v>
      </c>
      <c r="L201" t="n">
        <v>0</v>
      </c>
      <c r="M201" t="n">
        <v>0</v>
      </c>
      <c r="N201" t="n">
        <v>0</v>
      </c>
      <c r="O201" t="n">
        <v>2</v>
      </c>
      <c r="P201" t="n">
        <v>0</v>
      </c>
      <c r="Q201" t="n">
        <v>4</v>
      </c>
      <c r="R201" s="2" t="inlineStr">
        <is>
          <t>Garnlav
Tallticka
Blodticka
Grönpyrola</t>
        </is>
      </c>
      <c r="S201">
        <f>HYPERLINK("https://klasma.github.io/Logging_0331/artfynd/A 40648-2023 artfynd.xlsx", "A 40648-2023")</f>
        <v/>
      </c>
      <c r="T201">
        <f>HYPERLINK("https://klasma.github.io/Logging_0331/kartor/A 40648-2023 karta.png", "A 40648-2023")</f>
        <v/>
      </c>
      <c r="U201">
        <f>HYPERLINK("https://klasma.github.io/Logging_0331/knärot/A 40648-2023 karta knärot.png", "A 40648-2023")</f>
        <v/>
      </c>
      <c r="V201">
        <f>HYPERLINK("https://klasma.github.io/Logging_0331/klagomål/A 40648-2023 FSC-klagomål.docx", "A 40648-2023")</f>
        <v/>
      </c>
      <c r="W201">
        <f>HYPERLINK("https://klasma.github.io/Logging_0331/klagomålsmail/A 40648-2023 FSC-klagomål mail.docx", "A 40648-2023")</f>
        <v/>
      </c>
      <c r="X201">
        <f>HYPERLINK("https://klasma.github.io/Logging_0331/tillsyn/A 40648-2023 tillsynsbegäran.docx", "A 40648-2023")</f>
        <v/>
      </c>
      <c r="Y201">
        <f>HYPERLINK("https://klasma.github.io/Logging_0331/tillsynsmail/A 40648-2023 tillsynsbegäran mail.docx", "A 40648-2023")</f>
        <v/>
      </c>
    </row>
    <row r="202" ht="15" customHeight="1">
      <c r="A202" t="inlineStr">
        <is>
          <t>A 41808-2023</t>
        </is>
      </c>
      <c r="B202" s="1" t="n">
        <v>45176</v>
      </c>
      <c r="C202" s="1" t="n">
        <v>45705</v>
      </c>
      <c r="D202" t="inlineStr">
        <is>
          <t>UPPSALA LÄN</t>
        </is>
      </c>
      <c r="E202" t="inlineStr">
        <is>
          <t>TIERP</t>
        </is>
      </c>
      <c r="F202" t="inlineStr">
        <is>
          <t>Bergvik skog öst AB</t>
        </is>
      </c>
      <c r="G202" t="n">
        <v>2.5</v>
      </c>
      <c r="H202" t="n">
        <v>0</v>
      </c>
      <c r="I202" t="n">
        <v>3</v>
      </c>
      <c r="J202" t="n">
        <v>0</v>
      </c>
      <c r="K202" t="n">
        <v>1</v>
      </c>
      <c r="L202" t="n">
        <v>0</v>
      </c>
      <c r="M202" t="n">
        <v>0</v>
      </c>
      <c r="N202" t="n">
        <v>0</v>
      </c>
      <c r="O202" t="n">
        <v>1</v>
      </c>
      <c r="P202" t="n">
        <v>1</v>
      </c>
      <c r="Q202" t="n">
        <v>4</v>
      </c>
      <c r="R202" s="2" t="inlineStr">
        <is>
          <t>Läderdoftande fingersvamp
Fjällig taggsvamp s.str.
Skarp dropptaggsvamp
Zontaggsvamp</t>
        </is>
      </c>
      <c r="S202">
        <f>HYPERLINK("https://klasma.github.io/Logging_0360/artfynd/A 41808-2023 artfynd.xlsx", "A 41808-2023")</f>
        <v/>
      </c>
      <c r="T202">
        <f>HYPERLINK("https://klasma.github.io/Logging_0360/kartor/A 41808-2023 karta.png", "A 41808-2023")</f>
        <v/>
      </c>
      <c r="V202">
        <f>HYPERLINK("https://klasma.github.io/Logging_0360/klagomål/A 41808-2023 FSC-klagomål.docx", "A 41808-2023")</f>
        <v/>
      </c>
      <c r="W202">
        <f>HYPERLINK("https://klasma.github.io/Logging_0360/klagomålsmail/A 41808-2023 FSC-klagomål mail.docx", "A 41808-2023")</f>
        <v/>
      </c>
      <c r="X202">
        <f>HYPERLINK("https://klasma.github.io/Logging_0360/tillsyn/A 41808-2023 tillsynsbegäran.docx", "A 41808-2023")</f>
        <v/>
      </c>
      <c r="Y202">
        <f>HYPERLINK("https://klasma.github.io/Logging_0360/tillsynsmail/A 41808-2023 tillsynsbegäran mail.docx", "A 41808-2023")</f>
        <v/>
      </c>
    </row>
    <row r="203" ht="15" customHeight="1">
      <c r="A203" t="inlineStr">
        <is>
          <t>A 42343-2023</t>
        </is>
      </c>
      <c r="B203" s="1" t="n">
        <v>45180</v>
      </c>
      <c r="C203" s="1" t="n">
        <v>45705</v>
      </c>
      <c r="D203" t="inlineStr">
        <is>
          <t>UPPSALA LÄN</t>
        </is>
      </c>
      <c r="E203" t="inlineStr">
        <is>
          <t>TIERP</t>
        </is>
      </c>
      <c r="F203" t="inlineStr">
        <is>
          <t>Bergvik skog väst AB</t>
        </is>
      </c>
      <c r="G203" t="n">
        <v>13.6</v>
      </c>
      <c r="H203" t="n">
        <v>1</v>
      </c>
      <c r="I203" t="n">
        <v>3</v>
      </c>
      <c r="J203" t="n">
        <v>0</v>
      </c>
      <c r="K203" t="n">
        <v>0</v>
      </c>
      <c r="L203" t="n">
        <v>0</v>
      </c>
      <c r="M203" t="n">
        <v>0</v>
      </c>
      <c r="N203" t="n">
        <v>0</v>
      </c>
      <c r="O203" t="n">
        <v>0</v>
      </c>
      <c r="P203" t="n">
        <v>0</v>
      </c>
      <c r="Q203" t="n">
        <v>4</v>
      </c>
      <c r="R203" s="2" t="inlineStr">
        <is>
          <t>Bronshjon
Myskmadra
Thomsons trägnagare
Blåsippa</t>
        </is>
      </c>
      <c r="S203">
        <f>HYPERLINK("https://klasma.github.io/Logging_0360/artfynd/A 42343-2023 artfynd.xlsx", "A 42343-2023")</f>
        <v/>
      </c>
      <c r="T203">
        <f>HYPERLINK("https://klasma.github.io/Logging_0360/kartor/A 42343-2023 karta.png", "A 42343-2023")</f>
        <v/>
      </c>
      <c r="V203">
        <f>HYPERLINK("https://klasma.github.io/Logging_0360/klagomål/A 42343-2023 FSC-klagomål.docx", "A 42343-2023")</f>
        <v/>
      </c>
      <c r="W203">
        <f>HYPERLINK("https://klasma.github.io/Logging_0360/klagomålsmail/A 42343-2023 FSC-klagomål mail.docx", "A 42343-2023")</f>
        <v/>
      </c>
      <c r="X203">
        <f>HYPERLINK("https://klasma.github.io/Logging_0360/tillsyn/A 42343-2023 tillsynsbegäran.docx", "A 42343-2023")</f>
        <v/>
      </c>
      <c r="Y203">
        <f>HYPERLINK("https://klasma.github.io/Logging_0360/tillsynsmail/A 42343-2023 tillsynsbegäran mail.docx", "A 42343-2023")</f>
        <v/>
      </c>
    </row>
    <row r="204" ht="15" customHeight="1">
      <c r="A204" t="inlineStr">
        <is>
          <t>A 46533-2023</t>
        </is>
      </c>
      <c r="B204" s="1" t="n">
        <v>45197</v>
      </c>
      <c r="C204" s="1" t="n">
        <v>45705</v>
      </c>
      <c r="D204" t="inlineStr">
        <is>
          <t>UPPSALA LÄN</t>
        </is>
      </c>
      <c r="E204" t="inlineStr">
        <is>
          <t>UPPSALA</t>
        </is>
      </c>
      <c r="F204" t="inlineStr">
        <is>
          <t>Allmännings- och besparingsskogar</t>
        </is>
      </c>
      <c r="G204" t="n">
        <v>11.5</v>
      </c>
      <c r="H204" t="n">
        <v>1</v>
      </c>
      <c r="I204" t="n">
        <v>1</v>
      </c>
      <c r="J204" t="n">
        <v>2</v>
      </c>
      <c r="K204" t="n">
        <v>1</v>
      </c>
      <c r="L204" t="n">
        <v>0</v>
      </c>
      <c r="M204" t="n">
        <v>0</v>
      </c>
      <c r="N204" t="n">
        <v>0</v>
      </c>
      <c r="O204" t="n">
        <v>3</v>
      </c>
      <c r="P204" t="n">
        <v>1</v>
      </c>
      <c r="Q204" t="n">
        <v>4</v>
      </c>
      <c r="R204" s="2" t="inlineStr">
        <is>
          <t>Knärot
Lunglav
Vedskivlav
Korallblylav</t>
        </is>
      </c>
      <c r="S204">
        <f>HYPERLINK("https://klasma.github.io/Logging_0380/artfynd/A 46533-2023 artfynd.xlsx", "A 46533-2023")</f>
        <v/>
      </c>
      <c r="T204">
        <f>HYPERLINK("https://klasma.github.io/Logging_0380/kartor/A 46533-2023 karta.png", "A 46533-2023")</f>
        <v/>
      </c>
      <c r="U204">
        <f>HYPERLINK("https://klasma.github.io/Logging_0380/knärot/A 46533-2023 karta knärot.png", "A 46533-2023")</f>
        <v/>
      </c>
      <c r="V204">
        <f>HYPERLINK("https://klasma.github.io/Logging_0380/klagomål/A 46533-2023 FSC-klagomål.docx", "A 46533-2023")</f>
        <v/>
      </c>
      <c r="W204">
        <f>HYPERLINK("https://klasma.github.io/Logging_0380/klagomålsmail/A 46533-2023 FSC-klagomål mail.docx", "A 46533-2023")</f>
        <v/>
      </c>
      <c r="X204">
        <f>HYPERLINK("https://klasma.github.io/Logging_0380/tillsyn/A 46533-2023 tillsynsbegäran.docx", "A 46533-2023")</f>
        <v/>
      </c>
      <c r="Y204">
        <f>HYPERLINK("https://klasma.github.io/Logging_0380/tillsynsmail/A 46533-2023 tillsynsbegäran mail.docx", "A 46533-2023")</f>
        <v/>
      </c>
    </row>
    <row r="205" ht="15" customHeight="1">
      <c r="A205" t="inlineStr">
        <is>
          <t>A 55610-2023</t>
        </is>
      </c>
      <c r="B205" s="1" t="n">
        <v>45238</v>
      </c>
      <c r="C205" s="1" t="n">
        <v>45705</v>
      </c>
      <c r="D205" t="inlineStr">
        <is>
          <t>UPPSALA LÄN</t>
        </is>
      </c>
      <c r="E205" t="inlineStr">
        <is>
          <t>ENKÖPING</t>
        </is>
      </c>
      <c r="F205" t="inlineStr">
        <is>
          <t>Allmännings- och besparingsskogar</t>
        </is>
      </c>
      <c r="G205" t="n">
        <v>4.4</v>
      </c>
      <c r="H205" t="n">
        <v>4</v>
      </c>
      <c r="I205" t="n">
        <v>0</v>
      </c>
      <c r="J205" t="n">
        <v>3</v>
      </c>
      <c r="K205" t="n">
        <v>1</v>
      </c>
      <c r="L205" t="n">
        <v>0</v>
      </c>
      <c r="M205" t="n">
        <v>0</v>
      </c>
      <c r="N205" t="n">
        <v>0</v>
      </c>
      <c r="O205" t="n">
        <v>4</v>
      </c>
      <c r="P205" t="n">
        <v>1</v>
      </c>
      <c r="Q205" t="n">
        <v>4</v>
      </c>
      <c r="R205" s="2" t="inlineStr">
        <is>
          <t>Kricka
Havsörn
Smålom
Spillkråka</t>
        </is>
      </c>
      <c r="S205">
        <f>HYPERLINK("https://klasma.github.io/Logging_0381/artfynd/A 55610-2023 artfynd.xlsx", "A 55610-2023")</f>
        <v/>
      </c>
      <c r="T205">
        <f>HYPERLINK("https://klasma.github.io/Logging_0381/kartor/A 55610-2023 karta.png", "A 55610-2023")</f>
        <v/>
      </c>
      <c r="V205">
        <f>HYPERLINK("https://klasma.github.io/Logging_0381/klagomål/A 55610-2023 FSC-klagomål.docx", "A 55610-2023")</f>
        <v/>
      </c>
      <c r="W205">
        <f>HYPERLINK("https://klasma.github.io/Logging_0381/klagomålsmail/A 55610-2023 FSC-klagomål mail.docx", "A 55610-2023")</f>
        <v/>
      </c>
      <c r="X205">
        <f>HYPERLINK("https://klasma.github.io/Logging_0381/tillsyn/A 55610-2023 tillsynsbegäran.docx", "A 55610-2023")</f>
        <v/>
      </c>
      <c r="Y205">
        <f>HYPERLINK("https://klasma.github.io/Logging_0381/tillsynsmail/A 55610-2023 tillsynsbegäran mail.docx", "A 55610-2023")</f>
        <v/>
      </c>
      <c r="Z205">
        <f>HYPERLINK("https://klasma.github.io/Logging_0381/fåglar/A 55610-2023 prioriterade fågelarter.docx", "A 55610-2023")</f>
        <v/>
      </c>
    </row>
    <row r="206" ht="15" customHeight="1">
      <c r="A206" t="inlineStr">
        <is>
          <t>A 11217-2024</t>
        </is>
      </c>
      <c r="B206" s="1" t="n">
        <v>45371</v>
      </c>
      <c r="C206" s="1" t="n">
        <v>45705</v>
      </c>
      <c r="D206" t="inlineStr">
        <is>
          <t>UPPSALA LÄN</t>
        </is>
      </c>
      <c r="E206" t="inlineStr">
        <is>
          <t>UPPSALA</t>
        </is>
      </c>
      <c r="F206" t="inlineStr">
        <is>
          <t>Kommuner</t>
        </is>
      </c>
      <c r="G206" t="n">
        <v>1.5</v>
      </c>
      <c r="H206" t="n">
        <v>1</v>
      </c>
      <c r="I206" t="n">
        <v>4</v>
      </c>
      <c r="J206" t="n">
        <v>0</v>
      </c>
      <c r="K206" t="n">
        <v>0</v>
      </c>
      <c r="L206" t="n">
        <v>0</v>
      </c>
      <c r="M206" t="n">
        <v>0</v>
      </c>
      <c r="N206" t="n">
        <v>0</v>
      </c>
      <c r="O206" t="n">
        <v>0</v>
      </c>
      <c r="P206" t="n">
        <v>0</v>
      </c>
      <c r="Q206" t="n">
        <v>4</v>
      </c>
      <c r="R206" s="2" t="inlineStr">
        <is>
          <t>Fällmossa
Grön sköldmossa
Lönnlav
Stor aspticka</t>
        </is>
      </c>
      <c r="S206">
        <f>HYPERLINK("https://klasma.github.io/Logging_0380/artfynd/A 11217-2024 artfynd.xlsx", "A 11217-2024")</f>
        <v/>
      </c>
      <c r="T206">
        <f>HYPERLINK("https://klasma.github.io/Logging_0380/kartor/A 11217-2024 karta.png", "A 11217-2024")</f>
        <v/>
      </c>
      <c r="V206">
        <f>HYPERLINK("https://klasma.github.io/Logging_0380/klagomål/A 11217-2024 FSC-klagomål.docx", "A 11217-2024")</f>
        <v/>
      </c>
      <c r="W206">
        <f>HYPERLINK("https://klasma.github.io/Logging_0380/klagomålsmail/A 11217-2024 FSC-klagomål mail.docx", "A 11217-2024")</f>
        <v/>
      </c>
      <c r="X206">
        <f>HYPERLINK("https://klasma.github.io/Logging_0380/tillsyn/A 11217-2024 tillsynsbegäran.docx", "A 11217-2024")</f>
        <v/>
      </c>
      <c r="Y206">
        <f>HYPERLINK("https://klasma.github.io/Logging_0380/tillsynsmail/A 11217-2024 tillsynsbegäran mail.docx", "A 11217-2024")</f>
        <v/>
      </c>
    </row>
    <row r="207" ht="15" customHeight="1">
      <c r="A207" t="inlineStr">
        <is>
          <t>A 11738-2024</t>
        </is>
      </c>
      <c r="B207" s="1" t="n">
        <v>45373</v>
      </c>
      <c r="C207" s="1" t="n">
        <v>45705</v>
      </c>
      <c r="D207" t="inlineStr">
        <is>
          <t>UPPSALA LÄN</t>
        </is>
      </c>
      <c r="E207" t="inlineStr">
        <is>
          <t>ÖSTHAMMAR</t>
        </is>
      </c>
      <c r="G207" t="n">
        <v>2.6</v>
      </c>
      <c r="H207" t="n">
        <v>1</v>
      </c>
      <c r="I207" t="n">
        <v>2</v>
      </c>
      <c r="J207" t="n">
        <v>1</v>
      </c>
      <c r="K207" t="n">
        <v>0</v>
      </c>
      <c r="L207" t="n">
        <v>0</v>
      </c>
      <c r="M207" t="n">
        <v>0</v>
      </c>
      <c r="N207" t="n">
        <v>0</v>
      </c>
      <c r="O207" t="n">
        <v>1</v>
      </c>
      <c r="P207" t="n">
        <v>0</v>
      </c>
      <c r="Q207" t="n">
        <v>4</v>
      </c>
      <c r="R207" s="2" t="inlineStr">
        <is>
          <t>Såpfingersvamp
Fjällig taggsvamp s.str.
Stor aspticka
Blåsippa</t>
        </is>
      </c>
      <c r="S207">
        <f>HYPERLINK("https://klasma.github.io/Logging_0382/artfynd/A 11738-2024 artfynd.xlsx", "A 11738-2024")</f>
        <v/>
      </c>
      <c r="T207">
        <f>HYPERLINK("https://klasma.github.io/Logging_0382/kartor/A 11738-2024 karta.png", "A 11738-2024")</f>
        <v/>
      </c>
      <c r="V207">
        <f>HYPERLINK("https://klasma.github.io/Logging_0382/klagomål/A 11738-2024 FSC-klagomål.docx", "A 11738-2024")</f>
        <v/>
      </c>
      <c r="W207">
        <f>HYPERLINK("https://klasma.github.io/Logging_0382/klagomålsmail/A 11738-2024 FSC-klagomål mail.docx", "A 11738-2024")</f>
        <v/>
      </c>
      <c r="X207">
        <f>HYPERLINK("https://klasma.github.io/Logging_0382/tillsyn/A 11738-2024 tillsynsbegäran.docx", "A 11738-2024")</f>
        <v/>
      </c>
      <c r="Y207">
        <f>HYPERLINK("https://klasma.github.io/Logging_0382/tillsynsmail/A 11738-2024 tillsynsbegäran mail.docx", "A 11738-2024")</f>
        <v/>
      </c>
    </row>
    <row r="208" ht="15" customHeight="1">
      <c r="A208" t="inlineStr">
        <is>
          <t>A 16618-2024</t>
        </is>
      </c>
      <c r="B208" s="1" t="n">
        <v>45408</v>
      </c>
      <c r="C208" s="1" t="n">
        <v>45705</v>
      </c>
      <c r="D208" t="inlineStr">
        <is>
          <t>UPPSALA LÄN</t>
        </is>
      </c>
      <c r="E208" t="inlineStr">
        <is>
          <t>HÅBO</t>
        </is>
      </c>
      <c r="G208" t="n">
        <v>3.5</v>
      </c>
      <c r="H208" t="n">
        <v>2</v>
      </c>
      <c r="I208" t="n">
        <v>1</v>
      </c>
      <c r="J208" t="n">
        <v>1</v>
      </c>
      <c r="K208" t="n">
        <v>0</v>
      </c>
      <c r="L208" t="n">
        <v>1</v>
      </c>
      <c r="M208" t="n">
        <v>0</v>
      </c>
      <c r="N208" t="n">
        <v>0</v>
      </c>
      <c r="O208" t="n">
        <v>2</v>
      </c>
      <c r="P208" t="n">
        <v>1</v>
      </c>
      <c r="Q208" t="n">
        <v>4</v>
      </c>
      <c r="R208" s="2" t="inlineStr">
        <is>
          <t>Prakttagging
Backklöver
Nästrot
Blåsippa</t>
        </is>
      </c>
      <c r="S208">
        <f>HYPERLINK("https://klasma.github.io/Logging_0305/artfynd/A 16618-2024 artfynd.xlsx", "A 16618-2024")</f>
        <v/>
      </c>
      <c r="T208">
        <f>HYPERLINK("https://klasma.github.io/Logging_0305/kartor/A 16618-2024 karta.png", "A 16618-2024")</f>
        <v/>
      </c>
      <c r="V208">
        <f>HYPERLINK("https://klasma.github.io/Logging_0305/klagomål/A 16618-2024 FSC-klagomål.docx", "A 16618-2024")</f>
        <v/>
      </c>
      <c r="W208">
        <f>HYPERLINK("https://klasma.github.io/Logging_0305/klagomålsmail/A 16618-2024 FSC-klagomål mail.docx", "A 16618-2024")</f>
        <v/>
      </c>
      <c r="X208">
        <f>HYPERLINK("https://klasma.github.io/Logging_0305/tillsyn/A 16618-2024 tillsynsbegäran.docx", "A 16618-2024")</f>
        <v/>
      </c>
      <c r="Y208">
        <f>HYPERLINK("https://klasma.github.io/Logging_0305/tillsynsmail/A 16618-2024 tillsynsbegäran mail.docx", "A 16618-2024")</f>
        <v/>
      </c>
    </row>
    <row r="209" ht="15" customHeight="1">
      <c r="A209" t="inlineStr">
        <is>
          <t>A 21809-2024</t>
        </is>
      </c>
      <c r="B209" s="1" t="n">
        <v>45442</v>
      </c>
      <c r="C209" s="1" t="n">
        <v>45705</v>
      </c>
      <c r="D209" t="inlineStr">
        <is>
          <t>UPPSALA LÄN</t>
        </is>
      </c>
      <c r="E209" t="inlineStr">
        <is>
          <t>UPPSALA</t>
        </is>
      </c>
      <c r="F209" t="inlineStr">
        <is>
          <t>Övriga statliga verk och myndigheter</t>
        </is>
      </c>
      <c r="G209" t="n">
        <v>6.6</v>
      </c>
      <c r="H209" t="n">
        <v>3</v>
      </c>
      <c r="I209" t="n">
        <v>1</v>
      </c>
      <c r="J209" t="n">
        <v>1</v>
      </c>
      <c r="K209" t="n">
        <v>0</v>
      </c>
      <c r="L209" t="n">
        <v>0</v>
      </c>
      <c r="M209" t="n">
        <v>0</v>
      </c>
      <c r="N209" t="n">
        <v>0</v>
      </c>
      <c r="O209" t="n">
        <v>1</v>
      </c>
      <c r="P209" t="n">
        <v>0</v>
      </c>
      <c r="Q209" t="n">
        <v>4</v>
      </c>
      <c r="R209" s="2" t="inlineStr">
        <is>
          <t>Nordfladdermus
Vågbandad barkbock
Dvärgpipistrell
Blåsippa</t>
        </is>
      </c>
      <c r="S209">
        <f>HYPERLINK("https://klasma.github.io/Logging_0380/artfynd/A 21809-2024 artfynd.xlsx", "A 21809-2024")</f>
        <v/>
      </c>
      <c r="T209">
        <f>HYPERLINK("https://klasma.github.io/Logging_0380/kartor/A 21809-2024 karta.png", "A 21809-2024")</f>
        <v/>
      </c>
      <c r="V209">
        <f>HYPERLINK("https://klasma.github.io/Logging_0380/klagomål/A 21809-2024 FSC-klagomål.docx", "A 21809-2024")</f>
        <v/>
      </c>
      <c r="W209">
        <f>HYPERLINK("https://klasma.github.io/Logging_0380/klagomålsmail/A 21809-2024 FSC-klagomål mail.docx", "A 21809-2024")</f>
        <v/>
      </c>
      <c r="X209">
        <f>HYPERLINK("https://klasma.github.io/Logging_0380/tillsyn/A 21809-2024 tillsynsbegäran.docx", "A 21809-2024")</f>
        <v/>
      </c>
      <c r="Y209">
        <f>HYPERLINK("https://klasma.github.io/Logging_0380/tillsynsmail/A 21809-2024 tillsynsbegäran mail.docx", "A 21809-2024")</f>
        <v/>
      </c>
    </row>
    <row r="210" ht="15" customHeight="1">
      <c r="A210" t="inlineStr">
        <is>
          <t>A 23691-2024</t>
        </is>
      </c>
      <c r="B210" s="1" t="n">
        <v>45454</v>
      </c>
      <c r="C210" s="1" t="n">
        <v>45705</v>
      </c>
      <c r="D210" t="inlineStr">
        <is>
          <t>UPPSALA LÄN</t>
        </is>
      </c>
      <c r="E210" t="inlineStr">
        <is>
          <t>UPPSALA</t>
        </is>
      </c>
      <c r="F210" t="inlineStr">
        <is>
          <t>Holmen skog AB</t>
        </is>
      </c>
      <c r="G210" t="n">
        <v>2.2</v>
      </c>
      <c r="H210" t="n">
        <v>0</v>
      </c>
      <c r="I210" t="n">
        <v>1</v>
      </c>
      <c r="J210" t="n">
        <v>3</v>
      </c>
      <c r="K210" t="n">
        <v>0</v>
      </c>
      <c r="L210" t="n">
        <v>0</v>
      </c>
      <c r="M210" t="n">
        <v>0</v>
      </c>
      <c r="N210" t="n">
        <v>0</v>
      </c>
      <c r="O210" t="n">
        <v>3</v>
      </c>
      <c r="P210" t="n">
        <v>0</v>
      </c>
      <c r="Q210" t="n">
        <v>4</v>
      </c>
      <c r="R210" s="2" t="inlineStr">
        <is>
          <t>Ekticka
Lunglav
Skuggorangelav
Gulpudrad spiklav</t>
        </is>
      </c>
      <c r="S210">
        <f>HYPERLINK("https://klasma.github.io/Logging_0380/artfynd/A 23691-2024 artfynd.xlsx", "A 23691-2024")</f>
        <v/>
      </c>
      <c r="T210">
        <f>HYPERLINK("https://klasma.github.io/Logging_0380/kartor/A 23691-2024 karta.png", "A 23691-2024")</f>
        <v/>
      </c>
      <c r="V210">
        <f>HYPERLINK("https://klasma.github.io/Logging_0380/klagomål/A 23691-2024 FSC-klagomål.docx", "A 23691-2024")</f>
        <v/>
      </c>
      <c r="W210">
        <f>HYPERLINK("https://klasma.github.io/Logging_0380/klagomålsmail/A 23691-2024 FSC-klagomål mail.docx", "A 23691-2024")</f>
        <v/>
      </c>
      <c r="X210">
        <f>HYPERLINK("https://klasma.github.io/Logging_0380/tillsyn/A 23691-2024 tillsynsbegäran.docx", "A 23691-2024")</f>
        <v/>
      </c>
      <c r="Y210">
        <f>HYPERLINK("https://klasma.github.io/Logging_0380/tillsynsmail/A 23691-2024 tillsynsbegäran mail.docx", "A 23691-2024")</f>
        <v/>
      </c>
    </row>
    <row r="211" ht="15" customHeight="1">
      <c r="A211" t="inlineStr">
        <is>
          <t>A 23807-2024</t>
        </is>
      </c>
      <c r="B211" s="1" t="n">
        <v>45455</v>
      </c>
      <c r="C211" s="1" t="n">
        <v>45705</v>
      </c>
      <c r="D211" t="inlineStr">
        <is>
          <t>UPPSALA LÄN</t>
        </is>
      </c>
      <c r="E211" t="inlineStr">
        <is>
          <t>UPPSALA</t>
        </is>
      </c>
      <c r="F211" t="inlineStr">
        <is>
          <t>Holmen skog AB</t>
        </is>
      </c>
      <c r="G211" t="n">
        <v>8.800000000000001</v>
      </c>
      <c r="H211" t="n">
        <v>2</v>
      </c>
      <c r="I211" t="n">
        <v>2</v>
      </c>
      <c r="J211" t="n">
        <v>0</v>
      </c>
      <c r="K211" t="n">
        <v>0</v>
      </c>
      <c r="L211" t="n">
        <v>0</v>
      </c>
      <c r="M211" t="n">
        <v>0</v>
      </c>
      <c r="N211" t="n">
        <v>0</v>
      </c>
      <c r="O211" t="n">
        <v>0</v>
      </c>
      <c r="P211" t="n">
        <v>0</v>
      </c>
      <c r="Q211" t="n">
        <v>4</v>
      </c>
      <c r="R211" s="2" t="inlineStr">
        <is>
          <t>Sotlav
Underviol
Blåsippa
Gullviva</t>
        </is>
      </c>
      <c r="S211">
        <f>HYPERLINK("https://klasma.github.io/Logging_0380/artfynd/A 23807-2024 artfynd.xlsx", "A 23807-2024")</f>
        <v/>
      </c>
      <c r="T211">
        <f>HYPERLINK("https://klasma.github.io/Logging_0380/kartor/A 23807-2024 karta.png", "A 23807-2024")</f>
        <v/>
      </c>
      <c r="V211">
        <f>HYPERLINK("https://klasma.github.io/Logging_0380/klagomål/A 23807-2024 FSC-klagomål.docx", "A 23807-2024")</f>
        <v/>
      </c>
      <c r="W211">
        <f>HYPERLINK("https://klasma.github.io/Logging_0380/klagomålsmail/A 23807-2024 FSC-klagomål mail.docx", "A 23807-2024")</f>
        <v/>
      </c>
      <c r="X211">
        <f>HYPERLINK("https://klasma.github.io/Logging_0380/tillsyn/A 23807-2024 tillsynsbegäran.docx", "A 23807-2024")</f>
        <v/>
      </c>
      <c r="Y211">
        <f>HYPERLINK("https://klasma.github.io/Logging_0380/tillsynsmail/A 23807-2024 tillsynsbegäran mail.docx", "A 23807-2024")</f>
        <v/>
      </c>
    </row>
    <row r="212" ht="15" customHeight="1">
      <c r="A212" t="inlineStr">
        <is>
          <t>A 26279-2024</t>
        </is>
      </c>
      <c r="B212" s="1" t="n">
        <v>45468</v>
      </c>
      <c r="C212" s="1" t="n">
        <v>45705</v>
      </c>
      <c r="D212" t="inlineStr">
        <is>
          <t>UPPSALA LÄN</t>
        </is>
      </c>
      <c r="E212" t="inlineStr">
        <is>
          <t>ÖSTHAMMAR</t>
        </is>
      </c>
      <c r="G212" t="n">
        <v>2.8</v>
      </c>
      <c r="H212" t="n">
        <v>2</v>
      </c>
      <c r="I212" t="n">
        <v>4</v>
      </c>
      <c r="J212" t="n">
        <v>0</v>
      </c>
      <c r="K212" t="n">
        <v>0</v>
      </c>
      <c r="L212" t="n">
        <v>0</v>
      </c>
      <c r="M212" t="n">
        <v>0</v>
      </c>
      <c r="N212" t="n">
        <v>0</v>
      </c>
      <c r="O212" t="n">
        <v>0</v>
      </c>
      <c r="P212" t="n">
        <v>0</v>
      </c>
      <c r="Q212" t="n">
        <v>4</v>
      </c>
      <c r="R212" s="2" t="inlineStr">
        <is>
          <t>Nästrot
Skogsknipprot
Sårläka
Vårärt</t>
        </is>
      </c>
      <c r="S212">
        <f>HYPERLINK("https://klasma.github.io/Logging_0382/artfynd/A 26279-2024 artfynd.xlsx", "A 26279-2024")</f>
        <v/>
      </c>
      <c r="T212">
        <f>HYPERLINK("https://klasma.github.io/Logging_0382/kartor/A 26279-2024 karta.png", "A 26279-2024")</f>
        <v/>
      </c>
      <c r="V212">
        <f>HYPERLINK("https://klasma.github.io/Logging_0382/klagomål/A 26279-2024 FSC-klagomål.docx", "A 26279-2024")</f>
        <v/>
      </c>
      <c r="W212">
        <f>HYPERLINK("https://klasma.github.io/Logging_0382/klagomålsmail/A 26279-2024 FSC-klagomål mail.docx", "A 26279-2024")</f>
        <v/>
      </c>
      <c r="X212">
        <f>HYPERLINK("https://klasma.github.io/Logging_0382/tillsyn/A 26279-2024 tillsynsbegäran.docx", "A 26279-2024")</f>
        <v/>
      </c>
      <c r="Y212">
        <f>HYPERLINK("https://klasma.github.io/Logging_0382/tillsynsmail/A 26279-2024 tillsynsbegäran mail.docx", "A 26279-2024")</f>
        <v/>
      </c>
    </row>
    <row r="213" ht="15" customHeight="1">
      <c r="A213" t="inlineStr">
        <is>
          <t>A 30090-2024</t>
        </is>
      </c>
      <c r="B213" s="1" t="n">
        <v>45485</v>
      </c>
      <c r="C213" s="1" t="n">
        <v>45705</v>
      </c>
      <c r="D213" t="inlineStr">
        <is>
          <t>UPPSALA LÄN</t>
        </is>
      </c>
      <c r="E213" t="inlineStr">
        <is>
          <t>HEBY</t>
        </is>
      </c>
      <c r="F213" t="inlineStr">
        <is>
          <t>Bergvik skog väst AB</t>
        </is>
      </c>
      <c r="G213" t="n">
        <v>2.1</v>
      </c>
      <c r="H213" t="n">
        <v>0</v>
      </c>
      <c r="I213" t="n">
        <v>3</v>
      </c>
      <c r="J213" t="n">
        <v>0</v>
      </c>
      <c r="K213" t="n">
        <v>1</v>
      </c>
      <c r="L213" t="n">
        <v>0</v>
      </c>
      <c r="M213" t="n">
        <v>0</v>
      </c>
      <c r="N213" t="n">
        <v>0</v>
      </c>
      <c r="O213" t="n">
        <v>1</v>
      </c>
      <c r="P213" t="n">
        <v>1</v>
      </c>
      <c r="Q213" t="n">
        <v>4</v>
      </c>
      <c r="R213" s="2" t="inlineStr">
        <is>
          <t>Aspsplintbock
Aspvedgnagare
Björksplintborre
Jättesvampmal</t>
        </is>
      </c>
      <c r="S213">
        <f>HYPERLINK("https://klasma.github.io/Logging_0331/artfynd/A 30090-2024 artfynd.xlsx", "A 30090-2024")</f>
        <v/>
      </c>
      <c r="T213">
        <f>HYPERLINK("https://klasma.github.io/Logging_0331/kartor/A 30090-2024 karta.png", "A 30090-2024")</f>
        <v/>
      </c>
      <c r="V213">
        <f>HYPERLINK("https://klasma.github.io/Logging_0331/klagomål/A 30090-2024 FSC-klagomål.docx", "A 30090-2024")</f>
        <v/>
      </c>
      <c r="W213">
        <f>HYPERLINK("https://klasma.github.io/Logging_0331/klagomålsmail/A 30090-2024 FSC-klagomål mail.docx", "A 30090-2024")</f>
        <v/>
      </c>
      <c r="X213">
        <f>HYPERLINK("https://klasma.github.io/Logging_0331/tillsyn/A 30090-2024 tillsynsbegäran.docx", "A 30090-2024")</f>
        <v/>
      </c>
      <c r="Y213">
        <f>HYPERLINK("https://klasma.github.io/Logging_0331/tillsynsmail/A 30090-2024 tillsynsbegäran mail.docx", "A 30090-2024")</f>
        <v/>
      </c>
    </row>
    <row r="214" ht="15" customHeight="1">
      <c r="A214" t="inlineStr">
        <is>
          <t>A 38956-2024</t>
        </is>
      </c>
      <c r="B214" s="1" t="n">
        <v>45548</v>
      </c>
      <c r="C214" s="1" t="n">
        <v>45705</v>
      </c>
      <c r="D214" t="inlineStr">
        <is>
          <t>UPPSALA LÄN</t>
        </is>
      </c>
      <c r="E214" t="inlineStr">
        <is>
          <t>TIERP</t>
        </is>
      </c>
      <c r="F214" t="inlineStr">
        <is>
          <t>Bergvik skog öst AB</t>
        </is>
      </c>
      <c r="G214" t="n">
        <v>24.8</v>
      </c>
      <c r="H214" t="n">
        <v>1</v>
      </c>
      <c r="I214" t="n">
        <v>0</v>
      </c>
      <c r="J214" t="n">
        <v>3</v>
      </c>
      <c r="K214" t="n">
        <v>0</v>
      </c>
      <c r="L214" t="n">
        <v>0</v>
      </c>
      <c r="M214" t="n">
        <v>0</v>
      </c>
      <c r="N214" t="n">
        <v>0</v>
      </c>
      <c r="O214" t="n">
        <v>3</v>
      </c>
      <c r="P214" t="n">
        <v>0</v>
      </c>
      <c r="Q214" t="n">
        <v>4</v>
      </c>
      <c r="R214" s="2" t="inlineStr">
        <is>
          <t>Majviva
Slåtterfibbla
Solvända
Brudsporre</t>
        </is>
      </c>
      <c r="S214">
        <f>HYPERLINK("https://klasma.github.io/Logging_0360/artfynd/A 38956-2024 artfynd.xlsx", "A 38956-2024")</f>
        <v/>
      </c>
      <c r="T214">
        <f>HYPERLINK("https://klasma.github.io/Logging_0360/kartor/A 38956-2024 karta.png", "A 38956-2024")</f>
        <v/>
      </c>
      <c r="V214">
        <f>HYPERLINK("https://klasma.github.io/Logging_0360/klagomål/A 38956-2024 FSC-klagomål.docx", "A 38956-2024")</f>
        <v/>
      </c>
      <c r="W214">
        <f>HYPERLINK("https://klasma.github.io/Logging_0360/klagomålsmail/A 38956-2024 FSC-klagomål mail.docx", "A 38956-2024")</f>
        <v/>
      </c>
      <c r="X214">
        <f>HYPERLINK("https://klasma.github.io/Logging_0360/tillsyn/A 38956-2024 tillsynsbegäran.docx", "A 38956-2024")</f>
        <v/>
      </c>
      <c r="Y214">
        <f>HYPERLINK("https://klasma.github.io/Logging_0360/tillsynsmail/A 38956-2024 tillsynsbegäran mail.docx", "A 38956-2024")</f>
        <v/>
      </c>
    </row>
    <row r="215" ht="15" customHeight="1">
      <c r="A215" t="inlineStr">
        <is>
          <t>A 39168-2024</t>
        </is>
      </c>
      <c r="B215" s="1" t="n">
        <v>45548</v>
      </c>
      <c r="C215" s="1" t="n">
        <v>45705</v>
      </c>
      <c r="D215" t="inlineStr">
        <is>
          <t>UPPSALA LÄN</t>
        </is>
      </c>
      <c r="E215" t="inlineStr">
        <is>
          <t>TIERP</t>
        </is>
      </c>
      <c r="F215" t="inlineStr">
        <is>
          <t>Bergvik skog väst AB</t>
        </is>
      </c>
      <c r="G215" t="n">
        <v>25.6</v>
      </c>
      <c r="H215" t="n">
        <v>2</v>
      </c>
      <c r="I215" t="n">
        <v>4</v>
      </c>
      <c r="J215" t="n">
        <v>0</v>
      </c>
      <c r="K215" t="n">
        <v>0</v>
      </c>
      <c r="L215" t="n">
        <v>0</v>
      </c>
      <c r="M215" t="n">
        <v>0</v>
      </c>
      <c r="N215" t="n">
        <v>0</v>
      </c>
      <c r="O215" t="n">
        <v>0</v>
      </c>
      <c r="P215" t="n">
        <v>0</v>
      </c>
      <c r="Q215" t="n">
        <v>4</v>
      </c>
      <c r="R215" s="2" t="inlineStr">
        <is>
          <t>Fransig jordstjärna
Skogsknipprot
Tibast
Tvåblad</t>
        </is>
      </c>
      <c r="S215">
        <f>HYPERLINK("https://klasma.github.io/Logging_0360/artfynd/A 39168-2024 artfynd.xlsx", "A 39168-2024")</f>
        <v/>
      </c>
      <c r="T215">
        <f>HYPERLINK("https://klasma.github.io/Logging_0360/kartor/A 39168-2024 karta.png", "A 39168-2024")</f>
        <v/>
      </c>
      <c r="V215">
        <f>HYPERLINK("https://klasma.github.io/Logging_0360/klagomål/A 39168-2024 FSC-klagomål.docx", "A 39168-2024")</f>
        <v/>
      </c>
      <c r="W215">
        <f>HYPERLINK("https://klasma.github.io/Logging_0360/klagomålsmail/A 39168-2024 FSC-klagomål mail.docx", "A 39168-2024")</f>
        <v/>
      </c>
      <c r="X215">
        <f>HYPERLINK("https://klasma.github.io/Logging_0360/tillsyn/A 39168-2024 tillsynsbegäran.docx", "A 39168-2024")</f>
        <v/>
      </c>
      <c r="Y215">
        <f>HYPERLINK("https://klasma.github.io/Logging_0360/tillsynsmail/A 39168-2024 tillsynsbegäran mail.docx", "A 39168-2024")</f>
        <v/>
      </c>
    </row>
    <row r="216" ht="15" customHeight="1">
      <c r="A216" t="inlineStr">
        <is>
          <t>A 52609-2024</t>
        </is>
      </c>
      <c r="B216" s="1" t="n">
        <v>45609</v>
      </c>
      <c r="C216" s="1" t="n">
        <v>45705</v>
      </c>
      <c r="D216" t="inlineStr">
        <is>
          <t>UPPSALA LÄN</t>
        </is>
      </c>
      <c r="E216" t="inlineStr">
        <is>
          <t>TIERP</t>
        </is>
      </c>
      <c r="G216" t="n">
        <v>2.1</v>
      </c>
      <c r="H216" t="n">
        <v>0</v>
      </c>
      <c r="I216" t="n">
        <v>2</v>
      </c>
      <c r="J216" t="n">
        <v>1</v>
      </c>
      <c r="K216" t="n">
        <v>1</v>
      </c>
      <c r="L216" t="n">
        <v>0</v>
      </c>
      <c r="M216" t="n">
        <v>0</v>
      </c>
      <c r="N216" t="n">
        <v>0</v>
      </c>
      <c r="O216" t="n">
        <v>2</v>
      </c>
      <c r="P216" t="n">
        <v>1</v>
      </c>
      <c r="Q216" t="n">
        <v>4</v>
      </c>
      <c r="R216" s="2" t="inlineStr">
        <is>
          <t>Gyllenspindling
Orange taggsvamp
Anisspindling
Olivspindling</t>
        </is>
      </c>
      <c r="S216">
        <f>HYPERLINK("https://klasma.github.io/Logging_0360/artfynd/A 52609-2024 artfynd.xlsx", "A 52609-2024")</f>
        <v/>
      </c>
      <c r="T216">
        <f>HYPERLINK("https://klasma.github.io/Logging_0360/kartor/A 52609-2024 karta.png", "A 52609-2024")</f>
        <v/>
      </c>
      <c r="V216">
        <f>HYPERLINK("https://klasma.github.io/Logging_0360/klagomål/A 52609-2024 FSC-klagomål.docx", "A 52609-2024")</f>
        <v/>
      </c>
      <c r="W216">
        <f>HYPERLINK("https://klasma.github.io/Logging_0360/klagomålsmail/A 52609-2024 FSC-klagomål mail.docx", "A 52609-2024")</f>
        <v/>
      </c>
      <c r="X216">
        <f>HYPERLINK("https://klasma.github.io/Logging_0360/tillsyn/A 52609-2024 tillsynsbegäran.docx", "A 52609-2024")</f>
        <v/>
      </c>
      <c r="Y216">
        <f>HYPERLINK("https://klasma.github.io/Logging_0360/tillsynsmail/A 52609-2024 tillsynsbegäran mail.docx", "A 52609-2024")</f>
        <v/>
      </c>
    </row>
    <row r="217" ht="15" customHeight="1">
      <c r="A217" t="inlineStr">
        <is>
          <t>A 53479-2024</t>
        </is>
      </c>
      <c r="B217" s="1" t="n">
        <v>45614</v>
      </c>
      <c r="C217" s="1" t="n">
        <v>45705</v>
      </c>
      <c r="D217" t="inlineStr">
        <is>
          <t>UPPSALA LÄN</t>
        </is>
      </c>
      <c r="E217" t="inlineStr">
        <is>
          <t>ÖSTHAMMAR</t>
        </is>
      </c>
      <c r="G217" t="n">
        <v>2.8</v>
      </c>
      <c r="H217" t="n">
        <v>0</v>
      </c>
      <c r="I217" t="n">
        <v>3</v>
      </c>
      <c r="J217" t="n">
        <v>1</v>
      </c>
      <c r="K217" t="n">
        <v>0</v>
      </c>
      <c r="L217" t="n">
        <v>0</v>
      </c>
      <c r="M217" t="n">
        <v>0</v>
      </c>
      <c r="N217" t="n">
        <v>0</v>
      </c>
      <c r="O217" t="n">
        <v>1</v>
      </c>
      <c r="P217" t="n">
        <v>0</v>
      </c>
      <c r="Q217" t="n">
        <v>4</v>
      </c>
      <c r="R217" s="2" t="inlineStr">
        <is>
          <t>Kungsspindling
Brandmusseron
Olivspindling
Strimspindling</t>
        </is>
      </c>
      <c r="S217">
        <f>HYPERLINK("https://klasma.github.io/Logging_0382/artfynd/A 53479-2024 artfynd.xlsx", "A 53479-2024")</f>
        <v/>
      </c>
      <c r="T217">
        <f>HYPERLINK("https://klasma.github.io/Logging_0382/kartor/A 53479-2024 karta.png", "A 53479-2024")</f>
        <v/>
      </c>
      <c r="V217">
        <f>HYPERLINK("https://klasma.github.io/Logging_0382/klagomål/A 53479-2024 FSC-klagomål.docx", "A 53479-2024")</f>
        <v/>
      </c>
      <c r="W217">
        <f>HYPERLINK("https://klasma.github.io/Logging_0382/klagomålsmail/A 53479-2024 FSC-klagomål mail.docx", "A 53479-2024")</f>
        <v/>
      </c>
      <c r="X217">
        <f>HYPERLINK("https://klasma.github.io/Logging_0382/tillsyn/A 53479-2024 tillsynsbegäran.docx", "A 53479-2024")</f>
        <v/>
      </c>
      <c r="Y217">
        <f>HYPERLINK("https://klasma.github.io/Logging_0382/tillsynsmail/A 53479-2024 tillsynsbegäran mail.docx", "A 53479-2024")</f>
        <v/>
      </c>
    </row>
    <row r="218" ht="15" customHeight="1">
      <c r="A218" t="inlineStr">
        <is>
          <t>A 54492-2024</t>
        </is>
      </c>
      <c r="B218" s="1" t="n">
        <v>45617</v>
      </c>
      <c r="C218" s="1" t="n">
        <v>45705</v>
      </c>
      <c r="D218" t="inlineStr">
        <is>
          <t>UPPSALA LÄN</t>
        </is>
      </c>
      <c r="E218" t="inlineStr">
        <is>
          <t>ÖSTHAMMAR</t>
        </is>
      </c>
      <c r="G218" t="n">
        <v>23.9</v>
      </c>
      <c r="H218" t="n">
        <v>1</v>
      </c>
      <c r="I218" t="n">
        <v>3</v>
      </c>
      <c r="J218" t="n">
        <v>0</v>
      </c>
      <c r="K218" t="n">
        <v>0</v>
      </c>
      <c r="L218" t="n">
        <v>0</v>
      </c>
      <c r="M218" t="n">
        <v>0</v>
      </c>
      <c r="N218" t="n">
        <v>0</v>
      </c>
      <c r="O218" t="n">
        <v>0</v>
      </c>
      <c r="P218" t="n">
        <v>0</v>
      </c>
      <c r="Q218" t="n">
        <v>4</v>
      </c>
      <c r="R218" s="2" t="inlineStr">
        <is>
          <t>Bårdlav
Hasselticka
Läderskål
Blåsippa</t>
        </is>
      </c>
      <c r="S218">
        <f>HYPERLINK("https://klasma.github.io/Logging_0382/artfynd/A 54492-2024 artfynd.xlsx", "A 54492-2024")</f>
        <v/>
      </c>
      <c r="T218">
        <f>HYPERLINK("https://klasma.github.io/Logging_0382/kartor/A 54492-2024 karta.png", "A 54492-2024")</f>
        <v/>
      </c>
      <c r="V218">
        <f>HYPERLINK("https://klasma.github.io/Logging_0382/klagomål/A 54492-2024 FSC-klagomål.docx", "A 54492-2024")</f>
        <v/>
      </c>
      <c r="W218">
        <f>HYPERLINK("https://klasma.github.io/Logging_0382/klagomålsmail/A 54492-2024 FSC-klagomål mail.docx", "A 54492-2024")</f>
        <v/>
      </c>
      <c r="X218">
        <f>HYPERLINK("https://klasma.github.io/Logging_0382/tillsyn/A 54492-2024 tillsynsbegäran.docx", "A 54492-2024")</f>
        <v/>
      </c>
      <c r="Y218">
        <f>HYPERLINK("https://klasma.github.io/Logging_0382/tillsynsmail/A 54492-2024 tillsynsbegäran mail.docx", "A 54492-2024")</f>
        <v/>
      </c>
    </row>
    <row r="219" ht="15" customHeight="1">
      <c r="A219" t="inlineStr">
        <is>
          <t>A 54825-2024</t>
        </is>
      </c>
      <c r="B219" s="1" t="n">
        <v>45618</v>
      </c>
      <c r="C219" s="1" t="n">
        <v>45705</v>
      </c>
      <c r="D219" t="inlineStr">
        <is>
          <t>UPPSALA LÄN</t>
        </is>
      </c>
      <c r="E219" t="inlineStr">
        <is>
          <t>ÖSTHAMMAR</t>
        </is>
      </c>
      <c r="F219" t="inlineStr">
        <is>
          <t>Bergvik skog öst AB</t>
        </is>
      </c>
      <c r="G219" t="n">
        <v>1.7</v>
      </c>
      <c r="H219" t="n">
        <v>3</v>
      </c>
      <c r="I219" t="n">
        <v>1</v>
      </c>
      <c r="J219" t="n">
        <v>1</v>
      </c>
      <c r="K219" t="n">
        <v>1</v>
      </c>
      <c r="L219" t="n">
        <v>0</v>
      </c>
      <c r="M219" t="n">
        <v>0</v>
      </c>
      <c r="N219" t="n">
        <v>0</v>
      </c>
      <c r="O219" t="n">
        <v>2</v>
      </c>
      <c r="P219" t="n">
        <v>1</v>
      </c>
      <c r="Q219" t="n">
        <v>4</v>
      </c>
      <c r="R219" s="2" t="inlineStr">
        <is>
          <t>Knärot
Spillkråka
Vågbandad barkbock
Blåsippa</t>
        </is>
      </c>
      <c r="S219">
        <f>HYPERLINK("https://klasma.github.io/Logging_0382/artfynd/A 54825-2024 artfynd.xlsx", "A 54825-2024")</f>
        <v/>
      </c>
      <c r="T219">
        <f>HYPERLINK("https://klasma.github.io/Logging_0382/kartor/A 54825-2024 karta.png", "A 54825-2024")</f>
        <v/>
      </c>
      <c r="U219">
        <f>HYPERLINK("https://klasma.github.io/Logging_0382/knärot/A 54825-2024 karta knärot.png", "A 54825-2024")</f>
        <v/>
      </c>
      <c r="V219">
        <f>HYPERLINK("https://klasma.github.io/Logging_0382/klagomål/A 54825-2024 FSC-klagomål.docx", "A 54825-2024")</f>
        <v/>
      </c>
      <c r="W219">
        <f>HYPERLINK("https://klasma.github.io/Logging_0382/klagomålsmail/A 54825-2024 FSC-klagomål mail.docx", "A 54825-2024")</f>
        <v/>
      </c>
      <c r="X219">
        <f>HYPERLINK("https://klasma.github.io/Logging_0382/tillsyn/A 54825-2024 tillsynsbegäran.docx", "A 54825-2024")</f>
        <v/>
      </c>
      <c r="Y219">
        <f>HYPERLINK("https://klasma.github.io/Logging_0382/tillsynsmail/A 54825-2024 tillsynsbegäran mail.docx", "A 54825-2024")</f>
        <v/>
      </c>
      <c r="Z219">
        <f>HYPERLINK("https://klasma.github.io/Logging_0382/fåglar/A 54825-2024 prioriterade fågelarter.docx", "A 54825-2024")</f>
        <v/>
      </c>
    </row>
    <row r="220" ht="15" customHeight="1">
      <c r="A220" t="inlineStr">
        <is>
          <t>A 221-2025</t>
        </is>
      </c>
      <c r="B220" s="1" t="n">
        <v>45660</v>
      </c>
      <c r="C220" s="1" t="n">
        <v>45705</v>
      </c>
      <c r="D220" t="inlineStr">
        <is>
          <t>UPPSALA LÄN</t>
        </is>
      </c>
      <c r="E220" t="inlineStr">
        <is>
          <t>ÖSTHAMMAR</t>
        </is>
      </c>
      <c r="F220" t="inlineStr">
        <is>
          <t>Bergvik skog öst AB</t>
        </is>
      </c>
      <c r="G220" t="n">
        <v>1.3</v>
      </c>
      <c r="H220" t="n">
        <v>2</v>
      </c>
      <c r="I220" t="n">
        <v>3</v>
      </c>
      <c r="J220" t="n">
        <v>0</v>
      </c>
      <c r="K220" t="n">
        <v>0</v>
      </c>
      <c r="L220" t="n">
        <v>0</v>
      </c>
      <c r="M220" t="n">
        <v>0</v>
      </c>
      <c r="N220" t="n">
        <v>0</v>
      </c>
      <c r="O220" t="n">
        <v>0</v>
      </c>
      <c r="P220" t="n">
        <v>0</v>
      </c>
      <c r="Q220" t="n">
        <v>4</v>
      </c>
      <c r="R220" s="2" t="inlineStr">
        <is>
          <t>Grön sköldmossa
Korallblylav
Rödgul trumpetsvamp
Blåsippa</t>
        </is>
      </c>
      <c r="S220">
        <f>HYPERLINK("https://klasma.github.io/Logging_0382/artfynd/A 221-2025 artfynd.xlsx", "A 221-2025")</f>
        <v/>
      </c>
      <c r="T220">
        <f>HYPERLINK("https://klasma.github.io/Logging_0382/kartor/A 221-2025 karta.png", "A 221-2025")</f>
        <v/>
      </c>
      <c r="V220">
        <f>HYPERLINK("https://klasma.github.io/Logging_0382/klagomål/A 221-2025 FSC-klagomål.docx", "A 221-2025")</f>
        <v/>
      </c>
      <c r="W220">
        <f>HYPERLINK("https://klasma.github.io/Logging_0382/klagomålsmail/A 221-2025 FSC-klagomål mail.docx", "A 221-2025")</f>
        <v/>
      </c>
      <c r="X220">
        <f>HYPERLINK("https://klasma.github.io/Logging_0382/tillsyn/A 221-2025 tillsynsbegäran.docx", "A 221-2025")</f>
        <v/>
      </c>
      <c r="Y220">
        <f>HYPERLINK("https://klasma.github.io/Logging_0382/tillsynsmail/A 221-2025 tillsynsbegäran mail.docx", "A 221-2025")</f>
        <v/>
      </c>
    </row>
    <row r="221" ht="15" customHeight="1">
      <c r="A221" t="inlineStr">
        <is>
          <t>A 220-2025</t>
        </is>
      </c>
      <c r="B221" s="1" t="n">
        <v>45660</v>
      </c>
      <c r="C221" s="1" t="n">
        <v>45705</v>
      </c>
      <c r="D221" t="inlineStr">
        <is>
          <t>UPPSALA LÄN</t>
        </is>
      </c>
      <c r="E221" t="inlineStr">
        <is>
          <t>TIERP</t>
        </is>
      </c>
      <c r="F221" t="inlineStr">
        <is>
          <t>Bergvik skog öst AB</t>
        </is>
      </c>
      <c r="G221" t="n">
        <v>3.2</v>
      </c>
      <c r="H221" t="n">
        <v>2</v>
      </c>
      <c r="I221" t="n">
        <v>1</v>
      </c>
      <c r="J221" t="n">
        <v>2</v>
      </c>
      <c r="K221" t="n">
        <v>0</v>
      </c>
      <c r="L221" t="n">
        <v>0</v>
      </c>
      <c r="M221" t="n">
        <v>0</v>
      </c>
      <c r="N221" t="n">
        <v>0</v>
      </c>
      <c r="O221" t="n">
        <v>2</v>
      </c>
      <c r="P221" t="n">
        <v>0</v>
      </c>
      <c r="Q221" t="n">
        <v>4</v>
      </c>
      <c r="R221" s="2" t="inlineStr">
        <is>
          <t>Spillkråka
Ullticka
Bronshjon
Blåsippa</t>
        </is>
      </c>
      <c r="S221">
        <f>HYPERLINK("https://klasma.github.io/Logging_0360/artfynd/A 220-2025 artfynd.xlsx", "A 220-2025")</f>
        <v/>
      </c>
      <c r="T221">
        <f>HYPERLINK("https://klasma.github.io/Logging_0360/kartor/A 220-2025 karta.png", "A 220-2025")</f>
        <v/>
      </c>
      <c r="V221">
        <f>HYPERLINK("https://klasma.github.io/Logging_0360/klagomål/A 220-2025 FSC-klagomål.docx", "A 220-2025")</f>
        <v/>
      </c>
      <c r="W221">
        <f>HYPERLINK("https://klasma.github.io/Logging_0360/klagomålsmail/A 220-2025 FSC-klagomål mail.docx", "A 220-2025")</f>
        <v/>
      </c>
      <c r="X221">
        <f>HYPERLINK("https://klasma.github.io/Logging_0360/tillsyn/A 220-2025 tillsynsbegäran.docx", "A 220-2025")</f>
        <v/>
      </c>
      <c r="Y221">
        <f>HYPERLINK("https://klasma.github.io/Logging_0360/tillsynsmail/A 220-2025 tillsynsbegäran mail.docx", "A 220-2025")</f>
        <v/>
      </c>
      <c r="Z221">
        <f>HYPERLINK("https://klasma.github.io/Logging_0360/fåglar/A 220-2025 prioriterade fågelarter.docx", "A 220-2025")</f>
        <v/>
      </c>
    </row>
    <row r="222" ht="15" customHeight="1">
      <c r="A222" t="inlineStr">
        <is>
          <t>A 3952-2025</t>
        </is>
      </c>
      <c r="B222" s="1" t="n">
        <v>45684</v>
      </c>
      <c r="C222" s="1" t="n">
        <v>45705</v>
      </c>
      <c r="D222" t="inlineStr">
        <is>
          <t>UPPSALA LÄN</t>
        </is>
      </c>
      <c r="E222" t="inlineStr">
        <is>
          <t>ÄLVKARLEBY</t>
        </is>
      </c>
      <c r="G222" t="n">
        <v>1.5</v>
      </c>
      <c r="H222" t="n">
        <v>3</v>
      </c>
      <c r="I222" t="n">
        <v>2</v>
      </c>
      <c r="J222" t="n">
        <v>1</v>
      </c>
      <c r="K222" t="n">
        <v>0</v>
      </c>
      <c r="L222" t="n">
        <v>0</v>
      </c>
      <c r="M222" t="n">
        <v>0</v>
      </c>
      <c r="N222" t="n">
        <v>0</v>
      </c>
      <c r="O222" t="n">
        <v>1</v>
      </c>
      <c r="P222" t="n">
        <v>0</v>
      </c>
      <c r="Q222" t="n">
        <v>4</v>
      </c>
      <c r="R222" s="2" t="inlineStr">
        <is>
          <t>Mindre bastardsvärmare
Skogsknipprot
Tvåblad
Kärrknipprot</t>
        </is>
      </c>
      <c r="S222">
        <f>HYPERLINK("https://klasma.github.io/Logging_0319/artfynd/A 3952-2025 artfynd.xlsx", "A 3952-2025")</f>
        <v/>
      </c>
      <c r="T222">
        <f>HYPERLINK("https://klasma.github.io/Logging_0319/kartor/A 3952-2025 karta.png", "A 3952-2025")</f>
        <v/>
      </c>
      <c r="V222">
        <f>HYPERLINK("https://klasma.github.io/Logging_0319/klagomål/A 3952-2025 FSC-klagomål.docx", "A 3952-2025")</f>
        <v/>
      </c>
      <c r="W222">
        <f>HYPERLINK("https://klasma.github.io/Logging_0319/klagomålsmail/A 3952-2025 FSC-klagomål mail.docx", "A 3952-2025")</f>
        <v/>
      </c>
      <c r="X222">
        <f>HYPERLINK("https://klasma.github.io/Logging_0319/tillsyn/A 3952-2025 tillsynsbegäran.docx", "A 3952-2025")</f>
        <v/>
      </c>
      <c r="Y222">
        <f>HYPERLINK("https://klasma.github.io/Logging_0319/tillsynsmail/A 3952-2025 tillsynsbegäran mail.docx", "A 3952-2025")</f>
        <v/>
      </c>
    </row>
    <row r="223" ht="15" customHeight="1">
      <c r="A223" t="inlineStr">
        <is>
          <t>A 36346-2019</t>
        </is>
      </c>
      <c r="B223" s="1" t="n">
        <v>43661</v>
      </c>
      <c r="C223" s="1" t="n">
        <v>45705</v>
      </c>
      <c r="D223" t="inlineStr">
        <is>
          <t>UPPSALA LÄN</t>
        </is>
      </c>
      <c r="E223" t="inlineStr">
        <is>
          <t>UPPSALA</t>
        </is>
      </c>
      <c r="G223" t="n">
        <v>15.8</v>
      </c>
      <c r="H223" t="n">
        <v>2</v>
      </c>
      <c r="I223" t="n">
        <v>0</v>
      </c>
      <c r="J223" t="n">
        <v>3</v>
      </c>
      <c r="K223" t="n">
        <v>0</v>
      </c>
      <c r="L223" t="n">
        <v>0</v>
      </c>
      <c r="M223" t="n">
        <v>0</v>
      </c>
      <c r="N223" t="n">
        <v>0</v>
      </c>
      <c r="O223" t="n">
        <v>3</v>
      </c>
      <c r="P223" t="n">
        <v>0</v>
      </c>
      <c r="Q223" t="n">
        <v>3</v>
      </c>
      <c r="R223" s="2" t="inlineStr">
        <is>
          <t>Gulsparv
Rosenticka
Svartvit flugsnappare</t>
        </is>
      </c>
      <c r="S223">
        <f>HYPERLINK("https://klasma.github.io/Logging_0380/artfynd/A 36346-2019 artfynd.xlsx", "A 36346-2019")</f>
        <v/>
      </c>
      <c r="T223">
        <f>HYPERLINK("https://klasma.github.io/Logging_0380/kartor/A 36346-2019 karta.png", "A 36346-2019")</f>
        <v/>
      </c>
      <c r="V223">
        <f>HYPERLINK("https://klasma.github.io/Logging_0380/klagomål/A 36346-2019 FSC-klagomål.docx", "A 36346-2019")</f>
        <v/>
      </c>
      <c r="W223">
        <f>HYPERLINK("https://klasma.github.io/Logging_0380/klagomålsmail/A 36346-2019 FSC-klagomål mail.docx", "A 36346-2019")</f>
        <v/>
      </c>
      <c r="X223">
        <f>HYPERLINK("https://klasma.github.io/Logging_0380/tillsyn/A 36346-2019 tillsynsbegäran.docx", "A 36346-2019")</f>
        <v/>
      </c>
      <c r="Y223">
        <f>HYPERLINK("https://klasma.github.io/Logging_0380/tillsynsmail/A 36346-2019 tillsynsbegäran mail.docx", "A 36346-2019")</f>
        <v/>
      </c>
      <c r="Z223">
        <f>HYPERLINK("https://klasma.github.io/Logging_0380/fåglar/A 36346-2019 prioriterade fågelarter.docx", "A 36346-2019")</f>
        <v/>
      </c>
    </row>
    <row r="224" ht="15" customHeight="1">
      <c r="A224" t="inlineStr">
        <is>
          <t>A 49258-2019</t>
        </is>
      </c>
      <c r="B224" s="1" t="n">
        <v>43731</v>
      </c>
      <c r="C224" s="1" t="n">
        <v>45705</v>
      </c>
      <c r="D224" t="inlineStr">
        <is>
          <t>UPPSALA LÄN</t>
        </is>
      </c>
      <c r="E224" t="inlineStr">
        <is>
          <t>UPPSALA</t>
        </is>
      </c>
      <c r="G224" t="n">
        <v>0.9</v>
      </c>
      <c r="H224" t="n">
        <v>0</v>
      </c>
      <c r="I224" t="n">
        <v>0</v>
      </c>
      <c r="J224" t="n">
        <v>1</v>
      </c>
      <c r="K224" t="n">
        <v>2</v>
      </c>
      <c r="L224" t="n">
        <v>0</v>
      </c>
      <c r="M224" t="n">
        <v>0</v>
      </c>
      <c r="N224" t="n">
        <v>0</v>
      </c>
      <c r="O224" t="n">
        <v>3</v>
      </c>
      <c r="P224" t="n">
        <v>2</v>
      </c>
      <c r="Q224" t="n">
        <v>3</v>
      </c>
      <c r="R224" s="2" t="inlineStr">
        <is>
          <t>Liten blekspik
Ostticka
Vedtrappmossa</t>
        </is>
      </c>
      <c r="S224">
        <f>HYPERLINK("https://klasma.github.io/Logging_0380/artfynd/A 49258-2019 artfynd.xlsx", "A 49258-2019")</f>
        <v/>
      </c>
      <c r="T224">
        <f>HYPERLINK("https://klasma.github.io/Logging_0380/kartor/A 49258-2019 karta.png", "A 49258-2019")</f>
        <v/>
      </c>
      <c r="V224">
        <f>HYPERLINK("https://klasma.github.io/Logging_0380/klagomål/A 49258-2019 FSC-klagomål.docx", "A 49258-2019")</f>
        <v/>
      </c>
      <c r="W224">
        <f>HYPERLINK("https://klasma.github.io/Logging_0380/klagomålsmail/A 49258-2019 FSC-klagomål mail.docx", "A 49258-2019")</f>
        <v/>
      </c>
      <c r="X224">
        <f>HYPERLINK("https://klasma.github.io/Logging_0380/tillsyn/A 49258-2019 tillsynsbegäran.docx", "A 49258-2019")</f>
        <v/>
      </c>
      <c r="Y224">
        <f>HYPERLINK("https://klasma.github.io/Logging_0380/tillsynsmail/A 49258-2019 tillsynsbegäran mail.docx", "A 49258-2019")</f>
        <v/>
      </c>
    </row>
    <row r="225" ht="15" customHeight="1">
      <c r="A225" t="inlineStr">
        <is>
          <t>A 52050-2019</t>
        </is>
      </c>
      <c r="B225" s="1" t="n">
        <v>43742</v>
      </c>
      <c r="C225" s="1" t="n">
        <v>45705</v>
      </c>
      <c r="D225" t="inlineStr">
        <is>
          <t>UPPSALA LÄN</t>
        </is>
      </c>
      <c r="E225" t="inlineStr">
        <is>
          <t>ENKÖPING</t>
        </is>
      </c>
      <c r="G225" t="n">
        <v>6.6</v>
      </c>
      <c r="H225" t="n">
        <v>0</v>
      </c>
      <c r="I225" t="n">
        <v>3</v>
      </c>
      <c r="J225" t="n">
        <v>0</v>
      </c>
      <c r="K225" t="n">
        <v>0</v>
      </c>
      <c r="L225" t="n">
        <v>0</v>
      </c>
      <c r="M225" t="n">
        <v>0</v>
      </c>
      <c r="N225" t="n">
        <v>0</v>
      </c>
      <c r="O225" t="n">
        <v>0</v>
      </c>
      <c r="P225" t="n">
        <v>0</v>
      </c>
      <c r="Q225" t="n">
        <v>3</v>
      </c>
      <c r="R225" s="2" t="inlineStr">
        <is>
          <t>Aspvedgnagare
Barkticka
Hasselticka</t>
        </is>
      </c>
      <c r="S225">
        <f>HYPERLINK("https://klasma.github.io/Logging_0381/artfynd/A 52050-2019 artfynd.xlsx", "A 52050-2019")</f>
        <v/>
      </c>
      <c r="T225">
        <f>HYPERLINK("https://klasma.github.io/Logging_0381/kartor/A 52050-2019 karta.png", "A 52050-2019")</f>
        <v/>
      </c>
      <c r="V225">
        <f>HYPERLINK("https://klasma.github.io/Logging_0381/klagomål/A 52050-2019 FSC-klagomål.docx", "A 52050-2019")</f>
        <v/>
      </c>
      <c r="W225">
        <f>HYPERLINK("https://klasma.github.io/Logging_0381/klagomålsmail/A 52050-2019 FSC-klagomål mail.docx", "A 52050-2019")</f>
        <v/>
      </c>
      <c r="X225">
        <f>HYPERLINK("https://klasma.github.io/Logging_0381/tillsyn/A 52050-2019 tillsynsbegäran.docx", "A 52050-2019")</f>
        <v/>
      </c>
      <c r="Y225">
        <f>HYPERLINK("https://klasma.github.io/Logging_0381/tillsynsmail/A 52050-2019 tillsynsbegäran mail.docx", "A 52050-2019")</f>
        <v/>
      </c>
    </row>
    <row r="226" ht="15" customHeight="1">
      <c r="A226" t="inlineStr">
        <is>
          <t>A 57665-2019</t>
        </is>
      </c>
      <c r="B226" s="1" t="n">
        <v>43768</v>
      </c>
      <c r="C226" s="1" t="n">
        <v>45705</v>
      </c>
      <c r="D226" t="inlineStr">
        <is>
          <t>UPPSALA LÄN</t>
        </is>
      </c>
      <c r="E226" t="inlineStr">
        <is>
          <t>TIERP</t>
        </is>
      </c>
      <c r="G226" t="n">
        <v>4</v>
      </c>
      <c r="H226" t="n">
        <v>1</v>
      </c>
      <c r="I226" t="n">
        <v>1</v>
      </c>
      <c r="J226" t="n">
        <v>0</v>
      </c>
      <c r="K226" t="n">
        <v>2</v>
      </c>
      <c r="L226" t="n">
        <v>0</v>
      </c>
      <c r="M226" t="n">
        <v>0</v>
      </c>
      <c r="N226" t="n">
        <v>0</v>
      </c>
      <c r="O226" t="n">
        <v>2</v>
      </c>
      <c r="P226" t="n">
        <v>2</v>
      </c>
      <c r="Q226" t="n">
        <v>3</v>
      </c>
      <c r="R226" s="2" t="inlineStr">
        <is>
          <t>Bombmurkla
Rynkskinn
Stor aspticka</t>
        </is>
      </c>
      <c r="S226">
        <f>HYPERLINK("https://klasma.github.io/Logging_0360/artfynd/A 57665-2019 artfynd.xlsx", "A 57665-2019")</f>
        <v/>
      </c>
      <c r="T226">
        <f>HYPERLINK("https://klasma.github.io/Logging_0360/kartor/A 57665-2019 karta.png", "A 57665-2019")</f>
        <v/>
      </c>
      <c r="V226">
        <f>HYPERLINK("https://klasma.github.io/Logging_0360/klagomål/A 57665-2019 FSC-klagomål.docx", "A 57665-2019")</f>
        <v/>
      </c>
      <c r="W226">
        <f>HYPERLINK("https://klasma.github.io/Logging_0360/klagomålsmail/A 57665-2019 FSC-klagomål mail.docx", "A 57665-2019")</f>
        <v/>
      </c>
      <c r="X226">
        <f>HYPERLINK("https://klasma.github.io/Logging_0360/tillsyn/A 57665-2019 tillsynsbegäran.docx", "A 57665-2019")</f>
        <v/>
      </c>
      <c r="Y226">
        <f>HYPERLINK("https://klasma.github.io/Logging_0360/tillsynsmail/A 57665-2019 tillsynsbegäran mail.docx", "A 57665-2019")</f>
        <v/>
      </c>
    </row>
    <row r="227" ht="15" customHeight="1">
      <c r="A227" t="inlineStr">
        <is>
          <t>A 63909-2019</t>
        </is>
      </c>
      <c r="B227" s="1" t="n">
        <v>43796</v>
      </c>
      <c r="C227" s="1" t="n">
        <v>45705</v>
      </c>
      <c r="D227" t="inlineStr">
        <is>
          <t>UPPSALA LÄN</t>
        </is>
      </c>
      <c r="E227" t="inlineStr">
        <is>
          <t>UPPSALA</t>
        </is>
      </c>
      <c r="F227" t="inlineStr">
        <is>
          <t>Holmen skog AB</t>
        </is>
      </c>
      <c r="G227" t="n">
        <v>3.8</v>
      </c>
      <c r="H227" t="n">
        <v>0</v>
      </c>
      <c r="I227" t="n">
        <v>0</v>
      </c>
      <c r="J227" t="n">
        <v>3</v>
      </c>
      <c r="K227" t="n">
        <v>0</v>
      </c>
      <c r="L227" t="n">
        <v>0</v>
      </c>
      <c r="M227" t="n">
        <v>0</v>
      </c>
      <c r="N227" t="n">
        <v>0</v>
      </c>
      <c r="O227" t="n">
        <v>3</v>
      </c>
      <c r="P227" t="n">
        <v>0</v>
      </c>
      <c r="Q227" t="n">
        <v>3</v>
      </c>
      <c r="R227" s="2" t="inlineStr">
        <is>
          <t>Ekticka
Rödbrun blekspik
Skuggorangelav</t>
        </is>
      </c>
      <c r="S227">
        <f>HYPERLINK("https://klasma.github.io/Logging_0380/artfynd/A 63909-2019 artfynd.xlsx", "A 63909-2019")</f>
        <v/>
      </c>
      <c r="T227">
        <f>HYPERLINK("https://klasma.github.io/Logging_0380/kartor/A 63909-2019 karta.png", "A 63909-2019")</f>
        <v/>
      </c>
      <c r="V227">
        <f>HYPERLINK("https://klasma.github.io/Logging_0380/klagomål/A 63909-2019 FSC-klagomål.docx", "A 63909-2019")</f>
        <v/>
      </c>
      <c r="W227">
        <f>HYPERLINK("https://klasma.github.io/Logging_0380/klagomålsmail/A 63909-2019 FSC-klagomål mail.docx", "A 63909-2019")</f>
        <v/>
      </c>
      <c r="X227">
        <f>HYPERLINK("https://klasma.github.io/Logging_0380/tillsyn/A 63909-2019 tillsynsbegäran.docx", "A 63909-2019")</f>
        <v/>
      </c>
      <c r="Y227">
        <f>HYPERLINK("https://klasma.github.io/Logging_0380/tillsynsmail/A 63909-2019 tillsynsbegäran mail.docx", "A 63909-2019")</f>
        <v/>
      </c>
    </row>
    <row r="228" ht="15" customHeight="1">
      <c r="A228" t="inlineStr">
        <is>
          <t>A 6195-2020</t>
        </is>
      </c>
      <c r="B228" s="1" t="n">
        <v>43865</v>
      </c>
      <c r="C228" s="1" t="n">
        <v>45705</v>
      </c>
      <c r="D228" t="inlineStr">
        <is>
          <t>UPPSALA LÄN</t>
        </is>
      </c>
      <c r="E228" t="inlineStr">
        <is>
          <t>ENKÖPING</t>
        </is>
      </c>
      <c r="G228" t="n">
        <v>1.2</v>
      </c>
      <c r="H228" t="n">
        <v>3</v>
      </c>
      <c r="I228" t="n">
        <v>0</v>
      </c>
      <c r="J228" t="n">
        <v>0</v>
      </c>
      <c r="K228" t="n">
        <v>0</v>
      </c>
      <c r="L228" t="n">
        <v>0</v>
      </c>
      <c r="M228" t="n">
        <v>0</v>
      </c>
      <c r="N228" t="n">
        <v>0</v>
      </c>
      <c r="O228" t="n">
        <v>0</v>
      </c>
      <c r="P228" t="n">
        <v>0</v>
      </c>
      <c r="Q228" t="n">
        <v>3</v>
      </c>
      <c r="R228" s="2" t="inlineStr">
        <is>
          <t>Gröngöling
Mindre vattensalamander
Blåsippa</t>
        </is>
      </c>
      <c r="S228">
        <f>HYPERLINK("https://klasma.github.io/Logging_0381/artfynd/A 6195-2020 artfynd.xlsx", "A 6195-2020")</f>
        <v/>
      </c>
      <c r="T228">
        <f>HYPERLINK("https://klasma.github.io/Logging_0381/kartor/A 6195-2020 karta.png", "A 6195-2020")</f>
        <v/>
      </c>
      <c r="V228">
        <f>HYPERLINK("https://klasma.github.io/Logging_0381/klagomål/A 6195-2020 FSC-klagomål.docx", "A 6195-2020")</f>
        <v/>
      </c>
      <c r="W228">
        <f>HYPERLINK("https://klasma.github.io/Logging_0381/klagomålsmail/A 6195-2020 FSC-klagomål mail.docx", "A 6195-2020")</f>
        <v/>
      </c>
      <c r="X228">
        <f>HYPERLINK("https://klasma.github.io/Logging_0381/tillsyn/A 6195-2020 tillsynsbegäran.docx", "A 6195-2020")</f>
        <v/>
      </c>
      <c r="Y228">
        <f>HYPERLINK("https://klasma.github.io/Logging_0381/tillsynsmail/A 6195-2020 tillsynsbegäran mail.docx", "A 6195-2020")</f>
        <v/>
      </c>
      <c r="Z228">
        <f>HYPERLINK("https://klasma.github.io/Logging_0381/fåglar/A 6195-2020 prioriterade fågelarter.docx", "A 6195-2020")</f>
        <v/>
      </c>
    </row>
    <row r="229" ht="15" customHeight="1">
      <c r="A229" t="inlineStr">
        <is>
          <t>A 6318-2020</t>
        </is>
      </c>
      <c r="B229" s="1" t="n">
        <v>43866</v>
      </c>
      <c r="C229" s="1" t="n">
        <v>45705</v>
      </c>
      <c r="D229" t="inlineStr">
        <is>
          <t>UPPSALA LÄN</t>
        </is>
      </c>
      <c r="E229" t="inlineStr">
        <is>
          <t>ENKÖPING</t>
        </is>
      </c>
      <c r="F229" t="inlineStr">
        <is>
          <t>Övriga statliga verk och myndigheter</t>
        </is>
      </c>
      <c r="G229" t="n">
        <v>10</v>
      </c>
      <c r="H229" t="n">
        <v>1</v>
      </c>
      <c r="I229" t="n">
        <v>1</v>
      </c>
      <c r="J229" t="n">
        <v>1</v>
      </c>
      <c r="K229" t="n">
        <v>1</v>
      </c>
      <c r="L229" t="n">
        <v>0</v>
      </c>
      <c r="M229" t="n">
        <v>0</v>
      </c>
      <c r="N229" t="n">
        <v>0</v>
      </c>
      <c r="O229" t="n">
        <v>2</v>
      </c>
      <c r="P229" t="n">
        <v>1</v>
      </c>
      <c r="Q229" t="n">
        <v>3</v>
      </c>
      <c r="R229" s="2" t="inlineStr">
        <is>
          <t>Knärot
Vintertagging
Granbarkgnagare</t>
        </is>
      </c>
      <c r="S229">
        <f>HYPERLINK("https://klasma.github.io/Logging_0381/artfynd/A 6318-2020 artfynd.xlsx", "A 6318-2020")</f>
        <v/>
      </c>
      <c r="T229">
        <f>HYPERLINK("https://klasma.github.io/Logging_0381/kartor/A 6318-2020 karta.png", "A 6318-2020")</f>
        <v/>
      </c>
      <c r="U229">
        <f>HYPERLINK("https://klasma.github.io/Logging_0381/knärot/A 6318-2020 karta knärot.png", "A 6318-2020")</f>
        <v/>
      </c>
      <c r="V229">
        <f>HYPERLINK("https://klasma.github.io/Logging_0381/klagomål/A 6318-2020 FSC-klagomål.docx", "A 6318-2020")</f>
        <v/>
      </c>
      <c r="W229">
        <f>HYPERLINK("https://klasma.github.io/Logging_0381/klagomålsmail/A 6318-2020 FSC-klagomål mail.docx", "A 6318-2020")</f>
        <v/>
      </c>
      <c r="X229">
        <f>HYPERLINK("https://klasma.github.io/Logging_0381/tillsyn/A 6318-2020 tillsynsbegäran.docx", "A 6318-2020")</f>
        <v/>
      </c>
      <c r="Y229">
        <f>HYPERLINK("https://klasma.github.io/Logging_0381/tillsynsmail/A 6318-2020 tillsynsbegäran mail.docx", "A 6318-2020")</f>
        <v/>
      </c>
    </row>
    <row r="230" ht="15" customHeight="1">
      <c r="A230" t="inlineStr">
        <is>
          <t>A 8385-2020</t>
        </is>
      </c>
      <c r="B230" s="1" t="n">
        <v>43875</v>
      </c>
      <c r="C230" s="1" t="n">
        <v>45705</v>
      </c>
      <c r="D230" t="inlineStr">
        <is>
          <t>UPPSALA LÄN</t>
        </is>
      </c>
      <c r="E230" t="inlineStr">
        <is>
          <t>ÖSTHAMMAR</t>
        </is>
      </c>
      <c r="F230" t="inlineStr">
        <is>
          <t>Bergvik skog öst AB</t>
        </is>
      </c>
      <c r="G230" t="n">
        <v>0.7</v>
      </c>
      <c r="H230" t="n">
        <v>2</v>
      </c>
      <c r="I230" t="n">
        <v>1</v>
      </c>
      <c r="J230" t="n">
        <v>2</v>
      </c>
      <c r="K230" t="n">
        <v>0</v>
      </c>
      <c r="L230" t="n">
        <v>0</v>
      </c>
      <c r="M230" t="n">
        <v>0</v>
      </c>
      <c r="N230" t="n">
        <v>0</v>
      </c>
      <c r="O230" t="n">
        <v>2</v>
      </c>
      <c r="P230" t="n">
        <v>0</v>
      </c>
      <c r="Q230" t="n">
        <v>3</v>
      </c>
      <c r="R230" s="2" t="inlineStr">
        <is>
          <t>Gulsparv
Svartvit flugsnappare
Svavelriska</t>
        </is>
      </c>
      <c r="S230">
        <f>HYPERLINK("https://klasma.github.io/Logging_0382/artfynd/A 8385-2020 artfynd.xlsx", "A 8385-2020")</f>
        <v/>
      </c>
      <c r="T230">
        <f>HYPERLINK("https://klasma.github.io/Logging_0382/kartor/A 8385-2020 karta.png", "A 8385-2020")</f>
        <v/>
      </c>
      <c r="V230">
        <f>HYPERLINK("https://klasma.github.io/Logging_0382/klagomål/A 8385-2020 FSC-klagomål.docx", "A 8385-2020")</f>
        <v/>
      </c>
      <c r="W230">
        <f>HYPERLINK("https://klasma.github.io/Logging_0382/klagomålsmail/A 8385-2020 FSC-klagomål mail.docx", "A 8385-2020")</f>
        <v/>
      </c>
      <c r="X230">
        <f>HYPERLINK("https://klasma.github.io/Logging_0382/tillsyn/A 8385-2020 tillsynsbegäran.docx", "A 8385-2020")</f>
        <v/>
      </c>
      <c r="Y230">
        <f>HYPERLINK("https://klasma.github.io/Logging_0382/tillsynsmail/A 8385-2020 tillsynsbegäran mail.docx", "A 8385-2020")</f>
        <v/>
      </c>
      <c r="Z230">
        <f>HYPERLINK("https://klasma.github.io/Logging_0382/fåglar/A 8385-2020 prioriterade fågelarter.docx", "A 8385-2020")</f>
        <v/>
      </c>
    </row>
    <row r="231" ht="15" customHeight="1">
      <c r="A231" t="inlineStr">
        <is>
          <t>A 15765-2020</t>
        </is>
      </c>
      <c r="B231" s="1" t="n">
        <v>43915</v>
      </c>
      <c r="C231" s="1" t="n">
        <v>45705</v>
      </c>
      <c r="D231" t="inlineStr">
        <is>
          <t>UPPSALA LÄN</t>
        </is>
      </c>
      <c r="E231" t="inlineStr">
        <is>
          <t>ENKÖPING</t>
        </is>
      </c>
      <c r="G231" t="n">
        <v>0.4</v>
      </c>
      <c r="H231" t="n">
        <v>3</v>
      </c>
      <c r="I231" t="n">
        <v>0</v>
      </c>
      <c r="J231" t="n">
        <v>1</v>
      </c>
      <c r="K231" t="n">
        <v>0</v>
      </c>
      <c r="L231" t="n">
        <v>1</v>
      </c>
      <c r="M231" t="n">
        <v>0</v>
      </c>
      <c r="N231" t="n">
        <v>0</v>
      </c>
      <c r="O231" t="n">
        <v>2</v>
      </c>
      <c r="P231" t="n">
        <v>1</v>
      </c>
      <c r="Q231" t="n">
        <v>3</v>
      </c>
      <c r="R231" s="2" t="inlineStr">
        <is>
          <t>Storspov
Havsörn
Sångsvan</t>
        </is>
      </c>
      <c r="S231">
        <f>HYPERLINK("https://klasma.github.io/Logging_0381/artfynd/A 15765-2020 artfynd.xlsx", "A 15765-2020")</f>
        <v/>
      </c>
      <c r="T231">
        <f>HYPERLINK("https://klasma.github.io/Logging_0381/kartor/A 15765-2020 karta.png", "A 15765-2020")</f>
        <v/>
      </c>
      <c r="V231">
        <f>HYPERLINK("https://klasma.github.io/Logging_0381/klagomål/A 15765-2020 FSC-klagomål.docx", "A 15765-2020")</f>
        <v/>
      </c>
      <c r="W231">
        <f>HYPERLINK("https://klasma.github.io/Logging_0381/klagomålsmail/A 15765-2020 FSC-klagomål mail.docx", "A 15765-2020")</f>
        <v/>
      </c>
      <c r="X231">
        <f>HYPERLINK("https://klasma.github.io/Logging_0381/tillsyn/A 15765-2020 tillsynsbegäran.docx", "A 15765-2020")</f>
        <v/>
      </c>
      <c r="Y231">
        <f>HYPERLINK("https://klasma.github.io/Logging_0381/tillsynsmail/A 15765-2020 tillsynsbegäran mail.docx", "A 15765-2020")</f>
        <v/>
      </c>
      <c r="Z231">
        <f>HYPERLINK("https://klasma.github.io/Logging_0381/fåglar/A 15765-2020 prioriterade fågelarter.docx", "A 15765-2020")</f>
        <v/>
      </c>
    </row>
    <row r="232" ht="15" customHeight="1">
      <c r="A232" t="inlineStr">
        <is>
          <t>A 45714-2020</t>
        </is>
      </c>
      <c r="B232" s="1" t="n">
        <v>44090</v>
      </c>
      <c r="C232" s="1" t="n">
        <v>45705</v>
      </c>
      <c r="D232" t="inlineStr">
        <is>
          <t>UPPSALA LÄN</t>
        </is>
      </c>
      <c r="E232" t="inlineStr">
        <is>
          <t>ÖSTHAMMAR</t>
        </is>
      </c>
      <c r="F232" t="inlineStr">
        <is>
          <t>Övriga Aktiebolag</t>
        </is>
      </c>
      <c r="G232" t="n">
        <v>10.8</v>
      </c>
      <c r="H232" t="n">
        <v>1</v>
      </c>
      <c r="I232" t="n">
        <v>1</v>
      </c>
      <c r="J232" t="n">
        <v>2</v>
      </c>
      <c r="K232" t="n">
        <v>0</v>
      </c>
      <c r="L232" t="n">
        <v>0</v>
      </c>
      <c r="M232" t="n">
        <v>0</v>
      </c>
      <c r="N232" t="n">
        <v>0</v>
      </c>
      <c r="O232" t="n">
        <v>2</v>
      </c>
      <c r="P232" t="n">
        <v>0</v>
      </c>
      <c r="Q232" t="n">
        <v>3</v>
      </c>
      <c r="R232" s="2" t="inlineStr">
        <is>
          <t>Slåtterfibbla
Solvända
Skogsknipprot</t>
        </is>
      </c>
      <c r="S232">
        <f>HYPERLINK("https://klasma.github.io/Logging_0382/artfynd/A 45714-2020 artfynd.xlsx", "A 45714-2020")</f>
        <v/>
      </c>
      <c r="T232">
        <f>HYPERLINK("https://klasma.github.io/Logging_0382/kartor/A 45714-2020 karta.png", "A 45714-2020")</f>
        <v/>
      </c>
      <c r="V232">
        <f>HYPERLINK("https://klasma.github.io/Logging_0382/klagomål/A 45714-2020 FSC-klagomål.docx", "A 45714-2020")</f>
        <v/>
      </c>
      <c r="W232">
        <f>HYPERLINK("https://klasma.github.io/Logging_0382/klagomålsmail/A 45714-2020 FSC-klagomål mail.docx", "A 45714-2020")</f>
        <v/>
      </c>
      <c r="X232">
        <f>HYPERLINK("https://klasma.github.io/Logging_0382/tillsyn/A 45714-2020 tillsynsbegäran.docx", "A 45714-2020")</f>
        <v/>
      </c>
      <c r="Y232">
        <f>HYPERLINK("https://klasma.github.io/Logging_0382/tillsynsmail/A 45714-2020 tillsynsbegäran mail.docx", "A 45714-2020")</f>
        <v/>
      </c>
    </row>
    <row r="233" ht="15" customHeight="1">
      <c r="A233" t="inlineStr">
        <is>
          <t>A 56107-2020</t>
        </is>
      </c>
      <c r="B233" s="1" t="n">
        <v>44133</v>
      </c>
      <c r="C233" s="1" t="n">
        <v>45705</v>
      </c>
      <c r="D233" t="inlineStr">
        <is>
          <t>UPPSALA LÄN</t>
        </is>
      </c>
      <c r="E233" t="inlineStr">
        <is>
          <t>UPPSALA</t>
        </is>
      </c>
      <c r="F233" t="inlineStr">
        <is>
          <t>Allmännings- och besparingsskogar</t>
        </is>
      </c>
      <c r="G233" t="n">
        <v>45.6</v>
      </c>
      <c r="H233" t="n">
        <v>3</v>
      </c>
      <c r="I233" t="n">
        <v>0</v>
      </c>
      <c r="J233" t="n">
        <v>1</v>
      </c>
      <c r="K233" t="n">
        <v>0</v>
      </c>
      <c r="L233" t="n">
        <v>0</v>
      </c>
      <c r="M233" t="n">
        <v>0</v>
      </c>
      <c r="N233" t="n">
        <v>0</v>
      </c>
      <c r="O233" t="n">
        <v>1</v>
      </c>
      <c r="P233" t="n">
        <v>0</v>
      </c>
      <c r="Q233" t="n">
        <v>3</v>
      </c>
      <c r="R233" s="2" t="inlineStr">
        <is>
          <t>Nordfladdermus
Dvärgpipistrell
Vattenfladdermus</t>
        </is>
      </c>
      <c r="S233">
        <f>HYPERLINK("https://klasma.github.io/Logging_0380/artfynd/A 56107-2020 artfynd.xlsx", "A 56107-2020")</f>
        <v/>
      </c>
      <c r="T233">
        <f>HYPERLINK("https://klasma.github.io/Logging_0380/kartor/A 56107-2020 karta.png", "A 56107-2020")</f>
        <v/>
      </c>
      <c r="V233">
        <f>HYPERLINK("https://klasma.github.io/Logging_0380/klagomål/A 56107-2020 FSC-klagomål.docx", "A 56107-2020")</f>
        <v/>
      </c>
      <c r="W233">
        <f>HYPERLINK("https://klasma.github.io/Logging_0380/klagomålsmail/A 56107-2020 FSC-klagomål mail.docx", "A 56107-2020")</f>
        <v/>
      </c>
      <c r="X233">
        <f>HYPERLINK("https://klasma.github.io/Logging_0380/tillsyn/A 56107-2020 tillsynsbegäran.docx", "A 56107-2020")</f>
        <v/>
      </c>
      <c r="Y233">
        <f>HYPERLINK("https://klasma.github.io/Logging_0380/tillsynsmail/A 56107-2020 tillsynsbegäran mail.docx", "A 56107-2020")</f>
        <v/>
      </c>
    </row>
    <row r="234" ht="15" customHeight="1">
      <c r="A234" t="inlineStr">
        <is>
          <t>A 33035-2021</t>
        </is>
      </c>
      <c r="B234" s="1" t="n">
        <v>44376</v>
      </c>
      <c r="C234" s="1" t="n">
        <v>45705</v>
      </c>
      <c r="D234" t="inlineStr">
        <is>
          <t>UPPSALA LÄN</t>
        </is>
      </c>
      <c r="E234" t="inlineStr">
        <is>
          <t>ÖSTHAMMAR</t>
        </is>
      </c>
      <c r="G234" t="n">
        <v>4.3</v>
      </c>
      <c r="H234" t="n">
        <v>0</v>
      </c>
      <c r="I234" t="n">
        <v>0</v>
      </c>
      <c r="J234" t="n">
        <v>1</v>
      </c>
      <c r="K234" t="n">
        <v>2</v>
      </c>
      <c r="L234" t="n">
        <v>0</v>
      </c>
      <c r="M234" t="n">
        <v>0</v>
      </c>
      <c r="N234" t="n">
        <v>0</v>
      </c>
      <c r="O234" t="n">
        <v>3</v>
      </c>
      <c r="P234" t="n">
        <v>2</v>
      </c>
      <c r="Q234" t="n">
        <v>3</v>
      </c>
      <c r="R234" s="2" t="inlineStr">
        <is>
          <t>Granrotspindling
Gyllenfingersvamp
Dofttaggsvamp</t>
        </is>
      </c>
      <c r="S234">
        <f>HYPERLINK("https://klasma.github.io/Logging_0382/artfynd/A 33035-2021 artfynd.xlsx", "A 33035-2021")</f>
        <v/>
      </c>
      <c r="T234">
        <f>HYPERLINK("https://klasma.github.io/Logging_0382/kartor/A 33035-2021 karta.png", "A 33035-2021")</f>
        <v/>
      </c>
      <c r="V234">
        <f>HYPERLINK("https://klasma.github.io/Logging_0382/klagomål/A 33035-2021 FSC-klagomål.docx", "A 33035-2021")</f>
        <v/>
      </c>
      <c r="W234">
        <f>HYPERLINK("https://klasma.github.io/Logging_0382/klagomålsmail/A 33035-2021 FSC-klagomål mail.docx", "A 33035-2021")</f>
        <v/>
      </c>
      <c r="X234">
        <f>HYPERLINK("https://klasma.github.io/Logging_0382/tillsyn/A 33035-2021 tillsynsbegäran.docx", "A 33035-2021")</f>
        <v/>
      </c>
      <c r="Y234">
        <f>HYPERLINK("https://klasma.github.io/Logging_0382/tillsynsmail/A 33035-2021 tillsynsbegäran mail.docx", "A 33035-2021")</f>
        <v/>
      </c>
    </row>
    <row r="235" ht="15" customHeight="1">
      <c r="A235" t="inlineStr">
        <is>
          <t>A 33441-2021</t>
        </is>
      </c>
      <c r="B235" s="1" t="n">
        <v>44377</v>
      </c>
      <c r="C235" s="1" t="n">
        <v>45705</v>
      </c>
      <c r="D235" t="inlineStr">
        <is>
          <t>UPPSALA LÄN</t>
        </is>
      </c>
      <c r="E235" t="inlineStr">
        <is>
          <t>ÄLVKARLEBY</t>
        </is>
      </c>
      <c r="F235" t="inlineStr">
        <is>
          <t>Bergvik skog väst AB</t>
        </is>
      </c>
      <c r="G235" t="n">
        <v>12</v>
      </c>
      <c r="H235" t="n">
        <v>1</v>
      </c>
      <c r="I235" t="n">
        <v>2</v>
      </c>
      <c r="J235" t="n">
        <v>1</v>
      </c>
      <c r="K235" t="n">
        <v>0</v>
      </c>
      <c r="L235" t="n">
        <v>0</v>
      </c>
      <c r="M235" t="n">
        <v>0</v>
      </c>
      <c r="N235" t="n">
        <v>0</v>
      </c>
      <c r="O235" t="n">
        <v>1</v>
      </c>
      <c r="P235" t="n">
        <v>0</v>
      </c>
      <c r="Q235" t="n">
        <v>3</v>
      </c>
      <c r="R235" s="2" t="inlineStr">
        <is>
          <t>Kalkkärrsgrynsnäcka
Nästrot
Ögonpyrola</t>
        </is>
      </c>
      <c r="S235">
        <f>HYPERLINK("https://klasma.github.io/Logging_0319/artfynd/A 33441-2021 artfynd.xlsx", "A 33441-2021")</f>
        <v/>
      </c>
      <c r="T235">
        <f>HYPERLINK("https://klasma.github.io/Logging_0319/kartor/A 33441-2021 karta.png", "A 33441-2021")</f>
        <v/>
      </c>
      <c r="V235">
        <f>HYPERLINK("https://klasma.github.io/Logging_0319/klagomål/A 33441-2021 FSC-klagomål.docx", "A 33441-2021")</f>
        <v/>
      </c>
      <c r="W235">
        <f>HYPERLINK("https://klasma.github.io/Logging_0319/klagomålsmail/A 33441-2021 FSC-klagomål mail.docx", "A 33441-2021")</f>
        <v/>
      </c>
      <c r="X235">
        <f>HYPERLINK("https://klasma.github.io/Logging_0319/tillsyn/A 33441-2021 tillsynsbegäran.docx", "A 33441-2021")</f>
        <v/>
      </c>
      <c r="Y235">
        <f>HYPERLINK("https://klasma.github.io/Logging_0319/tillsynsmail/A 33441-2021 tillsynsbegäran mail.docx", "A 33441-2021")</f>
        <v/>
      </c>
    </row>
    <row r="236" ht="15" customHeight="1">
      <c r="A236" t="inlineStr">
        <is>
          <t>A 55051-2021</t>
        </is>
      </c>
      <c r="B236" s="1" t="n">
        <v>44474</v>
      </c>
      <c r="C236" s="1" t="n">
        <v>45705</v>
      </c>
      <c r="D236" t="inlineStr">
        <is>
          <t>UPPSALA LÄN</t>
        </is>
      </c>
      <c r="E236" t="inlineStr">
        <is>
          <t>ÖSTHAMMAR</t>
        </is>
      </c>
      <c r="F236" t="inlineStr">
        <is>
          <t>Bergvik skog öst AB</t>
        </is>
      </c>
      <c r="G236" t="n">
        <v>6.5</v>
      </c>
      <c r="H236" t="n">
        <v>1</v>
      </c>
      <c r="I236" t="n">
        <v>2</v>
      </c>
      <c r="J236" t="n">
        <v>0</v>
      </c>
      <c r="K236" t="n">
        <v>0</v>
      </c>
      <c r="L236" t="n">
        <v>0</v>
      </c>
      <c r="M236" t="n">
        <v>0</v>
      </c>
      <c r="N236" t="n">
        <v>0</v>
      </c>
      <c r="O236" t="n">
        <v>0</v>
      </c>
      <c r="P236" t="n">
        <v>0</v>
      </c>
      <c r="Q236" t="n">
        <v>3</v>
      </c>
      <c r="R236" s="2" t="inlineStr">
        <is>
          <t>Svart trolldruva
Tibast
Blåsippa</t>
        </is>
      </c>
      <c r="S236">
        <f>HYPERLINK("https://klasma.github.io/Logging_0382/artfynd/A 55051-2021 artfynd.xlsx", "A 55051-2021")</f>
        <v/>
      </c>
      <c r="T236">
        <f>HYPERLINK("https://klasma.github.io/Logging_0382/kartor/A 55051-2021 karta.png", "A 55051-2021")</f>
        <v/>
      </c>
      <c r="V236">
        <f>HYPERLINK("https://klasma.github.io/Logging_0382/klagomål/A 55051-2021 FSC-klagomål.docx", "A 55051-2021")</f>
        <v/>
      </c>
      <c r="W236">
        <f>HYPERLINK("https://klasma.github.io/Logging_0382/klagomålsmail/A 55051-2021 FSC-klagomål mail.docx", "A 55051-2021")</f>
        <v/>
      </c>
      <c r="X236">
        <f>HYPERLINK("https://klasma.github.io/Logging_0382/tillsyn/A 55051-2021 tillsynsbegäran.docx", "A 55051-2021")</f>
        <v/>
      </c>
      <c r="Y236">
        <f>HYPERLINK("https://klasma.github.io/Logging_0382/tillsynsmail/A 55051-2021 tillsynsbegäran mail.docx", "A 55051-2021")</f>
        <v/>
      </c>
    </row>
    <row r="237" ht="15" customHeight="1">
      <c r="A237" t="inlineStr">
        <is>
          <t>A 60038-2021</t>
        </is>
      </c>
      <c r="B237" s="1" t="n">
        <v>44495</v>
      </c>
      <c r="C237" s="1" t="n">
        <v>45705</v>
      </c>
      <c r="D237" t="inlineStr">
        <is>
          <t>UPPSALA LÄN</t>
        </is>
      </c>
      <c r="E237" t="inlineStr">
        <is>
          <t>UPPSALA</t>
        </is>
      </c>
      <c r="G237" t="n">
        <v>1.2</v>
      </c>
      <c r="H237" t="n">
        <v>1</v>
      </c>
      <c r="I237" t="n">
        <v>0</v>
      </c>
      <c r="J237" t="n">
        <v>1</v>
      </c>
      <c r="K237" t="n">
        <v>1</v>
      </c>
      <c r="L237" t="n">
        <v>0</v>
      </c>
      <c r="M237" t="n">
        <v>0</v>
      </c>
      <c r="N237" t="n">
        <v>0</v>
      </c>
      <c r="O237" t="n">
        <v>2</v>
      </c>
      <c r="P237" t="n">
        <v>1</v>
      </c>
      <c r="Q237" t="n">
        <v>3</v>
      </c>
      <c r="R237" s="2" t="inlineStr">
        <is>
          <t>Rynkskinn
Ullticka
Blåsippa</t>
        </is>
      </c>
      <c r="S237">
        <f>HYPERLINK("https://klasma.github.io/Logging_0380/artfynd/A 60038-2021 artfynd.xlsx", "A 60038-2021")</f>
        <v/>
      </c>
      <c r="T237">
        <f>HYPERLINK("https://klasma.github.io/Logging_0380/kartor/A 60038-2021 karta.png", "A 60038-2021")</f>
        <v/>
      </c>
      <c r="V237">
        <f>HYPERLINK("https://klasma.github.io/Logging_0380/klagomål/A 60038-2021 FSC-klagomål.docx", "A 60038-2021")</f>
        <v/>
      </c>
      <c r="W237">
        <f>HYPERLINK("https://klasma.github.io/Logging_0380/klagomålsmail/A 60038-2021 FSC-klagomål mail.docx", "A 60038-2021")</f>
        <v/>
      </c>
      <c r="X237">
        <f>HYPERLINK("https://klasma.github.io/Logging_0380/tillsyn/A 60038-2021 tillsynsbegäran.docx", "A 60038-2021")</f>
        <v/>
      </c>
      <c r="Y237">
        <f>HYPERLINK("https://klasma.github.io/Logging_0380/tillsynsmail/A 60038-2021 tillsynsbegäran mail.docx", "A 60038-2021")</f>
        <v/>
      </c>
    </row>
    <row r="238" ht="15" customHeight="1">
      <c r="A238" t="inlineStr">
        <is>
          <t>A 69515-2021</t>
        </is>
      </c>
      <c r="B238" s="1" t="n">
        <v>44531</v>
      </c>
      <c r="C238" s="1" t="n">
        <v>45705</v>
      </c>
      <c r="D238" t="inlineStr">
        <is>
          <t>UPPSALA LÄN</t>
        </is>
      </c>
      <c r="E238" t="inlineStr">
        <is>
          <t>ÖSTHAMMAR</t>
        </is>
      </c>
      <c r="G238" t="n">
        <v>7</v>
      </c>
      <c r="H238" t="n">
        <v>1</v>
      </c>
      <c r="I238" t="n">
        <v>2</v>
      </c>
      <c r="J238" t="n">
        <v>0</v>
      </c>
      <c r="K238" t="n">
        <v>0</v>
      </c>
      <c r="L238" t="n">
        <v>0</v>
      </c>
      <c r="M238" t="n">
        <v>0</v>
      </c>
      <c r="N238" t="n">
        <v>0</v>
      </c>
      <c r="O238" t="n">
        <v>0</v>
      </c>
      <c r="P238" t="n">
        <v>0</v>
      </c>
      <c r="Q238" t="n">
        <v>3</v>
      </c>
      <c r="R238" s="2" t="inlineStr">
        <is>
          <t>Svart trolldruva
Underviol
Revlummer</t>
        </is>
      </c>
      <c r="S238">
        <f>HYPERLINK("https://klasma.github.io/Logging_0382/artfynd/A 69515-2021 artfynd.xlsx", "A 69515-2021")</f>
        <v/>
      </c>
      <c r="T238">
        <f>HYPERLINK("https://klasma.github.io/Logging_0382/kartor/A 69515-2021 karta.png", "A 69515-2021")</f>
        <v/>
      </c>
      <c r="V238">
        <f>HYPERLINK("https://klasma.github.io/Logging_0382/klagomål/A 69515-2021 FSC-klagomål.docx", "A 69515-2021")</f>
        <v/>
      </c>
      <c r="W238">
        <f>HYPERLINK("https://klasma.github.io/Logging_0382/klagomålsmail/A 69515-2021 FSC-klagomål mail.docx", "A 69515-2021")</f>
        <v/>
      </c>
      <c r="X238">
        <f>HYPERLINK("https://klasma.github.io/Logging_0382/tillsyn/A 69515-2021 tillsynsbegäran.docx", "A 69515-2021")</f>
        <v/>
      </c>
      <c r="Y238">
        <f>HYPERLINK("https://klasma.github.io/Logging_0382/tillsynsmail/A 69515-2021 tillsynsbegäran mail.docx", "A 69515-2021")</f>
        <v/>
      </c>
    </row>
    <row r="239" ht="15" customHeight="1">
      <c r="A239" t="inlineStr">
        <is>
          <t>A 73005-2021</t>
        </is>
      </c>
      <c r="B239" s="1" t="n">
        <v>44550</v>
      </c>
      <c r="C239" s="1" t="n">
        <v>45705</v>
      </c>
      <c r="D239" t="inlineStr">
        <is>
          <t>UPPSALA LÄN</t>
        </is>
      </c>
      <c r="E239" t="inlineStr">
        <is>
          <t>TIERP</t>
        </is>
      </c>
      <c r="F239" t="inlineStr">
        <is>
          <t>Bergvik skog väst AB</t>
        </is>
      </c>
      <c r="G239" t="n">
        <v>5.7</v>
      </c>
      <c r="H239" t="n">
        <v>0</v>
      </c>
      <c r="I239" t="n">
        <v>2</v>
      </c>
      <c r="J239" t="n">
        <v>1</v>
      </c>
      <c r="K239" t="n">
        <v>0</v>
      </c>
      <c r="L239" t="n">
        <v>0</v>
      </c>
      <c r="M239" t="n">
        <v>0</v>
      </c>
      <c r="N239" t="n">
        <v>0</v>
      </c>
      <c r="O239" t="n">
        <v>1</v>
      </c>
      <c r="P239" t="n">
        <v>0</v>
      </c>
      <c r="Q239" t="n">
        <v>3</v>
      </c>
      <c r="R239" s="2" t="inlineStr">
        <is>
          <t>Ekticka
Dvärghäxört
Jättesvampmal</t>
        </is>
      </c>
      <c r="S239">
        <f>HYPERLINK("https://klasma.github.io/Logging_0360/artfynd/A 73005-2021 artfynd.xlsx", "A 73005-2021")</f>
        <v/>
      </c>
      <c r="T239">
        <f>HYPERLINK("https://klasma.github.io/Logging_0360/kartor/A 73005-2021 karta.png", "A 73005-2021")</f>
        <v/>
      </c>
      <c r="V239">
        <f>HYPERLINK("https://klasma.github.io/Logging_0360/klagomål/A 73005-2021 FSC-klagomål.docx", "A 73005-2021")</f>
        <v/>
      </c>
      <c r="W239">
        <f>HYPERLINK("https://klasma.github.io/Logging_0360/klagomålsmail/A 73005-2021 FSC-klagomål mail.docx", "A 73005-2021")</f>
        <v/>
      </c>
      <c r="X239">
        <f>HYPERLINK("https://klasma.github.io/Logging_0360/tillsyn/A 73005-2021 tillsynsbegäran.docx", "A 73005-2021")</f>
        <v/>
      </c>
      <c r="Y239">
        <f>HYPERLINK("https://klasma.github.io/Logging_0360/tillsynsmail/A 73005-2021 tillsynsbegäran mail.docx", "A 73005-2021")</f>
        <v/>
      </c>
    </row>
    <row r="240" ht="15" customHeight="1">
      <c r="A240" t="inlineStr">
        <is>
          <t>A 73325-2021</t>
        </is>
      </c>
      <c r="B240" s="1" t="n">
        <v>44551</v>
      </c>
      <c r="C240" s="1" t="n">
        <v>45705</v>
      </c>
      <c r="D240" t="inlineStr">
        <is>
          <t>UPPSALA LÄN</t>
        </is>
      </c>
      <c r="E240" t="inlineStr">
        <is>
          <t>TIERP</t>
        </is>
      </c>
      <c r="G240" t="n">
        <v>3.7</v>
      </c>
      <c r="H240" t="n">
        <v>0</v>
      </c>
      <c r="I240" t="n">
        <v>1</v>
      </c>
      <c r="J240" t="n">
        <v>1</v>
      </c>
      <c r="K240" t="n">
        <v>1</v>
      </c>
      <c r="L240" t="n">
        <v>0</v>
      </c>
      <c r="M240" t="n">
        <v>0</v>
      </c>
      <c r="N240" t="n">
        <v>0</v>
      </c>
      <c r="O240" t="n">
        <v>2</v>
      </c>
      <c r="P240" t="n">
        <v>1</v>
      </c>
      <c r="Q240" t="n">
        <v>3</v>
      </c>
      <c r="R240" s="2" t="inlineStr">
        <is>
          <t>Taggfingersvamp
Äggspindling
Rödgul trumpetsvamp</t>
        </is>
      </c>
      <c r="S240">
        <f>HYPERLINK("https://klasma.github.io/Logging_0360/artfynd/A 73325-2021 artfynd.xlsx", "A 73325-2021")</f>
        <v/>
      </c>
      <c r="T240">
        <f>HYPERLINK("https://klasma.github.io/Logging_0360/kartor/A 73325-2021 karta.png", "A 73325-2021")</f>
        <v/>
      </c>
      <c r="V240">
        <f>HYPERLINK("https://klasma.github.io/Logging_0360/klagomål/A 73325-2021 FSC-klagomål.docx", "A 73325-2021")</f>
        <v/>
      </c>
      <c r="W240">
        <f>HYPERLINK("https://klasma.github.io/Logging_0360/klagomålsmail/A 73325-2021 FSC-klagomål mail.docx", "A 73325-2021")</f>
        <v/>
      </c>
      <c r="X240">
        <f>HYPERLINK("https://klasma.github.io/Logging_0360/tillsyn/A 73325-2021 tillsynsbegäran.docx", "A 73325-2021")</f>
        <v/>
      </c>
      <c r="Y240">
        <f>HYPERLINK("https://klasma.github.io/Logging_0360/tillsynsmail/A 73325-2021 tillsynsbegäran mail.docx", "A 73325-2021")</f>
        <v/>
      </c>
    </row>
    <row r="241" ht="15" customHeight="1">
      <c r="A241" t="inlineStr">
        <is>
          <t>A 2711-2022</t>
        </is>
      </c>
      <c r="B241" s="1" t="n">
        <v>44552</v>
      </c>
      <c r="C241" s="1" t="n">
        <v>45705</v>
      </c>
      <c r="D241" t="inlineStr">
        <is>
          <t>UPPSALA LÄN</t>
        </is>
      </c>
      <c r="E241" t="inlineStr">
        <is>
          <t>ENKÖPING</t>
        </is>
      </c>
      <c r="F241" t="inlineStr">
        <is>
          <t>Kommuner</t>
        </is>
      </c>
      <c r="G241" t="n">
        <v>2</v>
      </c>
      <c r="H241" t="n">
        <v>0</v>
      </c>
      <c r="I241" t="n">
        <v>2</v>
      </c>
      <c r="J241" t="n">
        <v>0</v>
      </c>
      <c r="K241" t="n">
        <v>1</v>
      </c>
      <c r="L241" t="n">
        <v>0</v>
      </c>
      <c r="M241" t="n">
        <v>0</v>
      </c>
      <c r="N241" t="n">
        <v>0</v>
      </c>
      <c r="O241" t="n">
        <v>1</v>
      </c>
      <c r="P241" t="n">
        <v>1</v>
      </c>
      <c r="Q241" t="n">
        <v>3</v>
      </c>
      <c r="R241" s="2" t="inlineStr">
        <is>
          <t>Grangråticka
Skarp dropptaggsvamp
Strimspindling</t>
        </is>
      </c>
      <c r="S241">
        <f>HYPERLINK("https://klasma.github.io/Logging_0381/artfynd/A 2711-2022 artfynd.xlsx", "A 2711-2022")</f>
        <v/>
      </c>
      <c r="T241">
        <f>HYPERLINK("https://klasma.github.io/Logging_0381/kartor/A 2711-2022 karta.png", "A 2711-2022")</f>
        <v/>
      </c>
      <c r="V241">
        <f>HYPERLINK("https://klasma.github.io/Logging_0381/klagomål/A 2711-2022 FSC-klagomål.docx", "A 2711-2022")</f>
        <v/>
      </c>
      <c r="W241">
        <f>HYPERLINK("https://klasma.github.io/Logging_0381/klagomålsmail/A 2711-2022 FSC-klagomål mail.docx", "A 2711-2022")</f>
        <v/>
      </c>
      <c r="X241">
        <f>HYPERLINK("https://klasma.github.io/Logging_0381/tillsyn/A 2711-2022 tillsynsbegäran.docx", "A 2711-2022")</f>
        <v/>
      </c>
      <c r="Y241">
        <f>HYPERLINK("https://klasma.github.io/Logging_0381/tillsynsmail/A 2711-2022 tillsynsbegäran mail.docx", "A 2711-2022")</f>
        <v/>
      </c>
    </row>
    <row r="242" ht="15" customHeight="1">
      <c r="A242" t="inlineStr">
        <is>
          <t>A 73903-2021</t>
        </is>
      </c>
      <c r="B242" s="1" t="n">
        <v>44552</v>
      </c>
      <c r="C242" s="1" t="n">
        <v>45705</v>
      </c>
      <c r="D242" t="inlineStr">
        <is>
          <t>UPPSALA LÄN</t>
        </is>
      </c>
      <c r="E242" t="inlineStr">
        <is>
          <t>ENKÖPING</t>
        </is>
      </c>
      <c r="F242" t="inlineStr">
        <is>
          <t>Kommuner</t>
        </is>
      </c>
      <c r="G242" t="n">
        <v>3.1</v>
      </c>
      <c r="H242" t="n">
        <v>0</v>
      </c>
      <c r="I242" t="n">
        <v>0</v>
      </c>
      <c r="J242" t="n">
        <v>2</v>
      </c>
      <c r="K242" t="n">
        <v>1</v>
      </c>
      <c r="L242" t="n">
        <v>0</v>
      </c>
      <c r="M242" t="n">
        <v>0</v>
      </c>
      <c r="N242" t="n">
        <v>0</v>
      </c>
      <c r="O242" t="n">
        <v>3</v>
      </c>
      <c r="P242" t="n">
        <v>1</v>
      </c>
      <c r="Q242" t="n">
        <v>3</v>
      </c>
      <c r="R242" s="2" t="inlineStr">
        <is>
          <t>Rynkskinn
Orange taggsvamp
Ullticka</t>
        </is>
      </c>
      <c r="S242">
        <f>HYPERLINK("https://klasma.github.io/Logging_0381/artfynd/A 73903-2021 artfynd.xlsx", "A 73903-2021")</f>
        <v/>
      </c>
      <c r="T242">
        <f>HYPERLINK("https://klasma.github.io/Logging_0381/kartor/A 73903-2021 karta.png", "A 73903-2021")</f>
        <v/>
      </c>
      <c r="V242">
        <f>HYPERLINK("https://klasma.github.io/Logging_0381/klagomål/A 73903-2021 FSC-klagomål.docx", "A 73903-2021")</f>
        <v/>
      </c>
      <c r="W242">
        <f>HYPERLINK("https://klasma.github.io/Logging_0381/klagomålsmail/A 73903-2021 FSC-klagomål mail.docx", "A 73903-2021")</f>
        <v/>
      </c>
      <c r="X242">
        <f>HYPERLINK("https://klasma.github.io/Logging_0381/tillsyn/A 73903-2021 tillsynsbegäran.docx", "A 73903-2021")</f>
        <v/>
      </c>
      <c r="Y242">
        <f>HYPERLINK("https://klasma.github.io/Logging_0381/tillsynsmail/A 73903-2021 tillsynsbegäran mail.docx", "A 73903-2021")</f>
        <v/>
      </c>
    </row>
    <row r="243" ht="15" customHeight="1">
      <c r="A243" t="inlineStr">
        <is>
          <t>A 14313-2022</t>
        </is>
      </c>
      <c r="B243" s="1" t="n">
        <v>44652</v>
      </c>
      <c r="C243" s="1" t="n">
        <v>45705</v>
      </c>
      <c r="D243" t="inlineStr">
        <is>
          <t>UPPSALA LÄN</t>
        </is>
      </c>
      <c r="E243" t="inlineStr">
        <is>
          <t>UPPSALA</t>
        </is>
      </c>
      <c r="F243" t="inlineStr">
        <is>
          <t>Holmen skog AB</t>
        </is>
      </c>
      <c r="G243" t="n">
        <v>1.7</v>
      </c>
      <c r="H243" t="n">
        <v>2</v>
      </c>
      <c r="I243" t="n">
        <v>1</v>
      </c>
      <c r="J243" t="n">
        <v>0</v>
      </c>
      <c r="K243" t="n">
        <v>0</v>
      </c>
      <c r="L243" t="n">
        <v>0</v>
      </c>
      <c r="M243" t="n">
        <v>0</v>
      </c>
      <c r="N243" t="n">
        <v>0</v>
      </c>
      <c r="O243" t="n">
        <v>0</v>
      </c>
      <c r="P243" t="n">
        <v>0</v>
      </c>
      <c r="Q243" t="n">
        <v>3</v>
      </c>
      <c r="R243" s="2" t="inlineStr">
        <is>
          <t>Vätteros
Blåsippa
Gullviva</t>
        </is>
      </c>
      <c r="S243">
        <f>HYPERLINK("https://klasma.github.io/Logging_0380/artfynd/A 14313-2022 artfynd.xlsx", "A 14313-2022")</f>
        <v/>
      </c>
      <c r="T243">
        <f>HYPERLINK("https://klasma.github.io/Logging_0380/kartor/A 14313-2022 karta.png", "A 14313-2022")</f>
        <v/>
      </c>
      <c r="V243">
        <f>HYPERLINK("https://klasma.github.io/Logging_0380/klagomål/A 14313-2022 FSC-klagomål.docx", "A 14313-2022")</f>
        <v/>
      </c>
      <c r="W243">
        <f>HYPERLINK("https://klasma.github.io/Logging_0380/klagomålsmail/A 14313-2022 FSC-klagomål mail.docx", "A 14313-2022")</f>
        <v/>
      </c>
      <c r="X243">
        <f>HYPERLINK("https://klasma.github.io/Logging_0380/tillsyn/A 14313-2022 tillsynsbegäran.docx", "A 14313-2022")</f>
        <v/>
      </c>
      <c r="Y243">
        <f>HYPERLINK("https://klasma.github.io/Logging_0380/tillsynsmail/A 14313-2022 tillsynsbegäran mail.docx", "A 14313-2022")</f>
        <v/>
      </c>
    </row>
    <row r="244" ht="15" customHeight="1">
      <c r="A244" t="inlineStr">
        <is>
          <t>A 15592-2022</t>
        </is>
      </c>
      <c r="B244" s="1" t="n">
        <v>44662</v>
      </c>
      <c r="C244" s="1" t="n">
        <v>45705</v>
      </c>
      <c r="D244" t="inlineStr">
        <is>
          <t>UPPSALA LÄN</t>
        </is>
      </c>
      <c r="E244" t="inlineStr">
        <is>
          <t>TIERP</t>
        </is>
      </c>
      <c r="F244" t="inlineStr">
        <is>
          <t>Bergvik skog väst AB</t>
        </is>
      </c>
      <c r="G244" t="n">
        <v>1.7</v>
      </c>
      <c r="H244" t="n">
        <v>2</v>
      </c>
      <c r="I244" t="n">
        <v>2</v>
      </c>
      <c r="J244" t="n">
        <v>0</v>
      </c>
      <c r="K244" t="n">
        <v>0</v>
      </c>
      <c r="L244" t="n">
        <v>0</v>
      </c>
      <c r="M244" t="n">
        <v>0</v>
      </c>
      <c r="N244" t="n">
        <v>0</v>
      </c>
      <c r="O244" t="n">
        <v>0</v>
      </c>
      <c r="P244" t="n">
        <v>0</v>
      </c>
      <c r="Q244" t="n">
        <v>3</v>
      </c>
      <c r="R244" s="2" t="inlineStr">
        <is>
          <t>Skogsknipprot
Tibast
Blåsippa</t>
        </is>
      </c>
      <c r="S244">
        <f>HYPERLINK("https://klasma.github.io/Logging_0360/artfynd/A 15592-2022 artfynd.xlsx", "A 15592-2022")</f>
        <v/>
      </c>
      <c r="T244">
        <f>HYPERLINK("https://klasma.github.io/Logging_0360/kartor/A 15592-2022 karta.png", "A 15592-2022")</f>
        <v/>
      </c>
      <c r="V244">
        <f>HYPERLINK("https://klasma.github.io/Logging_0360/klagomål/A 15592-2022 FSC-klagomål.docx", "A 15592-2022")</f>
        <v/>
      </c>
      <c r="W244">
        <f>HYPERLINK("https://klasma.github.io/Logging_0360/klagomålsmail/A 15592-2022 FSC-klagomål mail.docx", "A 15592-2022")</f>
        <v/>
      </c>
      <c r="X244">
        <f>HYPERLINK("https://klasma.github.io/Logging_0360/tillsyn/A 15592-2022 tillsynsbegäran.docx", "A 15592-2022")</f>
        <v/>
      </c>
      <c r="Y244">
        <f>HYPERLINK("https://klasma.github.io/Logging_0360/tillsynsmail/A 15592-2022 tillsynsbegäran mail.docx", "A 15592-2022")</f>
        <v/>
      </c>
    </row>
    <row r="245" ht="15" customHeight="1">
      <c r="A245" t="inlineStr">
        <is>
          <t>A 18079-2022</t>
        </is>
      </c>
      <c r="B245" s="1" t="n">
        <v>44684</v>
      </c>
      <c r="C245" s="1" t="n">
        <v>45705</v>
      </c>
      <c r="D245" t="inlineStr">
        <is>
          <t>UPPSALA LÄN</t>
        </is>
      </c>
      <c r="E245" t="inlineStr">
        <is>
          <t>UPPSALA</t>
        </is>
      </c>
      <c r="G245" t="n">
        <v>2</v>
      </c>
      <c r="H245" t="n">
        <v>0</v>
      </c>
      <c r="I245" t="n">
        <v>2</v>
      </c>
      <c r="J245" t="n">
        <v>0</v>
      </c>
      <c r="K245" t="n">
        <v>1</v>
      </c>
      <c r="L245" t="n">
        <v>0</v>
      </c>
      <c r="M245" t="n">
        <v>0</v>
      </c>
      <c r="N245" t="n">
        <v>0</v>
      </c>
      <c r="O245" t="n">
        <v>1</v>
      </c>
      <c r="P245" t="n">
        <v>1</v>
      </c>
      <c r="Q245" t="n">
        <v>3</v>
      </c>
      <c r="R245" s="2" t="inlineStr">
        <is>
          <t>Aspfjädermossa
Dvärgtufs
Skinnlav</t>
        </is>
      </c>
      <c r="S245">
        <f>HYPERLINK("https://klasma.github.io/Logging_0380/artfynd/A 18079-2022 artfynd.xlsx", "A 18079-2022")</f>
        <v/>
      </c>
      <c r="T245">
        <f>HYPERLINK("https://klasma.github.io/Logging_0380/kartor/A 18079-2022 karta.png", "A 18079-2022")</f>
        <v/>
      </c>
      <c r="V245">
        <f>HYPERLINK("https://klasma.github.io/Logging_0380/klagomål/A 18079-2022 FSC-klagomål.docx", "A 18079-2022")</f>
        <v/>
      </c>
      <c r="W245">
        <f>HYPERLINK("https://klasma.github.io/Logging_0380/klagomålsmail/A 18079-2022 FSC-klagomål mail.docx", "A 18079-2022")</f>
        <v/>
      </c>
      <c r="X245">
        <f>HYPERLINK("https://klasma.github.io/Logging_0380/tillsyn/A 18079-2022 tillsynsbegäran.docx", "A 18079-2022")</f>
        <v/>
      </c>
      <c r="Y245">
        <f>HYPERLINK("https://klasma.github.io/Logging_0380/tillsynsmail/A 18079-2022 tillsynsbegäran mail.docx", "A 18079-2022")</f>
        <v/>
      </c>
    </row>
    <row r="246" ht="15" customHeight="1">
      <c r="A246" t="inlineStr">
        <is>
          <t>A 19373-2022</t>
        </is>
      </c>
      <c r="B246" s="1" t="n">
        <v>44692</v>
      </c>
      <c r="C246" s="1" t="n">
        <v>45705</v>
      </c>
      <c r="D246" t="inlineStr">
        <is>
          <t>UPPSALA LÄN</t>
        </is>
      </c>
      <c r="E246" t="inlineStr">
        <is>
          <t>UPPSALA</t>
        </is>
      </c>
      <c r="F246" t="inlineStr">
        <is>
          <t>Bergvik skog öst AB</t>
        </is>
      </c>
      <c r="G246" t="n">
        <v>12.2</v>
      </c>
      <c r="H246" t="n">
        <v>1</v>
      </c>
      <c r="I246" t="n">
        <v>1</v>
      </c>
      <c r="J246" t="n">
        <v>0</v>
      </c>
      <c r="K246" t="n">
        <v>0</v>
      </c>
      <c r="L246" t="n">
        <v>1</v>
      </c>
      <c r="M246" t="n">
        <v>0</v>
      </c>
      <c r="N246" t="n">
        <v>0</v>
      </c>
      <c r="O246" t="n">
        <v>1</v>
      </c>
      <c r="P246" t="n">
        <v>1</v>
      </c>
      <c r="Q246" t="n">
        <v>3</v>
      </c>
      <c r="R246" s="2" t="inlineStr">
        <is>
          <t>Ask
Sårläka
Blåsippa</t>
        </is>
      </c>
      <c r="S246">
        <f>HYPERLINK("https://klasma.github.io/Logging_0380/artfynd/A 19373-2022 artfynd.xlsx", "A 19373-2022")</f>
        <v/>
      </c>
      <c r="T246">
        <f>HYPERLINK("https://klasma.github.io/Logging_0380/kartor/A 19373-2022 karta.png", "A 19373-2022")</f>
        <v/>
      </c>
      <c r="V246">
        <f>HYPERLINK("https://klasma.github.io/Logging_0380/klagomål/A 19373-2022 FSC-klagomål.docx", "A 19373-2022")</f>
        <v/>
      </c>
      <c r="W246">
        <f>HYPERLINK("https://klasma.github.io/Logging_0380/klagomålsmail/A 19373-2022 FSC-klagomål mail.docx", "A 19373-2022")</f>
        <v/>
      </c>
      <c r="X246">
        <f>HYPERLINK("https://klasma.github.io/Logging_0380/tillsyn/A 19373-2022 tillsynsbegäran.docx", "A 19373-2022")</f>
        <v/>
      </c>
      <c r="Y246">
        <f>HYPERLINK("https://klasma.github.io/Logging_0380/tillsynsmail/A 19373-2022 tillsynsbegäran mail.docx", "A 19373-2022")</f>
        <v/>
      </c>
    </row>
    <row r="247" ht="15" customHeight="1">
      <c r="A247" t="inlineStr">
        <is>
          <t>A 19960-2022</t>
        </is>
      </c>
      <c r="B247" s="1" t="n">
        <v>44697</v>
      </c>
      <c r="C247" s="1" t="n">
        <v>45705</v>
      </c>
      <c r="D247" t="inlineStr">
        <is>
          <t>UPPSALA LÄN</t>
        </is>
      </c>
      <c r="E247" t="inlineStr">
        <is>
          <t>ENKÖPING</t>
        </is>
      </c>
      <c r="G247" t="n">
        <v>3.7</v>
      </c>
      <c r="H247" t="n">
        <v>1</v>
      </c>
      <c r="I247" t="n">
        <v>0</v>
      </c>
      <c r="J247" t="n">
        <v>2</v>
      </c>
      <c r="K247" t="n">
        <v>0</v>
      </c>
      <c r="L247" t="n">
        <v>0</v>
      </c>
      <c r="M247" t="n">
        <v>0</v>
      </c>
      <c r="N247" t="n">
        <v>0</v>
      </c>
      <c r="O247" t="n">
        <v>2</v>
      </c>
      <c r="P247" t="n">
        <v>0</v>
      </c>
      <c r="Q247" t="n">
        <v>3</v>
      </c>
      <c r="R247" s="2" t="inlineStr">
        <is>
          <t>Ullticka
Vedtrappmossa
Blåsippa</t>
        </is>
      </c>
      <c r="S247">
        <f>HYPERLINK("https://klasma.github.io/Logging_0381/artfynd/A 19960-2022 artfynd.xlsx", "A 19960-2022")</f>
        <v/>
      </c>
      <c r="T247">
        <f>HYPERLINK("https://klasma.github.io/Logging_0381/kartor/A 19960-2022 karta.png", "A 19960-2022")</f>
        <v/>
      </c>
      <c r="V247">
        <f>HYPERLINK("https://klasma.github.io/Logging_0381/klagomål/A 19960-2022 FSC-klagomål.docx", "A 19960-2022")</f>
        <v/>
      </c>
      <c r="W247">
        <f>HYPERLINK("https://klasma.github.io/Logging_0381/klagomålsmail/A 19960-2022 FSC-klagomål mail.docx", "A 19960-2022")</f>
        <v/>
      </c>
      <c r="X247">
        <f>HYPERLINK("https://klasma.github.io/Logging_0381/tillsyn/A 19960-2022 tillsynsbegäran.docx", "A 19960-2022")</f>
        <v/>
      </c>
      <c r="Y247">
        <f>HYPERLINK("https://klasma.github.io/Logging_0381/tillsynsmail/A 19960-2022 tillsynsbegäran mail.docx", "A 19960-2022")</f>
        <v/>
      </c>
    </row>
    <row r="248" ht="15" customHeight="1">
      <c r="A248" t="inlineStr">
        <is>
          <t>A 26557-2022</t>
        </is>
      </c>
      <c r="B248" s="1" t="n">
        <v>44739</v>
      </c>
      <c r="C248" s="1" t="n">
        <v>45705</v>
      </c>
      <c r="D248" t="inlineStr">
        <is>
          <t>UPPSALA LÄN</t>
        </is>
      </c>
      <c r="E248" t="inlineStr">
        <is>
          <t>ÖSTHAMMAR</t>
        </is>
      </c>
      <c r="F248" t="inlineStr">
        <is>
          <t>Övriga statliga verk och myndigheter</t>
        </is>
      </c>
      <c r="G248" t="n">
        <v>1.7</v>
      </c>
      <c r="H248" t="n">
        <v>3</v>
      </c>
      <c r="I248" t="n">
        <v>0</v>
      </c>
      <c r="J248" t="n">
        <v>3</v>
      </c>
      <c r="K248" t="n">
        <v>0</v>
      </c>
      <c r="L248" t="n">
        <v>0</v>
      </c>
      <c r="M248" t="n">
        <v>0</v>
      </c>
      <c r="N248" t="n">
        <v>0</v>
      </c>
      <c r="O248" t="n">
        <v>3</v>
      </c>
      <c r="P248" t="n">
        <v>0</v>
      </c>
      <c r="Q248" t="n">
        <v>3</v>
      </c>
      <c r="R248" s="2" t="inlineStr">
        <is>
          <t>Järpe
Mindre hackspett
Spillkråka</t>
        </is>
      </c>
      <c r="S248">
        <f>HYPERLINK("https://klasma.github.io/Logging_0382/artfynd/A 26557-2022 artfynd.xlsx", "A 26557-2022")</f>
        <v/>
      </c>
      <c r="T248">
        <f>HYPERLINK("https://klasma.github.io/Logging_0382/kartor/A 26557-2022 karta.png", "A 26557-2022")</f>
        <v/>
      </c>
      <c r="V248">
        <f>HYPERLINK("https://klasma.github.io/Logging_0382/klagomål/A 26557-2022 FSC-klagomål.docx", "A 26557-2022")</f>
        <v/>
      </c>
      <c r="W248">
        <f>HYPERLINK("https://klasma.github.io/Logging_0382/klagomålsmail/A 26557-2022 FSC-klagomål mail.docx", "A 26557-2022")</f>
        <v/>
      </c>
      <c r="X248">
        <f>HYPERLINK("https://klasma.github.io/Logging_0382/tillsyn/A 26557-2022 tillsynsbegäran.docx", "A 26557-2022")</f>
        <v/>
      </c>
      <c r="Y248">
        <f>HYPERLINK("https://klasma.github.io/Logging_0382/tillsynsmail/A 26557-2022 tillsynsbegäran mail.docx", "A 26557-2022")</f>
        <v/>
      </c>
      <c r="Z248">
        <f>HYPERLINK("https://klasma.github.io/Logging_0382/fåglar/A 26557-2022 prioriterade fågelarter.docx", "A 26557-2022")</f>
        <v/>
      </c>
    </row>
    <row r="249" ht="15" customHeight="1">
      <c r="A249" t="inlineStr">
        <is>
          <t>A 34147-2022</t>
        </is>
      </c>
      <c r="B249" s="1" t="n">
        <v>44791</v>
      </c>
      <c r="C249" s="1" t="n">
        <v>45705</v>
      </c>
      <c r="D249" t="inlineStr">
        <is>
          <t>UPPSALA LÄN</t>
        </is>
      </c>
      <c r="E249" t="inlineStr">
        <is>
          <t>UPPSALA</t>
        </is>
      </c>
      <c r="G249" t="n">
        <v>1.9</v>
      </c>
      <c r="H249" t="n">
        <v>0</v>
      </c>
      <c r="I249" t="n">
        <v>2</v>
      </c>
      <c r="J249" t="n">
        <v>1</v>
      </c>
      <c r="K249" t="n">
        <v>0</v>
      </c>
      <c r="L249" t="n">
        <v>0</v>
      </c>
      <c r="M249" t="n">
        <v>0</v>
      </c>
      <c r="N249" t="n">
        <v>0</v>
      </c>
      <c r="O249" t="n">
        <v>1</v>
      </c>
      <c r="P249" t="n">
        <v>0</v>
      </c>
      <c r="Q249" t="n">
        <v>3</v>
      </c>
      <c r="R249" s="2" t="inlineStr">
        <is>
          <t>Granticka
Kamjordstjärna
Stor aspticka</t>
        </is>
      </c>
      <c r="S249">
        <f>HYPERLINK("https://klasma.github.io/Logging_0380/artfynd/A 34147-2022 artfynd.xlsx", "A 34147-2022")</f>
        <v/>
      </c>
      <c r="T249">
        <f>HYPERLINK("https://klasma.github.io/Logging_0380/kartor/A 34147-2022 karta.png", "A 34147-2022")</f>
        <v/>
      </c>
      <c r="V249">
        <f>HYPERLINK("https://klasma.github.io/Logging_0380/klagomål/A 34147-2022 FSC-klagomål.docx", "A 34147-2022")</f>
        <v/>
      </c>
      <c r="W249">
        <f>HYPERLINK("https://klasma.github.io/Logging_0380/klagomålsmail/A 34147-2022 FSC-klagomål mail.docx", "A 34147-2022")</f>
        <v/>
      </c>
      <c r="X249">
        <f>HYPERLINK("https://klasma.github.io/Logging_0380/tillsyn/A 34147-2022 tillsynsbegäran.docx", "A 34147-2022")</f>
        <v/>
      </c>
      <c r="Y249">
        <f>HYPERLINK("https://klasma.github.io/Logging_0380/tillsynsmail/A 34147-2022 tillsynsbegäran mail.docx", "A 34147-2022")</f>
        <v/>
      </c>
    </row>
    <row r="250" ht="15" customHeight="1">
      <c r="A250" t="inlineStr">
        <is>
          <t>A 36471-2022</t>
        </is>
      </c>
      <c r="B250" s="1" t="n">
        <v>44804</v>
      </c>
      <c r="C250" s="1" t="n">
        <v>45705</v>
      </c>
      <c r="D250" t="inlineStr">
        <is>
          <t>UPPSALA LÄN</t>
        </is>
      </c>
      <c r="E250" t="inlineStr">
        <is>
          <t>UPPSALA</t>
        </is>
      </c>
      <c r="G250" t="n">
        <v>4.2</v>
      </c>
      <c r="H250" t="n">
        <v>0</v>
      </c>
      <c r="I250" t="n">
        <v>3</v>
      </c>
      <c r="J250" t="n">
        <v>0</v>
      </c>
      <c r="K250" t="n">
        <v>0</v>
      </c>
      <c r="L250" t="n">
        <v>0</v>
      </c>
      <c r="M250" t="n">
        <v>0</v>
      </c>
      <c r="N250" t="n">
        <v>0</v>
      </c>
      <c r="O250" t="n">
        <v>0</v>
      </c>
      <c r="P250" t="n">
        <v>0</v>
      </c>
      <c r="Q250" t="n">
        <v>3</v>
      </c>
      <c r="R250" s="2" t="inlineStr">
        <is>
          <t>Bronshjon
Spindelbock
Stor aspticka</t>
        </is>
      </c>
      <c r="S250">
        <f>HYPERLINK("https://klasma.github.io/Logging_0380/artfynd/A 36471-2022 artfynd.xlsx", "A 36471-2022")</f>
        <v/>
      </c>
      <c r="T250">
        <f>HYPERLINK("https://klasma.github.io/Logging_0380/kartor/A 36471-2022 karta.png", "A 36471-2022")</f>
        <v/>
      </c>
      <c r="V250">
        <f>HYPERLINK("https://klasma.github.io/Logging_0380/klagomål/A 36471-2022 FSC-klagomål.docx", "A 36471-2022")</f>
        <v/>
      </c>
      <c r="W250">
        <f>HYPERLINK("https://klasma.github.io/Logging_0380/klagomålsmail/A 36471-2022 FSC-klagomål mail.docx", "A 36471-2022")</f>
        <v/>
      </c>
      <c r="X250">
        <f>HYPERLINK("https://klasma.github.io/Logging_0380/tillsyn/A 36471-2022 tillsynsbegäran.docx", "A 36471-2022")</f>
        <v/>
      </c>
      <c r="Y250">
        <f>HYPERLINK("https://klasma.github.io/Logging_0380/tillsynsmail/A 36471-2022 tillsynsbegäran mail.docx", "A 36471-2022")</f>
        <v/>
      </c>
    </row>
    <row r="251" ht="15" customHeight="1">
      <c r="A251" t="inlineStr">
        <is>
          <t>A 52951-2022</t>
        </is>
      </c>
      <c r="B251" s="1" t="n">
        <v>44875</v>
      </c>
      <c r="C251" s="1" t="n">
        <v>45705</v>
      </c>
      <c r="D251" t="inlineStr">
        <is>
          <t>UPPSALA LÄN</t>
        </is>
      </c>
      <c r="E251" t="inlineStr">
        <is>
          <t>TIERP</t>
        </is>
      </c>
      <c r="F251" t="inlineStr">
        <is>
          <t>Bergvik skog öst AB</t>
        </is>
      </c>
      <c r="G251" t="n">
        <v>13.5</v>
      </c>
      <c r="H251" t="n">
        <v>0</v>
      </c>
      <c r="I251" t="n">
        <v>3</v>
      </c>
      <c r="J251" t="n">
        <v>0</v>
      </c>
      <c r="K251" t="n">
        <v>0</v>
      </c>
      <c r="L251" t="n">
        <v>0</v>
      </c>
      <c r="M251" t="n">
        <v>0</v>
      </c>
      <c r="N251" t="n">
        <v>0</v>
      </c>
      <c r="O251" t="n">
        <v>0</v>
      </c>
      <c r="P251" t="n">
        <v>0</v>
      </c>
      <c r="Q251" t="n">
        <v>3</v>
      </c>
      <c r="R251" s="2" t="inlineStr">
        <is>
          <t>Myskmadra
Rödgul trumpetsvamp
Sårläka</t>
        </is>
      </c>
      <c r="S251">
        <f>HYPERLINK("https://klasma.github.io/Logging_0360/artfynd/A 52951-2022 artfynd.xlsx", "A 52951-2022")</f>
        <v/>
      </c>
      <c r="T251">
        <f>HYPERLINK("https://klasma.github.io/Logging_0360/kartor/A 52951-2022 karta.png", "A 52951-2022")</f>
        <v/>
      </c>
      <c r="V251">
        <f>HYPERLINK("https://klasma.github.io/Logging_0360/klagomål/A 52951-2022 FSC-klagomål.docx", "A 52951-2022")</f>
        <v/>
      </c>
      <c r="W251">
        <f>HYPERLINK("https://klasma.github.io/Logging_0360/klagomålsmail/A 52951-2022 FSC-klagomål mail.docx", "A 52951-2022")</f>
        <v/>
      </c>
      <c r="X251">
        <f>HYPERLINK("https://klasma.github.io/Logging_0360/tillsyn/A 52951-2022 tillsynsbegäran.docx", "A 52951-2022")</f>
        <v/>
      </c>
      <c r="Y251">
        <f>HYPERLINK("https://klasma.github.io/Logging_0360/tillsynsmail/A 52951-2022 tillsynsbegäran mail.docx", "A 52951-2022")</f>
        <v/>
      </c>
    </row>
    <row r="252" ht="15" customHeight="1">
      <c r="A252" t="inlineStr">
        <is>
          <t>A 52808-2022</t>
        </is>
      </c>
      <c r="B252" s="1" t="n">
        <v>44875</v>
      </c>
      <c r="C252" s="1" t="n">
        <v>45705</v>
      </c>
      <c r="D252" t="inlineStr">
        <is>
          <t>UPPSALA LÄN</t>
        </is>
      </c>
      <c r="E252" t="inlineStr">
        <is>
          <t>ÖSTHAMMAR</t>
        </is>
      </c>
      <c r="G252" t="n">
        <v>4.8</v>
      </c>
      <c r="H252" t="n">
        <v>2</v>
      </c>
      <c r="I252" t="n">
        <v>2</v>
      </c>
      <c r="J252" t="n">
        <v>0</v>
      </c>
      <c r="K252" t="n">
        <v>0</v>
      </c>
      <c r="L252" t="n">
        <v>0</v>
      </c>
      <c r="M252" t="n">
        <v>0</v>
      </c>
      <c r="N252" t="n">
        <v>0</v>
      </c>
      <c r="O252" t="n">
        <v>0</v>
      </c>
      <c r="P252" t="n">
        <v>0</v>
      </c>
      <c r="Q252" t="n">
        <v>3</v>
      </c>
      <c r="R252" s="2" t="inlineStr">
        <is>
          <t>Tibast
Tvåblad
Revlummer</t>
        </is>
      </c>
      <c r="S252">
        <f>HYPERLINK("https://klasma.github.io/Logging_0382/artfynd/A 52808-2022 artfynd.xlsx", "A 52808-2022")</f>
        <v/>
      </c>
      <c r="T252">
        <f>HYPERLINK("https://klasma.github.io/Logging_0382/kartor/A 52808-2022 karta.png", "A 52808-2022")</f>
        <v/>
      </c>
      <c r="V252">
        <f>HYPERLINK("https://klasma.github.io/Logging_0382/klagomål/A 52808-2022 FSC-klagomål.docx", "A 52808-2022")</f>
        <v/>
      </c>
      <c r="W252">
        <f>HYPERLINK("https://klasma.github.io/Logging_0382/klagomålsmail/A 52808-2022 FSC-klagomål mail.docx", "A 52808-2022")</f>
        <v/>
      </c>
      <c r="X252">
        <f>HYPERLINK("https://klasma.github.io/Logging_0382/tillsyn/A 52808-2022 tillsynsbegäran.docx", "A 52808-2022")</f>
        <v/>
      </c>
      <c r="Y252">
        <f>HYPERLINK("https://klasma.github.io/Logging_0382/tillsynsmail/A 52808-2022 tillsynsbegäran mail.docx", "A 52808-2022")</f>
        <v/>
      </c>
    </row>
    <row r="253" ht="15" customHeight="1">
      <c r="A253" t="inlineStr">
        <is>
          <t>A 4586-2023</t>
        </is>
      </c>
      <c r="B253" s="1" t="n">
        <v>44956</v>
      </c>
      <c r="C253" s="1" t="n">
        <v>45705</v>
      </c>
      <c r="D253" t="inlineStr">
        <is>
          <t>UPPSALA LÄN</t>
        </is>
      </c>
      <c r="E253" t="inlineStr">
        <is>
          <t>UPPSALA</t>
        </is>
      </c>
      <c r="G253" t="n">
        <v>12.2</v>
      </c>
      <c r="H253" t="n">
        <v>1</v>
      </c>
      <c r="I253" t="n">
        <v>2</v>
      </c>
      <c r="J253" t="n">
        <v>0</v>
      </c>
      <c r="K253" t="n">
        <v>0</v>
      </c>
      <c r="L253" t="n">
        <v>0</v>
      </c>
      <c r="M253" t="n">
        <v>0</v>
      </c>
      <c r="N253" t="n">
        <v>0</v>
      </c>
      <c r="O253" t="n">
        <v>0</v>
      </c>
      <c r="P253" t="n">
        <v>0</v>
      </c>
      <c r="Q253" t="n">
        <v>3</v>
      </c>
      <c r="R253" s="2" t="inlineStr">
        <is>
          <t>Barkticka
Vedticka
Vanlig padda</t>
        </is>
      </c>
      <c r="S253">
        <f>HYPERLINK("https://klasma.github.io/Logging_0380/artfynd/A 4586-2023 artfynd.xlsx", "A 4586-2023")</f>
        <v/>
      </c>
      <c r="T253">
        <f>HYPERLINK("https://klasma.github.io/Logging_0380/kartor/A 4586-2023 karta.png", "A 4586-2023")</f>
        <v/>
      </c>
      <c r="V253">
        <f>HYPERLINK("https://klasma.github.io/Logging_0380/klagomål/A 4586-2023 FSC-klagomål.docx", "A 4586-2023")</f>
        <v/>
      </c>
      <c r="W253">
        <f>HYPERLINK("https://klasma.github.io/Logging_0380/klagomålsmail/A 4586-2023 FSC-klagomål mail.docx", "A 4586-2023")</f>
        <v/>
      </c>
      <c r="X253">
        <f>HYPERLINK("https://klasma.github.io/Logging_0380/tillsyn/A 4586-2023 tillsynsbegäran.docx", "A 4586-2023")</f>
        <v/>
      </c>
      <c r="Y253">
        <f>HYPERLINK("https://klasma.github.io/Logging_0380/tillsynsmail/A 4586-2023 tillsynsbegäran mail.docx", "A 4586-2023")</f>
        <v/>
      </c>
    </row>
    <row r="254" ht="15" customHeight="1">
      <c r="A254" t="inlineStr">
        <is>
          <t>A 7366-2023</t>
        </is>
      </c>
      <c r="B254" s="1" t="n">
        <v>44966</v>
      </c>
      <c r="C254" s="1" t="n">
        <v>45705</v>
      </c>
      <c r="D254" t="inlineStr">
        <is>
          <t>UPPSALA LÄN</t>
        </is>
      </c>
      <c r="E254" t="inlineStr">
        <is>
          <t>TIERP</t>
        </is>
      </c>
      <c r="G254" t="n">
        <v>10.3</v>
      </c>
      <c r="H254" t="n">
        <v>2</v>
      </c>
      <c r="I254" t="n">
        <v>1</v>
      </c>
      <c r="J254" t="n">
        <v>0</v>
      </c>
      <c r="K254" t="n">
        <v>1</v>
      </c>
      <c r="L254" t="n">
        <v>0</v>
      </c>
      <c r="M254" t="n">
        <v>0</v>
      </c>
      <c r="N254" t="n">
        <v>0</v>
      </c>
      <c r="O254" t="n">
        <v>1</v>
      </c>
      <c r="P254" t="n">
        <v>1</v>
      </c>
      <c r="Q254" t="n">
        <v>3</v>
      </c>
      <c r="R254" s="2" t="inlineStr">
        <is>
          <t>Knärot
Grönpyrola
Revlummer</t>
        </is>
      </c>
      <c r="S254">
        <f>HYPERLINK("https://klasma.github.io/Logging_0360/artfynd/A 7366-2023 artfynd.xlsx", "A 7366-2023")</f>
        <v/>
      </c>
      <c r="T254">
        <f>HYPERLINK("https://klasma.github.io/Logging_0360/kartor/A 7366-2023 karta.png", "A 7366-2023")</f>
        <v/>
      </c>
      <c r="U254">
        <f>HYPERLINK("https://klasma.github.io/Logging_0360/knärot/A 7366-2023 karta knärot.png", "A 7366-2023")</f>
        <v/>
      </c>
      <c r="V254">
        <f>HYPERLINK("https://klasma.github.io/Logging_0360/klagomål/A 7366-2023 FSC-klagomål.docx", "A 7366-2023")</f>
        <v/>
      </c>
      <c r="W254">
        <f>HYPERLINK("https://klasma.github.io/Logging_0360/klagomålsmail/A 7366-2023 FSC-klagomål mail.docx", "A 7366-2023")</f>
        <v/>
      </c>
      <c r="X254">
        <f>HYPERLINK("https://klasma.github.io/Logging_0360/tillsyn/A 7366-2023 tillsynsbegäran.docx", "A 7366-2023")</f>
        <v/>
      </c>
      <c r="Y254">
        <f>HYPERLINK("https://klasma.github.io/Logging_0360/tillsynsmail/A 7366-2023 tillsynsbegäran mail.docx", "A 7366-2023")</f>
        <v/>
      </c>
    </row>
    <row r="255" ht="15" customHeight="1">
      <c r="A255" t="inlineStr">
        <is>
          <t>A 7309-2023</t>
        </is>
      </c>
      <c r="B255" s="1" t="n">
        <v>44970</v>
      </c>
      <c r="C255" s="1" t="n">
        <v>45705</v>
      </c>
      <c r="D255" t="inlineStr">
        <is>
          <t>UPPSALA LÄN</t>
        </is>
      </c>
      <c r="E255" t="inlineStr">
        <is>
          <t>TIERP</t>
        </is>
      </c>
      <c r="F255" t="inlineStr">
        <is>
          <t>Bergvik skog öst AB</t>
        </is>
      </c>
      <c r="G255" t="n">
        <v>13.7</v>
      </c>
      <c r="H255" t="n">
        <v>3</v>
      </c>
      <c r="I255" t="n">
        <v>1</v>
      </c>
      <c r="J255" t="n">
        <v>0</v>
      </c>
      <c r="K255" t="n">
        <v>0</v>
      </c>
      <c r="L255" t="n">
        <v>0</v>
      </c>
      <c r="M255" t="n">
        <v>0</v>
      </c>
      <c r="N255" t="n">
        <v>0</v>
      </c>
      <c r="O255" t="n">
        <v>0</v>
      </c>
      <c r="P255" t="n">
        <v>0</v>
      </c>
      <c r="Q255" t="n">
        <v>3</v>
      </c>
      <c r="R255" s="2" t="inlineStr">
        <is>
          <t>Skogsknipprot
Blåsippa
Revlummer</t>
        </is>
      </c>
      <c r="S255">
        <f>HYPERLINK("https://klasma.github.io/Logging_0360/artfynd/A 7309-2023 artfynd.xlsx", "A 7309-2023")</f>
        <v/>
      </c>
      <c r="T255">
        <f>HYPERLINK("https://klasma.github.io/Logging_0360/kartor/A 7309-2023 karta.png", "A 7309-2023")</f>
        <v/>
      </c>
      <c r="V255">
        <f>HYPERLINK("https://klasma.github.io/Logging_0360/klagomål/A 7309-2023 FSC-klagomål.docx", "A 7309-2023")</f>
        <v/>
      </c>
      <c r="W255">
        <f>HYPERLINK("https://klasma.github.io/Logging_0360/klagomålsmail/A 7309-2023 FSC-klagomål mail.docx", "A 7309-2023")</f>
        <v/>
      </c>
      <c r="X255">
        <f>HYPERLINK("https://klasma.github.io/Logging_0360/tillsyn/A 7309-2023 tillsynsbegäran.docx", "A 7309-2023")</f>
        <v/>
      </c>
      <c r="Y255">
        <f>HYPERLINK("https://klasma.github.io/Logging_0360/tillsynsmail/A 7309-2023 tillsynsbegäran mail.docx", "A 7309-2023")</f>
        <v/>
      </c>
    </row>
    <row r="256" ht="15" customHeight="1">
      <c r="A256" t="inlineStr">
        <is>
          <t>A 7752-2023</t>
        </is>
      </c>
      <c r="B256" s="1" t="n">
        <v>44973</v>
      </c>
      <c r="C256" s="1" t="n">
        <v>45705</v>
      </c>
      <c r="D256" t="inlineStr">
        <is>
          <t>UPPSALA LÄN</t>
        </is>
      </c>
      <c r="E256" t="inlineStr">
        <is>
          <t>UPPSALA</t>
        </is>
      </c>
      <c r="F256" t="inlineStr">
        <is>
          <t>Sveaskog</t>
        </is>
      </c>
      <c r="G256" t="n">
        <v>0.6</v>
      </c>
      <c r="H256" t="n">
        <v>1</v>
      </c>
      <c r="I256" t="n">
        <v>2</v>
      </c>
      <c r="J256" t="n">
        <v>0</v>
      </c>
      <c r="K256" t="n">
        <v>0</v>
      </c>
      <c r="L256" t="n">
        <v>0</v>
      </c>
      <c r="M256" t="n">
        <v>0</v>
      </c>
      <c r="N256" t="n">
        <v>0</v>
      </c>
      <c r="O256" t="n">
        <v>0</v>
      </c>
      <c r="P256" t="n">
        <v>0</v>
      </c>
      <c r="Q256" t="n">
        <v>3</v>
      </c>
      <c r="R256" s="2" t="inlineStr">
        <is>
          <t>Fjällig taggsvamp s.str.
Skogshakmossa
Blåsippa</t>
        </is>
      </c>
      <c r="S256">
        <f>HYPERLINK("https://klasma.github.io/Logging_0380/artfynd/A 7752-2023 artfynd.xlsx", "A 7752-2023")</f>
        <v/>
      </c>
      <c r="T256">
        <f>HYPERLINK("https://klasma.github.io/Logging_0380/kartor/A 7752-2023 karta.png", "A 7752-2023")</f>
        <v/>
      </c>
      <c r="V256">
        <f>HYPERLINK("https://klasma.github.io/Logging_0380/klagomål/A 7752-2023 FSC-klagomål.docx", "A 7752-2023")</f>
        <v/>
      </c>
      <c r="W256">
        <f>HYPERLINK("https://klasma.github.io/Logging_0380/klagomålsmail/A 7752-2023 FSC-klagomål mail.docx", "A 7752-2023")</f>
        <v/>
      </c>
      <c r="X256">
        <f>HYPERLINK("https://klasma.github.io/Logging_0380/tillsyn/A 7752-2023 tillsynsbegäran.docx", "A 7752-2023")</f>
        <v/>
      </c>
      <c r="Y256">
        <f>HYPERLINK("https://klasma.github.io/Logging_0380/tillsynsmail/A 7752-2023 tillsynsbegäran mail.docx", "A 7752-2023")</f>
        <v/>
      </c>
    </row>
    <row r="257" ht="15" customHeight="1">
      <c r="A257" t="inlineStr">
        <is>
          <t>A 9706-2023</t>
        </is>
      </c>
      <c r="B257" s="1" t="n">
        <v>44984</v>
      </c>
      <c r="C257" s="1" t="n">
        <v>45705</v>
      </c>
      <c r="D257" t="inlineStr">
        <is>
          <t>UPPSALA LÄN</t>
        </is>
      </c>
      <c r="E257" t="inlineStr">
        <is>
          <t>TIERP</t>
        </is>
      </c>
      <c r="F257" t="inlineStr">
        <is>
          <t>Bergvik skog öst AB</t>
        </is>
      </c>
      <c r="G257" t="n">
        <v>12.2</v>
      </c>
      <c r="H257" t="n">
        <v>1</v>
      </c>
      <c r="I257" t="n">
        <v>2</v>
      </c>
      <c r="J257" t="n">
        <v>1</v>
      </c>
      <c r="K257" t="n">
        <v>0</v>
      </c>
      <c r="L257" t="n">
        <v>0</v>
      </c>
      <c r="M257" t="n">
        <v>0</v>
      </c>
      <c r="N257" t="n">
        <v>0</v>
      </c>
      <c r="O257" t="n">
        <v>1</v>
      </c>
      <c r="P257" t="n">
        <v>0</v>
      </c>
      <c r="Q257" t="n">
        <v>3</v>
      </c>
      <c r="R257" s="2" t="inlineStr">
        <is>
          <t>Klasefibbla
Rödgul trumpetsvamp
Skogsknipprot</t>
        </is>
      </c>
      <c r="S257">
        <f>HYPERLINK("https://klasma.github.io/Logging_0360/artfynd/A 9706-2023 artfynd.xlsx", "A 9706-2023")</f>
        <v/>
      </c>
      <c r="T257">
        <f>HYPERLINK("https://klasma.github.io/Logging_0360/kartor/A 9706-2023 karta.png", "A 9706-2023")</f>
        <v/>
      </c>
      <c r="V257">
        <f>HYPERLINK("https://klasma.github.io/Logging_0360/klagomål/A 9706-2023 FSC-klagomål.docx", "A 9706-2023")</f>
        <v/>
      </c>
      <c r="W257">
        <f>HYPERLINK("https://klasma.github.io/Logging_0360/klagomålsmail/A 9706-2023 FSC-klagomål mail.docx", "A 9706-2023")</f>
        <v/>
      </c>
      <c r="X257">
        <f>HYPERLINK("https://klasma.github.io/Logging_0360/tillsyn/A 9706-2023 tillsynsbegäran.docx", "A 9706-2023")</f>
        <v/>
      </c>
      <c r="Y257">
        <f>HYPERLINK("https://klasma.github.io/Logging_0360/tillsynsmail/A 9706-2023 tillsynsbegäran mail.docx", "A 9706-2023")</f>
        <v/>
      </c>
    </row>
    <row r="258" ht="15" customHeight="1">
      <c r="A258" t="inlineStr">
        <is>
          <t>A 9683-2023</t>
        </is>
      </c>
      <c r="B258" s="1" t="n">
        <v>44984</v>
      </c>
      <c r="C258" s="1" t="n">
        <v>45705</v>
      </c>
      <c r="D258" t="inlineStr">
        <is>
          <t>UPPSALA LÄN</t>
        </is>
      </c>
      <c r="E258" t="inlineStr">
        <is>
          <t>ÖSTHAMMAR</t>
        </is>
      </c>
      <c r="G258" t="n">
        <v>4</v>
      </c>
      <c r="H258" t="n">
        <v>3</v>
      </c>
      <c r="I258" t="n">
        <v>1</v>
      </c>
      <c r="J258" t="n">
        <v>0</v>
      </c>
      <c r="K258" t="n">
        <v>0</v>
      </c>
      <c r="L258" t="n">
        <v>0</v>
      </c>
      <c r="M258" t="n">
        <v>0</v>
      </c>
      <c r="N258" t="n">
        <v>0</v>
      </c>
      <c r="O258" t="n">
        <v>0</v>
      </c>
      <c r="P258" t="n">
        <v>0</v>
      </c>
      <c r="Q258" t="n">
        <v>3</v>
      </c>
      <c r="R258" s="2" t="inlineStr">
        <is>
          <t>Tvåblad
Blåsippa
Gullviva</t>
        </is>
      </c>
      <c r="S258">
        <f>HYPERLINK("https://klasma.github.io/Logging_0382/artfynd/A 9683-2023 artfynd.xlsx", "A 9683-2023")</f>
        <v/>
      </c>
      <c r="T258">
        <f>HYPERLINK("https://klasma.github.io/Logging_0382/kartor/A 9683-2023 karta.png", "A 9683-2023")</f>
        <v/>
      </c>
      <c r="V258">
        <f>HYPERLINK("https://klasma.github.io/Logging_0382/klagomål/A 9683-2023 FSC-klagomål.docx", "A 9683-2023")</f>
        <v/>
      </c>
      <c r="W258">
        <f>HYPERLINK("https://klasma.github.io/Logging_0382/klagomålsmail/A 9683-2023 FSC-klagomål mail.docx", "A 9683-2023")</f>
        <v/>
      </c>
      <c r="X258">
        <f>HYPERLINK("https://klasma.github.io/Logging_0382/tillsyn/A 9683-2023 tillsynsbegäran.docx", "A 9683-2023")</f>
        <v/>
      </c>
      <c r="Y258">
        <f>HYPERLINK("https://klasma.github.io/Logging_0382/tillsynsmail/A 9683-2023 tillsynsbegäran mail.docx", "A 9683-2023")</f>
        <v/>
      </c>
    </row>
    <row r="259" ht="15" customHeight="1">
      <c r="A259" t="inlineStr">
        <is>
          <t>A 12485-2023</t>
        </is>
      </c>
      <c r="B259" s="1" t="n">
        <v>44998</v>
      </c>
      <c r="C259" s="1" t="n">
        <v>45705</v>
      </c>
      <c r="D259" t="inlineStr">
        <is>
          <t>UPPSALA LÄN</t>
        </is>
      </c>
      <c r="E259" t="inlineStr">
        <is>
          <t>ÖSTHAMMAR</t>
        </is>
      </c>
      <c r="G259" t="n">
        <v>4.3</v>
      </c>
      <c r="H259" t="n">
        <v>0</v>
      </c>
      <c r="I259" t="n">
        <v>0</v>
      </c>
      <c r="J259" t="n">
        <v>3</v>
      </c>
      <c r="K259" t="n">
        <v>0</v>
      </c>
      <c r="L259" t="n">
        <v>0</v>
      </c>
      <c r="M259" t="n">
        <v>0</v>
      </c>
      <c r="N259" t="n">
        <v>0</v>
      </c>
      <c r="O259" t="n">
        <v>3</v>
      </c>
      <c r="P259" t="n">
        <v>0</v>
      </c>
      <c r="Q259" t="n">
        <v>3</v>
      </c>
      <c r="R259" s="2" t="inlineStr">
        <is>
          <t>Backklöver
Slåtterfibbla
Solvända</t>
        </is>
      </c>
      <c r="S259">
        <f>HYPERLINK("https://klasma.github.io/Logging_0382/artfynd/A 12485-2023 artfynd.xlsx", "A 12485-2023")</f>
        <v/>
      </c>
      <c r="T259">
        <f>HYPERLINK("https://klasma.github.io/Logging_0382/kartor/A 12485-2023 karta.png", "A 12485-2023")</f>
        <v/>
      </c>
      <c r="V259">
        <f>HYPERLINK("https://klasma.github.io/Logging_0382/klagomål/A 12485-2023 FSC-klagomål.docx", "A 12485-2023")</f>
        <v/>
      </c>
      <c r="W259">
        <f>HYPERLINK("https://klasma.github.io/Logging_0382/klagomålsmail/A 12485-2023 FSC-klagomål mail.docx", "A 12485-2023")</f>
        <v/>
      </c>
      <c r="X259">
        <f>HYPERLINK("https://klasma.github.io/Logging_0382/tillsyn/A 12485-2023 tillsynsbegäran.docx", "A 12485-2023")</f>
        <v/>
      </c>
      <c r="Y259">
        <f>HYPERLINK("https://klasma.github.io/Logging_0382/tillsynsmail/A 12485-2023 tillsynsbegäran mail.docx", "A 12485-2023")</f>
        <v/>
      </c>
    </row>
    <row r="260" ht="15" customHeight="1">
      <c r="A260" t="inlineStr">
        <is>
          <t>A 13120-2023</t>
        </is>
      </c>
      <c r="B260" s="1" t="n">
        <v>45002</v>
      </c>
      <c r="C260" s="1" t="n">
        <v>45705</v>
      </c>
      <c r="D260" t="inlineStr">
        <is>
          <t>UPPSALA LÄN</t>
        </is>
      </c>
      <c r="E260" t="inlineStr">
        <is>
          <t>ÖSTHAMMAR</t>
        </is>
      </c>
      <c r="G260" t="n">
        <v>5.8</v>
      </c>
      <c r="H260" t="n">
        <v>0</v>
      </c>
      <c r="I260" t="n">
        <v>3</v>
      </c>
      <c r="J260" t="n">
        <v>0</v>
      </c>
      <c r="K260" t="n">
        <v>0</v>
      </c>
      <c r="L260" t="n">
        <v>0</v>
      </c>
      <c r="M260" t="n">
        <v>0</v>
      </c>
      <c r="N260" t="n">
        <v>0</v>
      </c>
      <c r="O260" t="n">
        <v>0</v>
      </c>
      <c r="P260" t="n">
        <v>0</v>
      </c>
      <c r="Q260" t="n">
        <v>3</v>
      </c>
      <c r="R260" s="2" t="inlineStr">
        <is>
          <t>Anisspindling
Olivspindling
Rödgul trumpetsvamp</t>
        </is>
      </c>
      <c r="S260">
        <f>HYPERLINK("https://klasma.github.io/Logging_0382/artfynd/A 13120-2023 artfynd.xlsx", "A 13120-2023")</f>
        <v/>
      </c>
      <c r="T260">
        <f>HYPERLINK("https://klasma.github.io/Logging_0382/kartor/A 13120-2023 karta.png", "A 13120-2023")</f>
        <v/>
      </c>
      <c r="V260">
        <f>HYPERLINK("https://klasma.github.io/Logging_0382/klagomål/A 13120-2023 FSC-klagomål.docx", "A 13120-2023")</f>
        <v/>
      </c>
      <c r="W260">
        <f>HYPERLINK("https://klasma.github.io/Logging_0382/klagomålsmail/A 13120-2023 FSC-klagomål mail.docx", "A 13120-2023")</f>
        <v/>
      </c>
      <c r="X260">
        <f>HYPERLINK("https://klasma.github.io/Logging_0382/tillsyn/A 13120-2023 tillsynsbegäran.docx", "A 13120-2023")</f>
        <v/>
      </c>
      <c r="Y260">
        <f>HYPERLINK("https://klasma.github.io/Logging_0382/tillsynsmail/A 13120-2023 tillsynsbegäran mail.docx", "A 13120-2023")</f>
        <v/>
      </c>
    </row>
    <row r="261" ht="15" customHeight="1">
      <c r="A261" t="inlineStr">
        <is>
          <t>A 15179-2023</t>
        </is>
      </c>
      <c r="B261" s="1" t="n">
        <v>45016</v>
      </c>
      <c r="C261" s="1" t="n">
        <v>45705</v>
      </c>
      <c r="D261" t="inlineStr">
        <is>
          <t>UPPSALA LÄN</t>
        </is>
      </c>
      <c r="E261" t="inlineStr">
        <is>
          <t>ÖSTHAMMAR</t>
        </is>
      </c>
      <c r="G261" t="n">
        <v>6.1</v>
      </c>
      <c r="H261" t="n">
        <v>1</v>
      </c>
      <c r="I261" t="n">
        <v>3</v>
      </c>
      <c r="J261" t="n">
        <v>0</v>
      </c>
      <c r="K261" t="n">
        <v>0</v>
      </c>
      <c r="L261" t="n">
        <v>0</v>
      </c>
      <c r="M261" t="n">
        <v>0</v>
      </c>
      <c r="N261" t="n">
        <v>0</v>
      </c>
      <c r="O261" t="n">
        <v>0</v>
      </c>
      <c r="P261" t="n">
        <v>0</v>
      </c>
      <c r="Q261" t="n">
        <v>3</v>
      </c>
      <c r="R261" s="2" t="inlineStr">
        <is>
          <t>Skogsknipprot
Tibast
Vårärt</t>
        </is>
      </c>
      <c r="S261">
        <f>HYPERLINK("https://klasma.github.io/Logging_0382/artfynd/A 15179-2023 artfynd.xlsx", "A 15179-2023")</f>
        <v/>
      </c>
      <c r="T261">
        <f>HYPERLINK("https://klasma.github.io/Logging_0382/kartor/A 15179-2023 karta.png", "A 15179-2023")</f>
        <v/>
      </c>
      <c r="V261">
        <f>HYPERLINK("https://klasma.github.io/Logging_0382/klagomål/A 15179-2023 FSC-klagomål.docx", "A 15179-2023")</f>
        <v/>
      </c>
      <c r="W261">
        <f>HYPERLINK("https://klasma.github.io/Logging_0382/klagomålsmail/A 15179-2023 FSC-klagomål mail.docx", "A 15179-2023")</f>
        <v/>
      </c>
      <c r="X261">
        <f>HYPERLINK("https://klasma.github.io/Logging_0382/tillsyn/A 15179-2023 tillsynsbegäran.docx", "A 15179-2023")</f>
        <v/>
      </c>
      <c r="Y261">
        <f>HYPERLINK("https://klasma.github.io/Logging_0382/tillsynsmail/A 15179-2023 tillsynsbegäran mail.docx", "A 15179-2023")</f>
        <v/>
      </c>
    </row>
    <row r="262" ht="15" customHeight="1">
      <c r="A262" t="inlineStr">
        <is>
          <t>A 19884-2023</t>
        </is>
      </c>
      <c r="B262" s="1" t="n">
        <v>45054</v>
      </c>
      <c r="C262" s="1" t="n">
        <v>45705</v>
      </c>
      <c r="D262" t="inlineStr">
        <is>
          <t>UPPSALA LÄN</t>
        </is>
      </c>
      <c r="E262" t="inlineStr">
        <is>
          <t>ÖSTHAMMAR</t>
        </is>
      </c>
      <c r="G262" t="n">
        <v>2.5</v>
      </c>
      <c r="H262" t="n">
        <v>3</v>
      </c>
      <c r="I262" t="n">
        <v>0</v>
      </c>
      <c r="J262" t="n">
        <v>2</v>
      </c>
      <c r="K262" t="n">
        <v>0</v>
      </c>
      <c r="L262" t="n">
        <v>1</v>
      </c>
      <c r="M262" t="n">
        <v>0</v>
      </c>
      <c r="N262" t="n">
        <v>0</v>
      </c>
      <c r="O262" t="n">
        <v>3</v>
      </c>
      <c r="P262" t="n">
        <v>1</v>
      </c>
      <c r="Q262" t="n">
        <v>3</v>
      </c>
      <c r="R262" s="2" t="inlineStr">
        <is>
          <t>Grönfink
Grönsångare
Rödvingetrast</t>
        </is>
      </c>
      <c r="S262">
        <f>HYPERLINK("https://klasma.github.io/Logging_0382/artfynd/A 19884-2023 artfynd.xlsx", "A 19884-2023")</f>
        <v/>
      </c>
      <c r="T262">
        <f>HYPERLINK("https://klasma.github.io/Logging_0382/kartor/A 19884-2023 karta.png", "A 19884-2023")</f>
        <v/>
      </c>
      <c r="V262">
        <f>HYPERLINK("https://klasma.github.io/Logging_0382/klagomål/A 19884-2023 FSC-klagomål.docx", "A 19884-2023")</f>
        <v/>
      </c>
      <c r="W262">
        <f>HYPERLINK("https://klasma.github.io/Logging_0382/klagomålsmail/A 19884-2023 FSC-klagomål mail.docx", "A 19884-2023")</f>
        <v/>
      </c>
      <c r="X262">
        <f>HYPERLINK("https://klasma.github.io/Logging_0382/tillsyn/A 19884-2023 tillsynsbegäran.docx", "A 19884-2023")</f>
        <v/>
      </c>
      <c r="Y262">
        <f>HYPERLINK("https://klasma.github.io/Logging_0382/tillsynsmail/A 19884-2023 tillsynsbegäran mail.docx", "A 19884-2023")</f>
        <v/>
      </c>
      <c r="Z262">
        <f>HYPERLINK("https://klasma.github.io/Logging_0382/fåglar/A 19884-2023 prioriterade fågelarter.docx", "A 19884-2023")</f>
        <v/>
      </c>
    </row>
    <row r="263" ht="15" customHeight="1">
      <c r="A263" t="inlineStr">
        <is>
          <t>A 20115-2023</t>
        </is>
      </c>
      <c r="B263" s="1" t="n">
        <v>45055</v>
      </c>
      <c r="C263" s="1" t="n">
        <v>45705</v>
      </c>
      <c r="D263" t="inlineStr">
        <is>
          <t>UPPSALA LÄN</t>
        </is>
      </c>
      <c r="E263" t="inlineStr">
        <is>
          <t>ÖSTHAMMAR</t>
        </is>
      </c>
      <c r="G263" t="n">
        <v>13.4</v>
      </c>
      <c r="H263" t="n">
        <v>0</v>
      </c>
      <c r="I263" t="n">
        <v>0</v>
      </c>
      <c r="J263" t="n">
        <v>3</v>
      </c>
      <c r="K263" t="n">
        <v>0</v>
      </c>
      <c r="L263" t="n">
        <v>0</v>
      </c>
      <c r="M263" t="n">
        <v>0</v>
      </c>
      <c r="N263" t="n">
        <v>0</v>
      </c>
      <c r="O263" t="n">
        <v>3</v>
      </c>
      <c r="P263" t="n">
        <v>0</v>
      </c>
      <c r="Q263" t="n">
        <v>3</v>
      </c>
      <c r="R263" s="2" t="inlineStr">
        <is>
          <t>Grantaggsvamp
Leopardsköldbagge
Orange taggsvamp</t>
        </is>
      </c>
      <c r="S263">
        <f>HYPERLINK("https://klasma.github.io/Logging_0382/artfynd/A 20115-2023 artfynd.xlsx", "A 20115-2023")</f>
        <v/>
      </c>
      <c r="T263">
        <f>HYPERLINK("https://klasma.github.io/Logging_0382/kartor/A 20115-2023 karta.png", "A 20115-2023")</f>
        <v/>
      </c>
      <c r="U263">
        <f>HYPERLINK("https://klasma.github.io/Logging_0382/knärot/A 20115-2023 karta knärot.png", "A 20115-2023")</f>
        <v/>
      </c>
      <c r="V263">
        <f>HYPERLINK("https://klasma.github.io/Logging_0382/klagomål/A 20115-2023 FSC-klagomål.docx", "A 20115-2023")</f>
        <v/>
      </c>
      <c r="W263">
        <f>HYPERLINK("https://klasma.github.io/Logging_0382/klagomålsmail/A 20115-2023 FSC-klagomål mail.docx", "A 20115-2023")</f>
        <v/>
      </c>
      <c r="X263">
        <f>HYPERLINK("https://klasma.github.io/Logging_0382/tillsyn/A 20115-2023 tillsynsbegäran.docx", "A 20115-2023")</f>
        <v/>
      </c>
      <c r="Y263">
        <f>HYPERLINK("https://klasma.github.io/Logging_0382/tillsynsmail/A 20115-2023 tillsynsbegäran mail.docx", "A 20115-2023")</f>
        <v/>
      </c>
    </row>
    <row r="264" ht="15" customHeight="1">
      <c r="A264" t="inlineStr">
        <is>
          <t>A 25724-2023</t>
        </is>
      </c>
      <c r="B264" s="1" t="n">
        <v>45090</v>
      </c>
      <c r="C264" s="1" t="n">
        <v>45705</v>
      </c>
      <c r="D264" t="inlineStr">
        <is>
          <t>UPPSALA LÄN</t>
        </is>
      </c>
      <c r="E264" t="inlineStr">
        <is>
          <t>ÄLVKARLEBY</t>
        </is>
      </c>
      <c r="F264" t="inlineStr">
        <is>
          <t>Bergvik skog väst AB</t>
        </is>
      </c>
      <c r="G264" t="n">
        <v>18.6</v>
      </c>
      <c r="H264" t="n">
        <v>1</v>
      </c>
      <c r="I264" t="n">
        <v>2</v>
      </c>
      <c r="J264" t="n">
        <v>0</v>
      </c>
      <c r="K264" t="n">
        <v>1</v>
      </c>
      <c r="L264" t="n">
        <v>0</v>
      </c>
      <c r="M264" t="n">
        <v>0</v>
      </c>
      <c r="N264" t="n">
        <v>0</v>
      </c>
      <c r="O264" t="n">
        <v>1</v>
      </c>
      <c r="P264" t="n">
        <v>1</v>
      </c>
      <c r="Q264" t="n">
        <v>3</v>
      </c>
      <c r="R264" s="2" t="inlineStr">
        <is>
          <t>Väddnätfjäril
Anisspindling
Tibast</t>
        </is>
      </c>
      <c r="S264">
        <f>HYPERLINK("https://klasma.github.io/Logging_0319/artfynd/A 25724-2023 artfynd.xlsx", "A 25724-2023")</f>
        <v/>
      </c>
      <c r="T264">
        <f>HYPERLINK("https://klasma.github.io/Logging_0319/kartor/A 25724-2023 karta.png", "A 25724-2023")</f>
        <v/>
      </c>
      <c r="V264">
        <f>HYPERLINK("https://klasma.github.io/Logging_0319/klagomål/A 25724-2023 FSC-klagomål.docx", "A 25724-2023")</f>
        <v/>
      </c>
      <c r="W264">
        <f>HYPERLINK("https://klasma.github.io/Logging_0319/klagomålsmail/A 25724-2023 FSC-klagomål mail.docx", "A 25724-2023")</f>
        <v/>
      </c>
      <c r="X264">
        <f>HYPERLINK("https://klasma.github.io/Logging_0319/tillsyn/A 25724-2023 tillsynsbegäran.docx", "A 25724-2023")</f>
        <v/>
      </c>
      <c r="Y264">
        <f>HYPERLINK("https://klasma.github.io/Logging_0319/tillsynsmail/A 25724-2023 tillsynsbegäran mail.docx", "A 25724-2023")</f>
        <v/>
      </c>
    </row>
    <row r="265" ht="15" customHeight="1">
      <c r="A265" t="inlineStr">
        <is>
          <t>A 25943-2023</t>
        </is>
      </c>
      <c r="B265" s="1" t="n">
        <v>45090</v>
      </c>
      <c r="C265" s="1" t="n">
        <v>45705</v>
      </c>
      <c r="D265" t="inlineStr">
        <is>
          <t>UPPSALA LÄN</t>
        </is>
      </c>
      <c r="E265" t="inlineStr">
        <is>
          <t>UPPSALA</t>
        </is>
      </c>
      <c r="F265" t="inlineStr">
        <is>
          <t>Holmen skog AB</t>
        </is>
      </c>
      <c r="G265" t="n">
        <v>2.7</v>
      </c>
      <c r="H265" t="n">
        <v>1</v>
      </c>
      <c r="I265" t="n">
        <v>1</v>
      </c>
      <c r="J265" t="n">
        <v>2</v>
      </c>
      <c r="K265" t="n">
        <v>0</v>
      </c>
      <c r="L265" t="n">
        <v>0</v>
      </c>
      <c r="M265" t="n">
        <v>0</v>
      </c>
      <c r="N265" t="n">
        <v>0</v>
      </c>
      <c r="O265" t="n">
        <v>2</v>
      </c>
      <c r="P265" t="n">
        <v>0</v>
      </c>
      <c r="Q265" t="n">
        <v>3</v>
      </c>
      <c r="R265" s="2" t="inlineStr">
        <is>
          <t>Mindre hackspett
Vedtrappmossa
Vedticka</t>
        </is>
      </c>
      <c r="S265">
        <f>HYPERLINK("https://klasma.github.io/Logging_0380/artfynd/A 25943-2023 artfynd.xlsx", "A 25943-2023")</f>
        <v/>
      </c>
      <c r="T265">
        <f>HYPERLINK("https://klasma.github.io/Logging_0380/kartor/A 25943-2023 karta.png", "A 25943-2023")</f>
        <v/>
      </c>
      <c r="V265">
        <f>HYPERLINK("https://klasma.github.io/Logging_0380/klagomål/A 25943-2023 FSC-klagomål.docx", "A 25943-2023")</f>
        <v/>
      </c>
      <c r="W265">
        <f>HYPERLINK("https://klasma.github.io/Logging_0380/klagomålsmail/A 25943-2023 FSC-klagomål mail.docx", "A 25943-2023")</f>
        <v/>
      </c>
      <c r="X265">
        <f>HYPERLINK("https://klasma.github.io/Logging_0380/tillsyn/A 25943-2023 tillsynsbegäran.docx", "A 25943-2023")</f>
        <v/>
      </c>
      <c r="Y265">
        <f>HYPERLINK("https://klasma.github.io/Logging_0380/tillsynsmail/A 25943-2023 tillsynsbegäran mail.docx", "A 25943-2023")</f>
        <v/>
      </c>
      <c r="Z265">
        <f>HYPERLINK("https://klasma.github.io/Logging_0380/fåglar/A 25943-2023 prioriterade fågelarter.docx", "A 25943-2023")</f>
        <v/>
      </c>
    </row>
    <row r="266" ht="15" customHeight="1">
      <c r="A266" t="inlineStr">
        <is>
          <t>A 31552-2023</t>
        </is>
      </c>
      <c r="B266" s="1" t="n">
        <v>45104</v>
      </c>
      <c r="C266" s="1" t="n">
        <v>45705</v>
      </c>
      <c r="D266" t="inlineStr">
        <is>
          <t>UPPSALA LÄN</t>
        </is>
      </c>
      <c r="E266" t="inlineStr">
        <is>
          <t>ENKÖPING</t>
        </is>
      </c>
      <c r="G266" t="n">
        <v>2.6</v>
      </c>
      <c r="H266" t="n">
        <v>1</v>
      </c>
      <c r="I266" t="n">
        <v>1</v>
      </c>
      <c r="J266" t="n">
        <v>1</v>
      </c>
      <c r="K266" t="n">
        <v>1</v>
      </c>
      <c r="L266" t="n">
        <v>0</v>
      </c>
      <c r="M266" t="n">
        <v>0</v>
      </c>
      <c r="N266" t="n">
        <v>0</v>
      </c>
      <c r="O266" t="n">
        <v>2</v>
      </c>
      <c r="P266" t="n">
        <v>1</v>
      </c>
      <c r="Q266" t="n">
        <v>3</v>
      </c>
      <c r="R266" s="2" t="inlineStr">
        <is>
          <t>Bombmurkla
Fyrflikig jordstjärna
Grönpyrola</t>
        </is>
      </c>
      <c r="S266">
        <f>HYPERLINK("https://klasma.github.io/Logging_0381/artfynd/A 31552-2023 artfynd.xlsx", "A 31552-2023")</f>
        <v/>
      </c>
      <c r="T266">
        <f>HYPERLINK("https://klasma.github.io/Logging_0381/kartor/A 31552-2023 karta.png", "A 31552-2023")</f>
        <v/>
      </c>
      <c r="V266">
        <f>HYPERLINK("https://klasma.github.io/Logging_0381/klagomål/A 31552-2023 FSC-klagomål.docx", "A 31552-2023")</f>
        <v/>
      </c>
      <c r="W266">
        <f>HYPERLINK("https://klasma.github.io/Logging_0381/klagomålsmail/A 31552-2023 FSC-klagomål mail.docx", "A 31552-2023")</f>
        <v/>
      </c>
      <c r="X266">
        <f>HYPERLINK("https://klasma.github.io/Logging_0381/tillsyn/A 31552-2023 tillsynsbegäran.docx", "A 31552-2023")</f>
        <v/>
      </c>
      <c r="Y266">
        <f>HYPERLINK("https://klasma.github.io/Logging_0381/tillsynsmail/A 31552-2023 tillsynsbegäran mail.docx", "A 31552-2023")</f>
        <v/>
      </c>
    </row>
    <row r="267" ht="15" customHeight="1">
      <c r="A267" t="inlineStr">
        <is>
          <t>A 36531-2023</t>
        </is>
      </c>
      <c r="B267" s="1" t="n">
        <v>45153</v>
      </c>
      <c r="C267" s="1" t="n">
        <v>45705</v>
      </c>
      <c r="D267" t="inlineStr">
        <is>
          <t>UPPSALA LÄN</t>
        </is>
      </c>
      <c r="E267" t="inlineStr">
        <is>
          <t>HEBY</t>
        </is>
      </c>
      <c r="G267" t="n">
        <v>4.8</v>
      </c>
      <c r="H267" t="n">
        <v>0</v>
      </c>
      <c r="I267" t="n">
        <v>0</v>
      </c>
      <c r="J267" t="n">
        <v>2</v>
      </c>
      <c r="K267" t="n">
        <v>1</v>
      </c>
      <c r="L267" t="n">
        <v>0</v>
      </c>
      <c r="M267" t="n">
        <v>0</v>
      </c>
      <c r="N267" t="n">
        <v>0</v>
      </c>
      <c r="O267" t="n">
        <v>3</v>
      </c>
      <c r="P267" t="n">
        <v>1</v>
      </c>
      <c r="Q267" t="n">
        <v>3</v>
      </c>
      <c r="R267" s="2" t="inlineStr">
        <is>
          <t>Lammticka
Motaggsvamp
Skrovlig taggsvamp</t>
        </is>
      </c>
      <c r="S267">
        <f>HYPERLINK("https://klasma.github.io/Logging_0331/artfynd/A 36531-2023 artfynd.xlsx", "A 36531-2023")</f>
        <v/>
      </c>
      <c r="T267">
        <f>HYPERLINK("https://klasma.github.io/Logging_0331/kartor/A 36531-2023 karta.png", "A 36531-2023")</f>
        <v/>
      </c>
      <c r="V267">
        <f>HYPERLINK("https://klasma.github.io/Logging_0331/klagomål/A 36531-2023 FSC-klagomål.docx", "A 36531-2023")</f>
        <v/>
      </c>
      <c r="W267">
        <f>HYPERLINK("https://klasma.github.io/Logging_0331/klagomålsmail/A 36531-2023 FSC-klagomål mail.docx", "A 36531-2023")</f>
        <v/>
      </c>
      <c r="X267">
        <f>HYPERLINK("https://klasma.github.io/Logging_0331/tillsyn/A 36531-2023 tillsynsbegäran.docx", "A 36531-2023")</f>
        <v/>
      </c>
      <c r="Y267">
        <f>HYPERLINK("https://klasma.github.io/Logging_0331/tillsynsmail/A 36531-2023 tillsynsbegäran mail.docx", "A 36531-2023")</f>
        <v/>
      </c>
    </row>
    <row r="268" ht="15" customHeight="1">
      <c r="A268" t="inlineStr">
        <is>
          <t>A 39917-2023</t>
        </is>
      </c>
      <c r="B268" s="1" t="n">
        <v>45166</v>
      </c>
      <c r="C268" s="1" t="n">
        <v>45705</v>
      </c>
      <c r="D268" t="inlineStr">
        <is>
          <t>UPPSALA LÄN</t>
        </is>
      </c>
      <c r="E268" t="inlineStr">
        <is>
          <t>HÅBO</t>
        </is>
      </c>
      <c r="G268" t="n">
        <v>3.6</v>
      </c>
      <c r="H268" t="n">
        <v>0</v>
      </c>
      <c r="I268" t="n">
        <v>2</v>
      </c>
      <c r="J268" t="n">
        <v>1</v>
      </c>
      <c r="K268" t="n">
        <v>0</v>
      </c>
      <c r="L268" t="n">
        <v>0</v>
      </c>
      <c r="M268" t="n">
        <v>0</v>
      </c>
      <c r="N268" t="n">
        <v>0</v>
      </c>
      <c r="O268" t="n">
        <v>1</v>
      </c>
      <c r="P268" t="n">
        <v>0</v>
      </c>
      <c r="Q268" t="n">
        <v>3</v>
      </c>
      <c r="R268" s="2" t="inlineStr">
        <is>
          <t>Oxtungssvamp
Kryddspindling
Strimspindling</t>
        </is>
      </c>
      <c r="S268">
        <f>HYPERLINK("https://klasma.github.io/Logging_0305/artfynd/A 39917-2023 artfynd.xlsx", "A 39917-2023")</f>
        <v/>
      </c>
      <c r="T268">
        <f>HYPERLINK("https://klasma.github.io/Logging_0305/kartor/A 39917-2023 karta.png", "A 39917-2023")</f>
        <v/>
      </c>
      <c r="V268">
        <f>HYPERLINK("https://klasma.github.io/Logging_0305/klagomål/A 39917-2023 FSC-klagomål.docx", "A 39917-2023")</f>
        <v/>
      </c>
      <c r="W268">
        <f>HYPERLINK("https://klasma.github.io/Logging_0305/klagomålsmail/A 39917-2023 FSC-klagomål mail.docx", "A 39917-2023")</f>
        <v/>
      </c>
      <c r="X268">
        <f>HYPERLINK("https://klasma.github.io/Logging_0305/tillsyn/A 39917-2023 tillsynsbegäran.docx", "A 39917-2023")</f>
        <v/>
      </c>
      <c r="Y268">
        <f>HYPERLINK("https://klasma.github.io/Logging_0305/tillsynsmail/A 39917-2023 tillsynsbegäran mail.docx", "A 39917-2023")</f>
        <v/>
      </c>
    </row>
    <row r="269" ht="15" customHeight="1">
      <c r="A269" t="inlineStr">
        <is>
          <t>A 40637-2023</t>
        </is>
      </c>
      <c r="B269" s="1" t="n">
        <v>45170</v>
      </c>
      <c r="C269" s="1" t="n">
        <v>45705</v>
      </c>
      <c r="D269" t="inlineStr">
        <is>
          <t>UPPSALA LÄN</t>
        </is>
      </c>
      <c r="E269" t="inlineStr">
        <is>
          <t>HEBY</t>
        </is>
      </c>
      <c r="F269" t="inlineStr">
        <is>
          <t>Övriga Aktiebolag</t>
        </is>
      </c>
      <c r="G269" t="n">
        <v>3.4</v>
      </c>
      <c r="H269" t="n">
        <v>0</v>
      </c>
      <c r="I269" t="n">
        <v>1</v>
      </c>
      <c r="J269" t="n">
        <v>2</v>
      </c>
      <c r="K269" t="n">
        <v>0</v>
      </c>
      <c r="L269" t="n">
        <v>0</v>
      </c>
      <c r="M269" t="n">
        <v>0</v>
      </c>
      <c r="N269" t="n">
        <v>0</v>
      </c>
      <c r="O269" t="n">
        <v>2</v>
      </c>
      <c r="P269" t="n">
        <v>0</v>
      </c>
      <c r="Q269" t="n">
        <v>3</v>
      </c>
      <c r="R269" s="2" t="inlineStr">
        <is>
          <t>Garnlav
Tallticka
Vedticka</t>
        </is>
      </c>
      <c r="S269">
        <f>HYPERLINK("https://klasma.github.io/Logging_0331/artfynd/A 40637-2023 artfynd.xlsx", "A 40637-2023")</f>
        <v/>
      </c>
      <c r="T269">
        <f>HYPERLINK("https://klasma.github.io/Logging_0331/kartor/A 40637-2023 karta.png", "A 40637-2023")</f>
        <v/>
      </c>
      <c r="V269">
        <f>HYPERLINK("https://klasma.github.io/Logging_0331/klagomål/A 40637-2023 FSC-klagomål.docx", "A 40637-2023")</f>
        <v/>
      </c>
      <c r="W269">
        <f>HYPERLINK("https://klasma.github.io/Logging_0331/klagomålsmail/A 40637-2023 FSC-klagomål mail.docx", "A 40637-2023")</f>
        <v/>
      </c>
      <c r="X269">
        <f>HYPERLINK("https://klasma.github.io/Logging_0331/tillsyn/A 40637-2023 tillsynsbegäran.docx", "A 40637-2023")</f>
        <v/>
      </c>
      <c r="Y269">
        <f>HYPERLINK("https://klasma.github.io/Logging_0331/tillsynsmail/A 40637-2023 tillsynsbegäran mail.docx", "A 40637-2023")</f>
        <v/>
      </c>
    </row>
    <row r="270" ht="15" customHeight="1">
      <c r="A270" t="inlineStr">
        <is>
          <t>A 43942-2023</t>
        </is>
      </c>
      <c r="B270" s="1" t="n">
        <v>45187</v>
      </c>
      <c r="C270" s="1" t="n">
        <v>45705</v>
      </c>
      <c r="D270" t="inlineStr">
        <is>
          <t>UPPSALA LÄN</t>
        </is>
      </c>
      <c r="E270" t="inlineStr">
        <is>
          <t>UPPSALA</t>
        </is>
      </c>
      <c r="F270" t="inlineStr">
        <is>
          <t>Allmännings- och besparingsskogar</t>
        </is>
      </c>
      <c r="G270" t="n">
        <v>31.6</v>
      </c>
      <c r="H270" t="n">
        <v>3</v>
      </c>
      <c r="I270" t="n">
        <v>1</v>
      </c>
      <c r="J270" t="n">
        <v>1</v>
      </c>
      <c r="K270" t="n">
        <v>0</v>
      </c>
      <c r="L270" t="n">
        <v>0</v>
      </c>
      <c r="M270" t="n">
        <v>1</v>
      </c>
      <c r="N270" t="n">
        <v>0</v>
      </c>
      <c r="O270" t="n">
        <v>2</v>
      </c>
      <c r="P270" t="n">
        <v>1</v>
      </c>
      <c r="Q270" t="n">
        <v>3</v>
      </c>
      <c r="R270" s="2" t="inlineStr">
        <is>
          <t>Vedtrådmossa
Slaguggla
Grön sköldmossa</t>
        </is>
      </c>
      <c r="S270">
        <f>HYPERLINK("https://klasma.github.io/Logging_0380/artfynd/A 43942-2023 artfynd.xlsx", "A 43942-2023")</f>
        <v/>
      </c>
      <c r="T270">
        <f>HYPERLINK("https://klasma.github.io/Logging_0380/kartor/A 43942-2023 karta.png", "A 43942-2023")</f>
        <v/>
      </c>
      <c r="V270">
        <f>HYPERLINK("https://klasma.github.io/Logging_0380/klagomål/A 43942-2023 FSC-klagomål.docx", "A 43942-2023")</f>
        <v/>
      </c>
      <c r="W270">
        <f>HYPERLINK("https://klasma.github.io/Logging_0380/klagomålsmail/A 43942-2023 FSC-klagomål mail.docx", "A 43942-2023")</f>
        <v/>
      </c>
      <c r="X270">
        <f>HYPERLINK("https://klasma.github.io/Logging_0380/tillsyn/A 43942-2023 tillsynsbegäran.docx", "A 43942-2023")</f>
        <v/>
      </c>
      <c r="Y270">
        <f>HYPERLINK("https://klasma.github.io/Logging_0380/tillsynsmail/A 43942-2023 tillsynsbegäran mail.docx", "A 43942-2023")</f>
        <v/>
      </c>
      <c r="Z270">
        <f>HYPERLINK("https://klasma.github.io/Logging_0380/fåglar/A 43942-2023 prioriterade fågelarter.docx", "A 43942-2023")</f>
        <v/>
      </c>
    </row>
    <row r="271" ht="15" customHeight="1">
      <c r="A271" t="inlineStr">
        <is>
          <t>A 46204-2023</t>
        </is>
      </c>
      <c r="B271" s="1" t="n">
        <v>45190</v>
      </c>
      <c r="C271" s="1" t="n">
        <v>45705</v>
      </c>
      <c r="D271" t="inlineStr">
        <is>
          <t>UPPSALA LÄN</t>
        </is>
      </c>
      <c r="E271" t="inlineStr">
        <is>
          <t>ÖSTHAMMAR</t>
        </is>
      </c>
      <c r="F271" t="inlineStr">
        <is>
          <t>Övriga statliga verk och myndigheter</t>
        </is>
      </c>
      <c r="G271" t="n">
        <v>3.5</v>
      </c>
      <c r="H271" t="n">
        <v>3</v>
      </c>
      <c r="I271" t="n">
        <v>0</v>
      </c>
      <c r="J271" t="n">
        <v>3</v>
      </c>
      <c r="K271" t="n">
        <v>0</v>
      </c>
      <c r="L271" t="n">
        <v>0</v>
      </c>
      <c r="M271" t="n">
        <v>0</v>
      </c>
      <c r="N271" t="n">
        <v>0</v>
      </c>
      <c r="O271" t="n">
        <v>3</v>
      </c>
      <c r="P271" t="n">
        <v>0</v>
      </c>
      <c r="Q271" t="n">
        <v>3</v>
      </c>
      <c r="R271" s="2" t="inlineStr">
        <is>
          <t>Grönsångare
Gulsparv
Ärtsångare</t>
        </is>
      </c>
      <c r="S271">
        <f>HYPERLINK("https://klasma.github.io/Logging_0382/artfynd/A 46204-2023 artfynd.xlsx", "A 46204-2023")</f>
        <v/>
      </c>
      <c r="T271">
        <f>HYPERLINK("https://klasma.github.io/Logging_0382/kartor/A 46204-2023 karta.png", "A 46204-2023")</f>
        <v/>
      </c>
      <c r="V271">
        <f>HYPERLINK("https://klasma.github.io/Logging_0382/klagomål/A 46204-2023 FSC-klagomål.docx", "A 46204-2023")</f>
        <v/>
      </c>
      <c r="W271">
        <f>HYPERLINK("https://klasma.github.io/Logging_0382/klagomålsmail/A 46204-2023 FSC-klagomål mail.docx", "A 46204-2023")</f>
        <v/>
      </c>
      <c r="X271">
        <f>HYPERLINK("https://klasma.github.io/Logging_0382/tillsyn/A 46204-2023 tillsynsbegäran.docx", "A 46204-2023")</f>
        <v/>
      </c>
      <c r="Y271">
        <f>HYPERLINK("https://klasma.github.io/Logging_0382/tillsynsmail/A 46204-2023 tillsynsbegäran mail.docx", "A 46204-2023")</f>
        <v/>
      </c>
      <c r="Z271">
        <f>HYPERLINK("https://klasma.github.io/Logging_0382/fåglar/A 46204-2023 prioriterade fågelarter.docx", "A 46204-2023")</f>
        <v/>
      </c>
    </row>
    <row r="272" ht="15" customHeight="1">
      <c r="A272" t="inlineStr">
        <is>
          <t>A 45895-2023</t>
        </is>
      </c>
      <c r="B272" s="1" t="n">
        <v>45195</v>
      </c>
      <c r="C272" s="1" t="n">
        <v>45705</v>
      </c>
      <c r="D272" t="inlineStr">
        <is>
          <t>UPPSALA LÄN</t>
        </is>
      </c>
      <c r="E272" t="inlineStr">
        <is>
          <t>ÄLVKARLEBY</t>
        </is>
      </c>
      <c r="G272" t="n">
        <v>6.7</v>
      </c>
      <c r="H272" t="n">
        <v>0</v>
      </c>
      <c r="I272" t="n">
        <v>2</v>
      </c>
      <c r="J272" t="n">
        <v>1</v>
      </c>
      <c r="K272" t="n">
        <v>0</v>
      </c>
      <c r="L272" t="n">
        <v>0</v>
      </c>
      <c r="M272" t="n">
        <v>0</v>
      </c>
      <c r="N272" t="n">
        <v>0</v>
      </c>
      <c r="O272" t="n">
        <v>1</v>
      </c>
      <c r="P272" t="n">
        <v>0</v>
      </c>
      <c r="Q272" t="n">
        <v>3</v>
      </c>
      <c r="R272" s="2" t="inlineStr">
        <is>
          <t>Flattoppad klubbsvamp
Sårläka
Trådfräken</t>
        </is>
      </c>
      <c r="S272">
        <f>HYPERLINK("https://klasma.github.io/Logging_0319/artfynd/A 45895-2023 artfynd.xlsx", "A 45895-2023")</f>
        <v/>
      </c>
      <c r="T272">
        <f>HYPERLINK("https://klasma.github.io/Logging_0319/kartor/A 45895-2023 karta.png", "A 45895-2023")</f>
        <v/>
      </c>
      <c r="V272">
        <f>HYPERLINK("https://klasma.github.io/Logging_0319/klagomål/A 45895-2023 FSC-klagomål.docx", "A 45895-2023")</f>
        <v/>
      </c>
      <c r="W272">
        <f>HYPERLINK("https://klasma.github.io/Logging_0319/klagomålsmail/A 45895-2023 FSC-klagomål mail.docx", "A 45895-2023")</f>
        <v/>
      </c>
      <c r="X272">
        <f>HYPERLINK("https://klasma.github.io/Logging_0319/tillsyn/A 45895-2023 tillsynsbegäran.docx", "A 45895-2023")</f>
        <v/>
      </c>
      <c r="Y272">
        <f>HYPERLINK("https://klasma.github.io/Logging_0319/tillsynsmail/A 45895-2023 tillsynsbegäran mail.docx", "A 45895-2023")</f>
        <v/>
      </c>
    </row>
    <row r="273" ht="15" customHeight="1">
      <c r="A273" t="inlineStr">
        <is>
          <t>A 49990-2023</t>
        </is>
      </c>
      <c r="B273" s="1" t="n">
        <v>45215</v>
      </c>
      <c r="C273" s="1" t="n">
        <v>45705</v>
      </c>
      <c r="D273" t="inlineStr">
        <is>
          <t>UPPSALA LÄN</t>
        </is>
      </c>
      <c r="E273" t="inlineStr">
        <is>
          <t>UPPSALA</t>
        </is>
      </c>
      <c r="G273" t="n">
        <v>2</v>
      </c>
      <c r="H273" t="n">
        <v>3</v>
      </c>
      <c r="I273" t="n">
        <v>0</v>
      </c>
      <c r="J273" t="n">
        <v>1</v>
      </c>
      <c r="K273" t="n">
        <v>0</v>
      </c>
      <c r="L273" t="n">
        <v>0</v>
      </c>
      <c r="M273" t="n">
        <v>0</v>
      </c>
      <c r="N273" t="n">
        <v>0</v>
      </c>
      <c r="O273" t="n">
        <v>1</v>
      </c>
      <c r="P273" t="n">
        <v>0</v>
      </c>
      <c r="Q273" t="n">
        <v>3</v>
      </c>
      <c r="R273" s="2" t="inlineStr">
        <is>
          <t>Nordfladdermus
Järnsparv
Större brunfladdermus</t>
        </is>
      </c>
      <c r="S273">
        <f>HYPERLINK("https://klasma.github.io/Logging_0380/artfynd/A 49990-2023 artfynd.xlsx", "A 49990-2023")</f>
        <v/>
      </c>
      <c r="T273">
        <f>HYPERLINK("https://klasma.github.io/Logging_0380/kartor/A 49990-2023 karta.png", "A 49990-2023")</f>
        <v/>
      </c>
      <c r="V273">
        <f>HYPERLINK("https://klasma.github.io/Logging_0380/klagomål/A 49990-2023 FSC-klagomål.docx", "A 49990-2023")</f>
        <v/>
      </c>
      <c r="W273">
        <f>HYPERLINK("https://klasma.github.io/Logging_0380/klagomålsmail/A 49990-2023 FSC-klagomål mail.docx", "A 49990-2023")</f>
        <v/>
      </c>
      <c r="X273">
        <f>HYPERLINK("https://klasma.github.io/Logging_0380/tillsyn/A 49990-2023 tillsynsbegäran.docx", "A 49990-2023")</f>
        <v/>
      </c>
      <c r="Y273">
        <f>HYPERLINK("https://klasma.github.io/Logging_0380/tillsynsmail/A 49990-2023 tillsynsbegäran mail.docx", "A 49990-2023")</f>
        <v/>
      </c>
      <c r="Z273">
        <f>HYPERLINK("https://klasma.github.io/Logging_0380/fåglar/A 49990-2023 prioriterade fågelarter.docx", "A 49990-2023")</f>
        <v/>
      </c>
    </row>
    <row r="274" ht="15" customHeight="1">
      <c r="A274" t="inlineStr">
        <is>
          <t>A 51733-2023</t>
        </is>
      </c>
      <c r="B274" s="1" t="n">
        <v>45222</v>
      </c>
      <c r="C274" s="1" t="n">
        <v>45705</v>
      </c>
      <c r="D274" t="inlineStr">
        <is>
          <t>UPPSALA LÄN</t>
        </is>
      </c>
      <c r="E274" t="inlineStr">
        <is>
          <t>HEBY</t>
        </is>
      </c>
      <c r="F274" t="inlineStr">
        <is>
          <t>Allmännings- och besparingsskogar</t>
        </is>
      </c>
      <c r="G274" t="n">
        <v>17.7</v>
      </c>
      <c r="H274" t="n">
        <v>3</v>
      </c>
      <c r="I274" t="n">
        <v>0</v>
      </c>
      <c r="J274" t="n">
        <v>0</v>
      </c>
      <c r="K274" t="n">
        <v>1</v>
      </c>
      <c r="L274" t="n">
        <v>0</v>
      </c>
      <c r="M274" t="n">
        <v>0</v>
      </c>
      <c r="N274" t="n">
        <v>0</v>
      </c>
      <c r="O274" t="n">
        <v>1</v>
      </c>
      <c r="P274" t="n">
        <v>1</v>
      </c>
      <c r="Q274" t="n">
        <v>3</v>
      </c>
      <c r="R274" s="2" t="inlineStr">
        <is>
          <t>Knärot
Blåsippa
Revlummer</t>
        </is>
      </c>
      <c r="S274">
        <f>HYPERLINK("https://klasma.github.io/Logging_0331/artfynd/A 51733-2023 artfynd.xlsx", "A 51733-2023")</f>
        <v/>
      </c>
      <c r="T274">
        <f>HYPERLINK("https://klasma.github.io/Logging_0331/kartor/A 51733-2023 karta.png", "A 51733-2023")</f>
        <v/>
      </c>
      <c r="U274">
        <f>HYPERLINK("https://klasma.github.io/Logging_0331/knärot/A 51733-2023 karta knärot.png", "A 51733-2023")</f>
        <v/>
      </c>
      <c r="V274">
        <f>HYPERLINK("https://klasma.github.io/Logging_0331/klagomål/A 51733-2023 FSC-klagomål.docx", "A 51733-2023")</f>
        <v/>
      </c>
      <c r="W274">
        <f>HYPERLINK("https://klasma.github.io/Logging_0331/klagomålsmail/A 51733-2023 FSC-klagomål mail.docx", "A 51733-2023")</f>
        <v/>
      </c>
      <c r="X274">
        <f>HYPERLINK("https://klasma.github.io/Logging_0331/tillsyn/A 51733-2023 tillsynsbegäran.docx", "A 51733-2023")</f>
        <v/>
      </c>
      <c r="Y274">
        <f>HYPERLINK("https://klasma.github.io/Logging_0331/tillsynsmail/A 51733-2023 tillsynsbegäran mail.docx", "A 51733-2023")</f>
        <v/>
      </c>
    </row>
    <row r="275" ht="15" customHeight="1">
      <c r="A275" t="inlineStr">
        <is>
          <t>A 53731-2023</t>
        </is>
      </c>
      <c r="B275" s="1" t="n">
        <v>45230</v>
      </c>
      <c r="C275" s="1" t="n">
        <v>45705</v>
      </c>
      <c r="D275" t="inlineStr">
        <is>
          <t>UPPSALA LÄN</t>
        </is>
      </c>
      <c r="E275" t="inlineStr">
        <is>
          <t>ÖSTHAMMAR</t>
        </is>
      </c>
      <c r="G275" t="n">
        <v>3.2</v>
      </c>
      <c r="H275" t="n">
        <v>0</v>
      </c>
      <c r="I275" t="n">
        <v>1</v>
      </c>
      <c r="J275" t="n">
        <v>1</v>
      </c>
      <c r="K275" t="n">
        <v>1</v>
      </c>
      <c r="L275" t="n">
        <v>0</v>
      </c>
      <c r="M275" t="n">
        <v>0</v>
      </c>
      <c r="N275" t="n">
        <v>0</v>
      </c>
      <c r="O275" t="n">
        <v>2</v>
      </c>
      <c r="P275" t="n">
        <v>1</v>
      </c>
      <c r="Q275" t="n">
        <v>3</v>
      </c>
      <c r="R275" s="2" t="inlineStr">
        <is>
          <t>Taggfingersvamp
Äggspindling
Sårläka</t>
        </is>
      </c>
      <c r="S275">
        <f>HYPERLINK("https://klasma.github.io/Logging_0382/artfynd/A 53731-2023 artfynd.xlsx", "A 53731-2023")</f>
        <v/>
      </c>
      <c r="T275">
        <f>HYPERLINK("https://klasma.github.io/Logging_0382/kartor/A 53731-2023 karta.png", "A 53731-2023")</f>
        <v/>
      </c>
      <c r="V275">
        <f>HYPERLINK("https://klasma.github.io/Logging_0382/klagomål/A 53731-2023 FSC-klagomål.docx", "A 53731-2023")</f>
        <v/>
      </c>
      <c r="W275">
        <f>HYPERLINK("https://klasma.github.io/Logging_0382/klagomålsmail/A 53731-2023 FSC-klagomål mail.docx", "A 53731-2023")</f>
        <v/>
      </c>
      <c r="X275">
        <f>HYPERLINK("https://klasma.github.io/Logging_0382/tillsyn/A 53731-2023 tillsynsbegäran.docx", "A 53731-2023")</f>
        <v/>
      </c>
      <c r="Y275">
        <f>HYPERLINK("https://klasma.github.io/Logging_0382/tillsynsmail/A 53731-2023 tillsynsbegäran mail.docx", "A 53731-2023")</f>
        <v/>
      </c>
    </row>
    <row r="276" ht="15" customHeight="1">
      <c r="A276" t="inlineStr">
        <is>
          <t>A 55535-2023</t>
        </is>
      </c>
      <c r="B276" s="1" t="n">
        <v>45238</v>
      </c>
      <c r="C276" s="1" t="n">
        <v>45705</v>
      </c>
      <c r="D276" t="inlineStr">
        <is>
          <t>UPPSALA LÄN</t>
        </is>
      </c>
      <c r="E276" t="inlineStr">
        <is>
          <t>KNIVSTA</t>
        </is>
      </c>
      <c r="G276" t="n">
        <v>5.7</v>
      </c>
      <c r="H276" t="n">
        <v>1</v>
      </c>
      <c r="I276" t="n">
        <v>1</v>
      </c>
      <c r="J276" t="n">
        <v>1</v>
      </c>
      <c r="K276" t="n">
        <v>0</v>
      </c>
      <c r="L276" t="n">
        <v>0</v>
      </c>
      <c r="M276" t="n">
        <v>0</v>
      </c>
      <c r="N276" t="n">
        <v>0</v>
      </c>
      <c r="O276" t="n">
        <v>1</v>
      </c>
      <c r="P276" t="n">
        <v>0</v>
      </c>
      <c r="Q276" t="n">
        <v>3</v>
      </c>
      <c r="R276" s="2" t="inlineStr">
        <is>
          <t>Fyrflikig jordstjärna
Svavelriska
Blåsippa</t>
        </is>
      </c>
      <c r="S276">
        <f>HYPERLINK("https://klasma.github.io/Logging_0330/artfynd/A 55535-2023 artfynd.xlsx", "A 55535-2023")</f>
        <v/>
      </c>
      <c r="T276">
        <f>HYPERLINK("https://klasma.github.io/Logging_0330/kartor/A 55535-2023 karta.png", "A 55535-2023")</f>
        <v/>
      </c>
      <c r="V276">
        <f>HYPERLINK("https://klasma.github.io/Logging_0330/klagomål/A 55535-2023 FSC-klagomål.docx", "A 55535-2023")</f>
        <v/>
      </c>
      <c r="W276">
        <f>HYPERLINK("https://klasma.github.io/Logging_0330/klagomålsmail/A 55535-2023 FSC-klagomål mail.docx", "A 55535-2023")</f>
        <v/>
      </c>
      <c r="X276">
        <f>HYPERLINK("https://klasma.github.io/Logging_0330/tillsyn/A 55535-2023 tillsynsbegäran.docx", "A 55535-2023")</f>
        <v/>
      </c>
      <c r="Y276">
        <f>HYPERLINK("https://klasma.github.io/Logging_0330/tillsynsmail/A 55535-2023 tillsynsbegäran mail.docx", "A 55535-2023")</f>
        <v/>
      </c>
    </row>
    <row r="277" ht="15" customHeight="1">
      <c r="A277" t="inlineStr">
        <is>
          <t>A 57633-2023</t>
        </is>
      </c>
      <c r="B277" s="1" t="n">
        <v>45246</v>
      </c>
      <c r="C277" s="1" t="n">
        <v>45705</v>
      </c>
      <c r="D277" t="inlineStr">
        <is>
          <t>UPPSALA LÄN</t>
        </is>
      </c>
      <c r="E277" t="inlineStr">
        <is>
          <t>ÖSTHAMMAR</t>
        </is>
      </c>
      <c r="F277" t="inlineStr">
        <is>
          <t>Bergvik skog öst AB</t>
        </is>
      </c>
      <c r="G277" t="n">
        <v>1</v>
      </c>
      <c r="H277" t="n">
        <v>1</v>
      </c>
      <c r="I277" t="n">
        <v>3</v>
      </c>
      <c r="J277" t="n">
        <v>0</v>
      </c>
      <c r="K277" t="n">
        <v>0</v>
      </c>
      <c r="L277" t="n">
        <v>0</v>
      </c>
      <c r="M277" t="n">
        <v>0</v>
      </c>
      <c r="N277" t="n">
        <v>0</v>
      </c>
      <c r="O277" t="n">
        <v>0</v>
      </c>
      <c r="P277" t="n">
        <v>0</v>
      </c>
      <c r="Q277" t="n">
        <v>3</v>
      </c>
      <c r="R277" s="2" t="inlineStr">
        <is>
          <t>Skogsknipprot
Svart trolldruva
Svavelriska</t>
        </is>
      </c>
      <c r="S277">
        <f>HYPERLINK("https://klasma.github.io/Logging_0382/artfynd/A 57633-2023 artfynd.xlsx", "A 57633-2023")</f>
        <v/>
      </c>
      <c r="T277">
        <f>HYPERLINK("https://klasma.github.io/Logging_0382/kartor/A 57633-2023 karta.png", "A 57633-2023")</f>
        <v/>
      </c>
      <c r="V277">
        <f>HYPERLINK("https://klasma.github.io/Logging_0382/klagomål/A 57633-2023 FSC-klagomål.docx", "A 57633-2023")</f>
        <v/>
      </c>
      <c r="W277">
        <f>HYPERLINK("https://klasma.github.io/Logging_0382/klagomålsmail/A 57633-2023 FSC-klagomål mail.docx", "A 57633-2023")</f>
        <v/>
      </c>
      <c r="X277">
        <f>HYPERLINK("https://klasma.github.io/Logging_0382/tillsyn/A 57633-2023 tillsynsbegäran.docx", "A 57633-2023")</f>
        <v/>
      </c>
      <c r="Y277">
        <f>HYPERLINK("https://klasma.github.io/Logging_0382/tillsynsmail/A 57633-2023 tillsynsbegäran mail.docx", "A 57633-2023")</f>
        <v/>
      </c>
    </row>
    <row r="278" ht="15" customHeight="1">
      <c r="A278" t="inlineStr">
        <is>
          <t>A 57636-2023</t>
        </is>
      </c>
      <c r="B278" s="1" t="n">
        <v>45246</v>
      </c>
      <c r="C278" s="1" t="n">
        <v>45705</v>
      </c>
      <c r="D278" t="inlineStr">
        <is>
          <t>UPPSALA LÄN</t>
        </is>
      </c>
      <c r="E278" t="inlineStr">
        <is>
          <t>ÖSTHAMMAR</t>
        </is>
      </c>
      <c r="F278" t="inlineStr">
        <is>
          <t>Bergvik skog öst AB</t>
        </is>
      </c>
      <c r="G278" t="n">
        <v>9.800000000000001</v>
      </c>
      <c r="H278" t="n">
        <v>1</v>
      </c>
      <c r="I278" t="n">
        <v>3</v>
      </c>
      <c r="J278" t="n">
        <v>0</v>
      </c>
      <c r="K278" t="n">
        <v>0</v>
      </c>
      <c r="L278" t="n">
        <v>0</v>
      </c>
      <c r="M278" t="n">
        <v>0</v>
      </c>
      <c r="N278" t="n">
        <v>0</v>
      </c>
      <c r="O278" t="n">
        <v>0</v>
      </c>
      <c r="P278" t="n">
        <v>0</v>
      </c>
      <c r="Q278" t="n">
        <v>3</v>
      </c>
      <c r="R278" s="2" t="inlineStr">
        <is>
          <t>Skogsknipprot
Svavelriska
Tibast</t>
        </is>
      </c>
      <c r="S278">
        <f>HYPERLINK("https://klasma.github.io/Logging_0382/artfynd/A 57636-2023 artfynd.xlsx", "A 57636-2023")</f>
        <v/>
      </c>
      <c r="T278">
        <f>HYPERLINK("https://klasma.github.io/Logging_0382/kartor/A 57636-2023 karta.png", "A 57636-2023")</f>
        <v/>
      </c>
      <c r="V278">
        <f>HYPERLINK("https://klasma.github.io/Logging_0382/klagomål/A 57636-2023 FSC-klagomål.docx", "A 57636-2023")</f>
        <v/>
      </c>
      <c r="W278">
        <f>HYPERLINK("https://klasma.github.io/Logging_0382/klagomålsmail/A 57636-2023 FSC-klagomål mail.docx", "A 57636-2023")</f>
        <v/>
      </c>
      <c r="X278">
        <f>HYPERLINK("https://klasma.github.io/Logging_0382/tillsyn/A 57636-2023 tillsynsbegäran.docx", "A 57636-2023")</f>
        <v/>
      </c>
      <c r="Y278">
        <f>HYPERLINK("https://klasma.github.io/Logging_0382/tillsynsmail/A 57636-2023 tillsynsbegäran mail.docx", "A 57636-2023")</f>
        <v/>
      </c>
    </row>
    <row r="279" ht="15" customHeight="1">
      <c r="A279" t="inlineStr">
        <is>
          <t>A 9715-2024</t>
        </is>
      </c>
      <c r="B279" s="1" t="n">
        <v>45362</v>
      </c>
      <c r="C279" s="1" t="n">
        <v>45705</v>
      </c>
      <c r="D279" t="inlineStr">
        <is>
          <t>UPPSALA LÄN</t>
        </is>
      </c>
      <c r="E279" t="inlineStr">
        <is>
          <t>ÖSTHAMMAR</t>
        </is>
      </c>
      <c r="G279" t="n">
        <v>4.7</v>
      </c>
      <c r="H279" t="n">
        <v>2</v>
      </c>
      <c r="I279" t="n">
        <v>2</v>
      </c>
      <c r="J279" t="n">
        <v>0</v>
      </c>
      <c r="K279" t="n">
        <v>1</v>
      </c>
      <c r="L279" t="n">
        <v>0</v>
      </c>
      <c r="M279" t="n">
        <v>0</v>
      </c>
      <c r="N279" t="n">
        <v>0</v>
      </c>
      <c r="O279" t="n">
        <v>1</v>
      </c>
      <c r="P279" t="n">
        <v>1</v>
      </c>
      <c r="Q279" t="n">
        <v>3</v>
      </c>
      <c r="R279" s="2" t="inlineStr">
        <is>
          <t>Knärot
Skogsknipprot
Vedticka</t>
        </is>
      </c>
      <c r="S279">
        <f>HYPERLINK("https://klasma.github.io/Logging_0382/artfynd/A 9715-2024 artfynd.xlsx", "A 9715-2024")</f>
        <v/>
      </c>
      <c r="T279">
        <f>HYPERLINK("https://klasma.github.io/Logging_0382/kartor/A 9715-2024 karta.png", "A 9715-2024")</f>
        <v/>
      </c>
      <c r="U279">
        <f>HYPERLINK("https://klasma.github.io/Logging_0382/knärot/A 9715-2024 karta knärot.png", "A 9715-2024")</f>
        <v/>
      </c>
      <c r="V279">
        <f>HYPERLINK("https://klasma.github.io/Logging_0382/klagomål/A 9715-2024 FSC-klagomål.docx", "A 9715-2024")</f>
        <v/>
      </c>
      <c r="W279">
        <f>HYPERLINK("https://klasma.github.io/Logging_0382/klagomålsmail/A 9715-2024 FSC-klagomål mail.docx", "A 9715-2024")</f>
        <v/>
      </c>
      <c r="X279">
        <f>HYPERLINK("https://klasma.github.io/Logging_0382/tillsyn/A 9715-2024 tillsynsbegäran.docx", "A 9715-2024")</f>
        <v/>
      </c>
      <c r="Y279">
        <f>HYPERLINK("https://klasma.github.io/Logging_0382/tillsynsmail/A 9715-2024 tillsynsbegäran mail.docx", "A 9715-2024")</f>
        <v/>
      </c>
    </row>
    <row r="280" ht="15" customHeight="1">
      <c r="A280" t="inlineStr">
        <is>
          <t>A 17004-2024</t>
        </is>
      </c>
      <c r="B280" s="1" t="n">
        <v>45412</v>
      </c>
      <c r="C280" s="1" t="n">
        <v>45705</v>
      </c>
      <c r="D280" t="inlineStr">
        <is>
          <t>UPPSALA LÄN</t>
        </is>
      </c>
      <c r="E280" t="inlineStr">
        <is>
          <t>ÖSTHAMMAR</t>
        </is>
      </c>
      <c r="F280" t="inlineStr">
        <is>
          <t>Bergvik skog öst AB</t>
        </is>
      </c>
      <c r="G280" t="n">
        <v>24.4</v>
      </c>
      <c r="H280" t="n">
        <v>0</v>
      </c>
      <c r="I280" t="n">
        <v>2</v>
      </c>
      <c r="J280" t="n">
        <v>0</v>
      </c>
      <c r="K280" t="n">
        <v>0</v>
      </c>
      <c r="L280" t="n">
        <v>0</v>
      </c>
      <c r="M280" t="n">
        <v>1</v>
      </c>
      <c r="N280" t="n">
        <v>0</v>
      </c>
      <c r="O280" t="n">
        <v>1</v>
      </c>
      <c r="P280" t="n">
        <v>1</v>
      </c>
      <c r="Q280" t="n">
        <v>3</v>
      </c>
      <c r="R280" s="2" t="inlineStr">
        <is>
          <t>Skogsalm
Myskmadra
Underviol</t>
        </is>
      </c>
      <c r="S280">
        <f>HYPERLINK("https://klasma.github.io/Logging_0382/artfynd/A 17004-2024 artfynd.xlsx", "A 17004-2024")</f>
        <v/>
      </c>
      <c r="T280">
        <f>HYPERLINK("https://klasma.github.io/Logging_0382/kartor/A 17004-2024 karta.png", "A 17004-2024")</f>
        <v/>
      </c>
      <c r="V280">
        <f>HYPERLINK("https://klasma.github.io/Logging_0382/klagomål/A 17004-2024 FSC-klagomål.docx", "A 17004-2024")</f>
        <v/>
      </c>
      <c r="W280">
        <f>HYPERLINK("https://klasma.github.io/Logging_0382/klagomålsmail/A 17004-2024 FSC-klagomål mail.docx", "A 17004-2024")</f>
        <v/>
      </c>
      <c r="X280">
        <f>HYPERLINK("https://klasma.github.io/Logging_0382/tillsyn/A 17004-2024 tillsynsbegäran.docx", "A 17004-2024")</f>
        <v/>
      </c>
      <c r="Y280">
        <f>HYPERLINK("https://klasma.github.io/Logging_0382/tillsynsmail/A 17004-2024 tillsynsbegäran mail.docx", "A 17004-2024")</f>
        <v/>
      </c>
    </row>
    <row r="281" ht="15" customHeight="1">
      <c r="A281" t="inlineStr">
        <is>
          <t>A 22185-2024</t>
        </is>
      </c>
      <c r="B281" s="1" t="n">
        <v>45446</v>
      </c>
      <c r="C281" s="1" t="n">
        <v>45705</v>
      </c>
      <c r="D281" t="inlineStr">
        <is>
          <t>UPPSALA LÄN</t>
        </is>
      </c>
      <c r="E281" t="inlineStr">
        <is>
          <t>HEBY</t>
        </is>
      </c>
      <c r="F281" t="inlineStr">
        <is>
          <t>Bergvik skog väst AB</t>
        </is>
      </c>
      <c r="G281" t="n">
        <v>17.3</v>
      </c>
      <c r="H281" t="n">
        <v>0</v>
      </c>
      <c r="I281" t="n">
        <v>2</v>
      </c>
      <c r="J281" t="n">
        <v>0</v>
      </c>
      <c r="K281" t="n">
        <v>1</v>
      </c>
      <c r="L281" t="n">
        <v>0</v>
      </c>
      <c r="M281" t="n">
        <v>0</v>
      </c>
      <c r="N281" t="n">
        <v>0</v>
      </c>
      <c r="O281" t="n">
        <v>1</v>
      </c>
      <c r="P281" t="n">
        <v>1</v>
      </c>
      <c r="Q281" t="n">
        <v>3</v>
      </c>
      <c r="R281" s="2" t="inlineStr">
        <is>
          <t>Aspsplintbock
Aspvedgnagare
Myskbock</t>
        </is>
      </c>
      <c r="S281">
        <f>HYPERLINK("https://klasma.github.io/Logging_0331/artfynd/A 22185-2024 artfynd.xlsx", "A 22185-2024")</f>
        <v/>
      </c>
      <c r="T281">
        <f>HYPERLINK("https://klasma.github.io/Logging_0331/kartor/A 22185-2024 karta.png", "A 22185-2024")</f>
        <v/>
      </c>
      <c r="V281">
        <f>HYPERLINK("https://klasma.github.io/Logging_0331/klagomål/A 22185-2024 FSC-klagomål.docx", "A 22185-2024")</f>
        <v/>
      </c>
      <c r="W281">
        <f>HYPERLINK("https://klasma.github.io/Logging_0331/klagomålsmail/A 22185-2024 FSC-klagomål mail.docx", "A 22185-2024")</f>
        <v/>
      </c>
      <c r="X281">
        <f>HYPERLINK("https://klasma.github.io/Logging_0331/tillsyn/A 22185-2024 tillsynsbegäran.docx", "A 22185-2024")</f>
        <v/>
      </c>
      <c r="Y281">
        <f>HYPERLINK("https://klasma.github.io/Logging_0331/tillsynsmail/A 22185-2024 tillsynsbegäran mail.docx", "A 22185-2024")</f>
        <v/>
      </c>
    </row>
    <row r="282" ht="15" customHeight="1">
      <c r="A282" t="inlineStr">
        <is>
          <t>A 29322-2024</t>
        </is>
      </c>
      <c r="B282" s="1" t="n">
        <v>45483</v>
      </c>
      <c r="C282" s="1" t="n">
        <v>45705</v>
      </c>
      <c r="D282" t="inlineStr">
        <is>
          <t>UPPSALA LÄN</t>
        </is>
      </c>
      <c r="E282" t="inlineStr">
        <is>
          <t>ÖSTHAMMAR</t>
        </is>
      </c>
      <c r="G282" t="n">
        <v>11.9</v>
      </c>
      <c r="H282" t="n">
        <v>0</v>
      </c>
      <c r="I282" t="n">
        <v>2</v>
      </c>
      <c r="J282" t="n">
        <v>1</v>
      </c>
      <c r="K282" t="n">
        <v>0</v>
      </c>
      <c r="L282" t="n">
        <v>0</v>
      </c>
      <c r="M282" t="n">
        <v>0</v>
      </c>
      <c r="N282" t="n">
        <v>0</v>
      </c>
      <c r="O282" t="n">
        <v>1</v>
      </c>
      <c r="P282" t="n">
        <v>0</v>
      </c>
      <c r="Q282" t="n">
        <v>3</v>
      </c>
      <c r="R282" s="2" t="inlineStr">
        <is>
          <t>Äggspindling
Anisspindling
Guldkremla</t>
        </is>
      </c>
      <c r="S282">
        <f>HYPERLINK("https://klasma.github.io/Logging_0382/artfynd/A 29322-2024 artfynd.xlsx", "A 29322-2024")</f>
        <v/>
      </c>
      <c r="T282">
        <f>HYPERLINK("https://klasma.github.io/Logging_0382/kartor/A 29322-2024 karta.png", "A 29322-2024")</f>
        <v/>
      </c>
      <c r="V282">
        <f>HYPERLINK("https://klasma.github.io/Logging_0382/klagomål/A 29322-2024 FSC-klagomål.docx", "A 29322-2024")</f>
        <v/>
      </c>
      <c r="W282">
        <f>HYPERLINK("https://klasma.github.io/Logging_0382/klagomålsmail/A 29322-2024 FSC-klagomål mail.docx", "A 29322-2024")</f>
        <v/>
      </c>
      <c r="X282">
        <f>HYPERLINK("https://klasma.github.io/Logging_0382/tillsyn/A 29322-2024 tillsynsbegäran.docx", "A 29322-2024")</f>
        <v/>
      </c>
      <c r="Y282">
        <f>HYPERLINK("https://klasma.github.io/Logging_0382/tillsynsmail/A 29322-2024 tillsynsbegäran mail.docx", "A 29322-2024")</f>
        <v/>
      </c>
    </row>
    <row r="283" ht="15" customHeight="1">
      <c r="A283" t="inlineStr">
        <is>
          <t>A 31174-2024</t>
        </is>
      </c>
      <c r="B283" s="1" t="n">
        <v>45503</v>
      </c>
      <c r="C283" s="1" t="n">
        <v>45705</v>
      </c>
      <c r="D283" t="inlineStr">
        <is>
          <t>UPPSALA LÄN</t>
        </is>
      </c>
      <c r="E283" t="inlineStr">
        <is>
          <t>HEBY</t>
        </is>
      </c>
      <c r="G283" t="n">
        <v>4.5</v>
      </c>
      <c r="H283" t="n">
        <v>1</v>
      </c>
      <c r="I283" t="n">
        <v>0</v>
      </c>
      <c r="J283" t="n">
        <v>1</v>
      </c>
      <c r="K283" t="n">
        <v>1</v>
      </c>
      <c r="L283" t="n">
        <v>0</v>
      </c>
      <c r="M283" t="n">
        <v>0</v>
      </c>
      <c r="N283" t="n">
        <v>0</v>
      </c>
      <c r="O283" t="n">
        <v>2</v>
      </c>
      <c r="P283" t="n">
        <v>1</v>
      </c>
      <c r="Q283" t="n">
        <v>3</v>
      </c>
      <c r="R283" s="2" t="inlineStr">
        <is>
          <t>Lammticka
Motaggsvamp
Vanlig snok</t>
        </is>
      </c>
      <c r="S283">
        <f>HYPERLINK("https://klasma.github.io/Logging_0331/artfynd/A 31174-2024 artfynd.xlsx", "A 31174-2024")</f>
        <v/>
      </c>
      <c r="T283">
        <f>HYPERLINK("https://klasma.github.io/Logging_0331/kartor/A 31174-2024 karta.png", "A 31174-2024")</f>
        <v/>
      </c>
      <c r="V283">
        <f>HYPERLINK("https://klasma.github.io/Logging_0331/klagomål/A 31174-2024 FSC-klagomål.docx", "A 31174-2024")</f>
        <v/>
      </c>
      <c r="W283">
        <f>HYPERLINK("https://klasma.github.io/Logging_0331/klagomålsmail/A 31174-2024 FSC-klagomål mail.docx", "A 31174-2024")</f>
        <v/>
      </c>
      <c r="X283">
        <f>HYPERLINK("https://klasma.github.io/Logging_0331/tillsyn/A 31174-2024 tillsynsbegäran.docx", "A 31174-2024")</f>
        <v/>
      </c>
      <c r="Y283">
        <f>HYPERLINK("https://klasma.github.io/Logging_0331/tillsynsmail/A 31174-2024 tillsynsbegäran mail.docx", "A 31174-2024")</f>
        <v/>
      </c>
    </row>
    <row r="284" ht="15" customHeight="1">
      <c r="A284" t="inlineStr">
        <is>
          <t>A 31758-2024</t>
        </is>
      </c>
      <c r="B284" s="1" t="n">
        <v>45509</v>
      </c>
      <c r="C284" s="1" t="n">
        <v>45705</v>
      </c>
      <c r="D284" t="inlineStr">
        <is>
          <t>UPPSALA LÄN</t>
        </is>
      </c>
      <c r="E284" t="inlineStr">
        <is>
          <t>HEBY</t>
        </is>
      </c>
      <c r="G284" t="n">
        <v>5</v>
      </c>
      <c r="H284" t="n">
        <v>0</v>
      </c>
      <c r="I284" t="n">
        <v>0</v>
      </c>
      <c r="J284" t="n">
        <v>2</v>
      </c>
      <c r="K284" t="n">
        <v>1</v>
      </c>
      <c r="L284" t="n">
        <v>0</v>
      </c>
      <c r="M284" t="n">
        <v>0</v>
      </c>
      <c r="N284" t="n">
        <v>0</v>
      </c>
      <c r="O284" t="n">
        <v>3</v>
      </c>
      <c r="P284" t="n">
        <v>1</v>
      </c>
      <c r="Q284" t="n">
        <v>3</v>
      </c>
      <c r="R284" s="2" t="inlineStr">
        <is>
          <t>Lammticka
Druvfingersvamp
Motaggsvamp</t>
        </is>
      </c>
      <c r="S284">
        <f>HYPERLINK("https://klasma.github.io/Logging_0331/artfynd/A 31758-2024 artfynd.xlsx", "A 31758-2024")</f>
        <v/>
      </c>
      <c r="T284">
        <f>HYPERLINK("https://klasma.github.io/Logging_0331/kartor/A 31758-2024 karta.png", "A 31758-2024")</f>
        <v/>
      </c>
      <c r="V284">
        <f>HYPERLINK("https://klasma.github.io/Logging_0331/klagomål/A 31758-2024 FSC-klagomål.docx", "A 31758-2024")</f>
        <v/>
      </c>
      <c r="W284">
        <f>HYPERLINK("https://klasma.github.io/Logging_0331/klagomålsmail/A 31758-2024 FSC-klagomål mail.docx", "A 31758-2024")</f>
        <v/>
      </c>
      <c r="X284">
        <f>HYPERLINK("https://klasma.github.io/Logging_0331/tillsyn/A 31758-2024 tillsynsbegäran.docx", "A 31758-2024")</f>
        <v/>
      </c>
      <c r="Y284">
        <f>HYPERLINK("https://klasma.github.io/Logging_0331/tillsynsmail/A 31758-2024 tillsynsbegäran mail.docx", "A 31758-2024")</f>
        <v/>
      </c>
    </row>
    <row r="285" ht="15" customHeight="1">
      <c r="A285" t="inlineStr">
        <is>
          <t>A 33803-2024</t>
        </is>
      </c>
      <c r="B285" s="1" t="n">
        <v>45520</v>
      </c>
      <c r="C285" s="1" t="n">
        <v>45705</v>
      </c>
      <c r="D285" t="inlineStr">
        <is>
          <t>UPPSALA LÄN</t>
        </is>
      </c>
      <c r="E285" t="inlineStr">
        <is>
          <t>ÄLVKARLEBY</t>
        </is>
      </c>
      <c r="F285" t="inlineStr">
        <is>
          <t>Bergvik skog väst AB</t>
        </is>
      </c>
      <c r="G285" t="n">
        <v>1.6</v>
      </c>
      <c r="H285" t="n">
        <v>0</v>
      </c>
      <c r="I285" t="n">
        <v>3</v>
      </c>
      <c r="J285" t="n">
        <v>0</v>
      </c>
      <c r="K285" t="n">
        <v>0</v>
      </c>
      <c r="L285" t="n">
        <v>0</v>
      </c>
      <c r="M285" t="n">
        <v>0</v>
      </c>
      <c r="N285" t="n">
        <v>0</v>
      </c>
      <c r="O285" t="n">
        <v>0</v>
      </c>
      <c r="P285" t="n">
        <v>0</v>
      </c>
      <c r="Q285" t="n">
        <v>3</v>
      </c>
      <c r="R285" s="2" t="inlineStr">
        <is>
          <t>Bronshjon
Thomsons trägnagare
Tibast</t>
        </is>
      </c>
      <c r="S285">
        <f>HYPERLINK("https://klasma.github.io/Logging_0319/artfynd/A 33803-2024 artfynd.xlsx", "A 33803-2024")</f>
        <v/>
      </c>
      <c r="T285">
        <f>HYPERLINK("https://klasma.github.io/Logging_0319/kartor/A 33803-2024 karta.png", "A 33803-2024")</f>
        <v/>
      </c>
      <c r="V285">
        <f>HYPERLINK("https://klasma.github.io/Logging_0319/klagomål/A 33803-2024 FSC-klagomål.docx", "A 33803-2024")</f>
        <v/>
      </c>
      <c r="W285">
        <f>HYPERLINK("https://klasma.github.io/Logging_0319/klagomålsmail/A 33803-2024 FSC-klagomål mail.docx", "A 33803-2024")</f>
        <v/>
      </c>
      <c r="X285">
        <f>HYPERLINK("https://klasma.github.io/Logging_0319/tillsyn/A 33803-2024 tillsynsbegäran.docx", "A 33803-2024")</f>
        <v/>
      </c>
      <c r="Y285">
        <f>HYPERLINK("https://klasma.github.io/Logging_0319/tillsynsmail/A 33803-2024 tillsynsbegäran mail.docx", "A 33803-2024")</f>
        <v/>
      </c>
    </row>
    <row r="286" ht="15" customHeight="1">
      <c r="A286" t="inlineStr">
        <is>
          <t>A 34798-2024</t>
        </is>
      </c>
      <c r="B286" s="1" t="n">
        <v>45526</v>
      </c>
      <c r="C286" s="1" t="n">
        <v>45705</v>
      </c>
      <c r="D286" t="inlineStr">
        <is>
          <t>UPPSALA LÄN</t>
        </is>
      </c>
      <c r="E286" t="inlineStr">
        <is>
          <t>ÄLVKARLEBY</t>
        </is>
      </c>
      <c r="F286" t="inlineStr">
        <is>
          <t>Bergvik skog väst AB</t>
        </is>
      </c>
      <c r="G286" t="n">
        <v>13.8</v>
      </c>
      <c r="H286" t="n">
        <v>0</v>
      </c>
      <c r="I286" t="n">
        <v>3</v>
      </c>
      <c r="J286" t="n">
        <v>0</v>
      </c>
      <c r="K286" t="n">
        <v>0</v>
      </c>
      <c r="L286" t="n">
        <v>0</v>
      </c>
      <c r="M286" t="n">
        <v>0</v>
      </c>
      <c r="N286" t="n">
        <v>0</v>
      </c>
      <c r="O286" t="n">
        <v>0</v>
      </c>
      <c r="P286" t="n">
        <v>0</v>
      </c>
      <c r="Q286" t="n">
        <v>3</v>
      </c>
      <c r="R286" s="2" t="inlineStr">
        <is>
          <t>Rödgul trumpetsvamp
Tibast
Vätteros</t>
        </is>
      </c>
      <c r="S286">
        <f>HYPERLINK("https://klasma.github.io/Logging_0319/artfynd/A 34798-2024 artfynd.xlsx", "A 34798-2024")</f>
        <v/>
      </c>
      <c r="T286">
        <f>HYPERLINK("https://klasma.github.io/Logging_0319/kartor/A 34798-2024 karta.png", "A 34798-2024")</f>
        <v/>
      </c>
      <c r="V286">
        <f>HYPERLINK("https://klasma.github.io/Logging_0319/klagomål/A 34798-2024 FSC-klagomål.docx", "A 34798-2024")</f>
        <v/>
      </c>
      <c r="W286">
        <f>HYPERLINK("https://klasma.github.io/Logging_0319/klagomålsmail/A 34798-2024 FSC-klagomål mail.docx", "A 34798-2024")</f>
        <v/>
      </c>
      <c r="X286">
        <f>HYPERLINK("https://klasma.github.io/Logging_0319/tillsyn/A 34798-2024 tillsynsbegäran.docx", "A 34798-2024")</f>
        <v/>
      </c>
      <c r="Y286">
        <f>HYPERLINK("https://klasma.github.io/Logging_0319/tillsynsmail/A 34798-2024 tillsynsbegäran mail.docx", "A 34798-2024")</f>
        <v/>
      </c>
    </row>
    <row r="287" ht="15" customHeight="1">
      <c r="A287" t="inlineStr">
        <is>
          <t>A 39228-2024</t>
        </is>
      </c>
      <c r="B287" s="1" t="n">
        <v>45550</v>
      </c>
      <c r="C287" s="1" t="n">
        <v>45705</v>
      </c>
      <c r="D287" t="inlineStr">
        <is>
          <t>UPPSALA LÄN</t>
        </is>
      </c>
      <c r="E287" t="inlineStr">
        <is>
          <t>UPPSALA</t>
        </is>
      </c>
      <c r="G287" t="n">
        <v>2</v>
      </c>
      <c r="H287" t="n">
        <v>2</v>
      </c>
      <c r="I287" t="n">
        <v>1</v>
      </c>
      <c r="J287" t="n">
        <v>0</v>
      </c>
      <c r="K287" t="n">
        <v>0</v>
      </c>
      <c r="L287" t="n">
        <v>0</v>
      </c>
      <c r="M287" t="n">
        <v>0</v>
      </c>
      <c r="N287" t="n">
        <v>0</v>
      </c>
      <c r="O287" t="n">
        <v>0</v>
      </c>
      <c r="P287" t="n">
        <v>0</v>
      </c>
      <c r="Q287" t="n">
        <v>3</v>
      </c>
      <c r="R287" s="2" t="inlineStr">
        <is>
          <t>Sotlav
Fläcknycklar
Blåsippa</t>
        </is>
      </c>
      <c r="S287">
        <f>HYPERLINK("https://klasma.github.io/Logging_0380/artfynd/A 39228-2024 artfynd.xlsx", "A 39228-2024")</f>
        <v/>
      </c>
      <c r="T287">
        <f>HYPERLINK("https://klasma.github.io/Logging_0380/kartor/A 39228-2024 karta.png", "A 39228-2024")</f>
        <v/>
      </c>
      <c r="V287">
        <f>HYPERLINK("https://klasma.github.io/Logging_0380/klagomål/A 39228-2024 FSC-klagomål.docx", "A 39228-2024")</f>
        <v/>
      </c>
      <c r="W287">
        <f>HYPERLINK("https://klasma.github.io/Logging_0380/klagomålsmail/A 39228-2024 FSC-klagomål mail.docx", "A 39228-2024")</f>
        <v/>
      </c>
      <c r="X287">
        <f>HYPERLINK("https://klasma.github.io/Logging_0380/tillsyn/A 39228-2024 tillsynsbegäran.docx", "A 39228-2024")</f>
        <v/>
      </c>
      <c r="Y287">
        <f>HYPERLINK("https://klasma.github.io/Logging_0380/tillsynsmail/A 39228-2024 tillsynsbegäran mail.docx", "A 39228-2024")</f>
        <v/>
      </c>
    </row>
    <row r="288" ht="15" customHeight="1">
      <c r="A288" t="inlineStr">
        <is>
          <t>A 41443-2024</t>
        </is>
      </c>
      <c r="B288" s="1" t="n">
        <v>45560</v>
      </c>
      <c r="C288" s="1" t="n">
        <v>45705</v>
      </c>
      <c r="D288" t="inlineStr">
        <is>
          <t>UPPSALA LÄN</t>
        </is>
      </c>
      <c r="E288" t="inlineStr">
        <is>
          <t>ÖSTHAMMAR</t>
        </is>
      </c>
      <c r="F288" t="inlineStr">
        <is>
          <t>Bergvik skog väst AB</t>
        </is>
      </c>
      <c r="G288" t="n">
        <v>10.7</v>
      </c>
      <c r="H288" t="n">
        <v>2</v>
      </c>
      <c r="I288" t="n">
        <v>1</v>
      </c>
      <c r="J288" t="n">
        <v>1</v>
      </c>
      <c r="K288" t="n">
        <v>0</v>
      </c>
      <c r="L288" t="n">
        <v>0</v>
      </c>
      <c r="M288" t="n">
        <v>0</v>
      </c>
      <c r="N288" t="n">
        <v>0</v>
      </c>
      <c r="O288" t="n">
        <v>1</v>
      </c>
      <c r="P288" t="n">
        <v>0</v>
      </c>
      <c r="Q288" t="n">
        <v>3</v>
      </c>
      <c r="R288" s="2" t="inlineStr">
        <is>
          <t>Spillkråka
Brandticka
Blåsippa</t>
        </is>
      </c>
      <c r="S288">
        <f>HYPERLINK("https://klasma.github.io/Logging_0382/artfynd/A 41443-2024 artfynd.xlsx", "A 41443-2024")</f>
        <v/>
      </c>
      <c r="T288">
        <f>HYPERLINK("https://klasma.github.io/Logging_0382/kartor/A 41443-2024 karta.png", "A 41443-2024")</f>
        <v/>
      </c>
      <c r="V288">
        <f>HYPERLINK("https://klasma.github.io/Logging_0382/klagomål/A 41443-2024 FSC-klagomål.docx", "A 41443-2024")</f>
        <v/>
      </c>
      <c r="W288">
        <f>HYPERLINK("https://klasma.github.io/Logging_0382/klagomålsmail/A 41443-2024 FSC-klagomål mail.docx", "A 41443-2024")</f>
        <v/>
      </c>
      <c r="X288">
        <f>HYPERLINK("https://klasma.github.io/Logging_0382/tillsyn/A 41443-2024 tillsynsbegäran.docx", "A 41443-2024")</f>
        <v/>
      </c>
      <c r="Y288">
        <f>HYPERLINK("https://klasma.github.io/Logging_0382/tillsynsmail/A 41443-2024 tillsynsbegäran mail.docx", "A 41443-2024")</f>
        <v/>
      </c>
      <c r="Z288">
        <f>HYPERLINK("https://klasma.github.io/Logging_0382/fåglar/A 41443-2024 prioriterade fågelarter.docx", "A 41443-2024")</f>
        <v/>
      </c>
    </row>
    <row r="289" ht="15" customHeight="1">
      <c r="A289" t="inlineStr">
        <is>
          <t>A 46735-2024</t>
        </is>
      </c>
      <c r="B289" s="1" t="n">
        <v>45583</v>
      </c>
      <c r="C289" s="1" t="n">
        <v>45705</v>
      </c>
      <c r="D289" t="inlineStr">
        <is>
          <t>UPPSALA LÄN</t>
        </is>
      </c>
      <c r="E289" t="inlineStr">
        <is>
          <t>UPPSALA</t>
        </is>
      </c>
      <c r="F289" t="inlineStr">
        <is>
          <t>Sveaskog</t>
        </is>
      </c>
      <c r="G289" t="n">
        <v>2.3</v>
      </c>
      <c r="H289" t="n">
        <v>1</v>
      </c>
      <c r="I289" t="n">
        <v>1</v>
      </c>
      <c r="J289" t="n">
        <v>1</v>
      </c>
      <c r="K289" t="n">
        <v>1</v>
      </c>
      <c r="L289" t="n">
        <v>0</v>
      </c>
      <c r="M289" t="n">
        <v>0</v>
      </c>
      <c r="N289" t="n">
        <v>0</v>
      </c>
      <c r="O289" t="n">
        <v>2</v>
      </c>
      <c r="P289" t="n">
        <v>1</v>
      </c>
      <c r="Q289" t="n">
        <v>3</v>
      </c>
      <c r="R289" s="2" t="inlineStr">
        <is>
          <t>Knärot
Vedtrappmossa
Mörk husmossa</t>
        </is>
      </c>
      <c r="S289">
        <f>HYPERLINK("https://klasma.github.io/Logging_0380/artfynd/A 46735-2024 artfynd.xlsx", "A 46735-2024")</f>
        <v/>
      </c>
      <c r="T289">
        <f>HYPERLINK("https://klasma.github.io/Logging_0380/kartor/A 46735-2024 karta.png", "A 46735-2024")</f>
        <v/>
      </c>
      <c r="U289">
        <f>HYPERLINK("https://klasma.github.io/Logging_0380/knärot/A 46735-2024 karta knärot.png", "A 46735-2024")</f>
        <v/>
      </c>
      <c r="V289">
        <f>HYPERLINK("https://klasma.github.io/Logging_0380/klagomål/A 46735-2024 FSC-klagomål.docx", "A 46735-2024")</f>
        <v/>
      </c>
      <c r="W289">
        <f>HYPERLINK("https://klasma.github.io/Logging_0380/klagomålsmail/A 46735-2024 FSC-klagomål mail.docx", "A 46735-2024")</f>
        <v/>
      </c>
      <c r="X289">
        <f>HYPERLINK("https://klasma.github.io/Logging_0380/tillsyn/A 46735-2024 tillsynsbegäran.docx", "A 46735-2024")</f>
        <v/>
      </c>
      <c r="Y289">
        <f>HYPERLINK("https://klasma.github.io/Logging_0380/tillsynsmail/A 46735-2024 tillsynsbegäran mail.docx", "A 46735-2024")</f>
        <v/>
      </c>
    </row>
    <row r="290" ht="15" customHeight="1">
      <c r="A290" t="inlineStr">
        <is>
          <t>A 47653-2024</t>
        </is>
      </c>
      <c r="B290" s="1" t="n">
        <v>45588</v>
      </c>
      <c r="C290" s="1" t="n">
        <v>45705</v>
      </c>
      <c r="D290" t="inlineStr">
        <is>
          <t>UPPSALA LÄN</t>
        </is>
      </c>
      <c r="E290" t="inlineStr">
        <is>
          <t>HÅBO</t>
        </is>
      </c>
      <c r="G290" t="n">
        <v>3</v>
      </c>
      <c r="H290" t="n">
        <v>2</v>
      </c>
      <c r="I290" t="n">
        <v>1</v>
      </c>
      <c r="J290" t="n">
        <v>1</v>
      </c>
      <c r="K290" t="n">
        <v>0</v>
      </c>
      <c r="L290" t="n">
        <v>0</v>
      </c>
      <c r="M290" t="n">
        <v>0</v>
      </c>
      <c r="N290" t="n">
        <v>0</v>
      </c>
      <c r="O290" t="n">
        <v>1</v>
      </c>
      <c r="P290" t="n">
        <v>0</v>
      </c>
      <c r="Q290" t="n">
        <v>3</v>
      </c>
      <c r="R290" s="2" t="inlineStr">
        <is>
          <t>Backklöver
Nästrot
Blåsippa</t>
        </is>
      </c>
      <c r="S290">
        <f>HYPERLINK("https://klasma.github.io/Logging_0305/artfynd/A 47653-2024 artfynd.xlsx", "A 47653-2024")</f>
        <v/>
      </c>
      <c r="T290">
        <f>HYPERLINK("https://klasma.github.io/Logging_0305/kartor/A 47653-2024 karta.png", "A 47653-2024")</f>
        <v/>
      </c>
      <c r="V290">
        <f>HYPERLINK("https://klasma.github.io/Logging_0305/klagomål/A 47653-2024 FSC-klagomål.docx", "A 47653-2024")</f>
        <v/>
      </c>
      <c r="W290">
        <f>HYPERLINK("https://klasma.github.io/Logging_0305/klagomålsmail/A 47653-2024 FSC-klagomål mail.docx", "A 47653-2024")</f>
        <v/>
      </c>
      <c r="X290">
        <f>HYPERLINK("https://klasma.github.io/Logging_0305/tillsyn/A 47653-2024 tillsynsbegäran.docx", "A 47653-2024")</f>
        <v/>
      </c>
      <c r="Y290">
        <f>HYPERLINK("https://klasma.github.io/Logging_0305/tillsynsmail/A 47653-2024 tillsynsbegäran mail.docx", "A 47653-2024")</f>
        <v/>
      </c>
    </row>
    <row r="291" ht="15" customHeight="1">
      <c r="A291" t="inlineStr">
        <is>
          <t>A 50466-2024</t>
        </is>
      </c>
      <c r="B291" s="1" t="n">
        <v>45601</v>
      </c>
      <c r="C291" s="1" t="n">
        <v>45705</v>
      </c>
      <c r="D291" t="inlineStr">
        <is>
          <t>UPPSALA LÄN</t>
        </is>
      </c>
      <c r="E291" t="inlineStr">
        <is>
          <t>HEBY</t>
        </is>
      </c>
      <c r="G291" t="n">
        <v>2.4</v>
      </c>
      <c r="H291" t="n">
        <v>3</v>
      </c>
      <c r="I291" t="n">
        <v>0</v>
      </c>
      <c r="J291" t="n">
        <v>0</v>
      </c>
      <c r="K291" t="n">
        <v>2</v>
      </c>
      <c r="L291" t="n">
        <v>0</v>
      </c>
      <c r="M291" t="n">
        <v>0</v>
      </c>
      <c r="N291" t="n">
        <v>0</v>
      </c>
      <c r="O291" t="n">
        <v>2</v>
      </c>
      <c r="P291" t="n">
        <v>2</v>
      </c>
      <c r="Q291" t="n">
        <v>3</v>
      </c>
      <c r="R291" s="2" t="inlineStr">
        <is>
          <t>Knärot
Väddnätfjäril
Tjäder</t>
        </is>
      </c>
      <c r="S291">
        <f>HYPERLINK("https://klasma.github.io/Logging_0331/artfynd/A 50466-2024 artfynd.xlsx", "A 50466-2024")</f>
        <v/>
      </c>
      <c r="T291">
        <f>HYPERLINK("https://klasma.github.io/Logging_0331/kartor/A 50466-2024 karta.png", "A 50466-2024")</f>
        <v/>
      </c>
      <c r="U291">
        <f>HYPERLINK("https://klasma.github.io/Logging_0331/knärot/A 50466-2024 karta knärot.png", "A 50466-2024")</f>
        <v/>
      </c>
      <c r="V291">
        <f>HYPERLINK("https://klasma.github.io/Logging_0331/klagomål/A 50466-2024 FSC-klagomål.docx", "A 50466-2024")</f>
        <v/>
      </c>
      <c r="W291">
        <f>HYPERLINK("https://klasma.github.io/Logging_0331/klagomålsmail/A 50466-2024 FSC-klagomål mail.docx", "A 50466-2024")</f>
        <v/>
      </c>
      <c r="X291">
        <f>HYPERLINK("https://klasma.github.io/Logging_0331/tillsyn/A 50466-2024 tillsynsbegäran.docx", "A 50466-2024")</f>
        <v/>
      </c>
      <c r="Y291">
        <f>HYPERLINK("https://klasma.github.io/Logging_0331/tillsynsmail/A 50466-2024 tillsynsbegäran mail.docx", "A 50466-2024")</f>
        <v/>
      </c>
      <c r="Z291">
        <f>HYPERLINK("https://klasma.github.io/Logging_0331/fåglar/A 50466-2024 prioriterade fågelarter.docx", "A 50466-2024")</f>
        <v/>
      </c>
    </row>
    <row r="292" ht="15" customHeight="1">
      <c r="A292" t="inlineStr">
        <is>
          <t>A 55186-2024</t>
        </is>
      </c>
      <c r="B292" s="1" t="n">
        <v>45621</v>
      </c>
      <c r="C292" s="1" t="n">
        <v>45705</v>
      </c>
      <c r="D292" t="inlineStr">
        <is>
          <t>UPPSALA LÄN</t>
        </is>
      </c>
      <c r="E292" t="inlineStr">
        <is>
          <t>ÖSTHAMMAR</t>
        </is>
      </c>
      <c r="G292" t="n">
        <v>1.8</v>
      </c>
      <c r="H292" t="n">
        <v>0</v>
      </c>
      <c r="I292" t="n">
        <v>2</v>
      </c>
      <c r="J292" t="n">
        <v>1</v>
      </c>
      <c r="K292" t="n">
        <v>0</v>
      </c>
      <c r="L292" t="n">
        <v>0</v>
      </c>
      <c r="M292" t="n">
        <v>0</v>
      </c>
      <c r="N292" t="n">
        <v>0</v>
      </c>
      <c r="O292" t="n">
        <v>1</v>
      </c>
      <c r="P292" t="n">
        <v>0</v>
      </c>
      <c r="Q292" t="n">
        <v>3</v>
      </c>
      <c r="R292" s="2" t="inlineStr">
        <is>
          <t>Äggspindling
Anisspindling
Granbarkgnagare</t>
        </is>
      </c>
      <c r="S292">
        <f>HYPERLINK("https://klasma.github.io/Logging_0382/artfynd/A 55186-2024 artfynd.xlsx", "A 55186-2024")</f>
        <v/>
      </c>
      <c r="T292">
        <f>HYPERLINK("https://klasma.github.io/Logging_0382/kartor/A 55186-2024 karta.png", "A 55186-2024")</f>
        <v/>
      </c>
      <c r="V292">
        <f>HYPERLINK("https://klasma.github.io/Logging_0382/klagomål/A 55186-2024 FSC-klagomål.docx", "A 55186-2024")</f>
        <v/>
      </c>
      <c r="W292">
        <f>HYPERLINK("https://klasma.github.io/Logging_0382/klagomålsmail/A 55186-2024 FSC-klagomål mail.docx", "A 55186-2024")</f>
        <v/>
      </c>
      <c r="X292">
        <f>HYPERLINK("https://klasma.github.io/Logging_0382/tillsyn/A 55186-2024 tillsynsbegäran.docx", "A 55186-2024")</f>
        <v/>
      </c>
      <c r="Y292">
        <f>HYPERLINK("https://klasma.github.io/Logging_0382/tillsynsmail/A 55186-2024 tillsynsbegäran mail.docx", "A 55186-2024")</f>
        <v/>
      </c>
    </row>
    <row r="293" ht="15" customHeight="1">
      <c r="A293" t="inlineStr">
        <is>
          <t>A 55561-2024</t>
        </is>
      </c>
      <c r="B293" s="1" t="n">
        <v>45622</v>
      </c>
      <c r="C293" s="1" t="n">
        <v>45705</v>
      </c>
      <c r="D293" t="inlineStr">
        <is>
          <t>UPPSALA LÄN</t>
        </is>
      </c>
      <c r="E293" t="inlineStr">
        <is>
          <t>ÄLVKARLEBY</t>
        </is>
      </c>
      <c r="F293" t="inlineStr">
        <is>
          <t>Bergvik skog väst AB</t>
        </is>
      </c>
      <c r="G293" t="n">
        <v>2.5</v>
      </c>
      <c r="H293" t="n">
        <v>1</v>
      </c>
      <c r="I293" t="n">
        <v>1</v>
      </c>
      <c r="J293" t="n">
        <v>1</v>
      </c>
      <c r="K293" t="n">
        <v>1</v>
      </c>
      <c r="L293" t="n">
        <v>0</v>
      </c>
      <c r="M293" t="n">
        <v>0</v>
      </c>
      <c r="N293" t="n">
        <v>0</v>
      </c>
      <c r="O293" t="n">
        <v>2</v>
      </c>
      <c r="P293" t="n">
        <v>1</v>
      </c>
      <c r="Q293" t="n">
        <v>3</v>
      </c>
      <c r="R293" s="2" t="inlineStr">
        <is>
          <t>Knärot
Vedtrappmossa
Grönpyrola</t>
        </is>
      </c>
      <c r="S293">
        <f>HYPERLINK("https://klasma.github.io/Logging_0319/artfynd/A 55561-2024 artfynd.xlsx", "A 55561-2024")</f>
        <v/>
      </c>
      <c r="T293">
        <f>HYPERLINK("https://klasma.github.io/Logging_0319/kartor/A 55561-2024 karta.png", "A 55561-2024")</f>
        <v/>
      </c>
      <c r="U293">
        <f>HYPERLINK("https://klasma.github.io/Logging_0319/knärot/A 55561-2024 karta knärot.png", "A 55561-2024")</f>
        <v/>
      </c>
      <c r="V293">
        <f>HYPERLINK("https://klasma.github.io/Logging_0319/klagomål/A 55561-2024 FSC-klagomål.docx", "A 55561-2024")</f>
        <v/>
      </c>
      <c r="W293">
        <f>HYPERLINK("https://klasma.github.io/Logging_0319/klagomålsmail/A 55561-2024 FSC-klagomål mail.docx", "A 55561-2024")</f>
        <v/>
      </c>
      <c r="X293">
        <f>HYPERLINK("https://klasma.github.io/Logging_0319/tillsyn/A 55561-2024 tillsynsbegäran.docx", "A 55561-2024")</f>
        <v/>
      </c>
      <c r="Y293">
        <f>HYPERLINK("https://klasma.github.io/Logging_0319/tillsynsmail/A 55561-2024 tillsynsbegäran mail.docx", "A 55561-2024")</f>
        <v/>
      </c>
    </row>
    <row r="294" ht="15" customHeight="1">
      <c r="A294" t="inlineStr">
        <is>
          <t>A 3932-2025</t>
        </is>
      </c>
      <c r="B294" s="1" t="n">
        <v>45684</v>
      </c>
      <c r="C294" s="1" t="n">
        <v>45705</v>
      </c>
      <c r="D294" t="inlineStr">
        <is>
          <t>UPPSALA LÄN</t>
        </is>
      </c>
      <c r="E294" t="inlineStr">
        <is>
          <t>UPPSALA</t>
        </is>
      </c>
      <c r="G294" t="n">
        <v>8.9</v>
      </c>
      <c r="H294" t="n">
        <v>1</v>
      </c>
      <c r="I294" t="n">
        <v>1</v>
      </c>
      <c r="J294" t="n">
        <v>1</v>
      </c>
      <c r="K294" t="n">
        <v>0</v>
      </c>
      <c r="L294" t="n">
        <v>0</v>
      </c>
      <c r="M294" t="n">
        <v>0</v>
      </c>
      <c r="N294" t="n">
        <v>0</v>
      </c>
      <c r="O294" t="n">
        <v>1</v>
      </c>
      <c r="P294" t="n">
        <v>0</v>
      </c>
      <c r="Q294" t="n">
        <v>3</v>
      </c>
      <c r="R294" s="2" t="inlineStr">
        <is>
          <t>Vedtrappmossa
Rostfläck
Revlummer</t>
        </is>
      </c>
      <c r="S294">
        <f>HYPERLINK("https://klasma.github.io/Logging_0380/artfynd/A 3932-2025 artfynd.xlsx", "A 3932-2025")</f>
        <v/>
      </c>
      <c r="T294">
        <f>HYPERLINK("https://klasma.github.io/Logging_0380/kartor/A 3932-2025 karta.png", "A 3932-2025")</f>
        <v/>
      </c>
      <c r="U294">
        <f>HYPERLINK("https://klasma.github.io/Logging_0380/knärot/A 3932-2025 karta knärot.png", "A 3932-2025")</f>
        <v/>
      </c>
      <c r="V294">
        <f>HYPERLINK("https://klasma.github.io/Logging_0380/klagomål/A 3932-2025 FSC-klagomål.docx", "A 3932-2025")</f>
        <v/>
      </c>
      <c r="W294">
        <f>HYPERLINK("https://klasma.github.io/Logging_0380/klagomålsmail/A 3932-2025 FSC-klagomål mail.docx", "A 3932-2025")</f>
        <v/>
      </c>
      <c r="X294">
        <f>HYPERLINK("https://klasma.github.io/Logging_0380/tillsyn/A 3932-2025 tillsynsbegäran.docx", "A 3932-2025")</f>
        <v/>
      </c>
      <c r="Y294">
        <f>HYPERLINK("https://klasma.github.io/Logging_0380/tillsynsmail/A 3932-2025 tillsynsbegäran mail.docx", "A 3932-2025")</f>
        <v/>
      </c>
    </row>
    <row r="295" ht="15" customHeight="1">
      <c r="A295" t="inlineStr">
        <is>
          <t>A 4610-2025</t>
        </is>
      </c>
      <c r="B295" s="1" t="n">
        <v>45687</v>
      </c>
      <c r="C295" s="1" t="n">
        <v>45705</v>
      </c>
      <c r="D295" t="inlineStr">
        <is>
          <t>UPPSALA LÄN</t>
        </is>
      </c>
      <c r="E295" t="inlineStr">
        <is>
          <t>HEBY</t>
        </is>
      </c>
      <c r="G295" t="n">
        <v>25.1</v>
      </c>
      <c r="H295" t="n">
        <v>0</v>
      </c>
      <c r="I295" t="n">
        <v>2</v>
      </c>
      <c r="J295" t="n">
        <v>1</v>
      </c>
      <c r="K295" t="n">
        <v>0</v>
      </c>
      <c r="L295" t="n">
        <v>0</v>
      </c>
      <c r="M295" t="n">
        <v>0</v>
      </c>
      <c r="N295" t="n">
        <v>0</v>
      </c>
      <c r="O295" t="n">
        <v>1</v>
      </c>
      <c r="P295" t="n">
        <v>0</v>
      </c>
      <c r="Q295" t="n">
        <v>3</v>
      </c>
      <c r="R295" s="2" t="inlineStr">
        <is>
          <t>Större flatbagge
Granbräken
Jättesvampmal</t>
        </is>
      </c>
      <c r="S295">
        <f>HYPERLINK("https://klasma.github.io/Logging_0331/artfynd/A 4610-2025 artfynd.xlsx", "A 4610-2025")</f>
        <v/>
      </c>
      <c r="T295">
        <f>HYPERLINK("https://klasma.github.io/Logging_0331/kartor/A 4610-2025 karta.png", "A 4610-2025")</f>
        <v/>
      </c>
      <c r="V295">
        <f>HYPERLINK("https://klasma.github.io/Logging_0331/klagomål/A 4610-2025 FSC-klagomål.docx", "A 4610-2025")</f>
        <v/>
      </c>
      <c r="W295">
        <f>HYPERLINK("https://klasma.github.io/Logging_0331/klagomålsmail/A 4610-2025 FSC-klagomål mail.docx", "A 4610-2025")</f>
        <v/>
      </c>
      <c r="X295">
        <f>HYPERLINK("https://klasma.github.io/Logging_0331/tillsyn/A 4610-2025 tillsynsbegäran.docx", "A 4610-2025")</f>
        <v/>
      </c>
      <c r="Y295">
        <f>HYPERLINK("https://klasma.github.io/Logging_0331/tillsynsmail/A 4610-2025 tillsynsbegäran mail.docx", "A 4610-2025")</f>
        <v/>
      </c>
    </row>
    <row r="296" ht="15" customHeight="1">
      <c r="A296" t="inlineStr">
        <is>
          <t>A 20671-2019</t>
        </is>
      </c>
      <c r="B296" s="1" t="n">
        <v>43572</v>
      </c>
      <c r="C296" s="1" t="n">
        <v>45705</v>
      </c>
      <c r="D296" t="inlineStr">
        <is>
          <t>UPPSALA LÄN</t>
        </is>
      </c>
      <c r="E296" t="inlineStr">
        <is>
          <t>UPPSALA</t>
        </is>
      </c>
      <c r="G296" t="n">
        <v>14.8</v>
      </c>
      <c r="H296" t="n">
        <v>1</v>
      </c>
      <c r="I296" t="n">
        <v>0</v>
      </c>
      <c r="J296" t="n">
        <v>2</v>
      </c>
      <c r="K296" t="n">
        <v>0</v>
      </c>
      <c r="L296" t="n">
        <v>0</v>
      </c>
      <c r="M296" t="n">
        <v>0</v>
      </c>
      <c r="N296" t="n">
        <v>0</v>
      </c>
      <c r="O296" t="n">
        <v>2</v>
      </c>
      <c r="P296" t="n">
        <v>0</v>
      </c>
      <c r="Q296" t="n">
        <v>2</v>
      </c>
      <c r="R296" s="2" t="inlineStr">
        <is>
          <t>Gulsparv
Svartöra</t>
        </is>
      </c>
      <c r="S296">
        <f>HYPERLINK("https://klasma.github.io/Logging_0380/artfynd/A 20671-2019 artfynd.xlsx", "A 20671-2019")</f>
        <v/>
      </c>
      <c r="T296">
        <f>HYPERLINK("https://klasma.github.io/Logging_0380/kartor/A 20671-2019 karta.png", "A 20671-2019")</f>
        <v/>
      </c>
      <c r="V296">
        <f>HYPERLINK("https://klasma.github.io/Logging_0380/klagomål/A 20671-2019 FSC-klagomål.docx", "A 20671-2019")</f>
        <v/>
      </c>
      <c r="W296">
        <f>HYPERLINK("https://klasma.github.io/Logging_0380/klagomålsmail/A 20671-2019 FSC-klagomål mail.docx", "A 20671-2019")</f>
        <v/>
      </c>
      <c r="X296">
        <f>HYPERLINK("https://klasma.github.io/Logging_0380/tillsyn/A 20671-2019 tillsynsbegäran.docx", "A 20671-2019")</f>
        <v/>
      </c>
      <c r="Y296">
        <f>HYPERLINK("https://klasma.github.io/Logging_0380/tillsynsmail/A 20671-2019 tillsynsbegäran mail.docx", "A 20671-2019")</f>
        <v/>
      </c>
      <c r="Z296">
        <f>HYPERLINK("https://klasma.github.io/Logging_0380/fåglar/A 20671-2019 prioriterade fågelarter.docx", "A 20671-2019")</f>
        <v/>
      </c>
    </row>
    <row r="297" ht="15" customHeight="1">
      <c r="A297" t="inlineStr">
        <is>
          <t>A 25607-2019</t>
        </is>
      </c>
      <c r="B297" s="1" t="n">
        <v>43607</v>
      </c>
      <c r="C297" s="1" t="n">
        <v>45705</v>
      </c>
      <c r="D297" t="inlineStr">
        <is>
          <t>UPPSALA LÄN</t>
        </is>
      </c>
      <c r="E297" t="inlineStr">
        <is>
          <t>UPPSALA</t>
        </is>
      </c>
      <c r="G297" t="n">
        <v>1.1</v>
      </c>
      <c r="H297" t="n">
        <v>2</v>
      </c>
      <c r="I297" t="n">
        <v>0</v>
      </c>
      <c r="J297" t="n">
        <v>0</v>
      </c>
      <c r="K297" t="n">
        <v>0</v>
      </c>
      <c r="L297" t="n">
        <v>0</v>
      </c>
      <c r="M297" t="n">
        <v>0</v>
      </c>
      <c r="N297" t="n">
        <v>0</v>
      </c>
      <c r="O297" t="n">
        <v>0</v>
      </c>
      <c r="P297" t="n">
        <v>0</v>
      </c>
      <c r="Q297" t="n">
        <v>2</v>
      </c>
      <c r="R297" s="2" t="inlineStr">
        <is>
          <t>Större vattensalamander
Mindre vattensalamander</t>
        </is>
      </c>
      <c r="S297">
        <f>HYPERLINK("https://klasma.github.io/Logging_0380/artfynd/A 25607-2019 artfynd.xlsx", "A 25607-2019")</f>
        <v/>
      </c>
      <c r="T297">
        <f>HYPERLINK("https://klasma.github.io/Logging_0380/kartor/A 25607-2019 karta.png", "A 25607-2019")</f>
        <v/>
      </c>
      <c r="V297">
        <f>HYPERLINK("https://klasma.github.io/Logging_0380/klagomål/A 25607-2019 FSC-klagomål.docx", "A 25607-2019")</f>
        <v/>
      </c>
      <c r="W297">
        <f>HYPERLINK("https://klasma.github.io/Logging_0380/klagomålsmail/A 25607-2019 FSC-klagomål mail.docx", "A 25607-2019")</f>
        <v/>
      </c>
      <c r="X297">
        <f>HYPERLINK("https://klasma.github.io/Logging_0380/tillsyn/A 25607-2019 tillsynsbegäran.docx", "A 25607-2019")</f>
        <v/>
      </c>
      <c r="Y297">
        <f>HYPERLINK("https://klasma.github.io/Logging_0380/tillsynsmail/A 25607-2019 tillsynsbegäran mail.docx", "A 25607-2019")</f>
        <v/>
      </c>
    </row>
    <row r="298" ht="15" customHeight="1">
      <c r="A298" t="inlineStr">
        <is>
          <t>A 34066-2019</t>
        </is>
      </c>
      <c r="B298" s="1" t="n">
        <v>43654</v>
      </c>
      <c r="C298" s="1" t="n">
        <v>45705</v>
      </c>
      <c r="D298" t="inlineStr">
        <is>
          <t>UPPSALA LÄN</t>
        </is>
      </c>
      <c r="E298" t="inlineStr">
        <is>
          <t>UPPSALA</t>
        </is>
      </c>
      <c r="G298" t="n">
        <v>1.3</v>
      </c>
      <c r="H298" t="n">
        <v>0</v>
      </c>
      <c r="I298" t="n">
        <v>0</v>
      </c>
      <c r="J298" t="n">
        <v>2</v>
      </c>
      <c r="K298" t="n">
        <v>0</v>
      </c>
      <c r="L298" t="n">
        <v>0</v>
      </c>
      <c r="M298" t="n">
        <v>0</v>
      </c>
      <c r="N298" t="n">
        <v>0</v>
      </c>
      <c r="O298" t="n">
        <v>2</v>
      </c>
      <c r="P298" t="n">
        <v>0</v>
      </c>
      <c r="Q298" t="n">
        <v>2</v>
      </c>
      <c r="R298" s="2" t="inlineStr">
        <is>
          <t>Asppraktbagge
Grön aspvedbock</t>
        </is>
      </c>
      <c r="S298">
        <f>HYPERLINK("https://klasma.github.io/Logging_0380/artfynd/A 34066-2019 artfynd.xlsx", "A 34066-2019")</f>
        <v/>
      </c>
      <c r="T298">
        <f>HYPERLINK("https://klasma.github.io/Logging_0380/kartor/A 34066-2019 karta.png", "A 34066-2019")</f>
        <v/>
      </c>
      <c r="V298">
        <f>HYPERLINK("https://klasma.github.io/Logging_0380/klagomål/A 34066-2019 FSC-klagomål.docx", "A 34066-2019")</f>
        <v/>
      </c>
      <c r="W298">
        <f>HYPERLINK("https://klasma.github.io/Logging_0380/klagomålsmail/A 34066-2019 FSC-klagomål mail.docx", "A 34066-2019")</f>
        <v/>
      </c>
      <c r="X298">
        <f>HYPERLINK("https://klasma.github.io/Logging_0380/tillsyn/A 34066-2019 tillsynsbegäran.docx", "A 34066-2019")</f>
        <v/>
      </c>
      <c r="Y298">
        <f>HYPERLINK("https://klasma.github.io/Logging_0380/tillsynsmail/A 34066-2019 tillsynsbegäran mail.docx", "A 34066-2019")</f>
        <v/>
      </c>
    </row>
    <row r="299" ht="15" customHeight="1">
      <c r="A299" t="inlineStr">
        <is>
          <t>A 35563-2019</t>
        </is>
      </c>
      <c r="B299" s="1" t="n">
        <v>43664</v>
      </c>
      <c r="C299" s="1" t="n">
        <v>45705</v>
      </c>
      <c r="D299" t="inlineStr">
        <is>
          <t>UPPSALA LÄN</t>
        </is>
      </c>
      <c r="E299" t="inlineStr">
        <is>
          <t>TIERP</t>
        </is>
      </c>
      <c r="F299" t="inlineStr">
        <is>
          <t>Bergvik skog öst AB</t>
        </is>
      </c>
      <c r="G299" t="n">
        <v>4.6</v>
      </c>
      <c r="H299" t="n">
        <v>1</v>
      </c>
      <c r="I299" t="n">
        <v>2</v>
      </c>
      <c r="J299" t="n">
        <v>0</v>
      </c>
      <c r="K299" t="n">
        <v>0</v>
      </c>
      <c r="L299" t="n">
        <v>0</v>
      </c>
      <c r="M299" t="n">
        <v>0</v>
      </c>
      <c r="N299" t="n">
        <v>0</v>
      </c>
      <c r="O299" t="n">
        <v>0</v>
      </c>
      <c r="P299" t="n">
        <v>0</v>
      </c>
      <c r="Q299" t="n">
        <v>2</v>
      </c>
      <c r="R299" s="2" t="inlineStr">
        <is>
          <t>Nästrot
Tibast</t>
        </is>
      </c>
      <c r="S299">
        <f>HYPERLINK("https://klasma.github.io/Logging_0360/artfynd/A 35563-2019 artfynd.xlsx", "A 35563-2019")</f>
        <v/>
      </c>
      <c r="T299">
        <f>HYPERLINK("https://klasma.github.io/Logging_0360/kartor/A 35563-2019 karta.png", "A 35563-2019")</f>
        <v/>
      </c>
      <c r="V299">
        <f>HYPERLINK("https://klasma.github.io/Logging_0360/klagomål/A 35563-2019 FSC-klagomål.docx", "A 35563-2019")</f>
        <v/>
      </c>
      <c r="W299">
        <f>HYPERLINK("https://klasma.github.io/Logging_0360/klagomålsmail/A 35563-2019 FSC-klagomål mail.docx", "A 35563-2019")</f>
        <v/>
      </c>
      <c r="X299">
        <f>HYPERLINK("https://klasma.github.io/Logging_0360/tillsyn/A 35563-2019 tillsynsbegäran.docx", "A 35563-2019")</f>
        <v/>
      </c>
      <c r="Y299">
        <f>HYPERLINK("https://klasma.github.io/Logging_0360/tillsynsmail/A 35563-2019 tillsynsbegäran mail.docx", "A 35563-2019")</f>
        <v/>
      </c>
    </row>
    <row r="300" ht="15" customHeight="1">
      <c r="A300" t="inlineStr">
        <is>
          <t>A 52165-2019</t>
        </is>
      </c>
      <c r="B300" s="1" t="n">
        <v>43742</v>
      </c>
      <c r="C300" s="1" t="n">
        <v>45705</v>
      </c>
      <c r="D300" t="inlineStr">
        <is>
          <t>UPPSALA LÄN</t>
        </is>
      </c>
      <c r="E300" t="inlineStr">
        <is>
          <t>UPPSALA</t>
        </is>
      </c>
      <c r="F300" t="inlineStr">
        <is>
          <t>Allmännings- och besparingsskogar</t>
        </is>
      </c>
      <c r="G300" t="n">
        <v>28.7</v>
      </c>
      <c r="H300" t="n">
        <v>2</v>
      </c>
      <c r="I300" t="n">
        <v>2</v>
      </c>
      <c r="J300" t="n">
        <v>0</v>
      </c>
      <c r="K300" t="n">
        <v>0</v>
      </c>
      <c r="L300" t="n">
        <v>0</v>
      </c>
      <c r="M300" t="n">
        <v>0</v>
      </c>
      <c r="N300" t="n">
        <v>0</v>
      </c>
      <c r="O300" t="n">
        <v>0</v>
      </c>
      <c r="P300" t="n">
        <v>0</v>
      </c>
      <c r="Q300" t="n">
        <v>2</v>
      </c>
      <c r="R300" s="2" t="inlineStr">
        <is>
          <t>Korallrot
Spindelblomster</t>
        </is>
      </c>
      <c r="S300">
        <f>HYPERLINK("https://klasma.github.io/Logging_0380/artfynd/A 52165-2019 artfynd.xlsx", "A 52165-2019")</f>
        <v/>
      </c>
      <c r="T300">
        <f>HYPERLINK("https://klasma.github.io/Logging_0380/kartor/A 52165-2019 karta.png", "A 52165-2019")</f>
        <v/>
      </c>
      <c r="V300">
        <f>HYPERLINK("https://klasma.github.io/Logging_0380/klagomål/A 52165-2019 FSC-klagomål.docx", "A 52165-2019")</f>
        <v/>
      </c>
      <c r="W300">
        <f>HYPERLINK("https://klasma.github.io/Logging_0380/klagomålsmail/A 52165-2019 FSC-klagomål mail.docx", "A 52165-2019")</f>
        <v/>
      </c>
      <c r="X300">
        <f>HYPERLINK("https://klasma.github.io/Logging_0380/tillsyn/A 52165-2019 tillsynsbegäran.docx", "A 52165-2019")</f>
        <v/>
      </c>
      <c r="Y300">
        <f>HYPERLINK("https://klasma.github.io/Logging_0380/tillsynsmail/A 52165-2019 tillsynsbegäran mail.docx", "A 52165-2019")</f>
        <v/>
      </c>
    </row>
    <row r="301" ht="15" customHeight="1">
      <c r="A301" t="inlineStr">
        <is>
          <t>A 60083-2019</t>
        </is>
      </c>
      <c r="B301" s="1" t="n">
        <v>43777</v>
      </c>
      <c r="C301" s="1" t="n">
        <v>45705</v>
      </c>
      <c r="D301" t="inlineStr">
        <is>
          <t>UPPSALA LÄN</t>
        </is>
      </c>
      <c r="E301" t="inlineStr">
        <is>
          <t>TIERP</t>
        </is>
      </c>
      <c r="G301" t="n">
        <v>2.7</v>
      </c>
      <c r="H301" t="n">
        <v>0</v>
      </c>
      <c r="I301" t="n">
        <v>2</v>
      </c>
      <c r="J301" t="n">
        <v>0</v>
      </c>
      <c r="K301" t="n">
        <v>0</v>
      </c>
      <c r="L301" t="n">
        <v>0</v>
      </c>
      <c r="M301" t="n">
        <v>0</v>
      </c>
      <c r="N301" t="n">
        <v>0</v>
      </c>
      <c r="O301" t="n">
        <v>0</v>
      </c>
      <c r="P301" t="n">
        <v>0</v>
      </c>
      <c r="Q301" t="n">
        <v>2</v>
      </c>
      <c r="R301" s="2" t="inlineStr">
        <is>
          <t>Granbarkgnagare
Skarp dropptaggsvamp</t>
        </is>
      </c>
      <c r="S301">
        <f>HYPERLINK("https://klasma.github.io/Logging_0360/artfynd/A 60083-2019 artfynd.xlsx", "A 60083-2019")</f>
        <v/>
      </c>
      <c r="T301">
        <f>HYPERLINK("https://klasma.github.io/Logging_0360/kartor/A 60083-2019 karta.png", "A 60083-2019")</f>
        <v/>
      </c>
      <c r="V301">
        <f>HYPERLINK("https://klasma.github.io/Logging_0360/klagomål/A 60083-2019 FSC-klagomål.docx", "A 60083-2019")</f>
        <v/>
      </c>
      <c r="W301">
        <f>HYPERLINK("https://klasma.github.io/Logging_0360/klagomålsmail/A 60083-2019 FSC-klagomål mail.docx", "A 60083-2019")</f>
        <v/>
      </c>
      <c r="X301">
        <f>HYPERLINK("https://klasma.github.io/Logging_0360/tillsyn/A 60083-2019 tillsynsbegäran.docx", "A 60083-2019")</f>
        <v/>
      </c>
      <c r="Y301">
        <f>HYPERLINK("https://klasma.github.io/Logging_0360/tillsynsmail/A 60083-2019 tillsynsbegäran mail.docx", "A 60083-2019")</f>
        <v/>
      </c>
    </row>
    <row r="302" ht="15" customHeight="1">
      <c r="A302" t="inlineStr">
        <is>
          <t>A 2172-2020</t>
        </is>
      </c>
      <c r="B302" s="1" t="n">
        <v>43846</v>
      </c>
      <c r="C302" s="1" t="n">
        <v>45705</v>
      </c>
      <c r="D302" t="inlineStr">
        <is>
          <t>UPPSALA LÄN</t>
        </is>
      </c>
      <c r="E302" t="inlineStr">
        <is>
          <t>ÖSTHAMMAR</t>
        </is>
      </c>
      <c r="G302" t="n">
        <v>3.8</v>
      </c>
      <c r="H302" t="n">
        <v>0</v>
      </c>
      <c r="I302" t="n">
        <v>1</v>
      </c>
      <c r="J302" t="n">
        <v>1</v>
      </c>
      <c r="K302" t="n">
        <v>0</v>
      </c>
      <c r="L302" t="n">
        <v>0</v>
      </c>
      <c r="M302" t="n">
        <v>0</v>
      </c>
      <c r="N302" t="n">
        <v>0</v>
      </c>
      <c r="O302" t="n">
        <v>1</v>
      </c>
      <c r="P302" t="n">
        <v>0</v>
      </c>
      <c r="Q302" t="n">
        <v>2</v>
      </c>
      <c r="R302" s="2" t="inlineStr">
        <is>
          <t>Flattoppad klubbsvamp
Zontaggsvamp</t>
        </is>
      </c>
      <c r="S302">
        <f>HYPERLINK("https://klasma.github.io/Logging_0382/artfynd/A 2172-2020 artfynd.xlsx", "A 2172-2020")</f>
        <v/>
      </c>
      <c r="T302">
        <f>HYPERLINK("https://klasma.github.io/Logging_0382/kartor/A 2172-2020 karta.png", "A 2172-2020")</f>
        <v/>
      </c>
      <c r="V302">
        <f>HYPERLINK("https://klasma.github.io/Logging_0382/klagomål/A 2172-2020 FSC-klagomål.docx", "A 2172-2020")</f>
        <v/>
      </c>
      <c r="W302">
        <f>HYPERLINK("https://klasma.github.io/Logging_0382/klagomålsmail/A 2172-2020 FSC-klagomål mail.docx", "A 2172-2020")</f>
        <v/>
      </c>
      <c r="X302">
        <f>HYPERLINK("https://klasma.github.io/Logging_0382/tillsyn/A 2172-2020 tillsynsbegäran.docx", "A 2172-2020")</f>
        <v/>
      </c>
      <c r="Y302">
        <f>HYPERLINK("https://klasma.github.io/Logging_0382/tillsynsmail/A 2172-2020 tillsynsbegäran mail.docx", "A 2172-2020")</f>
        <v/>
      </c>
    </row>
    <row r="303" ht="15" customHeight="1">
      <c r="A303" t="inlineStr">
        <is>
          <t>A 9867-2020</t>
        </is>
      </c>
      <c r="B303" s="1" t="n">
        <v>43882</v>
      </c>
      <c r="C303" s="1" t="n">
        <v>45705</v>
      </c>
      <c r="D303" t="inlineStr">
        <is>
          <t>UPPSALA LÄN</t>
        </is>
      </c>
      <c r="E303" t="inlineStr">
        <is>
          <t>ÖSTHAMMAR</t>
        </is>
      </c>
      <c r="F303" t="inlineStr">
        <is>
          <t>Bergvik skog öst AB</t>
        </is>
      </c>
      <c r="G303" t="n">
        <v>11.1</v>
      </c>
      <c r="H303" t="n">
        <v>1</v>
      </c>
      <c r="I303" t="n">
        <v>1</v>
      </c>
      <c r="J303" t="n">
        <v>0</v>
      </c>
      <c r="K303" t="n">
        <v>0</v>
      </c>
      <c r="L303" t="n">
        <v>0</v>
      </c>
      <c r="M303" t="n">
        <v>0</v>
      </c>
      <c r="N303" t="n">
        <v>0</v>
      </c>
      <c r="O303" t="n">
        <v>0</v>
      </c>
      <c r="P303" t="n">
        <v>0</v>
      </c>
      <c r="Q303" t="n">
        <v>2</v>
      </c>
      <c r="R303" s="2" t="inlineStr">
        <is>
          <t>Gräsull
Revlummer</t>
        </is>
      </c>
      <c r="S303">
        <f>HYPERLINK("https://klasma.github.io/Logging_0382/artfynd/A 9867-2020 artfynd.xlsx", "A 9867-2020")</f>
        <v/>
      </c>
      <c r="T303">
        <f>HYPERLINK("https://klasma.github.io/Logging_0382/kartor/A 9867-2020 karta.png", "A 9867-2020")</f>
        <v/>
      </c>
      <c r="V303">
        <f>HYPERLINK("https://klasma.github.io/Logging_0382/klagomål/A 9867-2020 FSC-klagomål.docx", "A 9867-2020")</f>
        <v/>
      </c>
      <c r="W303">
        <f>HYPERLINK("https://klasma.github.io/Logging_0382/klagomålsmail/A 9867-2020 FSC-klagomål mail.docx", "A 9867-2020")</f>
        <v/>
      </c>
      <c r="X303">
        <f>HYPERLINK("https://klasma.github.io/Logging_0382/tillsyn/A 9867-2020 tillsynsbegäran.docx", "A 9867-2020")</f>
        <v/>
      </c>
      <c r="Y303">
        <f>HYPERLINK("https://klasma.github.io/Logging_0382/tillsynsmail/A 9867-2020 tillsynsbegäran mail.docx", "A 9867-2020")</f>
        <v/>
      </c>
    </row>
    <row r="304" ht="15" customHeight="1">
      <c r="A304" t="inlineStr">
        <is>
          <t>A 14181-2020</t>
        </is>
      </c>
      <c r="B304" s="1" t="n">
        <v>43907</v>
      </c>
      <c r="C304" s="1" t="n">
        <v>45705</v>
      </c>
      <c r="D304" t="inlineStr">
        <is>
          <t>UPPSALA LÄN</t>
        </is>
      </c>
      <c r="E304" t="inlineStr">
        <is>
          <t>ENKÖPING</t>
        </is>
      </c>
      <c r="F304" t="inlineStr">
        <is>
          <t>Kyrkan</t>
        </is>
      </c>
      <c r="G304" t="n">
        <v>2.5</v>
      </c>
      <c r="H304" t="n">
        <v>0</v>
      </c>
      <c r="I304" t="n">
        <v>1</v>
      </c>
      <c r="J304" t="n">
        <v>1</v>
      </c>
      <c r="K304" t="n">
        <v>0</v>
      </c>
      <c r="L304" t="n">
        <v>0</v>
      </c>
      <c r="M304" t="n">
        <v>0</v>
      </c>
      <c r="N304" t="n">
        <v>0</v>
      </c>
      <c r="O304" t="n">
        <v>1</v>
      </c>
      <c r="P304" t="n">
        <v>0</v>
      </c>
      <c r="Q304" t="n">
        <v>2</v>
      </c>
      <c r="R304" s="2" t="inlineStr">
        <is>
          <t>Flentimotej
Svart trolldruva</t>
        </is>
      </c>
      <c r="S304">
        <f>HYPERLINK("https://klasma.github.io/Logging_0381/artfynd/A 14181-2020 artfynd.xlsx", "A 14181-2020")</f>
        <v/>
      </c>
      <c r="T304">
        <f>HYPERLINK("https://klasma.github.io/Logging_0381/kartor/A 14181-2020 karta.png", "A 14181-2020")</f>
        <v/>
      </c>
      <c r="V304">
        <f>HYPERLINK("https://klasma.github.io/Logging_0381/klagomål/A 14181-2020 FSC-klagomål.docx", "A 14181-2020")</f>
        <v/>
      </c>
      <c r="W304">
        <f>HYPERLINK("https://klasma.github.io/Logging_0381/klagomålsmail/A 14181-2020 FSC-klagomål mail.docx", "A 14181-2020")</f>
        <v/>
      </c>
      <c r="X304">
        <f>HYPERLINK("https://klasma.github.io/Logging_0381/tillsyn/A 14181-2020 tillsynsbegäran.docx", "A 14181-2020")</f>
        <v/>
      </c>
      <c r="Y304">
        <f>HYPERLINK("https://klasma.github.io/Logging_0381/tillsynsmail/A 14181-2020 tillsynsbegäran mail.docx", "A 14181-2020")</f>
        <v/>
      </c>
    </row>
    <row r="305" ht="15" customHeight="1">
      <c r="A305" t="inlineStr">
        <is>
          <t>A 18468-2020</t>
        </is>
      </c>
      <c r="B305" s="1" t="n">
        <v>43929</v>
      </c>
      <c r="C305" s="1" t="n">
        <v>45705</v>
      </c>
      <c r="D305" t="inlineStr">
        <is>
          <t>UPPSALA LÄN</t>
        </is>
      </c>
      <c r="E305" t="inlineStr">
        <is>
          <t>UPPSALA</t>
        </is>
      </c>
      <c r="G305" t="n">
        <v>0.5</v>
      </c>
      <c r="H305" t="n">
        <v>1</v>
      </c>
      <c r="I305" t="n">
        <v>1</v>
      </c>
      <c r="J305" t="n">
        <v>0</v>
      </c>
      <c r="K305" t="n">
        <v>0</v>
      </c>
      <c r="L305" t="n">
        <v>0</v>
      </c>
      <c r="M305" t="n">
        <v>0</v>
      </c>
      <c r="N305" t="n">
        <v>0</v>
      </c>
      <c r="O305" t="n">
        <v>0</v>
      </c>
      <c r="P305" t="n">
        <v>0</v>
      </c>
      <c r="Q305" t="n">
        <v>2</v>
      </c>
      <c r="R305" s="2" t="inlineStr">
        <is>
          <t>Mindre märgborre
Gullviva</t>
        </is>
      </c>
      <c r="S305">
        <f>HYPERLINK("https://klasma.github.io/Logging_0380/artfynd/A 18468-2020 artfynd.xlsx", "A 18468-2020")</f>
        <v/>
      </c>
      <c r="T305">
        <f>HYPERLINK("https://klasma.github.io/Logging_0380/kartor/A 18468-2020 karta.png", "A 18468-2020")</f>
        <v/>
      </c>
      <c r="V305">
        <f>HYPERLINK("https://klasma.github.io/Logging_0380/klagomål/A 18468-2020 FSC-klagomål.docx", "A 18468-2020")</f>
        <v/>
      </c>
      <c r="W305">
        <f>HYPERLINK("https://klasma.github.io/Logging_0380/klagomålsmail/A 18468-2020 FSC-klagomål mail.docx", "A 18468-2020")</f>
        <v/>
      </c>
      <c r="X305">
        <f>HYPERLINK("https://klasma.github.io/Logging_0380/tillsyn/A 18468-2020 tillsynsbegäran.docx", "A 18468-2020")</f>
        <v/>
      </c>
      <c r="Y305">
        <f>HYPERLINK("https://klasma.github.io/Logging_0380/tillsynsmail/A 18468-2020 tillsynsbegäran mail.docx", "A 18468-2020")</f>
        <v/>
      </c>
    </row>
    <row r="306" ht="15" customHeight="1">
      <c r="A306" t="inlineStr">
        <is>
          <t>A 18788-2020</t>
        </is>
      </c>
      <c r="B306" s="1" t="n">
        <v>43931</v>
      </c>
      <c r="C306" s="1" t="n">
        <v>45705</v>
      </c>
      <c r="D306" t="inlineStr">
        <is>
          <t>UPPSALA LÄN</t>
        </is>
      </c>
      <c r="E306" t="inlineStr">
        <is>
          <t>TIERP</t>
        </is>
      </c>
      <c r="F306" t="inlineStr">
        <is>
          <t>Bergvik skog väst AB</t>
        </is>
      </c>
      <c r="G306" t="n">
        <v>2.4</v>
      </c>
      <c r="H306" t="n">
        <v>0</v>
      </c>
      <c r="I306" t="n">
        <v>0</v>
      </c>
      <c r="J306" t="n">
        <v>2</v>
      </c>
      <c r="K306" t="n">
        <v>0</v>
      </c>
      <c r="L306" t="n">
        <v>0</v>
      </c>
      <c r="M306" t="n">
        <v>0</v>
      </c>
      <c r="N306" t="n">
        <v>0</v>
      </c>
      <c r="O306" t="n">
        <v>2</v>
      </c>
      <c r="P306" t="n">
        <v>0</v>
      </c>
      <c r="Q306" t="n">
        <v>2</v>
      </c>
      <c r="R306" s="2" t="inlineStr">
        <is>
          <t>Gullklöver
Rödbrun blekspik</t>
        </is>
      </c>
      <c r="S306">
        <f>HYPERLINK("https://klasma.github.io/Logging_0360/artfynd/A 18788-2020 artfynd.xlsx", "A 18788-2020")</f>
        <v/>
      </c>
      <c r="T306">
        <f>HYPERLINK("https://klasma.github.io/Logging_0360/kartor/A 18788-2020 karta.png", "A 18788-2020")</f>
        <v/>
      </c>
      <c r="V306">
        <f>HYPERLINK("https://klasma.github.io/Logging_0360/klagomål/A 18788-2020 FSC-klagomål.docx", "A 18788-2020")</f>
        <v/>
      </c>
      <c r="W306">
        <f>HYPERLINK("https://klasma.github.io/Logging_0360/klagomålsmail/A 18788-2020 FSC-klagomål mail.docx", "A 18788-2020")</f>
        <v/>
      </c>
      <c r="X306">
        <f>HYPERLINK("https://klasma.github.io/Logging_0360/tillsyn/A 18788-2020 tillsynsbegäran.docx", "A 18788-2020")</f>
        <v/>
      </c>
      <c r="Y306">
        <f>HYPERLINK("https://klasma.github.io/Logging_0360/tillsynsmail/A 18788-2020 tillsynsbegäran mail.docx", "A 18788-2020")</f>
        <v/>
      </c>
    </row>
    <row r="307" ht="15" customHeight="1">
      <c r="A307" t="inlineStr">
        <is>
          <t>A 20778-2020</t>
        </is>
      </c>
      <c r="B307" s="1" t="n">
        <v>43949</v>
      </c>
      <c r="C307" s="1" t="n">
        <v>45705</v>
      </c>
      <c r="D307" t="inlineStr">
        <is>
          <t>UPPSALA LÄN</t>
        </is>
      </c>
      <c r="E307" t="inlineStr">
        <is>
          <t>KNIVSTA</t>
        </is>
      </c>
      <c r="G307" t="n">
        <v>2.9</v>
      </c>
      <c r="H307" t="n">
        <v>0</v>
      </c>
      <c r="I307" t="n">
        <v>1</v>
      </c>
      <c r="J307" t="n">
        <v>1</v>
      </c>
      <c r="K307" t="n">
        <v>0</v>
      </c>
      <c r="L307" t="n">
        <v>0</v>
      </c>
      <c r="M307" t="n">
        <v>0</v>
      </c>
      <c r="N307" t="n">
        <v>0</v>
      </c>
      <c r="O307" t="n">
        <v>1</v>
      </c>
      <c r="P307" t="n">
        <v>0</v>
      </c>
      <c r="Q307" t="n">
        <v>2</v>
      </c>
      <c r="R307" s="2" t="inlineStr">
        <is>
          <t>Gultoppig fingersvamp
Trådticka</t>
        </is>
      </c>
      <c r="S307">
        <f>HYPERLINK("https://klasma.github.io/Logging_0330/artfynd/A 20778-2020 artfynd.xlsx", "A 20778-2020")</f>
        <v/>
      </c>
      <c r="T307">
        <f>HYPERLINK("https://klasma.github.io/Logging_0330/kartor/A 20778-2020 karta.png", "A 20778-2020")</f>
        <v/>
      </c>
      <c r="V307">
        <f>HYPERLINK("https://klasma.github.io/Logging_0330/klagomål/A 20778-2020 FSC-klagomål.docx", "A 20778-2020")</f>
        <v/>
      </c>
      <c r="W307">
        <f>HYPERLINK("https://klasma.github.io/Logging_0330/klagomålsmail/A 20778-2020 FSC-klagomål mail.docx", "A 20778-2020")</f>
        <v/>
      </c>
      <c r="X307">
        <f>HYPERLINK("https://klasma.github.io/Logging_0330/tillsyn/A 20778-2020 tillsynsbegäran.docx", "A 20778-2020")</f>
        <v/>
      </c>
      <c r="Y307">
        <f>HYPERLINK("https://klasma.github.io/Logging_0330/tillsynsmail/A 20778-2020 tillsynsbegäran mail.docx", "A 20778-2020")</f>
        <v/>
      </c>
    </row>
    <row r="308" ht="15" customHeight="1">
      <c r="A308" t="inlineStr">
        <is>
          <t>A 24031-2020</t>
        </is>
      </c>
      <c r="B308" s="1" t="n">
        <v>43971</v>
      </c>
      <c r="C308" s="1" t="n">
        <v>45705</v>
      </c>
      <c r="D308" t="inlineStr">
        <is>
          <t>UPPSALA LÄN</t>
        </is>
      </c>
      <c r="E308" t="inlineStr">
        <is>
          <t>KNIVSTA</t>
        </is>
      </c>
      <c r="F308" t="inlineStr">
        <is>
          <t>Övriga statliga verk och myndigheter</t>
        </is>
      </c>
      <c r="G308" t="n">
        <v>2.4</v>
      </c>
      <c r="H308" t="n">
        <v>2</v>
      </c>
      <c r="I308" t="n">
        <v>0</v>
      </c>
      <c r="J308" t="n">
        <v>1</v>
      </c>
      <c r="K308" t="n">
        <v>0</v>
      </c>
      <c r="L308" t="n">
        <v>0</v>
      </c>
      <c r="M308" t="n">
        <v>0</v>
      </c>
      <c r="N308" t="n">
        <v>0</v>
      </c>
      <c r="O308" t="n">
        <v>1</v>
      </c>
      <c r="P308" t="n">
        <v>0</v>
      </c>
      <c r="Q308" t="n">
        <v>2</v>
      </c>
      <c r="R308" s="2" t="inlineStr">
        <is>
          <t>Grönsångare
Vanlig snok</t>
        </is>
      </c>
      <c r="S308">
        <f>HYPERLINK("https://klasma.github.io/Logging_0330/artfynd/A 24031-2020 artfynd.xlsx", "A 24031-2020")</f>
        <v/>
      </c>
      <c r="T308">
        <f>HYPERLINK("https://klasma.github.io/Logging_0330/kartor/A 24031-2020 karta.png", "A 24031-2020")</f>
        <v/>
      </c>
      <c r="V308">
        <f>HYPERLINK("https://klasma.github.io/Logging_0330/klagomål/A 24031-2020 FSC-klagomål.docx", "A 24031-2020")</f>
        <v/>
      </c>
      <c r="W308">
        <f>HYPERLINK("https://klasma.github.io/Logging_0330/klagomålsmail/A 24031-2020 FSC-klagomål mail.docx", "A 24031-2020")</f>
        <v/>
      </c>
      <c r="X308">
        <f>HYPERLINK("https://klasma.github.io/Logging_0330/tillsyn/A 24031-2020 tillsynsbegäran.docx", "A 24031-2020")</f>
        <v/>
      </c>
      <c r="Y308">
        <f>HYPERLINK("https://klasma.github.io/Logging_0330/tillsynsmail/A 24031-2020 tillsynsbegäran mail.docx", "A 24031-2020")</f>
        <v/>
      </c>
      <c r="Z308">
        <f>HYPERLINK("https://klasma.github.io/Logging_0330/fåglar/A 24031-2020 prioriterade fågelarter.docx", "A 24031-2020")</f>
        <v/>
      </c>
    </row>
    <row r="309" ht="15" customHeight="1">
      <c r="A309" t="inlineStr">
        <is>
          <t>A 29091-2020</t>
        </is>
      </c>
      <c r="B309" s="1" t="n">
        <v>44002</v>
      </c>
      <c r="C309" s="1" t="n">
        <v>45705</v>
      </c>
      <c r="D309" t="inlineStr">
        <is>
          <t>UPPSALA LÄN</t>
        </is>
      </c>
      <c r="E309" t="inlineStr">
        <is>
          <t>HEBY</t>
        </is>
      </c>
      <c r="G309" t="n">
        <v>2.6</v>
      </c>
      <c r="H309" t="n">
        <v>1</v>
      </c>
      <c r="I309" t="n">
        <v>1</v>
      </c>
      <c r="J309" t="n">
        <v>0</v>
      </c>
      <c r="K309" t="n">
        <v>1</v>
      </c>
      <c r="L309" t="n">
        <v>0</v>
      </c>
      <c r="M309" t="n">
        <v>0</v>
      </c>
      <c r="N309" t="n">
        <v>0</v>
      </c>
      <c r="O309" t="n">
        <v>1</v>
      </c>
      <c r="P309" t="n">
        <v>1</v>
      </c>
      <c r="Q309" t="n">
        <v>2</v>
      </c>
      <c r="R309" s="2" t="inlineStr">
        <is>
          <t>Knärot
Grönpyrola</t>
        </is>
      </c>
      <c r="S309">
        <f>HYPERLINK("https://klasma.github.io/Logging_0331/artfynd/A 29091-2020 artfynd.xlsx", "A 29091-2020")</f>
        <v/>
      </c>
      <c r="T309">
        <f>HYPERLINK("https://klasma.github.io/Logging_0331/kartor/A 29091-2020 karta.png", "A 29091-2020")</f>
        <v/>
      </c>
      <c r="U309">
        <f>HYPERLINK("https://klasma.github.io/Logging_0331/knärot/A 29091-2020 karta knärot.png", "A 29091-2020")</f>
        <v/>
      </c>
      <c r="V309">
        <f>HYPERLINK("https://klasma.github.io/Logging_0331/klagomål/A 29091-2020 FSC-klagomål.docx", "A 29091-2020")</f>
        <v/>
      </c>
      <c r="W309">
        <f>HYPERLINK("https://klasma.github.io/Logging_0331/klagomålsmail/A 29091-2020 FSC-klagomål mail.docx", "A 29091-2020")</f>
        <v/>
      </c>
      <c r="X309">
        <f>HYPERLINK("https://klasma.github.io/Logging_0331/tillsyn/A 29091-2020 tillsynsbegäran.docx", "A 29091-2020")</f>
        <v/>
      </c>
      <c r="Y309">
        <f>HYPERLINK("https://klasma.github.io/Logging_0331/tillsynsmail/A 29091-2020 tillsynsbegäran mail.docx", "A 29091-2020")</f>
        <v/>
      </c>
    </row>
    <row r="310" ht="15" customHeight="1">
      <c r="A310" t="inlineStr">
        <is>
          <t>A 36385-2020</t>
        </is>
      </c>
      <c r="B310" s="1" t="n">
        <v>44049</v>
      </c>
      <c r="C310" s="1" t="n">
        <v>45705</v>
      </c>
      <c r="D310" t="inlineStr">
        <is>
          <t>UPPSALA LÄN</t>
        </is>
      </c>
      <c r="E310" t="inlineStr">
        <is>
          <t>HEBY</t>
        </is>
      </c>
      <c r="F310" t="inlineStr">
        <is>
          <t>Bergvik skog väst AB</t>
        </is>
      </c>
      <c r="G310" t="n">
        <v>0.8</v>
      </c>
      <c r="H310" t="n">
        <v>1</v>
      </c>
      <c r="I310" t="n">
        <v>1</v>
      </c>
      <c r="J310" t="n">
        <v>0</v>
      </c>
      <c r="K310" t="n">
        <v>0</v>
      </c>
      <c r="L310" t="n">
        <v>0</v>
      </c>
      <c r="M310" t="n">
        <v>0</v>
      </c>
      <c r="N310" t="n">
        <v>0</v>
      </c>
      <c r="O310" t="n">
        <v>0</v>
      </c>
      <c r="P310" t="n">
        <v>0</v>
      </c>
      <c r="Q310" t="n">
        <v>2</v>
      </c>
      <c r="R310" s="2" t="inlineStr">
        <is>
          <t>Granbarkgnagare
Revlummer</t>
        </is>
      </c>
      <c r="S310">
        <f>HYPERLINK("https://klasma.github.io/Logging_0331/artfynd/A 36385-2020 artfynd.xlsx", "A 36385-2020")</f>
        <v/>
      </c>
      <c r="T310">
        <f>HYPERLINK("https://klasma.github.io/Logging_0331/kartor/A 36385-2020 karta.png", "A 36385-2020")</f>
        <v/>
      </c>
      <c r="V310">
        <f>HYPERLINK("https://klasma.github.io/Logging_0331/klagomål/A 36385-2020 FSC-klagomål.docx", "A 36385-2020")</f>
        <v/>
      </c>
      <c r="W310">
        <f>HYPERLINK("https://klasma.github.io/Logging_0331/klagomålsmail/A 36385-2020 FSC-klagomål mail.docx", "A 36385-2020")</f>
        <v/>
      </c>
      <c r="X310">
        <f>HYPERLINK("https://klasma.github.io/Logging_0331/tillsyn/A 36385-2020 tillsynsbegäran.docx", "A 36385-2020")</f>
        <v/>
      </c>
      <c r="Y310">
        <f>HYPERLINK("https://klasma.github.io/Logging_0331/tillsynsmail/A 36385-2020 tillsynsbegäran mail.docx", "A 36385-2020")</f>
        <v/>
      </c>
    </row>
    <row r="311" ht="15" customHeight="1">
      <c r="A311" t="inlineStr">
        <is>
          <t>A 37289-2020</t>
        </is>
      </c>
      <c r="B311" s="1" t="n">
        <v>44054</v>
      </c>
      <c r="C311" s="1" t="n">
        <v>45705</v>
      </c>
      <c r="D311" t="inlineStr">
        <is>
          <t>UPPSALA LÄN</t>
        </is>
      </c>
      <c r="E311" t="inlineStr">
        <is>
          <t>UPPSALA</t>
        </is>
      </c>
      <c r="F311" t="inlineStr">
        <is>
          <t>Allmännings- och besparingsskogar</t>
        </is>
      </c>
      <c r="G311" t="n">
        <v>13.5</v>
      </c>
      <c r="H311" t="n">
        <v>0</v>
      </c>
      <c r="I311" t="n">
        <v>1</v>
      </c>
      <c r="J311" t="n">
        <v>1</v>
      </c>
      <c r="K311" t="n">
        <v>0</v>
      </c>
      <c r="L311" t="n">
        <v>0</v>
      </c>
      <c r="M311" t="n">
        <v>0</v>
      </c>
      <c r="N311" t="n">
        <v>0</v>
      </c>
      <c r="O311" t="n">
        <v>1</v>
      </c>
      <c r="P311" t="n">
        <v>0</v>
      </c>
      <c r="Q311" t="n">
        <v>2</v>
      </c>
      <c r="R311" s="2" t="inlineStr">
        <is>
          <t>Vedtrappmossa
Granbarkgnagare</t>
        </is>
      </c>
      <c r="S311">
        <f>HYPERLINK("https://klasma.github.io/Logging_0380/artfynd/A 37289-2020 artfynd.xlsx", "A 37289-2020")</f>
        <v/>
      </c>
      <c r="T311">
        <f>HYPERLINK("https://klasma.github.io/Logging_0380/kartor/A 37289-2020 karta.png", "A 37289-2020")</f>
        <v/>
      </c>
      <c r="V311">
        <f>HYPERLINK("https://klasma.github.io/Logging_0380/klagomål/A 37289-2020 FSC-klagomål.docx", "A 37289-2020")</f>
        <v/>
      </c>
      <c r="W311">
        <f>HYPERLINK("https://klasma.github.io/Logging_0380/klagomålsmail/A 37289-2020 FSC-klagomål mail.docx", "A 37289-2020")</f>
        <v/>
      </c>
      <c r="X311">
        <f>HYPERLINK("https://klasma.github.io/Logging_0380/tillsyn/A 37289-2020 tillsynsbegäran.docx", "A 37289-2020")</f>
        <v/>
      </c>
      <c r="Y311">
        <f>HYPERLINK("https://klasma.github.io/Logging_0380/tillsynsmail/A 37289-2020 tillsynsbegäran mail.docx", "A 37289-2020")</f>
        <v/>
      </c>
    </row>
    <row r="312" ht="15" customHeight="1">
      <c r="A312" t="inlineStr">
        <is>
          <t>A 42520-2020</t>
        </is>
      </c>
      <c r="B312" s="1" t="n">
        <v>44077</v>
      </c>
      <c r="C312" s="1" t="n">
        <v>45705</v>
      </c>
      <c r="D312" t="inlineStr">
        <is>
          <t>UPPSALA LÄN</t>
        </is>
      </c>
      <c r="E312" t="inlineStr">
        <is>
          <t>ÖSTHAMMAR</t>
        </is>
      </c>
      <c r="G312" t="n">
        <v>2.8</v>
      </c>
      <c r="H312" t="n">
        <v>1</v>
      </c>
      <c r="I312" t="n">
        <v>2</v>
      </c>
      <c r="J312" t="n">
        <v>0</v>
      </c>
      <c r="K312" t="n">
        <v>0</v>
      </c>
      <c r="L312" t="n">
        <v>0</v>
      </c>
      <c r="M312" t="n">
        <v>0</v>
      </c>
      <c r="N312" t="n">
        <v>0</v>
      </c>
      <c r="O312" t="n">
        <v>0</v>
      </c>
      <c r="P312" t="n">
        <v>0</v>
      </c>
      <c r="Q312" t="n">
        <v>2</v>
      </c>
      <c r="R312" s="2" t="inlineStr">
        <is>
          <t>Hasselticka
Skogsknipprot</t>
        </is>
      </c>
      <c r="S312">
        <f>HYPERLINK("https://klasma.github.io/Logging_0382/artfynd/A 42520-2020 artfynd.xlsx", "A 42520-2020")</f>
        <v/>
      </c>
      <c r="T312">
        <f>HYPERLINK("https://klasma.github.io/Logging_0382/kartor/A 42520-2020 karta.png", "A 42520-2020")</f>
        <v/>
      </c>
      <c r="V312">
        <f>HYPERLINK("https://klasma.github.io/Logging_0382/klagomål/A 42520-2020 FSC-klagomål.docx", "A 42520-2020")</f>
        <v/>
      </c>
      <c r="W312">
        <f>HYPERLINK("https://klasma.github.io/Logging_0382/klagomålsmail/A 42520-2020 FSC-klagomål mail.docx", "A 42520-2020")</f>
        <v/>
      </c>
      <c r="X312">
        <f>HYPERLINK("https://klasma.github.io/Logging_0382/tillsyn/A 42520-2020 tillsynsbegäran.docx", "A 42520-2020")</f>
        <v/>
      </c>
      <c r="Y312">
        <f>HYPERLINK("https://klasma.github.io/Logging_0382/tillsynsmail/A 42520-2020 tillsynsbegäran mail.docx", "A 42520-2020")</f>
        <v/>
      </c>
    </row>
    <row r="313" ht="15" customHeight="1">
      <c r="A313" t="inlineStr">
        <is>
          <t>A 48100-2020</t>
        </is>
      </c>
      <c r="B313" s="1" t="n">
        <v>44101</v>
      </c>
      <c r="C313" s="1" t="n">
        <v>45705</v>
      </c>
      <c r="D313" t="inlineStr">
        <is>
          <t>UPPSALA LÄN</t>
        </is>
      </c>
      <c r="E313" t="inlineStr">
        <is>
          <t>UPPSALA</t>
        </is>
      </c>
      <c r="F313" t="inlineStr">
        <is>
          <t>Sveaskog</t>
        </is>
      </c>
      <c r="G313" t="n">
        <v>8.800000000000001</v>
      </c>
      <c r="H313" t="n">
        <v>1</v>
      </c>
      <c r="I313" t="n">
        <v>1</v>
      </c>
      <c r="J313" t="n">
        <v>0</v>
      </c>
      <c r="K313" t="n">
        <v>0</v>
      </c>
      <c r="L313" t="n">
        <v>0</v>
      </c>
      <c r="M313" t="n">
        <v>0</v>
      </c>
      <c r="N313" t="n">
        <v>0</v>
      </c>
      <c r="O313" t="n">
        <v>0</v>
      </c>
      <c r="P313" t="n">
        <v>0</v>
      </c>
      <c r="Q313" t="n">
        <v>2</v>
      </c>
      <c r="R313" s="2" t="inlineStr">
        <is>
          <t>Svavelriska
Blåsippa</t>
        </is>
      </c>
      <c r="S313">
        <f>HYPERLINK("https://klasma.github.io/Logging_0380/artfynd/A 48100-2020 artfynd.xlsx", "A 48100-2020")</f>
        <v/>
      </c>
      <c r="T313">
        <f>HYPERLINK("https://klasma.github.io/Logging_0380/kartor/A 48100-2020 karta.png", "A 48100-2020")</f>
        <v/>
      </c>
      <c r="V313">
        <f>HYPERLINK("https://klasma.github.io/Logging_0380/klagomål/A 48100-2020 FSC-klagomål.docx", "A 48100-2020")</f>
        <v/>
      </c>
      <c r="W313">
        <f>HYPERLINK("https://klasma.github.io/Logging_0380/klagomålsmail/A 48100-2020 FSC-klagomål mail.docx", "A 48100-2020")</f>
        <v/>
      </c>
      <c r="X313">
        <f>HYPERLINK("https://klasma.github.io/Logging_0380/tillsyn/A 48100-2020 tillsynsbegäran.docx", "A 48100-2020")</f>
        <v/>
      </c>
      <c r="Y313">
        <f>HYPERLINK("https://klasma.github.io/Logging_0380/tillsynsmail/A 48100-2020 tillsynsbegäran mail.docx", "A 48100-2020")</f>
        <v/>
      </c>
    </row>
    <row r="314" ht="15" customHeight="1">
      <c r="A314" t="inlineStr">
        <is>
          <t>A 50415-2020</t>
        </is>
      </c>
      <c r="B314" s="1" t="n">
        <v>44110</v>
      </c>
      <c r="C314" s="1" t="n">
        <v>45705</v>
      </c>
      <c r="D314" t="inlineStr">
        <is>
          <t>UPPSALA LÄN</t>
        </is>
      </c>
      <c r="E314" t="inlineStr">
        <is>
          <t>ÄLVKARLEBY</t>
        </is>
      </c>
      <c r="F314" t="inlineStr">
        <is>
          <t>Bergvik skog väst AB</t>
        </is>
      </c>
      <c r="G314" t="n">
        <v>2.9</v>
      </c>
      <c r="H314" t="n">
        <v>1</v>
      </c>
      <c r="I314" t="n">
        <v>0</v>
      </c>
      <c r="J314" t="n">
        <v>2</v>
      </c>
      <c r="K314" t="n">
        <v>0</v>
      </c>
      <c r="L314" t="n">
        <v>0</v>
      </c>
      <c r="M314" t="n">
        <v>0</v>
      </c>
      <c r="N314" t="n">
        <v>0</v>
      </c>
      <c r="O314" t="n">
        <v>2</v>
      </c>
      <c r="P314" t="n">
        <v>0</v>
      </c>
      <c r="Q314" t="n">
        <v>2</v>
      </c>
      <c r="R314" s="2" t="inlineStr">
        <is>
          <t>Grönsångare
Skogssvingel</t>
        </is>
      </c>
      <c r="S314">
        <f>HYPERLINK("https://klasma.github.io/Logging_0319/artfynd/A 50415-2020 artfynd.xlsx", "A 50415-2020")</f>
        <v/>
      </c>
      <c r="T314">
        <f>HYPERLINK("https://klasma.github.io/Logging_0319/kartor/A 50415-2020 karta.png", "A 50415-2020")</f>
        <v/>
      </c>
      <c r="V314">
        <f>HYPERLINK("https://klasma.github.io/Logging_0319/klagomål/A 50415-2020 FSC-klagomål.docx", "A 50415-2020")</f>
        <v/>
      </c>
      <c r="W314">
        <f>HYPERLINK("https://klasma.github.io/Logging_0319/klagomålsmail/A 50415-2020 FSC-klagomål mail.docx", "A 50415-2020")</f>
        <v/>
      </c>
      <c r="X314">
        <f>HYPERLINK("https://klasma.github.io/Logging_0319/tillsyn/A 50415-2020 tillsynsbegäran.docx", "A 50415-2020")</f>
        <v/>
      </c>
      <c r="Y314">
        <f>HYPERLINK("https://klasma.github.io/Logging_0319/tillsynsmail/A 50415-2020 tillsynsbegäran mail.docx", "A 50415-2020")</f>
        <v/>
      </c>
      <c r="Z314">
        <f>HYPERLINK("https://klasma.github.io/Logging_0319/fåglar/A 50415-2020 prioriterade fågelarter.docx", "A 50415-2020")</f>
        <v/>
      </c>
    </row>
    <row r="315" ht="15" customHeight="1">
      <c r="A315" t="inlineStr">
        <is>
          <t>A 53716-2020</t>
        </is>
      </c>
      <c r="B315" s="1" t="n">
        <v>44124</v>
      </c>
      <c r="C315" s="1" t="n">
        <v>45705</v>
      </c>
      <c r="D315" t="inlineStr">
        <is>
          <t>UPPSALA LÄN</t>
        </is>
      </c>
      <c r="E315" t="inlineStr">
        <is>
          <t>HÅBO</t>
        </is>
      </c>
      <c r="F315" t="inlineStr">
        <is>
          <t>Kommuner</t>
        </is>
      </c>
      <c r="G315" t="n">
        <v>16.7</v>
      </c>
      <c r="H315" t="n">
        <v>0</v>
      </c>
      <c r="I315" t="n">
        <v>1</v>
      </c>
      <c r="J315" t="n">
        <v>1</v>
      </c>
      <c r="K315" t="n">
        <v>0</v>
      </c>
      <c r="L315" t="n">
        <v>0</v>
      </c>
      <c r="M315" t="n">
        <v>0</v>
      </c>
      <c r="N315" t="n">
        <v>0</v>
      </c>
      <c r="O315" t="n">
        <v>1</v>
      </c>
      <c r="P315" t="n">
        <v>0</v>
      </c>
      <c r="Q315" t="n">
        <v>2</v>
      </c>
      <c r="R315" s="2" t="inlineStr">
        <is>
          <t>Ullticka
Blåmossa</t>
        </is>
      </c>
      <c r="S315">
        <f>HYPERLINK("https://klasma.github.io/Logging_0305/artfynd/A 53716-2020 artfynd.xlsx", "A 53716-2020")</f>
        <v/>
      </c>
      <c r="T315">
        <f>HYPERLINK("https://klasma.github.io/Logging_0305/kartor/A 53716-2020 karta.png", "A 53716-2020")</f>
        <v/>
      </c>
      <c r="V315">
        <f>HYPERLINK("https://klasma.github.io/Logging_0305/klagomål/A 53716-2020 FSC-klagomål.docx", "A 53716-2020")</f>
        <v/>
      </c>
      <c r="W315">
        <f>HYPERLINK("https://klasma.github.io/Logging_0305/klagomålsmail/A 53716-2020 FSC-klagomål mail.docx", "A 53716-2020")</f>
        <v/>
      </c>
      <c r="X315">
        <f>HYPERLINK("https://klasma.github.io/Logging_0305/tillsyn/A 53716-2020 tillsynsbegäran.docx", "A 53716-2020")</f>
        <v/>
      </c>
      <c r="Y315">
        <f>HYPERLINK("https://klasma.github.io/Logging_0305/tillsynsmail/A 53716-2020 tillsynsbegäran mail.docx", "A 53716-2020")</f>
        <v/>
      </c>
    </row>
    <row r="316" ht="15" customHeight="1">
      <c r="A316" t="inlineStr">
        <is>
          <t>A 59416-2020</t>
        </is>
      </c>
      <c r="B316" s="1" t="n">
        <v>44148</v>
      </c>
      <c r="C316" s="1" t="n">
        <v>45705</v>
      </c>
      <c r="D316" t="inlineStr">
        <is>
          <t>UPPSALA LÄN</t>
        </is>
      </c>
      <c r="E316" t="inlineStr">
        <is>
          <t>ÖSTHAMMAR</t>
        </is>
      </c>
      <c r="F316" t="inlineStr">
        <is>
          <t>Sveaskog</t>
        </is>
      </c>
      <c r="G316" t="n">
        <v>1.7</v>
      </c>
      <c r="H316" t="n">
        <v>2</v>
      </c>
      <c r="I316" t="n">
        <v>0</v>
      </c>
      <c r="J316" t="n">
        <v>1</v>
      </c>
      <c r="K316" t="n">
        <v>0</v>
      </c>
      <c r="L316" t="n">
        <v>1</v>
      </c>
      <c r="M316" t="n">
        <v>0</v>
      </c>
      <c r="N316" t="n">
        <v>0</v>
      </c>
      <c r="O316" t="n">
        <v>2</v>
      </c>
      <c r="P316" t="n">
        <v>1</v>
      </c>
      <c r="Q316" t="n">
        <v>2</v>
      </c>
      <c r="R316" s="2" t="inlineStr">
        <is>
          <t>Grönfink
Svartvit flugsnappare</t>
        </is>
      </c>
      <c r="S316">
        <f>HYPERLINK("https://klasma.github.io/Logging_0382/artfynd/A 59416-2020 artfynd.xlsx", "A 59416-2020")</f>
        <v/>
      </c>
      <c r="T316">
        <f>HYPERLINK("https://klasma.github.io/Logging_0382/kartor/A 59416-2020 karta.png", "A 59416-2020")</f>
        <v/>
      </c>
      <c r="V316">
        <f>HYPERLINK("https://klasma.github.io/Logging_0382/klagomål/A 59416-2020 FSC-klagomål.docx", "A 59416-2020")</f>
        <v/>
      </c>
      <c r="W316">
        <f>HYPERLINK("https://klasma.github.io/Logging_0382/klagomålsmail/A 59416-2020 FSC-klagomål mail.docx", "A 59416-2020")</f>
        <v/>
      </c>
      <c r="X316">
        <f>HYPERLINK("https://klasma.github.io/Logging_0382/tillsyn/A 59416-2020 tillsynsbegäran.docx", "A 59416-2020")</f>
        <v/>
      </c>
      <c r="Y316">
        <f>HYPERLINK("https://klasma.github.io/Logging_0382/tillsynsmail/A 59416-2020 tillsynsbegäran mail.docx", "A 59416-2020")</f>
        <v/>
      </c>
      <c r="Z316">
        <f>HYPERLINK("https://klasma.github.io/Logging_0382/fåglar/A 59416-2020 prioriterade fågelarter.docx", "A 59416-2020")</f>
        <v/>
      </c>
    </row>
    <row r="317" ht="15" customHeight="1">
      <c r="A317" t="inlineStr">
        <is>
          <t>A 6223-2021</t>
        </is>
      </c>
      <c r="B317" s="1" t="n">
        <v>44235</v>
      </c>
      <c r="C317" s="1" t="n">
        <v>45705</v>
      </c>
      <c r="D317" t="inlineStr">
        <is>
          <t>UPPSALA LÄN</t>
        </is>
      </c>
      <c r="E317" t="inlineStr">
        <is>
          <t>ÖSTHAMMAR</t>
        </is>
      </c>
      <c r="G317" t="n">
        <v>0.5</v>
      </c>
      <c r="H317" t="n">
        <v>2</v>
      </c>
      <c r="I317" t="n">
        <v>0</v>
      </c>
      <c r="J317" t="n">
        <v>0</v>
      </c>
      <c r="K317" t="n">
        <v>0</v>
      </c>
      <c r="L317" t="n">
        <v>0</v>
      </c>
      <c r="M317" t="n">
        <v>0</v>
      </c>
      <c r="N317" t="n">
        <v>0</v>
      </c>
      <c r="O317" t="n">
        <v>0</v>
      </c>
      <c r="P317" t="n">
        <v>0</v>
      </c>
      <c r="Q317" t="n">
        <v>2</v>
      </c>
      <c r="R317" s="2" t="inlineStr">
        <is>
          <t>Blåsippa
Gullviva</t>
        </is>
      </c>
      <c r="S317">
        <f>HYPERLINK("https://klasma.github.io/Logging_0382/artfynd/A 6223-2021 artfynd.xlsx", "A 6223-2021")</f>
        <v/>
      </c>
      <c r="T317">
        <f>HYPERLINK("https://klasma.github.io/Logging_0382/kartor/A 6223-2021 karta.png", "A 6223-2021")</f>
        <v/>
      </c>
      <c r="V317">
        <f>HYPERLINK("https://klasma.github.io/Logging_0382/klagomål/A 6223-2021 FSC-klagomål.docx", "A 6223-2021")</f>
        <v/>
      </c>
      <c r="W317">
        <f>HYPERLINK("https://klasma.github.io/Logging_0382/klagomålsmail/A 6223-2021 FSC-klagomål mail.docx", "A 6223-2021")</f>
        <v/>
      </c>
      <c r="X317">
        <f>HYPERLINK("https://klasma.github.io/Logging_0382/tillsyn/A 6223-2021 tillsynsbegäran.docx", "A 6223-2021")</f>
        <v/>
      </c>
      <c r="Y317">
        <f>HYPERLINK("https://klasma.github.io/Logging_0382/tillsynsmail/A 6223-2021 tillsynsbegäran mail.docx", "A 6223-2021")</f>
        <v/>
      </c>
    </row>
    <row r="318" ht="15" customHeight="1">
      <c r="A318" t="inlineStr">
        <is>
          <t>A 22025-2021</t>
        </is>
      </c>
      <c r="B318" s="1" t="n">
        <v>44323</v>
      </c>
      <c r="C318" s="1" t="n">
        <v>45705</v>
      </c>
      <c r="D318" t="inlineStr">
        <is>
          <t>UPPSALA LÄN</t>
        </is>
      </c>
      <c r="E318" t="inlineStr">
        <is>
          <t>ÄLVKARLEBY</t>
        </is>
      </c>
      <c r="F318" t="inlineStr">
        <is>
          <t>Bergvik skog väst AB</t>
        </is>
      </c>
      <c r="G318" t="n">
        <v>15.8</v>
      </c>
      <c r="H318" t="n">
        <v>0</v>
      </c>
      <c r="I318" t="n">
        <v>0</v>
      </c>
      <c r="J318" t="n">
        <v>2</v>
      </c>
      <c r="K318" t="n">
        <v>0</v>
      </c>
      <c r="L318" t="n">
        <v>0</v>
      </c>
      <c r="M318" t="n">
        <v>0</v>
      </c>
      <c r="N318" t="n">
        <v>0</v>
      </c>
      <c r="O318" t="n">
        <v>2</v>
      </c>
      <c r="P318" t="n">
        <v>0</v>
      </c>
      <c r="Q318" t="n">
        <v>2</v>
      </c>
      <c r="R318" s="2" t="inlineStr">
        <is>
          <t>Ekticka
Rödbrun blekspik</t>
        </is>
      </c>
      <c r="S318">
        <f>HYPERLINK("https://klasma.github.io/Logging_0319/artfynd/A 22025-2021 artfynd.xlsx", "A 22025-2021")</f>
        <v/>
      </c>
      <c r="T318">
        <f>HYPERLINK("https://klasma.github.io/Logging_0319/kartor/A 22025-2021 karta.png", "A 22025-2021")</f>
        <v/>
      </c>
      <c r="V318">
        <f>HYPERLINK("https://klasma.github.io/Logging_0319/klagomål/A 22025-2021 FSC-klagomål.docx", "A 22025-2021")</f>
        <v/>
      </c>
      <c r="W318">
        <f>HYPERLINK("https://klasma.github.io/Logging_0319/klagomålsmail/A 22025-2021 FSC-klagomål mail.docx", "A 22025-2021")</f>
        <v/>
      </c>
      <c r="X318">
        <f>HYPERLINK("https://klasma.github.io/Logging_0319/tillsyn/A 22025-2021 tillsynsbegäran.docx", "A 22025-2021")</f>
        <v/>
      </c>
      <c r="Y318">
        <f>HYPERLINK("https://klasma.github.io/Logging_0319/tillsynsmail/A 22025-2021 tillsynsbegäran mail.docx", "A 22025-2021")</f>
        <v/>
      </c>
    </row>
    <row r="319" ht="15" customHeight="1">
      <c r="A319" t="inlineStr">
        <is>
          <t>A 31622-2021</t>
        </is>
      </c>
      <c r="B319" s="1" t="n">
        <v>44369</v>
      </c>
      <c r="C319" s="1" t="n">
        <v>45705</v>
      </c>
      <c r="D319" t="inlineStr">
        <is>
          <t>UPPSALA LÄN</t>
        </is>
      </c>
      <c r="E319" t="inlineStr">
        <is>
          <t>ÖSTHAMMAR</t>
        </is>
      </c>
      <c r="G319" t="n">
        <v>12.6</v>
      </c>
      <c r="H319" t="n">
        <v>2</v>
      </c>
      <c r="I319" t="n">
        <v>0</v>
      </c>
      <c r="J319" t="n">
        <v>1</v>
      </c>
      <c r="K319" t="n">
        <v>0</v>
      </c>
      <c r="L319" t="n">
        <v>0</v>
      </c>
      <c r="M319" t="n">
        <v>0</v>
      </c>
      <c r="N319" t="n">
        <v>0</v>
      </c>
      <c r="O319" t="n">
        <v>1</v>
      </c>
      <c r="P319" t="n">
        <v>0</v>
      </c>
      <c r="Q319" t="n">
        <v>2</v>
      </c>
      <c r="R319" s="2" t="inlineStr">
        <is>
          <t>Spillkråka
Mattlummer</t>
        </is>
      </c>
      <c r="S319">
        <f>HYPERLINK("https://klasma.github.io/Logging_0382/artfynd/A 31622-2021 artfynd.xlsx", "A 31622-2021")</f>
        <v/>
      </c>
      <c r="T319">
        <f>HYPERLINK("https://klasma.github.io/Logging_0382/kartor/A 31622-2021 karta.png", "A 31622-2021")</f>
        <v/>
      </c>
      <c r="V319">
        <f>HYPERLINK("https://klasma.github.io/Logging_0382/klagomål/A 31622-2021 FSC-klagomål.docx", "A 31622-2021")</f>
        <v/>
      </c>
      <c r="W319">
        <f>HYPERLINK("https://klasma.github.io/Logging_0382/klagomålsmail/A 31622-2021 FSC-klagomål mail.docx", "A 31622-2021")</f>
        <v/>
      </c>
      <c r="X319">
        <f>HYPERLINK("https://klasma.github.io/Logging_0382/tillsyn/A 31622-2021 tillsynsbegäran.docx", "A 31622-2021")</f>
        <v/>
      </c>
      <c r="Y319">
        <f>HYPERLINK("https://klasma.github.io/Logging_0382/tillsynsmail/A 31622-2021 tillsynsbegäran mail.docx", "A 31622-2021")</f>
        <v/>
      </c>
      <c r="Z319">
        <f>HYPERLINK("https://klasma.github.io/Logging_0382/fåglar/A 31622-2021 prioriterade fågelarter.docx", "A 31622-2021")</f>
        <v/>
      </c>
    </row>
    <row r="320" ht="15" customHeight="1">
      <c r="A320" t="inlineStr">
        <is>
          <t>A 34150-2021</t>
        </is>
      </c>
      <c r="B320" s="1" t="n">
        <v>44379</v>
      </c>
      <c r="C320" s="1" t="n">
        <v>45705</v>
      </c>
      <c r="D320" t="inlineStr">
        <is>
          <t>UPPSALA LÄN</t>
        </is>
      </c>
      <c r="E320" t="inlineStr">
        <is>
          <t>ENKÖPING</t>
        </is>
      </c>
      <c r="G320" t="n">
        <v>9.199999999999999</v>
      </c>
      <c r="H320" t="n">
        <v>0</v>
      </c>
      <c r="I320" t="n">
        <v>1</v>
      </c>
      <c r="J320" t="n">
        <v>1</v>
      </c>
      <c r="K320" t="n">
        <v>0</v>
      </c>
      <c r="L320" t="n">
        <v>0</v>
      </c>
      <c r="M320" t="n">
        <v>0</v>
      </c>
      <c r="N320" t="n">
        <v>0</v>
      </c>
      <c r="O320" t="n">
        <v>1</v>
      </c>
      <c r="P320" t="n">
        <v>0</v>
      </c>
      <c r="Q320" t="n">
        <v>2</v>
      </c>
      <c r="R320" s="2" t="inlineStr">
        <is>
          <t>Ullticka
Bronshjon</t>
        </is>
      </c>
      <c r="S320">
        <f>HYPERLINK("https://klasma.github.io/Logging_0381/artfynd/A 34150-2021 artfynd.xlsx", "A 34150-2021")</f>
        <v/>
      </c>
      <c r="T320">
        <f>HYPERLINK("https://klasma.github.io/Logging_0381/kartor/A 34150-2021 karta.png", "A 34150-2021")</f>
        <v/>
      </c>
      <c r="V320">
        <f>HYPERLINK("https://klasma.github.io/Logging_0381/klagomål/A 34150-2021 FSC-klagomål.docx", "A 34150-2021")</f>
        <v/>
      </c>
      <c r="W320">
        <f>HYPERLINK("https://klasma.github.io/Logging_0381/klagomålsmail/A 34150-2021 FSC-klagomål mail.docx", "A 34150-2021")</f>
        <v/>
      </c>
      <c r="X320">
        <f>HYPERLINK("https://klasma.github.io/Logging_0381/tillsyn/A 34150-2021 tillsynsbegäran.docx", "A 34150-2021")</f>
        <v/>
      </c>
      <c r="Y320">
        <f>HYPERLINK("https://klasma.github.io/Logging_0381/tillsynsmail/A 34150-2021 tillsynsbegäran mail.docx", "A 34150-2021")</f>
        <v/>
      </c>
    </row>
    <row r="321" ht="15" customHeight="1">
      <c r="A321" t="inlineStr">
        <is>
          <t>A 53324-2021</t>
        </is>
      </c>
      <c r="B321" s="1" t="n">
        <v>44468</v>
      </c>
      <c r="C321" s="1" t="n">
        <v>45705</v>
      </c>
      <c r="D321" t="inlineStr">
        <is>
          <t>UPPSALA LÄN</t>
        </is>
      </c>
      <c r="E321" t="inlineStr">
        <is>
          <t>TIERP</t>
        </is>
      </c>
      <c r="G321" t="n">
        <v>0.8</v>
      </c>
      <c r="H321" t="n">
        <v>0</v>
      </c>
      <c r="I321" t="n">
        <v>1</v>
      </c>
      <c r="J321" t="n">
        <v>1</v>
      </c>
      <c r="K321" t="n">
        <v>0</v>
      </c>
      <c r="L321" t="n">
        <v>0</v>
      </c>
      <c r="M321" t="n">
        <v>0</v>
      </c>
      <c r="N321" t="n">
        <v>0</v>
      </c>
      <c r="O321" t="n">
        <v>1</v>
      </c>
      <c r="P321" t="n">
        <v>0</v>
      </c>
      <c r="Q321" t="n">
        <v>2</v>
      </c>
      <c r="R321" s="2" t="inlineStr">
        <is>
          <t>Granticka
Stor aspticka</t>
        </is>
      </c>
      <c r="S321">
        <f>HYPERLINK("https://klasma.github.io/Logging_0360/artfynd/A 53324-2021 artfynd.xlsx", "A 53324-2021")</f>
        <v/>
      </c>
      <c r="T321">
        <f>HYPERLINK("https://klasma.github.io/Logging_0360/kartor/A 53324-2021 karta.png", "A 53324-2021")</f>
        <v/>
      </c>
      <c r="V321">
        <f>HYPERLINK("https://klasma.github.io/Logging_0360/klagomål/A 53324-2021 FSC-klagomål.docx", "A 53324-2021")</f>
        <v/>
      </c>
      <c r="W321">
        <f>HYPERLINK("https://klasma.github.io/Logging_0360/klagomålsmail/A 53324-2021 FSC-klagomål mail.docx", "A 53324-2021")</f>
        <v/>
      </c>
      <c r="X321">
        <f>HYPERLINK("https://klasma.github.io/Logging_0360/tillsyn/A 53324-2021 tillsynsbegäran.docx", "A 53324-2021")</f>
        <v/>
      </c>
      <c r="Y321">
        <f>HYPERLINK("https://klasma.github.io/Logging_0360/tillsynsmail/A 53324-2021 tillsynsbegäran mail.docx", "A 53324-2021")</f>
        <v/>
      </c>
    </row>
    <row r="322" ht="15" customHeight="1">
      <c r="A322" t="inlineStr">
        <is>
          <t>A 60078-2021</t>
        </is>
      </c>
      <c r="B322" s="1" t="n">
        <v>44495</v>
      </c>
      <c r="C322" s="1" t="n">
        <v>45705</v>
      </c>
      <c r="D322" t="inlineStr">
        <is>
          <t>UPPSALA LÄN</t>
        </is>
      </c>
      <c r="E322" t="inlineStr">
        <is>
          <t>ÖSTHAMMAR</t>
        </is>
      </c>
      <c r="G322" t="n">
        <v>1.1</v>
      </c>
      <c r="H322" t="n">
        <v>0</v>
      </c>
      <c r="I322" t="n">
        <v>0</v>
      </c>
      <c r="J322" t="n">
        <v>1</v>
      </c>
      <c r="K322" t="n">
        <v>1</v>
      </c>
      <c r="L322" t="n">
        <v>0</v>
      </c>
      <c r="M322" t="n">
        <v>0</v>
      </c>
      <c r="N322" t="n">
        <v>0</v>
      </c>
      <c r="O322" t="n">
        <v>2</v>
      </c>
      <c r="P322" t="n">
        <v>1</v>
      </c>
      <c r="Q322" t="n">
        <v>2</v>
      </c>
      <c r="R322" s="2" t="inlineStr">
        <is>
          <t>Violgubbe
Blek fingersvamp</t>
        </is>
      </c>
      <c r="S322">
        <f>HYPERLINK("https://klasma.github.io/Logging_0382/artfynd/A 60078-2021 artfynd.xlsx", "A 60078-2021")</f>
        <v/>
      </c>
      <c r="T322">
        <f>HYPERLINK("https://klasma.github.io/Logging_0382/kartor/A 60078-2021 karta.png", "A 60078-2021")</f>
        <v/>
      </c>
      <c r="V322">
        <f>HYPERLINK("https://klasma.github.io/Logging_0382/klagomål/A 60078-2021 FSC-klagomål.docx", "A 60078-2021")</f>
        <v/>
      </c>
      <c r="W322">
        <f>HYPERLINK("https://klasma.github.io/Logging_0382/klagomålsmail/A 60078-2021 FSC-klagomål mail.docx", "A 60078-2021")</f>
        <v/>
      </c>
      <c r="X322">
        <f>HYPERLINK("https://klasma.github.io/Logging_0382/tillsyn/A 60078-2021 tillsynsbegäran.docx", "A 60078-2021")</f>
        <v/>
      </c>
      <c r="Y322">
        <f>HYPERLINK("https://klasma.github.io/Logging_0382/tillsynsmail/A 60078-2021 tillsynsbegäran mail.docx", "A 60078-2021")</f>
        <v/>
      </c>
    </row>
    <row r="323" ht="15" customHeight="1">
      <c r="A323" t="inlineStr">
        <is>
          <t>A 67855-2021</t>
        </is>
      </c>
      <c r="B323" s="1" t="n">
        <v>44525</v>
      </c>
      <c r="C323" s="1" t="n">
        <v>45705</v>
      </c>
      <c r="D323" t="inlineStr">
        <is>
          <t>UPPSALA LÄN</t>
        </is>
      </c>
      <c r="E323" t="inlineStr">
        <is>
          <t>ÖSTHAMMAR</t>
        </is>
      </c>
      <c r="G323" t="n">
        <v>7.5</v>
      </c>
      <c r="H323" t="n">
        <v>0</v>
      </c>
      <c r="I323" t="n">
        <v>2</v>
      </c>
      <c r="J323" t="n">
        <v>0</v>
      </c>
      <c r="K323" t="n">
        <v>0</v>
      </c>
      <c r="L323" t="n">
        <v>0</v>
      </c>
      <c r="M323" t="n">
        <v>0</v>
      </c>
      <c r="N323" t="n">
        <v>0</v>
      </c>
      <c r="O323" t="n">
        <v>0</v>
      </c>
      <c r="P323" t="n">
        <v>0</v>
      </c>
      <c r="Q323" t="n">
        <v>2</v>
      </c>
      <c r="R323" s="2" t="inlineStr">
        <is>
          <t>Guldkremla
Kamjordstjärna</t>
        </is>
      </c>
      <c r="S323">
        <f>HYPERLINK("https://klasma.github.io/Logging_0382/artfynd/A 67855-2021 artfynd.xlsx", "A 67855-2021")</f>
        <v/>
      </c>
      <c r="T323">
        <f>HYPERLINK("https://klasma.github.io/Logging_0382/kartor/A 67855-2021 karta.png", "A 67855-2021")</f>
        <v/>
      </c>
      <c r="V323">
        <f>HYPERLINK("https://klasma.github.io/Logging_0382/klagomål/A 67855-2021 FSC-klagomål.docx", "A 67855-2021")</f>
        <v/>
      </c>
      <c r="W323">
        <f>HYPERLINK("https://klasma.github.io/Logging_0382/klagomålsmail/A 67855-2021 FSC-klagomål mail.docx", "A 67855-2021")</f>
        <v/>
      </c>
      <c r="X323">
        <f>HYPERLINK("https://klasma.github.io/Logging_0382/tillsyn/A 67855-2021 tillsynsbegäran.docx", "A 67855-2021")</f>
        <v/>
      </c>
      <c r="Y323">
        <f>HYPERLINK("https://klasma.github.io/Logging_0382/tillsynsmail/A 67855-2021 tillsynsbegäran mail.docx", "A 67855-2021")</f>
        <v/>
      </c>
    </row>
    <row r="324" ht="15" customHeight="1">
      <c r="A324" t="inlineStr">
        <is>
          <t>A 69241-2021</t>
        </is>
      </c>
      <c r="B324" s="1" t="n">
        <v>44529</v>
      </c>
      <c r="C324" s="1" t="n">
        <v>45705</v>
      </c>
      <c r="D324" t="inlineStr">
        <is>
          <t>UPPSALA LÄN</t>
        </is>
      </c>
      <c r="E324" t="inlineStr">
        <is>
          <t>ÖSTHAMMAR</t>
        </is>
      </c>
      <c r="G324" t="n">
        <v>0.7</v>
      </c>
      <c r="H324" t="n">
        <v>0</v>
      </c>
      <c r="I324" t="n">
        <v>1</v>
      </c>
      <c r="J324" t="n">
        <v>1</v>
      </c>
      <c r="K324" t="n">
        <v>0</v>
      </c>
      <c r="L324" t="n">
        <v>0</v>
      </c>
      <c r="M324" t="n">
        <v>0</v>
      </c>
      <c r="N324" t="n">
        <v>0</v>
      </c>
      <c r="O324" t="n">
        <v>1</v>
      </c>
      <c r="P324" t="n">
        <v>0</v>
      </c>
      <c r="Q324" t="n">
        <v>2</v>
      </c>
      <c r="R324" s="2" t="inlineStr">
        <is>
          <t>Harticka
Zontaggsvamp</t>
        </is>
      </c>
      <c r="S324">
        <f>HYPERLINK("https://klasma.github.io/Logging_0382/artfynd/A 69241-2021 artfynd.xlsx", "A 69241-2021")</f>
        <v/>
      </c>
      <c r="T324">
        <f>HYPERLINK("https://klasma.github.io/Logging_0382/kartor/A 69241-2021 karta.png", "A 69241-2021")</f>
        <v/>
      </c>
      <c r="V324">
        <f>HYPERLINK("https://klasma.github.io/Logging_0382/klagomål/A 69241-2021 FSC-klagomål.docx", "A 69241-2021")</f>
        <v/>
      </c>
      <c r="W324">
        <f>HYPERLINK("https://klasma.github.io/Logging_0382/klagomålsmail/A 69241-2021 FSC-klagomål mail.docx", "A 69241-2021")</f>
        <v/>
      </c>
      <c r="X324">
        <f>HYPERLINK("https://klasma.github.io/Logging_0382/tillsyn/A 69241-2021 tillsynsbegäran.docx", "A 69241-2021")</f>
        <v/>
      </c>
      <c r="Y324">
        <f>HYPERLINK("https://klasma.github.io/Logging_0382/tillsynsmail/A 69241-2021 tillsynsbegäran mail.docx", "A 69241-2021")</f>
        <v/>
      </c>
    </row>
    <row r="325" ht="15" customHeight="1">
      <c r="A325" t="inlineStr">
        <is>
          <t>A 70017-2021</t>
        </is>
      </c>
      <c r="B325" s="1" t="n">
        <v>44533</v>
      </c>
      <c r="C325" s="1" t="n">
        <v>45705</v>
      </c>
      <c r="D325" t="inlineStr">
        <is>
          <t>UPPSALA LÄN</t>
        </is>
      </c>
      <c r="E325" t="inlineStr">
        <is>
          <t>ÄLVKARLEBY</t>
        </is>
      </c>
      <c r="G325" t="n">
        <v>2.1</v>
      </c>
      <c r="H325" t="n">
        <v>2</v>
      </c>
      <c r="I325" t="n">
        <v>0</v>
      </c>
      <c r="J325" t="n">
        <v>0</v>
      </c>
      <c r="K325" t="n">
        <v>1</v>
      </c>
      <c r="L325" t="n">
        <v>0</v>
      </c>
      <c r="M325" t="n">
        <v>0</v>
      </c>
      <c r="N325" t="n">
        <v>0</v>
      </c>
      <c r="O325" t="n">
        <v>1</v>
      </c>
      <c r="P325" t="n">
        <v>1</v>
      </c>
      <c r="Q325" t="n">
        <v>2</v>
      </c>
      <c r="R325" s="2" t="inlineStr">
        <is>
          <t>Gölgroda
Trana</t>
        </is>
      </c>
      <c r="S325">
        <f>HYPERLINK("https://klasma.github.io/Logging_0319/artfynd/A 70017-2021 artfynd.xlsx", "A 70017-2021")</f>
        <v/>
      </c>
      <c r="T325">
        <f>HYPERLINK("https://klasma.github.io/Logging_0319/kartor/A 70017-2021 karta.png", "A 70017-2021")</f>
        <v/>
      </c>
      <c r="V325">
        <f>HYPERLINK("https://klasma.github.io/Logging_0319/klagomål/A 70017-2021 FSC-klagomål.docx", "A 70017-2021")</f>
        <v/>
      </c>
      <c r="W325">
        <f>HYPERLINK("https://klasma.github.io/Logging_0319/klagomålsmail/A 70017-2021 FSC-klagomål mail.docx", "A 70017-2021")</f>
        <v/>
      </c>
      <c r="X325">
        <f>HYPERLINK("https://klasma.github.io/Logging_0319/tillsyn/A 70017-2021 tillsynsbegäran.docx", "A 70017-2021")</f>
        <v/>
      </c>
      <c r="Y325">
        <f>HYPERLINK("https://klasma.github.io/Logging_0319/tillsynsmail/A 70017-2021 tillsynsbegäran mail.docx", "A 70017-2021")</f>
        <v/>
      </c>
      <c r="Z325">
        <f>HYPERLINK("https://klasma.github.io/Logging_0319/fåglar/A 70017-2021 prioriterade fågelarter.docx", "A 70017-2021")</f>
        <v/>
      </c>
    </row>
    <row r="326" ht="15" customHeight="1">
      <c r="A326" t="inlineStr">
        <is>
          <t>A 73981-2021</t>
        </is>
      </c>
      <c r="B326" s="1" t="n">
        <v>44555</v>
      </c>
      <c r="C326" s="1" t="n">
        <v>45705</v>
      </c>
      <c r="D326" t="inlineStr">
        <is>
          <t>UPPSALA LÄN</t>
        </is>
      </c>
      <c r="E326" t="inlineStr">
        <is>
          <t>ÖSTHAMMAR</t>
        </is>
      </c>
      <c r="G326" t="n">
        <v>2.4</v>
      </c>
      <c r="H326" t="n">
        <v>0</v>
      </c>
      <c r="I326" t="n">
        <v>1</v>
      </c>
      <c r="J326" t="n">
        <v>1</v>
      </c>
      <c r="K326" t="n">
        <v>0</v>
      </c>
      <c r="L326" t="n">
        <v>0</v>
      </c>
      <c r="M326" t="n">
        <v>0</v>
      </c>
      <c r="N326" t="n">
        <v>0</v>
      </c>
      <c r="O326" t="n">
        <v>1</v>
      </c>
      <c r="P326" t="n">
        <v>0</v>
      </c>
      <c r="Q326" t="n">
        <v>2</v>
      </c>
      <c r="R326" s="2" t="inlineStr">
        <is>
          <t>Skogsklocka
Vårärt</t>
        </is>
      </c>
      <c r="S326">
        <f>HYPERLINK("https://klasma.github.io/Logging_0382/artfynd/A 73981-2021 artfynd.xlsx", "A 73981-2021")</f>
        <v/>
      </c>
      <c r="T326">
        <f>HYPERLINK("https://klasma.github.io/Logging_0382/kartor/A 73981-2021 karta.png", "A 73981-2021")</f>
        <v/>
      </c>
      <c r="V326">
        <f>HYPERLINK("https://klasma.github.io/Logging_0382/klagomål/A 73981-2021 FSC-klagomål.docx", "A 73981-2021")</f>
        <v/>
      </c>
      <c r="W326">
        <f>HYPERLINK("https://klasma.github.io/Logging_0382/klagomålsmail/A 73981-2021 FSC-klagomål mail.docx", "A 73981-2021")</f>
        <v/>
      </c>
      <c r="X326">
        <f>HYPERLINK("https://klasma.github.io/Logging_0382/tillsyn/A 73981-2021 tillsynsbegäran.docx", "A 73981-2021")</f>
        <v/>
      </c>
      <c r="Y326">
        <f>HYPERLINK("https://klasma.github.io/Logging_0382/tillsynsmail/A 73981-2021 tillsynsbegäran mail.docx", "A 73981-2021")</f>
        <v/>
      </c>
    </row>
    <row r="327" ht="15" customHeight="1">
      <c r="A327" t="inlineStr">
        <is>
          <t>A 74031-2021</t>
        </is>
      </c>
      <c r="B327" s="1" t="n">
        <v>44557</v>
      </c>
      <c r="C327" s="1" t="n">
        <v>45705</v>
      </c>
      <c r="D327" t="inlineStr">
        <is>
          <t>UPPSALA LÄN</t>
        </is>
      </c>
      <c r="E327" t="inlineStr">
        <is>
          <t>ENKÖPING</t>
        </is>
      </c>
      <c r="G327" t="n">
        <v>6</v>
      </c>
      <c r="H327" t="n">
        <v>0</v>
      </c>
      <c r="I327" t="n">
        <v>2</v>
      </c>
      <c r="J327" t="n">
        <v>0</v>
      </c>
      <c r="K327" t="n">
        <v>0</v>
      </c>
      <c r="L327" t="n">
        <v>0</v>
      </c>
      <c r="M327" t="n">
        <v>0</v>
      </c>
      <c r="N327" t="n">
        <v>0</v>
      </c>
      <c r="O327" t="n">
        <v>0</v>
      </c>
      <c r="P327" t="n">
        <v>0</v>
      </c>
      <c r="Q327" t="n">
        <v>2</v>
      </c>
      <c r="R327" s="2" t="inlineStr">
        <is>
          <t>Scharlakansvårskål agg.
Tibast</t>
        </is>
      </c>
      <c r="S327">
        <f>HYPERLINK("https://klasma.github.io/Logging_0381/artfynd/A 74031-2021 artfynd.xlsx", "A 74031-2021")</f>
        <v/>
      </c>
      <c r="T327">
        <f>HYPERLINK("https://klasma.github.io/Logging_0381/kartor/A 74031-2021 karta.png", "A 74031-2021")</f>
        <v/>
      </c>
      <c r="V327">
        <f>HYPERLINK("https://klasma.github.io/Logging_0381/klagomål/A 74031-2021 FSC-klagomål.docx", "A 74031-2021")</f>
        <v/>
      </c>
      <c r="W327">
        <f>HYPERLINK("https://klasma.github.io/Logging_0381/klagomålsmail/A 74031-2021 FSC-klagomål mail.docx", "A 74031-2021")</f>
        <v/>
      </c>
      <c r="X327">
        <f>HYPERLINK("https://klasma.github.io/Logging_0381/tillsyn/A 74031-2021 tillsynsbegäran.docx", "A 74031-2021")</f>
        <v/>
      </c>
      <c r="Y327">
        <f>HYPERLINK("https://klasma.github.io/Logging_0381/tillsynsmail/A 74031-2021 tillsynsbegäran mail.docx", "A 74031-2021")</f>
        <v/>
      </c>
    </row>
    <row r="328" ht="15" customHeight="1">
      <c r="A328" t="inlineStr">
        <is>
          <t>A 1396-2022</t>
        </is>
      </c>
      <c r="B328" s="1" t="n">
        <v>44573</v>
      </c>
      <c r="C328" s="1" t="n">
        <v>45705</v>
      </c>
      <c r="D328" t="inlineStr">
        <is>
          <t>UPPSALA LÄN</t>
        </is>
      </c>
      <c r="E328" t="inlineStr">
        <is>
          <t>HEBY</t>
        </is>
      </c>
      <c r="F328" t="inlineStr">
        <is>
          <t>Allmännings- och besparingsskogar</t>
        </is>
      </c>
      <c r="G328" t="n">
        <v>2</v>
      </c>
      <c r="H328" t="n">
        <v>2</v>
      </c>
      <c r="I328" t="n">
        <v>0</v>
      </c>
      <c r="J328" t="n">
        <v>0</v>
      </c>
      <c r="K328" t="n">
        <v>0</v>
      </c>
      <c r="L328" t="n">
        <v>0</v>
      </c>
      <c r="M328" t="n">
        <v>0</v>
      </c>
      <c r="N328" t="n">
        <v>0</v>
      </c>
      <c r="O328" t="n">
        <v>0</v>
      </c>
      <c r="P328" t="n">
        <v>0</v>
      </c>
      <c r="Q328" t="n">
        <v>2</v>
      </c>
      <c r="R328" s="2" t="inlineStr">
        <is>
          <t>Åkergroda
Vanlig groda</t>
        </is>
      </c>
      <c r="S328">
        <f>HYPERLINK("https://klasma.github.io/Logging_0331/artfynd/A 1396-2022 artfynd.xlsx", "A 1396-2022")</f>
        <v/>
      </c>
      <c r="T328">
        <f>HYPERLINK("https://klasma.github.io/Logging_0331/kartor/A 1396-2022 karta.png", "A 1396-2022")</f>
        <v/>
      </c>
      <c r="V328">
        <f>HYPERLINK("https://klasma.github.io/Logging_0331/klagomål/A 1396-2022 FSC-klagomål.docx", "A 1396-2022")</f>
        <v/>
      </c>
      <c r="W328">
        <f>HYPERLINK("https://klasma.github.io/Logging_0331/klagomålsmail/A 1396-2022 FSC-klagomål mail.docx", "A 1396-2022")</f>
        <v/>
      </c>
      <c r="X328">
        <f>HYPERLINK("https://klasma.github.io/Logging_0331/tillsyn/A 1396-2022 tillsynsbegäran.docx", "A 1396-2022")</f>
        <v/>
      </c>
      <c r="Y328">
        <f>HYPERLINK("https://klasma.github.io/Logging_0331/tillsynsmail/A 1396-2022 tillsynsbegäran mail.docx", "A 1396-2022")</f>
        <v/>
      </c>
    </row>
    <row r="329" ht="15" customHeight="1">
      <c r="A329" t="inlineStr">
        <is>
          <t>A 8290-2022</t>
        </is>
      </c>
      <c r="B329" s="1" t="n">
        <v>44610</v>
      </c>
      <c r="C329" s="1" t="n">
        <v>45705</v>
      </c>
      <c r="D329" t="inlineStr">
        <is>
          <t>UPPSALA LÄN</t>
        </is>
      </c>
      <c r="E329" t="inlineStr">
        <is>
          <t>ÖSTHAMMAR</t>
        </is>
      </c>
      <c r="G329" t="n">
        <v>3.5</v>
      </c>
      <c r="H329" t="n">
        <v>0</v>
      </c>
      <c r="I329" t="n">
        <v>1</v>
      </c>
      <c r="J329" t="n">
        <v>0</v>
      </c>
      <c r="K329" t="n">
        <v>1</v>
      </c>
      <c r="L329" t="n">
        <v>0</v>
      </c>
      <c r="M329" t="n">
        <v>0</v>
      </c>
      <c r="N329" t="n">
        <v>0</v>
      </c>
      <c r="O329" t="n">
        <v>1</v>
      </c>
      <c r="P329" t="n">
        <v>1</v>
      </c>
      <c r="Q329" t="n">
        <v>2</v>
      </c>
      <c r="R329" s="2" t="inlineStr">
        <is>
          <t>Gul lammticka
Brandmusseron</t>
        </is>
      </c>
      <c r="S329">
        <f>HYPERLINK("https://klasma.github.io/Logging_0382/artfynd/A 8290-2022 artfynd.xlsx", "A 8290-2022")</f>
        <v/>
      </c>
      <c r="T329">
        <f>HYPERLINK("https://klasma.github.io/Logging_0382/kartor/A 8290-2022 karta.png", "A 8290-2022")</f>
        <v/>
      </c>
      <c r="V329">
        <f>HYPERLINK("https://klasma.github.io/Logging_0382/klagomål/A 8290-2022 FSC-klagomål.docx", "A 8290-2022")</f>
        <v/>
      </c>
      <c r="W329">
        <f>HYPERLINK("https://klasma.github.io/Logging_0382/klagomålsmail/A 8290-2022 FSC-klagomål mail.docx", "A 8290-2022")</f>
        <v/>
      </c>
      <c r="X329">
        <f>HYPERLINK("https://klasma.github.io/Logging_0382/tillsyn/A 8290-2022 tillsynsbegäran.docx", "A 8290-2022")</f>
        <v/>
      </c>
      <c r="Y329">
        <f>HYPERLINK("https://klasma.github.io/Logging_0382/tillsynsmail/A 8290-2022 tillsynsbegäran mail.docx", "A 8290-2022")</f>
        <v/>
      </c>
    </row>
    <row r="330" ht="15" customHeight="1">
      <c r="A330" t="inlineStr">
        <is>
          <t>A 12186-2022</t>
        </is>
      </c>
      <c r="B330" s="1" t="n">
        <v>44636</v>
      </c>
      <c r="C330" s="1" t="n">
        <v>45705</v>
      </c>
      <c r="D330" t="inlineStr">
        <is>
          <t>UPPSALA LÄN</t>
        </is>
      </c>
      <c r="E330" t="inlineStr">
        <is>
          <t>TIERP</t>
        </is>
      </c>
      <c r="G330" t="n">
        <v>8.1</v>
      </c>
      <c r="H330" t="n">
        <v>0</v>
      </c>
      <c r="I330" t="n">
        <v>0</v>
      </c>
      <c r="J330" t="n">
        <v>2</v>
      </c>
      <c r="K330" t="n">
        <v>0</v>
      </c>
      <c r="L330" t="n">
        <v>0</v>
      </c>
      <c r="M330" t="n">
        <v>0</v>
      </c>
      <c r="N330" t="n">
        <v>0</v>
      </c>
      <c r="O330" t="n">
        <v>2</v>
      </c>
      <c r="P330" t="n">
        <v>0</v>
      </c>
      <c r="Q330" t="n">
        <v>2</v>
      </c>
      <c r="R330" s="2" t="inlineStr">
        <is>
          <t>Flattoppad klubbsvamp
Äggspindling</t>
        </is>
      </c>
      <c r="S330">
        <f>HYPERLINK("https://klasma.github.io/Logging_0360/artfynd/A 12186-2022 artfynd.xlsx", "A 12186-2022")</f>
        <v/>
      </c>
      <c r="T330">
        <f>HYPERLINK("https://klasma.github.io/Logging_0360/kartor/A 12186-2022 karta.png", "A 12186-2022")</f>
        <v/>
      </c>
      <c r="V330">
        <f>HYPERLINK("https://klasma.github.io/Logging_0360/klagomål/A 12186-2022 FSC-klagomål.docx", "A 12186-2022")</f>
        <v/>
      </c>
      <c r="W330">
        <f>HYPERLINK("https://klasma.github.io/Logging_0360/klagomålsmail/A 12186-2022 FSC-klagomål mail.docx", "A 12186-2022")</f>
        <v/>
      </c>
      <c r="X330">
        <f>HYPERLINK("https://klasma.github.io/Logging_0360/tillsyn/A 12186-2022 tillsynsbegäran.docx", "A 12186-2022")</f>
        <v/>
      </c>
      <c r="Y330">
        <f>HYPERLINK("https://klasma.github.io/Logging_0360/tillsynsmail/A 12186-2022 tillsynsbegäran mail.docx", "A 12186-2022")</f>
        <v/>
      </c>
    </row>
    <row r="331" ht="15" customHeight="1">
      <c r="A331" t="inlineStr">
        <is>
          <t>A 13287-2022</t>
        </is>
      </c>
      <c r="B331" s="1" t="n">
        <v>44644</v>
      </c>
      <c r="C331" s="1" t="n">
        <v>45705</v>
      </c>
      <c r="D331" t="inlineStr">
        <is>
          <t>UPPSALA LÄN</t>
        </is>
      </c>
      <c r="E331" t="inlineStr">
        <is>
          <t>ÖSTHAMMAR</t>
        </is>
      </c>
      <c r="G331" t="n">
        <v>14.6</v>
      </c>
      <c r="H331" t="n">
        <v>0</v>
      </c>
      <c r="I331" t="n">
        <v>1</v>
      </c>
      <c r="J331" t="n">
        <v>0</v>
      </c>
      <c r="K331" t="n">
        <v>1</v>
      </c>
      <c r="L331" t="n">
        <v>0</v>
      </c>
      <c r="M331" t="n">
        <v>0</v>
      </c>
      <c r="N331" t="n">
        <v>0</v>
      </c>
      <c r="O331" t="n">
        <v>1</v>
      </c>
      <c r="P331" t="n">
        <v>1</v>
      </c>
      <c r="Q331" t="n">
        <v>2</v>
      </c>
      <c r="R331" s="2" t="inlineStr">
        <is>
          <t>Bullspindling
Olivspindling</t>
        </is>
      </c>
      <c r="S331">
        <f>HYPERLINK("https://klasma.github.io/Logging_0382/artfynd/A 13287-2022 artfynd.xlsx", "A 13287-2022")</f>
        <v/>
      </c>
      <c r="T331">
        <f>HYPERLINK("https://klasma.github.io/Logging_0382/kartor/A 13287-2022 karta.png", "A 13287-2022")</f>
        <v/>
      </c>
      <c r="V331">
        <f>HYPERLINK("https://klasma.github.io/Logging_0382/klagomål/A 13287-2022 FSC-klagomål.docx", "A 13287-2022")</f>
        <v/>
      </c>
      <c r="W331">
        <f>HYPERLINK("https://klasma.github.io/Logging_0382/klagomålsmail/A 13287-2022 FSC-klagomål mail.docx", "A 13287-2022")</f>
        <v/>
      </c>
      <c r="X331">
        <f>HYPERLINK("https://klasma.github.io/Logging_0382/tillsyn/A 13287-2022 tillsynsbegäran.docx", "A 13287-2022")</f>
        <v/>
      </c>
      <c r="Y331">
        <f>HYPERLINK("https://klasma.github.io/Logging_0382/tillsynsmail/A 13287-2022 tillsynsbegäran mail.docx", "A 13287-2022")</f>
        <v/>
      </c>
    </row>
    <row r="332" ht="15" customHeight="1">
      <c r="A332" t="inlineStr">
        <is>
          <t>A 14093-2022</t>
        </is>
      </c>
      <c r="B332" s="1" t="n">
        <v>44651</v>
      </c>
      <c r="C332" s="1" t="n">
        <v>45705</v>
      </c>
      <c r="D332" t="inlineStr">
        <is>
          <t>UPPSALA LÄN</t>
        </is>
      </c>
      <c r="E332" t="inlineStr">
        <is>
          <t>TIERP</t>
        </is>
      </c>
      <c r="F332" t="inlineStr">
        <is>
          <t>Bergvik skog öst AB</t>
        </is>
      </c>
      <c r="G332" t="n">
        <v>3.9</v>
      </c>
      <c r="H332" t="n">
        <v>0</v>
      </c>
      <c r="I332" t="n">
        <v>2</v>
      </c>
      <c r="J332" t="n">
        <v>0</v>
      </c>
      <c r="K332" t="n">
        <v>0</v>
      </c>
      <c r="L332" t="n">
        <v>0</v>
      </c>
      <c r="M332" t="n">
        <v>0</v>
      </c>
      <c r="N332" t="n">
        <v>0</v>
      </c>
      <c r="O332" t="n">
        <v>0</v>
      </c>
      <c r="P332" t="n">
        <v>0</v>
      </c>
      <c r="Q332" t="n">
        <v>2</v>
      </c>
      <c r="R332" s="2" t="inlineStr">
        <is>
          <t>Björksplintborre
Jättesvampmal</t>
        </is>
      </c>
      <c r="S332">
        <f>HYPERLINK("https://klasma.github.io/Logging_0360/artfynd/A 14093-2022 artfynd.xlsx", "A 14093-2022")</f>
        <v/>
      </c>
      <c r="T332">
        <f>HYPERLINK("https://klasma.github.io/Logging_0360/kartor/A 14093-2022 karta.png", "A 14093-2022")</f>
        <v/>
      </c>
      <c r="V332">
        <f>HYPERLINK("https://klasma.github.io/Logging_0360/klagomål/A 14093-2022 FSC-klagomål.docx", "A 14093-2022")</f>
        <v/>
      </c>
      <c r="W332">
        <f>HYPERLINK("https://klasma.github.io/Logging_0360/klagomålsmail/A 14093-2022 FSC-klagomål mail.docx", "A 14093-2022")</f>
        <v/>
      </c>
      <c r="X332">
        <f>HYPERLINK("https://klasma.github.io/Logging_0360/tillsyn/A 14093-2022 tillsynsbegäran.docx", "A 14093-2022")</f>
        <v/>
      </c>
      <c r="Y332">
        <f>HYPERLINK("https://klasma.github.io/Logging_0360/tillsynsmail/A 14093-2022 tillsynsbegäran mail.docx", "A 14093-2022")</f>
        <v/>
      </c>
    </row>
    <row r="333" ht="15" customHeight="1">
      <c r="A333" t="inlineStr">
        <is>
          <t>A 15277-2022</t>
        </is>
      </c>
      <c r="B333" s="1" t="n">
        <v>44659</v>
      </c>
      <c r="C333" s="1" t="n">
        <v>45705</v>
      </c>
      <c r="D333" t="inlineStr">
        <is>
          <t>UPPSALA LÄN</t>
        </is>
      </c>
      <c r="E333" t="inlineStr">
        <is>
          <t>UPPSALA</t>
        </is>
      </c>
      <c r="G333" t="n">
        <v>8.9</v>
      </c>
      <c r="H333" t="n">
        <v>2</v>
      </c>
      <c r="I333" t="n">
        <v>0</v>
      </c>
      <c r="J333" t="n">
        <v>2</v>
      </c>
      <c r="K333" t="n">
        <v>0</v>
      </c>
      <c r="L333" t="n">
        <v>0</v>
      </c>
      <c r="M333" t="n">
        <v>0</v>
      </c>
      <c r="N333" t="n">
        <v>0</v>
      </c>
      <c r="O333" t="n">
        <v>2</v>
      </c>
      <c r="P333" t="n">
        <v>0</v>
      </c>
      <c r="Q333" t="n">
        <v>2</v>
      </c>
      <c r="R333" s="2" t="inlineStr">
        <is>
          <t>Entita
Mindre hackspett</t>
        </is>
      </c>
      <c r="S333">
        <f>HYPERLINK("https://klasma.github.io/Logging_0380/artfynd/A 15277-2022 artfynd.xlsx", "A 15277-2022")</f>
        <v/>
      </c>
      <c r="T333">
        <f>HYPERLINK("https://klasma.github.io/Logging_0380/kartor/A 15277-2022 karta.png", "A 15277-2022")</f>
        <v/>
      </c>
      <c r="V333">
        <f>HYPERLINK("https://klasma.github.io/Logging_0380/klagomål/A 15277-2022 FSC-klagomål.docx", "A 15277-2022")</f>
        <v/>
      </c>
      <c r="W333">
        <f>HYPERLINK("https://klasma.github.io/Logging_0380/klagomålsmail/A 15277-2022 FSC-klagomål mail.docx", "A 15277-2022")</f>
        <v/>
      </c>
      <c r="X333">
        <f>HYPERLINK("https://klasma.github.io/Logging_0380/tillsyn/A 15277-2022 tillsynsbegäran.docx", "A 15277-2022")</f>
        <v/>
      </c>
      <c r="Y333">
        <f>HYPERLINK("https://klasma.github.io/Logging_0380/tillsynsmail/A 15277-2022 tillsynsbegäran mail.docx", "A 15277-2022")</f>
        <v/>
      </c>
      <c r="Z333">
        <f>HYPERLINK("https://klasma.github.io/Logging_0380/fåglar/A 15277-2022 prioriterade fågelarter.docx", "A 15277-2022")</f>
        <v/>
      </c>
    </row>
    <row r="334" ht="15" customHeight="1">
      <c r="A334" t="inlineStr">
        <is>
          <t>A 17341-2022</t>
        </is>
      </c>
      <c r="B334" s="1" t="n">
        <v>44678</v>
      </c>
      <c r="C334" s="1" t="n">
        <v>45705</v>
      </c>
      <c r="D334" t="inlineStr">
        <is>
          <t>UPPSALA LÄN</t>
        </is>
      </c>
      <c r="E334" t="inlineStr">
        <is>
          <t>UPPSALA</t>
        </is>
      </c>
      <c r="F334" t="inlineStr">
        <is>
          <t>Övriga Aktiebolag</t>
        </is>
      </c>
      <c r="G334" t="n">
        <v>10.3</v>
      </c>
      <c r="H334" t="n">
        <v>2</v>
      </c>
      <c r="I334" t="n">
        <v>0</v>
      </c>
      <c r="J334" t="n">
        <v>2</v>
      </c>
      <c r="K334" t="n">
        <v>0</v>
      </c>
      <c r="L334" t="n">
        <v>0</v>
      </c>
      <c r="M334" t="n">
        <v>0</v>
      </c>
      <c r="N334" t="n">
        <v>0</v>
      </c>
      <c r="O334" t="n">
        <v>2</v>
      </c>
      <c r="P334" t="n">
        <v>0</v>
      </c>
      <c r="Q334" t="n">
        <v>2</v>
      </c>
      <c r="R334" s="2" t="inlineStr">
        <is>
          <t>Järpe
Tretåig hackspett</t>
        </is>
      </c>
      <c r="S334">
        <f>HYPERLINK("https://klasma.github.io/Logging_0380/artfynd/A 17341-2022 artfynd.xlsx", "A 17341-2022")</f>
        <v/>
      </c>
      <c r="T334">
        <f>HYPERLINK("https://klasma.github.io/Logging_0380/kartor/A 17341-2022 karta.png", "A 17341-2022")</f>
        <v/>
      </c>
      <c r="V334">
        <f>HYPERLINK("https://klasma.github.io/Logging_0380/klagomål/A 17341-2022 FSC-klagomål.docx", "A 17341-2022")</f>
        <v/>
      </c>
      <c r="W334">
        <f>HYPERLINK("https://klasma.github.io/Logging_0380/klagomålsmail/A 17341-2022 FSC-klagomål mail.docx", "A 17341-2022")</f>
        <v/>
      </c>
      <c r="X334">
        <f>HYPERLINK("https://klasma.github.io/Logging_0380/tillsyn/A 17341-2022 tillsynsbegäran.docx", "A 17341-2022")</f>
        <v/>
      </c>
      <c r="Y334">
        <f>HYPERLINK("https://klasma.github.io/Logging_0380/tillsynsmail/A 17341-2022 tillsynsbegäran mail.docx", "A 17341-2022")</f>
        <v/>
      </c>
      <c r="Z334">
        <f>HYPERLINK("https://klasma.github.io/Logging_0380/fåglar/A 17341-2022 prioriterade fågelarter.docx", "A 17341-2022")</f>
        <v/>
      </c>
    </row>
    <row r="335" ht="15" customHeight="1">
      <c r="A335" t="inlineStr">
        <is>
          <t>A 22212-2022</t>
        </is>
      </c>
      <c r="B335" s="1" t="n">
        <v>44712</v>
      </c>
      <c r="C335" s="1" t="n">
        <v>45705</v>
      </c>
      <c r="D335" t="inlineStr">
        <is>
          <t>UPPSALA LÄN</t>
        </is>
      </c>
      <c r="E335" t="inlineStr">
        <is>
          <t>HEBY</t>
        </is>
      </c>
      <c r="G335" t="n">
        <v>7.9</v>
      </c>
      <c r="H335" t="n">
        <v>0</v>
      </c>
      <c r="I335" t="n">
        <v>2</v>
      </c>
      <c r="J335" t="n">
        <v>0</v>
      </c>
      <c r="K335" t="n">
        <v>0</v>
      </c>
      <c r="L335" t="n">
        <v>0</v>
      </c>
      <c r="M335" t="n">
        <v>0</v>
      </c>
      <c r="N335" t="n">
        <v>0</v>
      </c>
      <c r="O335" t="n">
        <v>0</v>
      </c>
      <c r="P335" t="n">
        <v>0</v>
      </c>
      <c r="Q335" t="n">
        <v>2</v>
      </c>
      <c r="R335" s="2" t="inlineStr">
        <is>
          <t>Bronshjon
Thomsons trägnagare</t>
        </is>
      </c>
      <c r="S335">
        <f>HYPERLINK("https://klasma.github.io/Logging_0331/artfynd/A 22212-2022 artfynd.xlsx", "A 22212-2022")</f>
        <v/>
      </c>
      <c r="T335">
        <f>HYPERLINK("https://klasma.github.io/Logging_0331/kartor/A 22212-2022 karta.png", "A 22212-2022")</f>
        <v/>
      </c>
      <c r="V335">
        <f>HYPERLINK("https://klasma.github.io/Logging_0331/klagomål/A 22212-2022 FSC-klagomål.docx", "A 22212-2022")</f>
        <v/>
      </c>
      <c r="W335">
        <f>HYPERLINK("https://klasma.github.io/Logging_0331/klagomålsmail/A 22212-2022 FSC-klagomål mail.docx", "A 22212-2022")</f>
        <v/>
      </c>
      <c r="X335">
        <f>HYPERLINK("https://klasma.github.io/Logging_0331/tillsyn/A 22212-2022 tillsynsbegäran.docx", "A 22212-2022")</f>
        <v/>
      </c>
      <c r="Y335">
        <f>HYPERLINK("https://klasma.github.io/Logging_0331/tillsynsmail/A 22212-2022 tillsynsbegäran mail.docx", "A 22212-2022")</f>
        <v/>
      </c>
    </row>
    <row r="336" ht="15" customHeight="1">
      <c r="A336" t="inlineStr">
        <is>
          <t>A 23303-2022</t>
        </is>
      </c>
      <c r="B336" s="1" t="n">
        <v>44719</v>
      </c>
      <c r="C336" s="1" t="n">
        <v>45705</v>
      </c>
      <c r="D336" t="inlineStr">
        <is>
          <t>UPPSALA LÄN</t>
        </is>
      </c>
      <c r="E336" t="inlineStr">
        <is>
          <t>HÅBO</t>
        </is>
      </c>
      <c r="F336" t="inlineStr">
        <is>
          <t>Naturvårdsverket</t>
        </is>
      </c>
      <c r="G336" t="n">
        <v>2</v>
      </c>
      <c r="H336" t="n">
        <v>2</v>
      </c>
      <c r="I336" t="n">
        <v>0</v>
      </c>
      <c r="J336" t="n">
        <v>1</v>
      </c>
      <c r="K336" t="n">
        <v>0</v>
      </c>
      <c r="L336" t="n">
        <v>0</v>
      </c>
      <c r="M336" t="n">
        <v>0</v>
      </c>
      <c r="N336" t="n">
        <v>0</v>
      </c>
      <c r="O336" t="n">
        <v>1</v>
      </c>
      <c r="P336" t="n">
        <v>0</v>
      </c>
      <c r="Q336" t="n">
        <v>2</v>
      </c>
      <c r="R336" s="2" t="inlineStr">
        <is>
          <t>Mindre hackspett
Blåsippa</t>
        </is>
      </c>
      <c r="S336">
        <f>HYPERLINK("https://klasma.github.io/Logging_0305/artfynd/A 23303-2022 artfynd.xlsx", "A 23303-2022")</f>
        <v/>
      </c>
      <c r="T336">
        <f>HYPERLINK("https://klasma.github.io/Logging_0305/kartor/A 23303-2022 karta.png", "A 23303-2022")</f>
        <v/>
      </c>
      <c r="V336">
        <f>HYPERLINK("https://klasma.github.io/Logging_0305/klagomål/A 23303-2022 FSC-klagomål.docx", "A 23303-2022")</f>
        <v/>
      </c>
      <c r="W336">
        <f>HYPERLINK("https://klasma.github.io/Logging_0305/klagomålsmail/A 23303-2022 FSC-klagomål mail.docx", "A 23303-2022")</f>
        <v/>
      </c>
      <c r="X336">
        <f>HYPERLINK("https://klasma.github.io/Logging_0305/tillsyn/A 23303-2022 tillsynsbegäran.docx", "A 23303-2022")</f>
        <v/>
      </c>
      <c r="Y336">
        <f>HYPERLINK("https://klasma.github.io/Logging_0305/tillsynsmail/A 23303-2022 tillsynsbegäran mail.docx", "A 23303-2022")</f>
        <v/>
      </c>
      <c r="Z336">
        <f>HYPERLINK("https://klasma.github.io/Logging_0305/fåglar/A 23303-2022 prioriterade fågelarter.docx", "A 23303-2022")</f>
        <v/>
      </c>
    </row>
    <row r="337" ht="15" customHeight="1">
      <c r="A337" t="inlineStr">
        <is>
          <t>A 25098-2022</t>
        </is>
      </c>
      <c r="B337" s="1" t="n">
        <v>44729</v>
      </c>
      <c r="C337" s="1" t="n">
        <v>45705</v>
      </c>
      <c r="D337" t="inlineStr">
        <is>
          <t>UPPSALA LÄN</t>
        </is>
      </c>
      <c r="E337" t="inlineStr">
        <is>
          <t>ÖSTHAMMAR</t>
        </is>
      </c>
      <c r="G337" t="n">
        <v>2.9</v>
      </c>
      <c r="H337" t="n">
        <v>2</v>
      </c>
      <c r="I337" t="n">
        <v>0</v>
      </c>
      <c r="J337" t="n">
        <v>0</v>
      </c>
      <c r="K337" t="n">
        <v>0</v>
      </c>
      <c r="L337" t="n">
        <v>0</v>
      </c>
      <c r="M337" t="n">
        <v>0</v>
      </c>
      <c r="N337" t="n">
        <v>0</v>
      </c>
      <c r="O337" t="n">
        <v>0</v>
      </c>
      <c r="P337" t="n">
        <v>0</v>
      </c>
      <c r="Q337" t="n">
        <v>2</v>
      </c>
      <c r="R337" s="2" t="inlineStr">
        <is>
          <t>Blåsippa
Gullviva</t>
        </is>
      </c>
      <c r="S337">
        <f>HYPERLINK("https://klasma.github.io/Logging_0382/artfynd/A 25098-2022 artfynd.xlsx", "A 25098-2022")</f>
        <v/>
      </c>
      <c r="T337">
        <f>HYPERLINK("https://klasma.github.io/Logging_0382/kartor/A 25098-2022 karta.png", "A 25098-2022")</f>
        <v/>
      </c>
      <c r="V337">
        <f>HYPERLINK("https://klasma.github.io/Logging_0382/klagomål/A 25098-2022 FSC-klagomål.docx", "A 25098-2022")</f>
        <v/>
      </c>
      <c r="W337">
        <f>HYPERLINK("https://klasma.github.io/Logging_0382/klagomålsmail/A 25098-2022 FSC-klagomål mail.docx", "A 25098-2022")</f>
        <v/>
      </c>
      <c r="X337">
        <f>HYPERLINK("https://klasma.github.io/Logging_0382/tillsyn/A 25098-2022 tillsynsbegäran.docx", "A 25098-2022")</f>
        <v/>
      </c>
      <c r="Y337">
        <f>HYPERLINK("https://klasma.github.io/Logging_0382/tillsynsmail/A 25098-2022 tillsynsbegäran mail.docx", "A 25098-2022")</f>
        <v/>
      </c>
    </row>
    <row r="338" ht="15" customHeight="1">
      <c r="A338" t="inlineStr">
        <is>
          <t>A 32064-2022</t>
        </is>
      </c>
      <c r="B338" s="1" t="n">
        <v>44778</v>
      </c>
      <c r="C338" s="1" t="n">
        <v>45705</v>
      </c>
      <c r="D338" t="inlineStr">
        <is>
          <t>UPPSALA LÄN</t>
        </is>
      </c>
      <c r="E338" t="inlineStr">
        <is>
          <t>ÖSTHAMMAR</t>
        </is>
      </c>
      <c r="G338" t="n">
        <v>2.2</v>
      </c>
      <c r="H338" t="n">
        <v>0</v>
      </c>
      <c r="I338" t="n">
        <v>1</v>
      </c>
      <c r="J338" t="n">
        <v>0</v>
      </c>
      <c r="K338" t="n">
        <v>1</v>
      </c>
      <c r="L338" t="n">
        <v>0</v>
      </c>
      <c r="M338" t="n">
        <v>0</v>
      </c>
      <c r="N338" t="n">
        <v>0</v>
      </c>
      <c r="O338" t="n">
        <v>1</v>
      </c>
      <c r="P338" t="n">
        <v>1</v>
      </c>
      <c r="Q338" t="n">
        <v>2</v>
      </c>
      <c r="R338" s="2" t="inlineStr">
        <is>
          <t>Gul lammticka
Olivspindling</t>
        </is>
      </c>
      <c r="S338">
        <f>HYPERLINK("https://klasma.github.io/Logging_0382/artfynd/A 32064-2022 artfynd.xlsx", "A 32064-2022")</f>
        <v/>
      </c>
      <c r="T338">
        <f>HYPERLINK("https://klasma.github.io/Logging_0382/kartor/A 32064-2022 karta.png", "A 32064-2022")</f>
        <v/>
      </c>
      <c r="V338">
        <f>HYPERLINK("https://klasma.github.io/Logging_0382/klagomål/A 32064-2022 FSC-klagomål.docx", "A 32064-2022")</f>
        <v/>
      </c>
      <c r="W338">
        <f>HYPERLINK("https://klasma.github.io/Logging_0382/klagomålsmail/A 32064-2022 FSC-klagomål mail.docx", "A 32064-2022")</f>
        <v/>
      </c>
      <c r="X338">
        <f>HYPERLINK("https://klasma.github.io/Logging_0382/tillsyn/A 32064-2022 tillsynsbegäran.docx", "A 32064-2022")</f>
        <v/>
      </c>
      <c r="Y338">
        <f>HYPERLINK("https://klasma.github.io/Logging_0382/tillsynsmail/A 32064-2022 tillsynsbegäran mail.docx", "A 32064-2022")</f>
        <v/>
      </c>
    </row>
    <row r="339" ht="15" customHeight="1">
      <c r="A339" t="inlineStr">
        <is>
          <t>A 45851-2022</t>
        </is>
      </c>
      <c r="B339" s="1" t="n">
        <v>44846</v>
      </c>
      <c r="C339" s="1" t="n">
        <v>45705</v>
      </c>
      <c r="D339" t="inlineStr">
        <is>
          <t>UPPSALA LÄN</t>
        </is>
      </c>
      <c r="E339" t="inlineStr">
        <is>
          <t>TIERP</t>
        </is>
      </c>
      <c r="G339" t="n">
        <v>2.6</v>
      </c>
      <c r="H339" t="n">
        <v>0</v>
      </c>
      <c r="I339" t="n">
        <v>2</v>
      </c>
      <c r="J339" t="n">
        <v>0</v>
      </c>
      <c r="K339" t="n">
        <v>0</v>
      </c>
      <c r="L339" t="n">
        <v>0</v>
      </c>
      <c r="M339" t="n">
        <v>0</v>
      </c>
      <c r="N339" t="n">
        <v>0</v>
      </c>
      <c r="O339" t="n">
        <v>0</v>
      </c>
      <c r="P339" t="n">
        <v>0</v>
      </c>
      <c r="Q339" t="n">
        <v>2</v>
      </c>
      <c r="R339" s="2" t="inlineStr">
        <is>
          <t>Olivspindling
Rödgul trumpetsvamp</t>
        </is>
      </c>
      <c r="S339">
        <f>HYPERLINK("https://klasma.github.io/Logging_0360/artfynd/A 45851-2022 artfynd.xlsx", "A 45851-2022")</f>
        <v/>
      </c>
      <c r="T339">
        <f>HYPERLINK("https://klasma.github.io/Logging_0360/kartor/A 45851-2022 karta.png", "A 45851-2022")</f>
        <v/>
      </c>
      <c r="V339">
        <f>HYPERLINK("https://klasma.github.io/Logging_0360/klagomål/A 45851-2022 FSC-klagomål.docx", "A 45851-2022")</f>
        <v/>
      </c>
      <c r="W339">
        <f>HYPERLINK("https://klasma.github.io/Logging_0360/klagomålsmail/A 45851-2022 FSC-klagomål mail.docx", "A 45851-2022")</f>
        <v/>
      </c>
      <c r="X339">
        <f>HYPERLINK("https://klasma.github.io/Logging_0360/tillsyn/A 45851-2022 tillsynsbegäran.docx", "A 45851-2022")</f>
        <v/>
      </c>
      <c r="Y339">
        <f>HYPERLINK("https://klasma.github.io/Logging_0360/tillsynsmail/A 45851-2022 tillsynsbegäran mail.docx", "A 45851-2022")</f>
        <v/>
      </c>
    </row>
    <row r="340" ht="15" customHeight="1">
      <c r="A340" t="inlineStr">
        <is>
          <t>A 52092-2022</t>
        </is>
      </c>
      <c r="B340" s="1" t="n">
        <v>44873</v>
      </c>
      <c r="C340" s="1" t="n">
        <v>45705</v>
      </c>
      <c r="D340" t="inlineStr">
        <is>
          <t>UPPSALA LÄN</t>
        </is>
      </c>
      <c r="E340" t="inlineStr">
        <is>
          <t>ENKÖPING</t>
        </is>
      </c>
      <c r="G340" t="n">
        <v>2.4</v>
      </c>
      <c r="H340" t="n">
        <v>1</v>
      </c>
      <c r="I340" t="n">
        <v>0</v>
      </c>
      <c r="J340" t="n">
        <v>1</v>
      </c>
      <c r="K340" t="n">
        <v>1</v>
      </c>
      <c r="L340" t="n">
        <v>0</v>
      </c>
      <c r="M340" t="n">
        <v>0</v>
      </c>
      <c r="N340" t="n">
        <v>0</v>
      </c>
      <c r="O340" t="n">
        <v>2</v>
      </c>
      <c r="P340" t="n">
        <v>1</v>
      </c>
      <c r="Q340" t="n">
        <v>2</v>
      </c>
      <c r="R340" s="2" t="inlineStr">
        <is>
          <t>Bombmurkla
Fyrflikig jordstjärna</t>
        </is>
      </c>
      <c r="S340">
        <f>HYPERLINK("https://klasma.github.io/Logging_0381/artfynd/A 52092-2022 artfynd.xlsx", "A 52092-2022")</f>
        <v/>
      </c>
      <c r="T340">
        <f>HYPERLINK("https://klasma.github.io/Logging_0381/kartor/A 52092-2022 karta.png", "A 52092-2022")</f>
        <v/>
      </c>
      <c r="V340">
        <f>HYPERLINK("https://klasma.github.io/Logging_0381/klagomål/A 52092-2022 FSC-klagomål.docx", "A 52092-2022")</f>
        <v/>
      </c>
      <c r="W340">
        <f>HYPERLINK("https://klasma.github.io/Logging_0381/klagomålsmail/A 52092-2022 FSC-klagomål mail.docx", "A 52092-2022")</f>
        <v/>
      </c>
      <c r="X340">
        <f>HYPERLINK("https://klasma.github.io/Logging_0381/tillsyn/A 52092-2022 tillsynsbegäran.docx", "A 52092-2022")</f>
        <v/>
      </c>
      <c r="Y340">
        <f>HYPERLINK("https://klasma.github.io/Logging_0381/tillsynsmail/A 52092-2022 tillsynsbegäran mail.docx", "A 52092-2022")</f>
        <v/>
      </c>
    </row>
    <row r="341" ht="15" customHeight="1">
      <c r="A341" t="inlineStr">
        <is>
          <t>A 52654-2022</t>
        </is>
      </c>
      <c r="B341" s="1" t="n">
        <v>44874</v>
      </c>
      <c r="C341" s="1" t="n">
        <v>45705</v>
      </c>
      <c r="D341" t="inlineStr">
        <is>
          <t>UPPSALA LÄN</t>
        </is>
      </c>
      <c r="E341" t="inlineStr">
        <is>
          <t>ÖSTHAMMAR</t>
        </is>
      </c>
      <c r="F341" t="inlineStr">
        <is>
          <t>Bergvik skog öst AB</t>
        </is>
      </c>
      <c r="G341" t="n">
        <v>5.2</v>
      </c>
      <c r="H341" t="n">
        <v>2</v>
      </c>
      <c r="I341" t="n">
        <v>0</v>
      </c>
      <c r="J341" t="n">
        <v>2</v>
      </c>
      <c r="K341" t="n">
        <v>0</v>
      </c>
      <c r="L341" t="n">
        <v>0</v>
      </c>
      <c r="M341" t="n">
        <v>0</v>
      </c>
      <c r="N341" t="n">
        <v>0</v>
      </c>
      <c r="O341" t="n">
        <v>2</v>
      </c>
      <c r="P341" t="n">
        <v>0</v>
      </c>
      <c r="Q341" t="n">
        <v>2</v>
      </c>
      <c r="R341" s="2" t="inlineStr">
        <is>
          <t>Fiskmås
Strandskata</t>
        </is>
      </c>
      <c r="S341">
        <f>HYPERLINK("https://klasma.github.io/Logging_0382/artfynd/A 52654-2022 artfynd.xlsx", "A 52654-2022")</f>
        <v/>
      </c>
      <c r="T341">
        <f>HYPERLINK("https://klasma.github.io/Logging_0382/kartor/A 52654-2022 karta.png", "A 52654-2022")</f>
        <v/>
      </c>
      <c r="V341">
        <f>HYPERLINK("https://klasma.github.io/Logging_0382/klagomål/A 52654-2022 FSC-klagomål.docx", "A 52654-2022")</f>
        <v/>
      </c>
      <c r="W341">
        <f>HYPERLINK("https://klasma.github.io/Logging_0382/klagomålsmail/A 52654-2022 FSC-klagomål mail.docx", "A 52654-2022")</f>
        <v/>
      </c>
      <c r="X341">
        <f>HYPERLINK("https://klasma.github.io/Logging_0382/tillsyn/A 52654-2022 tillsynsbegäran.docx", "A 52654-2022")</f>
        <v/>
      </c>
      <c r="Y341">
        <f>HYPERLINK("https://klasma.github.io/Logging_0382/tillsynsmail/A 52654-2022 tillsynsbegäran mail.docx", "A 52654-2022")</f>
        <v/>
      </c>
    </row>
    <row r="342" ht="15" customHeight="1">
      <c r="A342" t="inlineStr">
        <is>
          <t>A 52658-2022</t>
        </is>
      </c>
      <c r="B342" s="1" t="n">
        <v>44874</v>
      </c>
      <c r="C342" s="1" t="n">
        <v>45705</v>
      </c>
      <c r="D342" t="inlineStr">
        <is>
          <t>UPPSALA LÄN</t>
        </is>
      </c>
      <c r="E342" t="inlineStr">
        <is>
          <t>ÖSTHAMMAR</t>
        </is>
      </c>
      <c r="F342" t="inlineStr">
        <is>
          <t>Bergvik skog öst AB</t>
        </is>
      </c>
      <c r="G342" t="n">
        <v>1.4</v>
      </c>
      <c r="H342" t="n">
        <v>2</v>
      </c>
      <c r="I342" t="n">
        <v>0</v>
      </c>
      <c r="J342" t="n">
        <v>2</v>
      </c>
      <c r="K342" t="n">
        <v>0</v>
      </c>
      <c r="L342" t="n">
        <v>0</v>
      </c>
      <c r="M342" t="n">
        <v>0</v>
      </c>
      <c r="N342" t="n">
        <v>0</v>
      </c>
      <c r="O342" t="n">
        <v>2</v>
      </c>
      <c r="P342" t="n">
        <v>0</v>
      </c>
      <c r="Q342" t="n">
        <v>2</v>
      </c>
      <c r="R342" s="2" t="inlineStr">
        <is>
          <t>Strandskata
Svartvit flugsnappare</t>
        </is>
      </c>
      <c r="S342">
        <f>HYPERLINK("https://klasma.github.io/Logging_0382/artfynd/A 52658-2022 artfynd.xlsx", "A 52658-2022")</f>
        <v/>
      </c>
      <c r="T342">
        <f>HYPERLINK("https://klasma.github.io/Logging_0382/kartor/A 52658-2022 karta.png", "A 52658-2022")</f>
        <v/>
      </c>
      <c r="V342">
        <f>HYPERLINK("https://klasma.github.io/Logging_0382/klagomål/A 52658-2022 FSC-klagomål.docx", "A 52658-2022")</f>
        <v/>
      </c>
      <c r="W342">
        <f>HYPERLINK("https://klasma.github.io/Logging_0382/klagomålsmail/A 52658-2022 FSC-klagomål mail.docx", "A 52658-2022")</f>
        <v/>
      </c>
      <c r="X342">
        <f>HYPERLINK("https://klasma.github.io/Logging_0382/tillsyn/A 52658-2022 tillsynsbegäran.docx", "A 52658-2022")</f>
        <v/>
      </c>
      <c r="Y342">
        <f>HYPERLINK("https://klasma.github.io/Logging_0382/tillsynsmail/A 52658-2022 tillsynsbegäran mail.docx", "A 52658-2022")</f>
        <v/>
      </c>
      <c r="Z342">
        <f>HYPERLINK("https://klasma.github.io/Logging_0382/fåglar/A 52658-2022 prioriterade fågelarter.docx", "A 52658-2022")</f>
        <v/>
      </c>
    </row>
    <row r="343" ht="15" customHeight="1">
      <c r="A343" t="inlineStr">
        <is>
          <t>A 54082-2022</t>
        </is>
      </c>
      <c r="B343" s="1" t="n">
        <v>44879</v>
      </c>
      <c r="C343" s="1" t="n">
        <v>45705</v>
      </c>
      <c r="D343" t="inlineStr">
        <is>
          <t>UPPSALA LÄN</t>
        </is>
      </c>
      <c r="E343" t="inlineStr">
        <is>
          <t>UPPSALA</t>
        </is>
      </c>
      <c r="G343" t="n">
        <v>15.1</v>
      </c>
      <c r="H343" t="n">
        <v>0</v>
      </c>
      <c r="I343" t="n">
        <v>2</v>
      </c>
      <c r="J343" t="n">
        <v>0</v>
      </c>
      <c r="K343" t="n">
        <v>0</v>
      </c>
      <c r="L343" t="n">
        <v>0</v>
      </c>
      <c r="M343" t="n">
        <v>0</v>
      </c>
      <c r="N343" t="n">
        <v>0</v>
      </c>
      <c r="O343" t="n">
        <v>0</v>
      </c>
      <c r="P343" t="n">
        <v>0</v>
      </c>
      <c r="Q343" t="n">
        <v>2</v>
      </c>
      <c r="R343" s="2" t="inlineStr">
        <is>
          <t>Fjällig taggsvamp s.str.
Skarp dropptaggsvamp</t>
        </is>
      </c>
      <c r="S343">
        <f>HYPERLINK("https://klasma.github.io/Logging_0380/artfynd/A 54082-2022 artfynd.xlsx", "A 54082-2022")</f>
        <v/>
      </c>
      <c r="T343">
        <f>HYPERLINK("https://klasma.github.io/Logging_0380/kartor/A 54082-2022 karta.png", "A 54082-2022")</f>
        <v/>
      </c>
      <c r="V343">
        <f>HYPERLINK("https://klasma.github.io/Logging_0380/klagomål/A 54082-2022 FSC-klagomål.docx", "A 54082-2022")</f>
        <v/>
      </c>
      <c r="W343">
        <f>HYPERLINK("https://klasma.github.io/Logging_0380/klagomålsmail/A 54082-2022 FSC-klagomål mail.docx", "A 54082-2022")</f>
        <v/>
      </c>
      <c r="X343">
        <f>HYPERLINK("https://klasma.github.io/Logging_0380/tillsyn/A 54082-2022 tillsynsbegäran.docx", "A 54082-2022")</f>
        <v/>
      </c>
      <c r="Y343">
        <f>HYPERLINK("https://klasma.github.io/Logging_0380/tillsynsmail/A 54082-2022 tillsynsbegäran mail.docx", "A 54082-2022")</f>
        <v/>
      </c>
    </row>
    <row r="344" ht="15" customHeight="1">
      <c r="A344" t="inlineStr">
        <is>
          <t>A 56531-2022</t>
        </is>
      </c>
      <c r="B344" s="1" t="n">
        <v>44887</v>
      </c>
      <c r="C344" s="1" t="n">
        <v>45705</v>
      </c>
      <c r="D344" t="inlineStr">
        <is>
          <t>UPPSALA LÄN</t>
        </is>
      </c>
      <c r="E344" t="inlineStr">
        <is>
          <t>TIERP</t>
        </is>
      </c>
      <c r="F344" t="inlineStr">
        <is>
          <t>Bergvik skog väst AB</t>
        </is>
      </c>
      <c r="G344" t="n">
        <v>14.2</v>
      </c>
      <c r="H344" t="n">
        <v>2</v>
      </c>
      <c r="I344" t="n">
        <v>0</v>
      </c>
      <c r="J344" t="n">
        <v>2</v>
      </c>
      <c r="K344" t="n">
        <v>0</v>
      </c>
      <c r="L344" t="n">
        <v>0</v>
      </c>
      <c r="M344" t="n">
        <v>0</v>
      </c>
      <c r="N344" t="n">
        <v>0</v>
      </c>
      <c r="O344" t="n">
        <v>2</v>
      </c>
      <c r="P344" t="n">
        <v>0</v>
      </c>
      <c r="Q344" t="n">
        <v>2</v>
      </c>
      <c r="R344" s="2" t="inlineStr">
        <is>
          <t>Spillkråka
Talltita</t>
        </is>
      </c>
      <c r="S344">
        <f>HYPERLINK("https://klasma.github.io/Logging_0360/artfynd/A 56531-2022 artfynd.xlsx", "A 56531-2022")</f>
        <v/>
      </c>
      <c r="T344">
        <f>HYPERLINK("https://klasma.github.io/Logging_0360/kartor/A 56531-2022 karta.png", "A 56531-2022")</f>
        <v/>
      </c>
      <c r="V344">
        <f>HYPERLINK("https://klasma.github.io/Logging_0360/klagomål/A 56531-2022 FSC-klagomål.docx", "A 56531-2022")</f>
        <v/>
      </c>
      <c r="W344">
        <f>HYPERLINK("https://klasma.github.io/Logging_0360/klagomålsmail/A 56531-2022 FSC-klagomål mail.docx", "A 56531-2022")</f>
        <v/>
      </c>
      <c r="X344">
        <f>HYPERLINK("https://klasma.github.io/Logging_0360/tillsyn/A 56531-2022 tillsynsbegäran.docx", "A 56531-2022")</f>
        <v/>
      </c>
      <c r="Y344">
        <f>HYPERLINK("https://klasma.github.io/Logging_0360/tillsynsmail/A 56531-2022 tillsynsbegäran mail.docx", "A 56531-2022")</f>
        <v/>
      </c>
      <c r="Z344">
        <f>HYPERLINK("https://klasma.github.io/Logging_0360/fåglar/A 56531-2022 prioriterade fågelarter.docx", "A 56531-2022")</f>
        <v/>
      </c>
    </row>
    <row r="345" ht="15" customHeight="1">
      <c r="A345" t="inlineStr">
        <is>
          <t>A 55975-2022</t>
        </is>
      </c>
      <c r="B345" s="1" t="n">
        <v>44889</v>
      </c>
      <c r="C345" s="1" t="n">
        <v>45705</v>
      </c>
      <c r="D345" t="inlineStr">
        <is>
          <t>UPPSALA LÄN</t>
        </is>
      </c>
      <c r="E345" t="inlineStr">
        <is>
          <t>HEBY</t>
        </is>
      </c>
      <c r="G345" t="n">
        <v>23.4</v>
      </c>
      <c r="H345" t="n">
        <v>0</v>
      </c>
      <c r="I345" t="n">
        <v>0</v>
      </c>
      <c r="J345" t="n">
        <v>1</v>
      </c>
      <c r="K345" t="n">
        <v>1</v>
      </c>
      <c r="L345" t="n">
        <v>0</v>
      </c>
      <c r="M345" t="n">
        <v>0</v>
      </c>
      <c r="N345" t="n">
        <v>0</v>
      </c>
      <c r="O345" t="n">
        <v>2</v>
      </c>
      <c r="P345" t="n">
        <v>1</v>
      </c>
      <c r="Q345" t="n">
        <v>2</v>
      </c>
      <c r="R345" s="2" t="inlineStr">
        <is>
          <t>Rynkskinn
Ullticka</t>
        </is>
      </c>
      <c r="S345">
        <f>HYPERLINK("https://klasma.github.io/Logging_0331/artfynd/A 55975-2022 artfynd.xlsx", "A 55975-2022")</f>
        <v/>
      </c>
      <c r="T345">
        <f>HYPERLINK("https://klasma.github.io/Logging_0331/kartor/A 55975-2022 karta.png", "A 55975-2022")</f>
        <v/>
      </c>
      <c r="V345">
        <f>HYPERLINK("https://klasma.github.io/Logging_0331/klagomål/A 55975-2022 FSC-klagomål.docx", "A 55975-2022")</f>
        <v/>
      </c>
      <c r="W345">
        <f>HYPERLINK("https://klasma.github.io/Logging_0331/klagomålsmail/A 55975-2022 FSC-klagomål mail.docx", "A 55975-2022")</f>
        <v/>
      </c>
      <c r="X345">
        <f>HYPERLINK("https://klasma.github.io/Logging_0331/tillsyn/A 55975-2022 tillsynsbegäran.docx", "A 55975-2022")</f>
        <v/>
      </c>
      <c r="Y345">
        <f>HYPERLINK("https://klasma.github.io/Logging_0331/tillsynsmail/A 55975-2022 tillsynsbegäran mail.docx", "A 55975-2022")</f>
        <v/>
      </c>
    </row>
    <row r="346" ht="15" customHeight="1">
      <c r="A346" t="inlineStr">
        <is>
          <t>A 57244-2022</t>
        </is>
      </c>
      <c r="B346" s="1" t="n">
        <v>44895</v>
      </c>
      <c r="C346" s="1" t="n">
        <v>45705</v>
      </c>
      <c r="D346" t="inlineStr">
        <is>
          <t>UPPSALA LÄN</t>
        </is>
      </c>
      <c r="E346" t="inlineStr">
        <is>
          <t>HEBY</t>
        </is>
      </c>
      <c r="G346" t="n">
        <v>6.5</v>
      </c>
      <c r="H346" t="n">
        <v>0</v>
      </c>
      <c r="I346" t="n">
        <v>1</v>
      </c>
      <c r="J346" t="n">
        <v>1</v>
      </c>
      <c r="K346" t="n">
        <v>0</v>
      </c>
      <c r="L346" t="n">
        <v>0</v>
      </c>
      <c r="M346" t="n">
        <v>0</v>
      </c>
      <c r="N346" t="n">
        <v>0</v>
      </c>
      <c r="O346" t="n">
        <v>1</v>
      </c>
      <c r="P346" t="n">
        <v>0</v>
      </c>
      <c r="Q346" t="n">
        <v>2</v>
      </c>
      <c r="R346" s="2" t="inlineStr">
        <is>
          <t>Garnlav
Trådticka</t>
        </is>
      </c>
      <c r="S346">
        <f>HYPERLINK("https://klasma.github.io/Logging_0331/artfynd/A 57244-2022 artfynd.xlsx", "A 57244-2022")</f>
        <v/>
      </c>
      <c r="T346">
        <f>HYPERLINK("https://klasma.github.io/Logging_0331/kartor/A 57244-2022 karta.png", "A 57244-2022")</f>
        <v/>
      </c>
      <c r="V346">
        <f>HYPERLINK("https://klasma.github.io/Logging_0331/klagomål/A 57244-2022 FSC-klagomål.docx", "A 57244-2022")</f>
        <v/>
      </c>
      <c r="W346">
        <f>HYPERLINK("https://klasma.github.io/Logging_0331/klagomålsmail/A 57244-2022 FSC-klagomål mail.docx", "A 57244-2022")</f>
        <v/>
      </c>
      <c r="X346">
        <f>HYPERLINK("https://klasma.github.io/Logging_0331/tillsyn/A 57244-2022 tillsynsbegäran.docx", "A 57244-2022")</f>
        <v/>
      </c>
      <c r="Y346">
        <f>HYPERLINK("https://klasma.github.io/Logging_0331/tillsynsmail/A 57244-2022 tillsynsbegäran mail.docx", "A 57244-2022")</f>
        <v/>
      </c>
    </row>
    <row r="347" ht="15" customHeight="1">
      <c r="A347" t="inlineStr">
        <is>
          <t>A 61114-2022</t>
        </is>
      </c>
      <c r="B347" s="1" t="n">
        <v>44915</v>
      </c>
      <c r="C347" s="1" t="n">
        <v>45705</v>
      </c>
      <c r="D347" t="inlineStr">
        <is>
          <t>UPPSALA LÄN</t>
        </is>
      </c>
      <c r="E347" t="inlineStr">
        <is>
          <t>ENKÖPING</t>
        </is>
      </c>
      <c r="G347" t="n">
        <v>19.1</v>
      </c>
      <c r="H347" t="n">
        <v>2</v>
      </c>
      <c r="I347" t="n">
        <v>1</v>
      </c>
      <c r="J347" t="n">
        <v>0</v>
      </c>
      <c r="K347" t="n">
        <v>0</v>
      </c>
      <c r="L347" t="n">
        <v>0</v>
      </c>
      <c r="M347" t="n">
        <v>0</v>
      </c>
      <c r="N347" t="n">
        <v>0</v>
      </c>
      <c r="O347" t="n">
        <v>0</v>
      </c>
      <c r="P347" t="n">
        <v>0</v>
      </c>
      <c r="Q347" t="n">
        <v>2</v>
      </c>
      <c r="R347" s="2" t="inlineStr">
        <is>
          <t>Plattlummer
Fläcknycklar</t>
        </is>
      </c>
      <c r="S347">
        <f>HYPERLINK("https://klasma.github.io/Logging_0381/artfynd/A 61114-2022 artfynd.xlsx", "A 61114-2022")</f>
        <v/>
      </c>
      <c r="T347">
        <f>HYPERLINK("https://klasma.github.io/Logging_0381/kartor/A 61114-2022 karta.png", "A 61114-2022")</f>
        <v/>
      </c>
      <c r="V347">
        <f>HYPERLINK("https://klasma.github.io/Logging_0381/klagomål/A 61114-2022 FSC-klagomål.docx", "A 61114-2022")</f>
        <v/>
      </c>
      <c r="W347">
        <f>HYPERLINK("https://klasma.github.io/Logging_0381/klagomålsmail/A 61114-2022 FSC-klagomål mail.docx", "A 61114-2022")</f>
        <v/>
      </c>
      <c r="X347">
        <f>HYPERLINK("https://klasma.github.io/Logging_0381/tillsyn/A 61114-2022 tillsynsbegäran.docx", "A 61114-2022")</f>
        <v/>
      </c>
      <c r="Y347">
        <f>HYPERLINK("https://klasma.github.io/Logging_0381/tillsynsmail/A 61114-2022 tillsynsbegäran mail.docx", "A 61114-2022")</f>
        <v/>
      </c>
    </row>
    <row r="348" ht="15" customHeight="1">
      <c r="A348" t="inlineStr">
        <is>
          <t>A 3510-2023</t>
        </is>
      </c>
      <c r="B348" s="1" t="n">
        <v>44950</v>
      </c>
      <c r="C348" s="1" t="n">
        <v>45705</v>
      </c>
      <c r="D348" t="inlineStr">
        <is>
          <t>UPPSALA LÄN</t>
        </is>
      </c>
      <c r="E348" t="inlineStr">
        <is>
          <t>TIERP</t>
        </is>
      </c>
      <c r="F348" t="inlineStr">
        <is>
          <t>Bergvik skog öst AB</t>
        </is>
      </c>
      <c r="G348" t="n">
        <v>2.4</v>
      </c>
      <c r="H348" t="n">
        <v>2</v>
      </c>
      <c r="I348" t="n">
        <v>0</v>
      </c>
      <c r="J348" t="n">
        <v>0</v>
      </c>
      <c r="K348" t="n">
        <v>0</v>
      </c>
      <c r="L348" t="n">
        <v>0</v>
      </c>
      <c r="M348" t="n">
        <v>0</v>
      </c>
      <c r="N348" t="n">
        <v>0</v>
      </c>
      <c r="O348" t="n">
        <v>0</v>
      </c>
      <c r="P348" t="n">
        <v>0</v>
      </c>
      <c r="Q348" t="n">
        <v>2</v>
      </c>
      <c r="R348" s="2" t="inlineStr">
        <is>
          <t>Blåsippa
Revlummer</t>
        </is>
      </c>
      <c r="S348">
        <f>HYPERLINK("https://klasma.github.io/Logging_0360/artfynd/A 3510-2023 artfynd.xlsx", "A 3510-2023")</f>
        <v/>
      </c>
      <c r="T348">
        <f>HYPERLINK("https://klasma.github.io/Logging_0360/kartor/A 3510-2023 karta.png", "A 3510-2023")</f>
        <v/>
      </c>
      <c r="V348">
        <f>HYPERLINK("https://klasma.github.io/Logging_0360/klagomål/A 3510-2023 FSC-klagomål.docx", "A 3510-2023")</f>
        <v/>
      </c>
      <c r="W348">
        <f>HYPERLINK("https://klasma.github.io/Logging_0360/klagomålsmail/A 3510-2023 FSC-klagomål mail.docx", "A 3510-2023")</f>
        <v/>
      </c>
      <c r="X348">
        <f>HYPERLINK("https://klasma.github.io/Logging_0360/tillsyn/A 3510-2023 tillsynsbegäran.docx", "A 3510-2023")</f>
        <v/>
      </c>
      <c r="Y348">
        <f>HYPERLINK("https://klasma.github.io/Logging_0360/tillsynsmail/A 3510-2023 tillsynsbegäran mail.docx", "A 3510-2023")</f>
        <v/>
      </c>
    </row>
    <row r="349" ht="15" customHeight="1">
      <c r="A349" t="inlineStr">
        <is>
          <t>A 3538-2023</t>
        </is>
      </c>
      <c r="B349" s="1" t="n">
        <v>44950</v>
      </c>
      <c r="C349" s="1" t="n">
        <v>45705</v>
      </c>
      <c r="D349" t="inlineStr">
        <is>
          <t>UPPSALA LÄN</t>
        </is>
      </c>
      <c r="E349" t="inlineStr">
        <is>
          <t>ENKÖPING</t>
        </is>
      </c>
      <c r="G349" t="n">
        <v>4.2</v>
      </c>
      <c r="H349" t="n">
        <v>0</v>
      </c>
      <c r="I349" t="n">
        <v>1</v>
      </c>
      <c r="J349" t="n">
        <v>1</v>
      </c>
      <c r="K349" t="n">
        <v>0</v>
      </c>
      <c r="L349" t="n">
        <v>0</v>
      </c>
      <c r="M349" t="n">
        <v>0</v>
      </c>
      <c r="N349" t="n">
        <v>0</v>
      </c>
      <c r="O349" t="n">
        <v>1</v>
      </c>
      <c r="P349" t="n">
        <v>0</v>
      </c>
      <c r="Q349" t="n">
        <v>2</v>
      </c>
      <c r="R349" s="2" t="inlineStr">
        <is>
          <t>Vedskivlav
Bårdlav</t>
        </is>
      </c>
      <c r="S349">
        <f>HYPERLINK("https://klasma.github.io/Logging_0381/artfynd/A 3538-2023 artfynd.xlsx", "A 3538-2023")</f>
        <v/>
      </c>
      <c r="T349">
        <f>HYPERLINK("https://klasma.github.io/Logging_0381/kartor/A 3538-2023 karta.png", "A 3538-2023")</f>
        <v/>
      </c>
      <c r="V349">
        <f>HYPERLINK("https://klasma.github.io/Logging_0381/klagomål/A 3538-2023 FSC-klagomål.docx", "A 3538-2023")</f>
        <v/>
      </c>
      <c r="W349">
        <f>HYPERLINK("https://klasma.github.io/Logging_0381/klagomålsmail/A 3538-2023 FSC-klagomål mail.docx", "A 3538-2023")</f>
        <v/>
      </c>
      <c r="X349">
        <f>HYPERLINK("https://klasma.github.io/Logging_0381/tillsyn/A 3538-2023 tillsynsbegäran.docx", "A 3538-2023")</f>
        <v/>
      </c>
      <c r="Y349">
        <f>HYPERLINK("https://klasma.github.io/Logging_0381/tillsynsmail/A 3538-2023 tillsynsbegäran mail.docx", "A 3538-2023")</f>
        <v/>
      </c>
    </row>
    <row r="350" ht="15" customHeight="1">
      <c r="A350" t="inlineStr">
        <is>
          <t>A 6832-2023</t>
        </is>
      </c>
      <c r="B350" s="1" t="n">
        <v>44967</v>
      </c>
      <c r="C350" s="1" t="n">
        <v>45705</v>
      </c>
      <c r="D350" t="inlineStr">
        <is>
          <t>UPPSALA LÄN</t>
        </is>
      </c>
      <c r="E350" t="inlineStr">
        <is>
          <t>ÄLVKARLEBY</t>
        </is>
      </c>
      <c r="F350" t="inlineStr">
        <is>
          <t>Bergvik skog väst AB</t>
        </is>
      </c>
      <c r="G350" t="n">
        <v>8.9</v>
      </c>
      <c r="H350" t="n">
        <v>0</v>
      </c>
      <c r="I350" t="n">
        <v>0</v>
      </c>
      <c r="J350" t="n">
        <v>0</v>
      </c>
      <c r="K350" t="n">
        <v>2</v>
      </c>
      <c r="L350" t="n">
        <v>0</v>
      </c>
      <c r="M350" t="n">
        <v>0</v>
      </c>
      <c r="N350" t="n">
        <v>0</v>
      </c>
      <c r="O350" t="n">
        <v>2</v>
      </c>
      <c r="P350" t="n">
        <v>2</v>
      </c>
      <c r="Q350" t="n">
        <v>2</v>
      </c>
      <c r="R350" s="2" t="inlineStr">
        <is>
          <t>Grangråticka
Koppartaggsvamp</t>
        </is>
      </c>
      <c r="S350">
        <f>HYPERLINK("https://klasma.github.io/Logging_0319/artfynd/A 6832-2023 artfynd.xlsx", "A 6832-2023")</f>
        <v/>
      </c>
      <c r="T350">
        <f>HYPERLINK("https://klasma.github.io/Logging_0319/kartor/A 6832-2023 karta.png", "A 6832-2023")</f>
        <v/>
      </c>
      <c r="V350">
        <f>HYPERLINK("https://klasma.github.io/Logging_0319/klagomål/A 6832-2023 FSC-klagomål.docx", "A 6832-2023")</f>
        <v/>
      </c>
      <c r="W350">
        <f>HYPERLINK("https://klasma.github.io/Logging_0319/klagomålsmail/A 6832-2023 FSC-klagomål mail.docx", "A 6832-2023")</f>
        <v/>
      </c>
      <c r="X350">
        <f>HYPERLINK("https://klasma.github.io/Logging_0319/tillsyn/A 6832-2023 tillsynsbegäran.docx", "A 6832-2023")</f>
        <v/>
      </c>
      <c r="Y350">
        <f>HYPERLINK("https://klasma.github.io/Logging_0319/tillsynsmail/A 6832-2023 tillsynsbegäran mail.docx", "A 6832-2023")</f>
        <v/>
      </c>
    </row>
    <row r="351" ht="15" customHeight="1">
      <c r="A351" t="inlineStr">
        <is>
          <t>A 6981-2023</t>
        </is>
      </c>
      <c r="B351" s="1" t="n">
        <v>44967</v>
      </c>
      <c r="C351" s="1" t="n">
        <v>45705</v>
      </c>
      <c r="D351" t="inlineStr">
        <is>
          <t>UPPSALA LÄN</t>
        </is>
      </c>
      <c r="E351" t="inlineStr">
        <is>
          <t>ÖSTHAMMAR</t>
        </is>
      </c>
      <c r="G351" t="n">
        <v>3.2</v>
      </c>
      <c r="H351" t="n">
        <v>1</v>
      </c>
      <c r="I351" t="n">
        <v>0</v>
      </c>
      <c r="J351" t="n">
        <v>1</v>
      </c>
      <c r="K351" t="n">
        <v>0</v>
      </c>
      <c r="L351" t="n">
        <v>0</v>
      </c>
      <c r="M351" t="n">
        <v>0</v>
      </c>
      <c r="N351" t="n">
        <v>0</v>
      </c>
      <c r="O351" t="n">
        <v>1</v>
      </c>
      <c r="P351" t="n">
        <v>0</v>
      </c>
      <c r="Q351" t="n">
        <v>2</v>
      </c>
      <c r="R351" s="2" t="inlineStr">
        <is>
          <t>Tallticka
Större vattensalamander</t>
        </is>
      </c>
      <c r="S351">
        <f>HYPERLINK("https://klasma.github.io/Logging_0382/artfynd/A 6981-2023 artfynd.xlsx", "A 6981-2023")</f>
        <v/>
      </c>
      <c r="T351">
        <f>HYPERLINK("https://klasma.github.io/Logging_0382/kartor/A 6981-2023 karta.png", "A 6981-2023")</f>
        <v/>
      </c>
      <c r="V351">
        <f>HYPERLINK("https://klasma.github.io/Logging_0382/klagomål/A 6981-2023 FSC-klagomål.docx", "A 6981-2023")</f>
        <v/>
      </c>
      <c r="W351">
        <f>HYPERLINK("https://klasma.github.io/Logging_0382/klagomålsmail/A 6981-2023 FSC-klagomål mail.docx", "A 6981-2023")</f>
        <v/>
      </c>
      <c r="X351">
        <f>HYPERLINK("https://klasma.github.io/Logging_0382/tillsyn/A 6981-2023 tillsynsbegäran.docx", "A 6981-2023")</f>
        <v/>
      </c>
      <c r="Y351">
        <f>HYPERLINK("https://klasma.github.io/Logging_0382/tillsynsmail/A 6981-2023 tillsynsbegäran mail.docx", "A 6981-2023")</f>
        <v/>
      </c>
    </row>
    <row r="352" ht="15" customHeight="1">
      <c r="A352" t="inlineStr">
        <is>
          <t>A 6998-2023</t>
        </is>
      </c>
      <c r="B352" s="1" t="n">
        <v>44967</v>
      </c>
      <c r="C352" s="1" t="n">
        <v>45705</v>
      </c>
      <c r="D352" t="inlineStr">
        <is>
          <t>UPPSALA LÄN</t>
        </is>
      </c>
      <c r="E352" t="inlineStr">
        <is>
          <t>UPPSALA</t>
        </is>
      </c>
      <c r="G352" t="n">
        <v>8.4</v>
      </c>
      <c r="H352" t="n">
        <v>2</v>
      </c>
      <c r="I352" t="n">
        <v>0</v>
      </c>
      <c r="J352" t="n">
        <v>0</v>
      </c>
      <c r="K352" t="n">
        <v>0</v>
      </c>
      <c r="L352" t="n">
        <v>0</v>
      </c>
      <c r="M352" t="n">
        <v>0</v>
      </c>
      <c r="N352" t="n">
        <v>0</v>
      </c>
      <c r="O352" t="n">
        <v>0</v>
      </c>
      <c r="P352" t="n">
        <v>0</v>
      </c>
      <c r="Q352" t="n">
        <v>2</v>
      </c>
      <c r="R352" s="2" t="inlineStr">
        <is>
          <t>Nattviol
Blåsippa</t>
        </is>
      </c>
      <c r="S352">
        <f>HYPERLINK("https://klasma.github.io/Logging_0380/artfynd/A 6998-2023 artfynd.xlsx", "A 6998-2023")</f>
        <v/>
      </c>
      <c r="T352">
        <f>HYPERLINK("https://klasma.github.io/Logging_0380/kartor/A 6998-2023 karta.png", "A 6998-2023")</f>
        <v/>
      </c>
      <c r="V352">
        <f>HYPERLINK("https://klasma.github.io/Logging_0380/klagomål/A 6998-2023 FSC-klagomål.docx", "A 6998-2023")</f>
        <v/>
      </c>
      <c r="W352">
        <f>HYPERLINK("https://klasma.github.io/Logging_0380/klagomålsmail/A 6998-2023 FSC-klagomål mail.docx", "A 6998-2023")</f>
        <v/>
      </c>
      <c r="X352">
        <f>HYPERLINK("https://klasma.github.io/Logging_0380/tillsyn/A 6998-2023 tillsynsbegäran.docx", "A 6998-2023")</f>
        <v/>
      </c>
      <c r="Y352">
        <f>HYPERLINK("https://klasma.github.io/Logging_0380/tillsynsmail/A 6998-2023 tillsynsbegäran mail.docx", "A 6998-2023")</f>
        <v/>
      </c>
    </row>
    <row r="353" ht="15" customHeight="1">
      <c r="A353" t="inlineStr">
        <is>
          <t>A 10011-2023</t>
        </is>
      </c>
      <c r="B353" s="1" t="n">
        <v>44985</v>
      </c>
      <c r="C353" s="1" t="n">
        <v>45705</v>
      </c>
      <c r="D353" t="inlineStr">
        <is>
          <t>UPPSALA LÄN</t>
        </is>
      </c>
      <c r="E353" t="inlineStr">
        <is>
          <t>KNIVSTA</t>
        </is>
      </c>
      <c r="F353" t="inlineStr">
        <is>
          <t>Holmen skog AB</t>
        </is>
      </c>
      <c r="G353" t="n">
        <v>3.9</v>
      </c>
      <c r="H353" t="n">
        <v>1</v>
      </c>
      <c r="I353" t="n">
        <v>1</v>
      </c>
      <c r="J353" t="n">
        <v>0</v>
      </c>
      <c r="K353" t="n">
        <v>0</v>
      </c>
      <c r="L353" t="n">
        <v>0</v>
      </c>
      <c r="M353" t="n">
        <v>0</v>
      </c>
      <c r="N353" t="n">
        <v>0</v>
      </c>
      <c r="O353" t="n">
        <v>0</v>
      </c>
      <c r="P353" t="n">
        <v>0</v>
      </c>
      <c r="Q353" t="n">
        <v>2</v>
      </c>
      <c r="R353" s="2" t="inlineStr">
        <is>
          <t>Fällmossa
Blåsippa</t>
        </is>
      </c>
      <c r="S353">
        <f>HYPERLINK("https://klasma.github.io/Logging_0330/artfynd/A 10011-2023 artfynd.xlsx", "A 10011-2023")</f>
        <v/>
      </c>
      <c r="T353">
        <f>HYPERLINK("https://klasma.github.io/Logging_0330/kartor/A 10011-2023 karta.png", "A 10011-2023")</f>
        <v/>
      </c>
      <c r="V353">
        <f>HYPERLINK("https://klasma.github.io/Logging_0330/klagomål/A 10011-2023 FSC-klagomål.docx", "A 10011-2023")</f>
        <v/>
      </c>
      <c r="W353">
        <f>HYPERLINK("https://klasma.github.io/Logging_0330/klagomålsmail/A 10011-2023 FSC-klagomål mail.docx", "A 10011-2023")</f>
        <v/>
      </c>
      <c r="X353">
        <f>HYPERLINK("https://klasma.github.io/Logging_0330/tillsyn/A 10011-2023 tillsynsbegäran.docx", "A 10011-2023")</f>
        <v/>
      </c>
      <c r="Y353">
        <f>HYPERLINK("https://klasma.github.io/Logging_0330/tillsynsmail/A 10011-2023 tillsynsbegäran mail.docx", "A 10011-2023")</f>
        <v/>
      </c>
    </row>
    <row r="354" ht="15" customHeight="1">
      <c r="A354" t="inlineStr">
        <is>
          <t>A 13206-2023</t>
        </is>
      </c>
      <c r="B354" s="1" t="n">
        <v>45002</v>
      </c>
      <c r="C354" s="1" t="n">
        <v>45705</v>
      </c>
      <c r="D354" t="inlineStr">
        <is>
          <t>UPPSALA LÄN</t>
        </is>
      </c>
      <c r="E354" t="inlineStr">
        <is>
          <t>UPPSALA</t>
        </is>
      </c>
      <c r="F354" t="inlineStr">
        <is>
          <t>Holmen skog AB</t>
        </is>
      </c>
      <c r="G354" t="n">
        <v>5.1</v>
      </c>
      <c r="H354" t="n">
        <v>2</v>
      </c>
      <c r="I354" t="n">
        <v>0</v>
      </c>
      <c r="J354" t="n">
        <v>0</v>
      </c>
      <c r="K354" t="n">
        <v>0</v>
      </c>
      <c r="L354" t="n">
        <v>0</v>
      </c>
      <c r="M354" t="n">
        <v>0</v>
      </c>
      <c r="N354" t="n">
        <v>0</v>
      </c>
      <c r="O354" t="n">
        <v>0</v>
      </c>
      <c r="P354" t="n">
        <v>0</v>
      </c>
      <c r="Q354" t="n">
        <v>2</v>
      </c>
      <c r="R354" s="2" t="inlineStr">
        <is>
          <t>Blåsippa
Revlummer</t>
        </is>
      </c>
      <c r="S354">
        <f>HYPERLINK("https://klasma.github.io/Logging_0380/artfynd/A 13206-2023 artfynd.xlsx", "A 13206-2023")</f>
        <v/>
      </c>
      <c r="T354">
        <f>HYPERLINK("https://klasma.github.io/Logging_0380/kartor/A 13206-2023 karta.png", "A 13206-2023")</f>
        <v/>
      </c>
      <c r="V354">
        <f>HYPERLINK("https://klasma.github.io/Logging_0380/klagomål/A 13206-2023 FSC-klagomål.docx", "A 13206-2023")</f>
        <v/>
      </c>
      <c r="W354">
        <f>HYPERLINK("https://klasma.github.io/Logging_0380/klagomålsmail/A 13206-2023 FSC-klagomål mail.docx", "A 13206-2023")</f>
        <v/>
      </c>
      <c r="X354">
        <f>HYPERLINK("https://klasma.github.io/Logging_0380/tillsyn/A 13206-2023 tillsynsbegäran.docx", "A 13206-2023")</f>
        <v/>
      </c>
      <c r="Y354">
        <f>HYPERLINK("https://klasma.github.io/Logging_0380/tillsynsmail/A 13206-2023 tillsynsbegäran mail.docx", "A 13206-2023")</f>
        <v/>
      </c>
    </row>
    <row r="355" ht="15" customHeight="1">
      <c r="A355" t="inlineStr">
        <is>
          <t>A 14191-2023</t>
        </is>
      </c>
      <c r="B355" s="1" t="n">
        <v>45009</v>
      </c>
      <c r="C355" s="1" t="n">
        <v>45705</v>
      </c>
      <c r="D355" t="inlineStr">
        <is>
          <t>UPPSALA LÄN</t>
        </is>
      </c>
      <c r="E355" t="inlineStr">
        <is>
          <t>TIERP</t>
        </is>
      </c>
      <c r="F355" t="inlineStr">
        <is>
          <t>Bergvik skog väst AB</t>
        </is>
      </c>
      <c r="G355" t="n">
        <v>7.3</v>
      </c>
      <c r="H355" t="n">
        <v>2</v>
      </c>
      <c r="I355" t="n">
        <v>0</v>
      </c>
      <c r="J355" t="n">
        <v>2</v>
      </c>
      <c r="K355" t="n">
        <v>0</v>
      </c>
      <c r="L355" t="n">
        <v>0</v>
      </c>
      <c r="M355" t="n">
        <v>0</v>
      </c>
      <c r="N355" t="n">
        <v>0</v>
      </c>
      <c r="O355" t="n">
        <v>2</v>
      </c>
      <c r="P355" t="n">
        <v>0</v>
      </c>
      <c r="Q355" t="n">
        <v>2</v>
      </c>
      <c r="R355" s="2" t="inlineStr">
        <is>
          <t>Spillkråka
Talltita</t>
        </is>
      </c>
      <c r="S355">
        <f>HYPERLINK("https://klasma.github.io/Logging_0360/artfynd/A 14191-2023 artfynd.xlsx", "A 14191-2023")</f>
        <v/>
      </c>
      <c r="T355">
        <f>HYPERLINK("https://klasma.github.io/Logging_0360/kartor/A 14191-2023 karta.png", "A 14191-2023")</f>
        <v/>
      </c>
      <c r="V355">
        <f>HYPERLINK("https://klasma.github.io/Logging_0360/klagomål/A 14191-2023 FSC-klagomål.docx", "A 14191-2023")</f>
        <v/>
      </c>
      <c r="W355">
        <f>HYPERLINK("https://klasma.github.io/Logging_0360/klagomålsmail/A 14191-2023 FSC-klagomål mail.docx", "A 14191-2023")</f>
        <v/>
      </c>
      <c r="X355">
        <f>HYPERLINK("https://klasma.github.io/Logging_0360/tillsyn/A 14191-2023 tillsynsbegäran.docx", "A 14191-2023")</f>
        <v/>
      </c>
      <c r="Y355">
        <f>HYPERLINK("https://klasma.github.io/Logging_0360/tillsynsmail/A 14191-2023 tillsynsbegäran mail.docx", "A 14191-2023")</f>
        <v/>
      </c>
      <c r="Z355">
        <f>HYPERLINK("https://klasma.github.io/Logging_0360/fåglar/A 14191-2023 prioriterade fågelarter.docx", "A 14191-2023")</f>
        <v/>
      </c>
    </row>
    <row r="356" ht="15" customHeight="1">
      <c r="A356" t="inlineStr">
        <is>
          <t>A 14774-2023</t>
        </is>
      </c>
      <c r="B356" s="1" t="n">
        <v>45014</v>
      </c>
      <c r="C356" s="1" t="n">
        <v>45705</v>
      </c>
      <c r="D356" t="inlineStr">
        <is>
          <t>UPPSALA LÄN</t>
        </is>
      </c>
      <c r="E356" t="inlineStr">
        <is>
          <t>HEBY</t>
        </is>
      </c>
      <c r="G356" t="n">
        <v>5.1</v>
      </c>
      <c r="H356" t="n">
        <v>1</v>
      </c>
      <c r="I356" t="n">
        <v>2</v>
      </c>
      <c r="J356" t="n">
        <v>0</v>
      </c>
      <c r="K356" t="n">
        <v>0</v>
      </c>
      <c r="L356" t="n">
        <v>0</v>
      </c>
      <c r="M356" t="n">
        <v>0</v>
      </c>
      <c r="N356" t="n">
        <v>0</v>
      </c>
      <c r="O356" t="n">
        <v>0</v>
      </c>
      <c r="P356" t="n">
        <v>0</v>
      </c>
      <c r="Q356" t="n">
        <v>2</v>
      </c>
      <c r="R356" s="2" t="inlineStr">
        <is>
          <t>Grön sköldmossa
Stubbspretmossa</t>
        </is>
      </c>
      <c r="S356">
        <f>HYPERLINK("https://klasma.github.io/Logging_0331/artfynd/A 14774-2023 artfynd.xlsx", "A 14774-2023")</f>
        <v/>
      </c>
      <c r="T356">
        <f>HYPERLINK("https://klasma.github.io/Logging_0331/kartor/A 14774-2023 karta.png", "A 14774-2023")</f>
        <v/>
      </c>
      <c r="V356">
        <f>HYPERLINK("https://klasma.github.io/Logging_0331/klagomål/A 14774-2023 FSC-klagomål.docx", "A 14774-2023")</f>
        <v/>
      </c>
      <c r="W356">
        <f>HYPERLINK("https://klasma.github.io/Logging_0331/klagomålsmail/A 14774-2023 FSC-klagomål mail.docx", "A 14774-2023")</f>
        <v/>
      </c>
      <c r="X356">
        <f>HYPERLINK("https://klasma.github.io/Logging_0331/tillsyn/A 14774-2023 tillsynsbegäran.docx", "A 14774-2023")</f>
        <v/>
      </c>
      <c r="Y356">
        <f>HYPERLINK("https://klasma.github.io/Logging_0331/tillsynsmail/A 14774-2023 tillsynsbegäran mail.docx", "A 14774-2023")</f>
        <v/>
      </c>
    </row>
    <row r="357" ht="15" customHeight="1">
      <c r="A357" t="inlineStr">
        <is>
          <t>A 15627-2023</t>
        </is>
      </c>
      <c r="B357" s="1" t="n">
        <v>45021</v>
      </c>
      <c r="C357" s="1" t="n">
        <v>45705</v>
      </c>
      <c r="D357" t="inlineStr">
        <is>
          <t>UPPSALA LÄN</t>
        </is>
      </c>
      <c r="E357" t="inlineStr">
        <is>
          <t>ÖSTHAMMAR</t>
        </is>
      </c>
      <c r="F357" t="inlineStr">
        <is>
          <t>Övriga Aktiebolag</t>
        </is>
      </c>
      <c r="G357" t="n">
        <v>22.8</v>
      </c>
      <c r="H357" t="n">
        <v>1</v>
      </c>
      <c r="I357" t="n">
        <v>1</v>
      </c>
      <c r="J357" t="n">
        <v>1</v>
      </c>
      <c r="K357" t="n">
        <v>0</v>
      </c>
      <c r="L357" t="n">
        <v>0</v>
      </c>
      <c r="M357" t="n">
        <v>0</v>
      </c>
      <c r="N357" t="n">
        <v>0</v>
      </c>
      <c r="O357" t="n">
        <v>1</v>
      </c>
      <c r="P357" t="n">
        <v>0</v>
      </c>
      <c r="Q357" t="n">
        <v>2</v>
      </c>
      <c r="R357" s="2" t="inlineStr">
        <is>
          <t>Slåtterfibbla
Guckusko</t>
        </is>
      </c>
      <c r="S357">
        <f>HYPERLINK("https://klasma.github.io/Logging_0382/artfynd/A 15627-2023 artfynd.xlsx", "A 15627-2023")</f>
        <v/>
      </c>
      <c r="T357">
        <f>HYPERLINK("https://klasma.github.io/Logging_0382/kartor/A 15627-2023 karta.png", "A 15627-2023")</f>
        <v/>
      </c>
      <c r="V357">
        <f>HYPERLINK("https://klasma.github.io/Logging_0382/klagomål/A 15627-2023 FSC-klagomål.docx", "A 15627-2023")</f>
        <v/>
      </c>
      <c r="W357">
        <f>HYPERLINK("https://klasma.github.io/Logging_0382/klagomålsmail/A 15627-2023 FSC-klagomål mail.docx", "A 15627-2023")</f>
        <v/>
      </c>
      <c r="X357">
        <f>HYPERLINK("https://klasma.github.io/Logging_0382/tillsyn/A 15627-2023 tillsynsbegäran.docx", "A 15627-2023")</f>
        <v/>
      </c>
      <c r="Y357">
        <f>HYPERLINK("https://klasma.github.io/Logging_0382/tillsynsmail/A 15627-2023 tillsynsbegäran mail.docx", "A 15627-2023")</f>
        <v/>
      </c>
    </row>
    <row r="358" ht="15" customHeight="1">
      <c r="A358" t="inlineStr">
        <is>
          <t>A 17277-2023</t>
        </is>
      </c>
      <c r="B358" s="1" t="n">
        <v>45035</v>
      </c>
      <c r="C358" s="1" t="n">
        <v>45705</v>
      </c>
      <c r="D358" t="inlineStr">
        <is>
          <t>UPPSALA LÄN</t>
        </is>
      </c>
      <c r="E358" t="inlineStr">
        <is>
          <t>UPPSALA</t>
        </is>
      </c>
      <c r="F358" t="inlineStr">
        <is>
          <t>Övriga Aktiebolag</t>
        </is>
      </c>
      <c r="G358" t="n">
        <v>6.1</v>
      </c>
      <c r="H358" t="n">
        <v>2</v>
      </c>
      <c r="I358" t="n">
        <v>0</v>
      </c>
      <c r="J358" t="n">
        <v>1</v>
      </c>
      <c r="K358" t="n">
        <v>0</v>
      </c>
      <c r="L358" t="n">
        <v>0</v>
      </c>
      <c r="M358" t="n">
        <v>0</v>
      </c>
      <c r="N358" t="n">
        <v>0</v>
      </c>
      <c r="O358" t="n">
        <v>1</v>
      </c>
      <c r="P358" t="n">
        <v>0</v>
      </c>
      <c r="Q358" t="n">
        <v>2</v>
      </c>
      <c r="R358" s="2" t="inlineStr">
        <is>
          <t>Slaguggla
Trana</t>
        </is>
      </c>
      <c r="S358">
        <f>HYPERLINK("https://klasma.github.io/Logging_0380/artfynd/A 17277-2023 artfynd.xlsx", "A 17277-2023")</f>
        <v/>
      </c>
      <c r="T358">
        <f>HYPERLINK("https://klasma.github.io/Logging_0380/kartor/A 17277-2023 karta.png", "A 17277-2023")</f>
        <v/>
      </c>
      <c r="V358">
        <f>HYPERLINK("https://klasma.github.io/Logging_0380/klagomål/A 17277-2023 FSC-klagomål.docx", "A 17277-2023")</f>
        <v/>
      </c>
      <c r="W358">
        <f>HYPERLINK("https://klasma.github.io/Logging_0380/klagomålsmail/A 17277-2023 FSC-klagomål mail.docx", "A 17277-2023")</f>
        <v/>
      </c>
      <c r="X358">
        <f>HYPERLINK("https://klasma.github.io/Logging_0380/tillsyn/A 17277-2023 tillsynsbegäran.docx", "A 17277-2023")</f>
        <v/>
      </c>
      <c r="Y358">
        <f>HYPERLINK("https://klasma.github.io/Logging_0380/tillsynsmail/A 17277-2023 tillsynsbegäran mail.docx", "A 17277-2023")</f>
        <v/>
      </c>
      <c r="Z358">
        <f>HYPERLINK("https://klasma.github.io/Logging_0380/fåglar/A 17277-2023 prioriterade fågelarter.docx", "A 17277-2023")</f>
        <v/>
      </c>
    </row>
    <row r="359" ht="15" customHeight="1">
      <c r="A359" t="inlineStr">
        <is>
          <t>A 21453-2023</t>
        </is>
      </c>
      <c r="B359" s="1" t="n">
        <v>45063</v>
      </c>
      <c r="C359" s="1" t="n">
        <v>45705</v>
      </c>
      <c r="D359" t="inlineStr">
        <is>
          <t>UPPSALA LÄN</t>
        </is>
      </c>
      <c r="E359" t="inlineStr">
        <is>
          <t>ÖSTHAMMAR</t>
        </is>
      </c>
      <c r="F359" t="inlineStr">
        <is>
          <t>Bergvik skog väst AB</t>
        </is>
      </c>
      <c r="G359" t="n">
        <v>6.1</v>
      </c>
      <c r="H359" t="n">
        <v>1</v>
      </c>
      <c r="I359" t="n">
        <v>1</v>
      </c>
      <c r="J359" t="n">
        <v>0</v>
      </c>
      <c r="K359" t="n">
        <v>0</v>
      </c>
      <c r="L359" t="n">
        <v>0</v>
      </c>
      <c r="M359" t="n">
        <v>0</v>
      </c>
      <c r="N359" t="n">
        <v>0</v>
      </c>
      <c r="O359" t="n">
        <v>0</v>
      </c>
      <c r="P359" t="n">
        <v>0</v>
      </c>
      <c r="Q359" t="n">
        <v>2</v>
      </c>
      <c r="R359" s="2" t="inlineStr">
        <is>
          <t>Fransig jordstjärna
Blåsippa</t>
        </is>
      </c>
      <c r="S359">
        <f>HYPERLINK("https://klasma.github.io/Logging_0382/artfynd/A 21453-2023 artfynd.xlsx", "A 21453-2023")</f>
        <v/>
      </c>
      <c r="T359">
        <f>HYPERLINK("https://klasma.github.io/Logging_0382/kartor/A 21453-2023 karta.png", "A 21453-2023")</f>
        <v/>
      </c>
      <c r="V359">
        <f>HYPERLINK("https://klasma.github.io/Logging_0382/klagomål/A 21453-2023 FSC-klagomål.docx", "A 21453-2023")</f>
        <v/>
      </c>
      <c r="W359">
        <f>HYPERLINK("https://klasma.github.io/Logging_0382/klagomålsmail/A 21453-2023 FSC-klagomål mail.docx", "A 21453-2023")</f>
        <v/>
      </c>
      <c r="X359">
        <f>HYPERLINK("https://klasma.github.io/Logging_0382/tillsyn/A 21453-2023 tillsynsbegäran.docx", "A 21453-2023")</f>
        <v/>
      </c>
      <c r="Y359">
        <f>HYPERLINK("https://klasma.github.io/Logging_0382/tillsynsmail/A 21453-2023 tillsynsbegäran mail.docx", "A 21453-2023")</f>
        <v/>
      </c>
    </row>
    <row r="360" ht="15" customHeight="1">
      <c r="A360" t="inlineStr">
        <is>
          <t>A 21422-2023</t>
        </is>
      </c>
      <c r="B360" s="1" t="n">
        <v>45063</v>
      </c>
      <c r="C360" s="1" t="n">
        <v>45705</v>
      </c>
      <c r="D360" t="inlineStr">
        <is>
          <t>UPPSALA LÄN</t>
        </is>
      </c>
      <c r="E360" t="inlineStr">
        <is>
          <t>ÖSTHAMMAR</t>
        </is>
      </c>
      <c r="F360" t="inlineStr">
        <is>
          <t>Sveaskog</t>
        </is>
      </c>
      <c r="G360" t="n">
        <v>2.8</v>
      </c>
      <c r="H360" t="n">
        <v>2</v>
      </c>
      <c r="I360" t="n">
        <v>0</v>
      </c>
      <c r="J360" t="n">
        <v>1</v>
      </c>
      <c r="K360" t="n">
        <v>0</v>
      </c>
      <c r="L360" t="n">
        <v>0</v>
      </c>
      <c r="M360" t="n">
        <v>0</v>
      </c>
      <c r="N360" t="n">
        <v>0</v>
      </c>
      <c r="O360" t="n">
        <v>1</v>
      </c>
      <c r="P360" t="n">
        <v>0</v>
      </c>
      <c r="Q360" t="n">
        <v>2</v>
      </c>
      <c r="R360" s="2" t="inlineStr">
        <is>
          <t>Nordfladdermus
Dvärgpipistrell</t>
        </is>
      </c>
      <c r="S360">
        <f>HYPERLINK("https://klasma.github.io/Logging_0382/artfynd/A 21422-2023 artfynd.xlsx", "A 21422-2023")</f>
        <v/>
      </c>
      <c r="T360">
        <f>HYPERLINK("https://klasma.github.io/Logging_0382/kartor/A 21422-2023 karta.png", "A 21422-2023")</f>
        <v/>
      </c>
      <c r="V360">
        <f>HYPERLINK("https://klasma.github.io/Logging_0382/klagomål/A 21422-2023 FSC-klagomål.docx", "A 21422-2023")</f>
        <v/>
      </c>
      <c r="W360">
        <f>HYPERLINK("https://klasma.github.io/Logging_0382/klagomålsmail/A 21422-2023 FSC-klagomål mail.docx", "A 21422-2023")</f>
        <v/>
      </c>
      <c r="X360">
        <f>HYPERLINK("https://klasma.github.io/Logging_0382/tillsyn/A 21422-2023 tillsynsbegäran.docx", "A 21422-2023")</f>
        <v/>
      </c>
      <c r="Y360">
        <f>HYPERLINK("https://klasma.github.io/Logging_0382/tillsynsmail/A 21422-2023 tillsynsbegäran mail.docx", "A 21422-2023")</f>
        <v/>
      </c>
    </row>
    <row r="361" ht="15" customHeight="1">
      <c r="A361" t="inlineStr">
        <is>
          <t>A 26602-2023</t>
        </is>
      </c>
      <c r="B361" s="1" t="n">
        <v>45092</v>
      </c>
      <c r="C361" s="1" t="n">
        <v>45705</v>
      </c>
      <c r="D361" t="inlineStr">
        <is>
          <t>UPPSALA LÄN</t>
        </is>
      </c>
      <c r="E361" t="inlineStr">
        <is>
          <t>ÖSTHAMMAR</t>
        </is>
      </c>
      <c r="F361" t="inlineStr">
        <is>
          <t>Sveaskog</t>
        </is>
      </c>
      <c r="G361" t="n">
        <v>1.6</v>
      </c>
      <c r="H361" t="n">
        <v>2</v>
      </c>
      <c r="I361" t="n">
        <v>0</v>
      </c>
      <c r="J361" t="n">
        <v>2</v>
      </c>
      <c r="K361" t="n">
        <v>0</v>
      </c>
      <c r="L361" t="n">
        <v>0</v>
      </c>
      <c r="M361" t="n">
        <v>0</v>
      </c>
      <c r="N361" t="n">
        <v>0</v>
      </c>
      <c r="O361" t="n">
        <v>2</v>
      </c>
      <c r="P361" t="n">
        <v>0</v>
      </c>
      <c r="Q361" t="n">
        <v>2</v>
      </c>
      <c r="R361" s="2" t="inlineStr">
        <is>
          <t>Gulsparv
Skrattmås</t>
        </is>
      </c>
      <c r="S361">
        <f>HYPERLINK("https://klasma.github.io/Logging_0382/artfynd/A 26602-2023 artfynd.xlsx", "A 26602-2023")</f>
        <v/>
      </c>
      <c r="T361">
        <f>HYPERLINK("https://klasma.github.io/Logging_0382/kartor/A 26602-2023 karta.png", "A 26602-2023")</f>
        <v/>
      </c>
      <c r="V361">
        <f>HYPERLINK("https://klasma.github.io/Logging_0382/klagomål/A 26602-2023 FSC-klagomål.docx", "A 26602-2023")</f>
        <v/>
      </c>
      <c r="W361">
        <f>HYPERLINK("https://klasma.github.io/Logging_0382/klagomålsmail/A 26602-2023 FSC-klagomål mail.docx", "A 26602-2023")</f>
        <v/>
      </c>
      <c r="X361">
        <f>HYPERLINK("https://klasma.github.io/Logging_0382/tillsyn/A 26602-2023 tillsynsbegäran.docx", "A 26602-2023")</f>
        <v/>
      </c>
      <c r="Y361">
        <f>HYPERLINK("https://klasma.github.io/Logging_0382/tillsynsmail/A 26602-2023 tillsynsbegäran mail.docx", "A 26602-2023")</f>
        <v/>
      </c>
      <c r="Z361">
        <f>HYPERLINK("https://klasma.github.io/Logging_0382/fåglar/A 26602-2023 prioriterade fågelarter.docx", "A 26602-2023")</f>
        <v/>
      </c>
    </row>
    <row r="362" ht="15" customHeight="1">
      <c r="A362" t="inlineStr">
        <is>
          <t>A 26569-2023</t>
        </is>
      </c>
      <c r="B362" s="1" t="n">
        <v>45092</v>
      </c>
      <c r="C362" s="1" t="n">
        <v>45705</v>
      </c>
      <c r="D362" t="inlineStr">
        <is>
          <t>UPPSALA LÄN</t>
        </is>
      </c>
      <c r="E362" t="inlineStr">
        <is>
          <t>HEBY</t>
        </is>
      </c>
      <c r="G362" t="n">
        <v>10.7</v>
      </c>
      <c r="H362" t="n">
        <v>2</v>
      </c>
      <c r="I362" t="n">
        <v>1</v>
      </c>
      <c r="J362" t="n">
        <v>0</v>
      </c>
      <c r="K362" t="n">
        <v>0</v>
      </c>
      <c r="L362" t="n">
        <v>0</v>
      </c>
      <c r="M362" t="n">
        <v>0</v>
      </c>
      <c r="N362" t="n">
        <v>0</v>
      </c>
      <c r="O362" t="n">
        <v>0</v>
      </c>
      <c r="P362" t="n">
        <v>0</v>
      </c>
      <c r="Q362" t="n">
        <v>2</v>
      </c>
      <c r="R362" s="2" t="inlineStr">
        <is>
          <t>Plattlummer
Revlummer</t>
        </is>
      </c>
      <c r="S362">
        <f>HYPERLINK("https://klasma.github.io/Logging_0331/artfynd/A 26569-2023 artfynd.xlsx", "A 26569-2023")</f>
        <v/>
      </c>
      <c r="T362">
        <f>HYPERLINK("https://klasma.github.io/Logging_0331/kartor/A 26569-2023 karta.png", "A 26569-2023")</f>
        <v/>
      </c>
      <c r="V362">
        <f>HYPERLINK("https://klasma.github.io/Logging_0331/klagomål/A 26569-2023 FSC-klagomål.docx", "A 26569-2023")</f>
        <v/>
      </c>
      <c r="W362">
        <f>HYPERLINK("https://klasma.github.io/Logging_0331/klagomålsmail/A 26569-2023 FSC-klagomål mail.docx", "A 26569-2023")</f>
        <v/>
      </c>
      <c r="X362">
        <f>HYPERLINK("https://klasma.github.io/Logging_0331/tillsyn/A 26569-2023 tillsynsbegäran.docx", "A 26569-2023")</f>
        <v/>
      </c>
      <c r="Y362">
        <f>HYPERLINK("https://klasma.github.io/Logging_0331/tillsynsmail/A 26569-2023 tillsynsbegäran mail.docx", "A 26569-2023")</f>
        <v/>
      </c>
    </row>
    <row r="363" ht="15" customHeight="1">
      <c r="A363" t="inlineStr">
        <is>
          <t>A 29226-2023</t>
        </is>
      </c>
      <c r="B363" s="1" t="n">
        <v>45105</v>
      </c>
      <c r="C363" s="1" t="n">
        <v>45705</v>
      </c>
      <c r="D363" t="inlineStr">
        <is>
          <t>UPPSALA LÄN</t>
        </is>
      </c>
      <c r="E363" t="inlineStr">
        <is>
          <t>TIERP</t>
        </is>
      </c>
      <c r="F363" t="inlineStr">
        <is>
          <t>Bergvik skog öst AB</t>
        </is>
      </c>
      <c r="G363" t="n">
        <v>4.1</v>
      </c>
      <c r="H363" t="n">
        <v>1</v>
      </c>
      <c r="I363" t="n">
        <v>1</v>
      </c>
      <c r="J363" t="n">
        <v>0</v>
      </c>
      <c r="K363" t="n">
        <v>0</v>
      </c>
      <c r="L363" t="n">
        <v>0</v>
      </c>
      <c r="M363" t="n">
        <v>0</v>
      </c>
      <c r="N363" t="n">
        <v>0</v>
      </c>
      <c r="O363" t="n">
        <v>0</v>
      </c>
      <c r="P363" t="n">
        <v>0</v>
      </c>
      <c r="Q363" t="n">
        <v>2</v>
      </c>
      <c r="R363" s="2" t="inlineStr">
        <is>
          <t>Bronshjon
Blåsippa</t>
        </is>
      </c>
      <c r="S363">
        <f>HYPERLINK("https://klasma.github.io/Logging_0360/artfynd/A 29226-2023 artfynd.xlsx", "A 29226-2023")</f>
        <v/>
      </c>
      <c r="T363">
        <f>HYPERLINK("https://klasma.github.io/Logging_0360/kartor/A 29226-2023 karta.png", "A 29226-2023")</f>
        <v/>
      </c>
      <c r="V363">
        <f>HYPERLINK("https://klasma.github.io/Logging_0360/klagomål/A 29226-2023 FSC-klagomål.docx", "A 29226-2023")</f>
        <v/>
      </c>
      <c r="W363">
        <f>HYPERLINK("https://klasma.github.io/Logging_0360/klagomålsmail/A 29226-2023 FSC-klagomål mail.docx", "A 29226-2023")</f>
        <v/>
      </c>
      <c r="X363">
        <f>HYPERLINK("https://klasma.github.io/Logging_0360/tillsyn/A 29226-2023 tillsynsbegäran.docx", "A 29226-2023")</f>
        <v/>
      </c>
      <c r="Y363">
        <f>HYPERLINK("https://klasma.github.io/Logging_0360/tillsynsmail/A 29226-2023 tillsynsbegäran mail.docx", "A 29226-2023")</f>
        <v/>
      </c>
    </row>
    <row r="364" ht="15" customHeight="1">
      <c r="A364" t="inlineStr">
        <is>
          <t>A 32675-2023</t>
        </is>
      </c>
      <c r="B364" s="1" t="n">
        <v>45121</v>
      </c>
      <c r="C364" s="1" t="n">
        <v>45705</v>
      </c>
      <c r="D364" t="inlineStr">
        <is>
          <t>UPPSALA LÄN</t>
        </is>
      </c>
      <c r="E364" t="inlineStr">
        <is>
          <t>UPPSALA</t>
        </is>
      </c>
      <c r="F364" t="inlineStr">
        <is>
          <t>Holmen skog AB</t>
        </is>
      </c>
      <c r="G364" t="n">
        <v>5.8</v>
      </c>
      <c r="H364" t="n">
        <v>1</v>
      </c>
      <c r="I364" t="n">
        <v>1</v>
      </c>
      <c r="J364" t="n">
        <v>0</v>
      </c>
      <c r="K364" t="n">
        <v>0</v>
      </c>
      <c r="L364" t="n">
        <v>0</v>
      </c>
      <c r="M364" t="n">
        <v>0</v>
      </c>
      <c r="N364" t="n">
        <v>0</v>
      </c>
      <c r="O364" t="n">
        <v>0</v>
      </c>
      <c r="P364" t="n">
        <v>0</v>
      </c>
      <c r="Q364" t="n">
        <v>2</v>
      </c>
      <c r="R364" s="2" t="inlineStr">
        <is>
          <t>Brandticka
Blåsippa</t>
        </is>
      </c>
      <c r="S364">
        <f>HYPERLINK("https://klasma.github.io/Logging_0380/artfynd/A 32675-2023 artfynd.xlsx", "A 32675-2023")</f>
        <v/>
      </c>
      <c r="T364">
        <f>HYPERLINK("https://klasma.github.io/Logging_0380/kartor/A 32675-2023 karta.png", "A 32675-2023")</f>
        <v/>
      </c>
      <c r="V364">
        <f>HYPERLINK("https://klasma.github.io/Logging_0380/klagomål/A 32675-2023 FSC-klagomål.docx", "A 32675-2023")</f>
        <v/>
      </c>
      <c r="W364">
        <f>HYPERLINK("https://klasma.github.io/Logging_0380/klagomålsmail/A 32675-2023 FSC-klagomål mail.docx", "A 32675-2023")</f>
        <v/>
      </c>
      <c r="X364">
        <f>HYPERLINK("https://klasma.github.io/Logging_0380/tillsyn/A 32675-2023 tillsynsbegäran.docx", "A 32675-2023")</f>
        <v/>
      </c>
      <c r="Y364">
        <f>HYPERLINK("https://klasma.github.io/Logging_0380/tillsynsmail/A 32675-2023 tillsynsbegäran mail.docx", "A 32675-2023")</f>
        <v/>
      </c>
    </row>
    <row r="365" ht="15" customHeight="1">
      <c r="A365" t="inlineStr">
        <is>
          <t>A 32759-2023</t>
        </is>
      </c>
      <c r="B365" s="1" t="n">
        <v>45123</v>
      </c>
      <c r="C365" s="1" t="n">
        <v>45705</v>
      </c>
      <c r="D365" t="inlineStr">
        <is>
          <t>UPPSALA LÄN</t>
        </is>
      </c>
      <c r="E365" t="inlineStr">
        <is>
          <t>HEBY</t>
        </is>
      </c>
      <c r="G365" t="n">
        <v>23.9</v>
      </c>
      <c r="H365" t="n">
        <v>1</v>
      </c>
      <c r="I365" t="n">
        <v>1</v>
      </c>
      <c r="J365" t="n">
        <v>0</v>
      </c>
      <c r="K365" t="n">
        <v>1</v>
      </c>
      <c r="L365" t="n">
        <v>0</v>
      </c>
      <c r="M365" t="n">
        <v>0</v>
      </c>
      <c r="N365" t="n">
        <v>0</v>
      </c>
      <c r="O365" t="n">
        <v>1</v>
      </c>
      <c r="P365" t="n">
        <v>1</v>
      </c>
      <c r="Q365" t="n">
        <v>2</v>
      </c>
      <c r="R365" s="2" t="inlineStr">
        <is>
          <t>Knärot
Vedticka</t>
        </is>
      </c>
      <c r="S365">
        <f>HYPERLINK("https://klasma.github.io/Logging_0331/artfynd/A 32759-2023 artfynd.xlsx", "A 32759-2023")</f>
        <v/>
      </c>
      <c r="T365">
        <f>HYPERLINK("https://klasma.github.io/Logging_0331/kartor/A 32759-2023 karta.png", "A 32759-2023")</f>
        <v/>
      </c>
      <c r="U365">
        <f>HYPERLINK("https://klasma.github.io/Logging_0331/knärot/A 32759-2023 karta knärot.png", "A 32759-2023")</f>
        <v/>
      </c>
      <c r="V365">
        <f>HYPERLINK("https://klasma.github.io/Logging_0331/klagomål/A 32759-2023 FSC-klagomål.docx", "A 32759-2023")</f>
        <v/>
      </c>
      <c r="W365">
        <f>HYPERLINK("https://klasma.github.io/Logging_0331/klagomålsmail/A 32759-2023 FSC-klagomål mail.docx", "A 32759-2023")</f>
        <v/>
      </c>
      <c r="X365">
        <f>HYPERLINK("https://klasma.github.io/Logging_0331/tillsyn/A 32759-2023 tillsynsbegäran.docx", "A 32759-2023")</f>
        <v/>
      </c>
      <c r="Y365">
        <f>HYPERLINK("https://klasma.github.io/Logging_0331/tillsynsmail/A 32759-2023 tillsynsbegäran mail.docx", "A 32759-2023")</f>
        <v/>
      </c>
    </row>
    <row r="366" ht="15" customHeight="1">
      <c r="A366" t="inlineStr">
        <is>
          <t>A 34979-2023</t>
        </is>
      </c>
      <c r="B366" s="1" t="n">
        <v>45142</v>
      </c>
      <c r="C366" s="1" t="n">
        <v>45705</v>
      </c>
      <c r="D366" t="inlineStr">
        <is>
          <t>UPPSALA LÄN</t>
        </is>
      </c>
      <c r="E366" t="inlineStr">
        <is>
          <t>TIERP</t>
        </is>
      </c>
      <c r="F366" t="inlineStr">
        <is>
          <t>Bergvik skog öst AB</t>
        </is>
      </c>
      <c r="G366" t="n">
        <v>1.2</v>
      </c>
      <c r="H366" t="n">
        <v>0</v>
      </c>
      <c r="I366" t="n">
        <v>2</v>
      </c>
      <c r="J366" t="n">
        <v>0</v>
      </c>
      <c r="K366" t="n">
        <v>0</v>
      </c>
      <c r="L366" t="n">
        <v>0</v>
      </c>
      <c r="M366" t="n">
        <v>0</v>
      </c>
      <c r="N366" t="n">
        <v>0</v>
      </c>
      <c r="O366" t="n">
        <v>0</v>
      </c>
      <c r="P366" t="n">
        <v>0</v>
      </c>
      <c r="Q366" t="n">
        <v>2</v>
      </c>
      <c r="R366" s="2" t="inlineStr">
        <is>
          <t>Fjällig taggsvamp s.str.
Vedticka</t>
        </is>
      </c>
      <c r="S366">
        <f>HYPERLINK("https://klasma.github.io/Logging_0360/artfynd/A 34979-2023 artfynd.xlsx", "A 34979-2023")</f>
        <v/>
      </c>
      <c r="T366">
        <f>HYPERLINK("https://klasma.github.io/Logging_0360/kartor/A 34979-2023 karta.png", "A 34979-2023")</f>
        <v/>
      </c>
      <c r="V366">
        <f>HYPERLINK("https://klasma.github.io/Logging_0360/klagomål/A 34979-2023 FSC-klagomål.docx", "A 34979-2023")</f>
        <v/>
      </c>
      <c r="W366">
        <f>HYPERLINK("https://klasma.github.io/Logging_0360/klagomålsmail/A 34979-2023 FSC-klagomål mail.docx", "A 34979-2023")</f>
        <v/>
      </c>
      <c r="X366">
        <f>HYPERLINK("https://klasma.github.io/Logging_0360/tillsyn/A 34979-2023 tillsynsbegäran.docx", "A 34979-2023")</f>
        <v/>
      </c>
      <c r="Y366">
        <f>HYPERLINK("https://klasma.github.io/Logging_0360/tillsynsmail/A 34979-2023 tillsynsbegäran mail.docx", "A 34979-2023")</f>
        <v/>
      </c>
    </row>
    <row r="367" ht="15" customHeight="1">
      <c r="A367" t="inlineStr">
        <is>
          <t>A 36876-2023</t>
        </is>
      </c>
      <c r="B367" s="1" t="n">
        <v>45154</v>
      </c>
      <c r="C367" s="1" t="n">
        <v>45705</v>
      </c>
      <c r="D367" t="inlineStr">
        <is>
          <t>UPPSALA LÄN</t>
        </is>
      </c>
      <c r="E367" t="inlineStr">
        <is>
          <t>ÖSTHAMMAR</t>
        </is>
      </c>
      <c r="F367" t="inlineStr">
        <is>
          <t>Övriga Aktiebolag</t>
        </is>
      </c>
      <c r="G367" t="n">
        <v>12.6</v>
      </c>
      <c r="H367" t="n">
        <v>1</v>
      </c>
      <c r="I367" t="n">
        <v>0</v>
      </c>
      <c r="J367" t="n">
        <v>2</v>
      </c>
      <c r="K367" t="n">
        <v>0</v>
      </c>
      <c r="L367" t="n">
        <v>0</v>
      </c>
      <c r="M367" t="n">
        <v>0</v>
      </c>
      <c r="N367" t="n">
        <v>0</v>
      </c>
      <c r="O367" t="n">
        <v>2</v>
      </c>
      <c r="P367" t="n">
        <v>0</v>
      </c>
      <c r="Q367" t="n">
        <v>2</v>
      </c>
      <c r="R367" s="2" t="inlineStr">
        <is>
          <t>Slaguggla
Slåtterfibbla</t>
        </is>
      </c>
      <c r="S367">
        <f>HYPERLINK("https://klasma.github.io/Logging_0382/artfynd/A 36876-2023 artfynd.xlsx", "A 36876-2023")</f>
        <v/>
      </c>
      <c r="T367">
        <f>HYPERLINK("https://klasma.github.io/Logging_0382/kartor/A 36876-2023 karta.png", "A 36876-2023")</f>
        <v/>
      </c>
      <c r="V367">
        <f>HYPERLINK("https://klasma.github.io/Logging_0382/klagomål/A 36876-2023 FSC-klagomål.docx", "A 36876-2023")</f>
        <v/>
      </c>
      <c r="W367">
        <f>HYPERLINK("https://klasma.github.io/Logging_0382/klagomålsmail/A 36876-2023 FSC-klagomål mail.docx", "A 36876-2023")</f>
        <v/>
      </c>
      <c r="X367">
        <f>HYPERLINK("https://klasma.github.io/Logging_0382/tillsyn/A 36876-2023 tillsynsbegäran.docx", "A 36876-2023")</f>
        <v/>
      </c>
      <c r="Y367">
        <f>HYPERLINK("https://klasma.github.io/Logging_0382/tillsynsmail/A 36876-2023 tillsynsbegäran mail.docx", "A 36876-2023")</f>
        <v/>
      </c>
      <c r="Z367">
        <f>HYPERLINK("https://klasma.github.io/Logging_0382/fåglar/A 36876-2023 prioriterade fågelarter.docx", "A 36876-2023")</f>
        <v/>
      </c>
    </row>
    <row r="368" ht="15" customHeight="1">
      <c r="A368" t="inlineStr">
        <is>
          <t>A 39933-2023</t>
        </is>
      </c>
      <c r="B368" s="1" t="n">
        <v>45168</v>
      </c>
      <c r="C368" s="1" t="n">
        <v>45705</v>
      </c>
      <c r="D368" t="inlineStr">
        <is>
          <t>UPPSALA LÄN</t>
        </is>
      </c>
      <c r="E368" t="inlineStr">
        <is>
          <t>UPPSALA</t>
        </is>
      </c>
      <c r="F368" t="inlineStr">
        <is>
          <t>Holmen skog AB</t>
        </is>
      </c>
      <c r="G368" t="n">
        <v>6.3</v>
      </c>
      <c r="H368" t="n">
        <v>2</v>
      </c>
      <c r="I368" t="n">
        <v>0</v>
      </c>
      <c r="J368" t="n">
        <v>2</v>
      </c>
      <c r="K368" t="n">
        <v>0</v>
      </c>
      <c r="L368" t="n">
        <v>0</v>
      </c>
      <c r="M368" t="n">
        <v>0</v>
      </c>
      <c r="N368" t="n">
        <v>0</v>
      </c>
      <c r="O368" t="n">
        <v>2</v>
      </c>
      <c r="P368" t="n">
        <v>0</v>
      </c>
      <c r="Q368" t="n">
        <v>2</v>
      </c>
      <c r="R368" s="2" t="inlineStr">
        <is>
          <t>Entita
Spillkråka</t>
        </is>
      </c>
      <c r="S368">
        <f>HYPERLINK("https://klasma.github.io/Logging_0380/artfynd/A 39933-2023 artfynd.xlsx", "A 39933-2023")</f>
        <v/>
      </c>
      <c r="T368">
        <f>HYPERLINK("https://klasma.github.io/Logging_0380/kartor/A 39933-2023 karta.png", "A 39933-2023")</f>
        <v/>
      </c>
      <c r="V368">
        <f>HYPERLINK("https://klasma.github.io/Logging_0380/klagomål/A 39933-2023 FSC-klagomål.docx", "A 39933-2023")</f>
        <v/>
      </c>
      <c r="W368">
        <f>HYPERLINK("https://klasma.github.io/Logging_0380/klagomålsmail/A 39933-2023 FSC-klagomål mail.docx", "A 39933-2023")</f>
        <v/>
      </c>
      <c r="X368">
        <f>HYPERLINK("https://klasma.github.io/Logging_0380/tillsyn/A 39933-2023 tillsynsbegäran.docx", "A 39933-2023")</f>
        <v/>
      </c>
      <c r="Y368">
        <f>HYPERLINK("https://klasma.github.io/Logging_0380/tillsynsmail/A 39933-2023 tillsynsbegäran mail.docx", "A 39933-2023")</f>
        <v/>
      </c>
      <c r="Z368">
        <f>HYPERLINK("https://klasma.github.io/Logging_0380/fåglar/A 39933-2023 prioriterade fågelarter.docx", "A 39933-2023")</f>
        <v/>
      </c>
    </row>
    <row r="369" ht="15" customHeight="1">
      <c r="A369" t="inlineStr">
        <is>
          <t>A 40662-2023</t>
        </is>
      </c>
      <c r="B369" s="1" t="n">
        <v>45170</v>
      </c>
      <c r="C369" s="1" t="n">
        <v>45705</v>
      </c>
      <c r="D369" t="inlineStr">
        <is>
          <t>UPPSALA LÄN</t>
        </is>
      </c>
      <c r="E369" t="inlineStr">
        <is>
          <t>HEBY</t>
        </is>
      </c>
      <c r="F369" t="inlineStr">
        <is>
          <t>Övriga Aktiebolag</t>
        </is>
      </c>
      <c r="G369" t="n">
        <v>5.7</v>
      </c>
      <c r="H369" t="n">
        <v>2</v>
      </c>
      <c r="I369" t="n">
        <v>0</v>
      </c>
      <c r="J369" t="n">
        <v>0</v>
      </c>
      <c r="K369" t="n">
        <v>1</v>
      </c>
      <c r="L369" t="n">
        <v>0</v>
      </c>
      <c r="M369" t="n">
        <v>0</v>
      </c>
      <c r="N369" t="n">
        <v>0</v>
      </c>
      <c r="O369" t="n">
        <v>1</v>
      </c>
      <c r="P369" t="n">
        <v>1</v>
      </c>
      <c r="Q369" t="n">
        <v>2</v>
      </c>
      <c r="R369" s="2" t="inlineStr">
        <is>
          <t>Knärot
Fläcknycklar</t>
        </is>
      </c>
      <c r="S369">
        <f>HYPERLINK("https://klasma.github.io/Logging_0331/artfynd/A 40662-2023 artfynd.xlsx", "A 40662-2023")</f>
        <v/>
      </c>
      <c r="T369">
        <f>HYPERLINK("https://klasma.github.io/Logging_0331/kartor/A 40662-2023 karta.png", "A 40662-2023")</f>
        <v/>
      </c>
      <c r="U369">
        <f>HYPERLINK("https://klasma.github.io/Logging_0331/knärot/A 40662-2023 karta knärot.png", "A 40662-2023")</f>
        <v/>
      </c>
      <c r="V369">
        <f>HYPERLINK("https://klasma.github.io/Logging_0331/klagomål/A 40662-2023 FSC-klagomål.docx", "A 40662-2023")</f>
        <v/>
      </c>
      <c r="W369">
        <f>HYPERLINK("https://klasma.github.io/Logging_0331/klagomålsmail/A 40662-2023 FSC-klagomål mail.docx", "A 40662-2023")</f>
        <v/>
      </c>
      <c r="X369">
        <f>HYPERLINK("https://klasma.github.io/Logging_0331/tillsyn/A 40662-2023 tillsynsbegäran.docx", "A 40662-2023")</f>
        <v/>
      </c>
      <c r="Y369">
        <f>HYPERLINK("https://klasma.github.io/Logging_0331/tillsynsmail/A 40662-2023 tillsynsbegäran mail.docx", "A 40662-2023")</f>
        <v/>
      </c>
    </row>
    <row r="370" ht="15" customHeight="1">
      <c r="A370" t="inlineStr">
        <is>
          <t>A 42085-2023</t>
        </is>
      </c>
      <c r="B370" s="1" t="n">
        <v>45177</v>
      </c>
      <c r="C370" s="1" t="n">
        <v>45705</v>
      </c>
      <c r="D370" t="inlineStr">
        <is>
          <t>UPPSALA LÄN</t>
        </is>
      </c>
      <c r="E370" t="inlineStr">
        <is>
          <t>HEBY</t>
        </is>
      </c>
      <c r="G370" t="n">
        <v>3.6</v>
      </c>
      <c r="H370" t="n">
        <v>1</v>
      </c>
      <c r="I370" t="n">
        <v>0</v>
      </c>
      <c r="J370" t="n">
        <v>2</v>
      </c>
      <c r="K370" t="n">
        <v>0</v>
      </c>
      <c r="L370" t="n">
        <v>0</v>
      </c>
      <c r="M370" t="n">
        <v>0</v>
      </c>
      <c r="N370" t="n">
        <v>0</v>
      </c>
      <c r="O370" t="n">
        <v>2</v>
      </c>
      <c r="P370" t="n">
        <v>0</v>
      </c>
      <c r="Q370" t="n">
        <v>2</v>
      </c>
      <c r="R370" s="2" t="inlineStr">
        <is>
          <t>Garnlav
Spillkråka</t>
        </is>
      </c>
      <c r="S370">
        <f>HYPERLINK("https://klasma.github.io/Logging_0331/artfynd/A 42085-2023 artfynd.xlsx", "A 42085-2023")</f>
        <v/>
      </c>
      <c r="T370">
        <f>HYPERLINK("https://klasma.github.io/Logging_0331/kartor/A 42085-2023 karta.png", "A 42085-2023")</f>
        <v/>
      </c>
      <c r="U370">
        <f>HYPERLINK("https://klasma.github.io/Logging_0331/knärot/A 42085-2023 karta knärot.png", "A 42085-2023")</f>
        <v/>
      </c>
      <c r="V370">
        <f>HYPERLINK("https://klasma.github.io/Logging_0331/klagomål/A 42085-2023 FSC-klagomål.docx", "A 42085-2023")</f>
        <v/>
      </c>
      <c r="W370">
        <f>HYPERLINK("https://klasma.github.io/Logging_0331/klagomålsmail/A 42085-2023 FSC-klagomål mail.docx", "A 42085-2023")</f>
        <v/>
      </c>
      <c r="X370">
        <f>HYPERLINK("https://klasma.github.io/Logging_0331/tillsyn/A 42085-2023 tillsynsbegäran.docx", "A 42085-2023")</f>
        <v/>
      </c>
      <c r="Y370">
        <f>HYPERLINK("https://klasma.github.io/Logging_0331/tillsynsmail/A 42085-2023 tillsynsbegäran mail.docx", "A 42085-2023")</f>
        <v/>
      </c>
      <c r="Z370">
        <f>HYPERLINK("https://klasma.github.io/Logging_0331/fåglar/A 42085-2023 prioriterade fågelarter.docx", "A 42085-2023")</f>
        <v/>
      </c>
    </row>
    <row r="371" ht="15" customHeight="1">
      <c r="A371" t="inlineStr">
        <is>
          <t>A 44675-2023</t>
        </is>
      </c>
      <c r="B371" s="1" t="n">
        <v>45189</v>
      </c>
      <c r="C371" s="1" t="n">
        <v>45705</v>
      </c>
      <c r="D371" t="inlineStr">
        <is>
          <t>UPPSALA LÄN</t>
        </is>
      </c>
      <c r="E371" t="inlineStr">
        <is>
          <t>UPPSALA</t>
        </is>
      </c>
      <c r="G371" t="n">
        <v>7.1</v>
      </c>
      <c r="H371" t="n">
        <v>2</v>
      </c>
      <c r="I371" t="n">
        <v>0</v>
      </c>
      <c r="J371" t="n">
        <v>1</v>
      </c>
      <c r="K371" t="n">
        <v>1</v>
      </c>
      <c r="L371" t="n">
        <v>0</v>
      </c>
      <c r="M371" t="n">
        <v>0</v>
      </c>
      <c r="N371" t="n">
        <v>0</v>
      </c>
      <c r="O371" t="n">
        <v>2</v>
      </c>
      <c r="P371" t="n">
        <v>1</v>
      </c>
      <c r="Q371" t="n">
        <v>2</v>
      </c>
      <c r="R371" s="2" t="inlineStr">
        <is>
          <t>Knärot
Talltita</t>
        </is>
      </c>
      <c r="S371">
        <f>HYPERLINK("https://klasma.github.io/Logging_0380/artfynd/A 44675-2023 artfynd.xlsx", "A 44675-2023")</f>
        <v/>
      </c>
      <c r="T371">
        <f>HYPERLINK("https://klasma.github.io/Logging_0380/kartor/A 44675-2023 karta.png", "A 44675-2023")</f>
        <v/>
      </c>
      <c r="U371">
        <f>HYPERLINK("https://klasma.github.io/Logging_0380/knärot/A 44675-2023 karta knärot.png", "A 44675-2023")</f>
        <v/>
      </c>
      <c r="V371">
        <f>HYPERLINK("https://klasma.github.io/Logging_0380/klagomål/A 44675-2023 FSC-klagomål.docx", "A 44675-2023")</f>
        <v/>
      </c>
      <c r="W371">
        <f>HYPERLINK("https://klasma.github.io/Logging_0380/klagomålsmail/A 44675-2023 FSC-klagomål mail.docx", "A 44675-2023")</f>
        <v/>
      </c>
      <c r="X371">
        <f>HYPERLINK("https://klasma.github.io/Logging_0380/tillsyn/A 44675-2023 tillsynsbegäran.docx", "A 44675-2023")</f>
        <v/>
      </c>
      <c r="Y371">
        <f>HYPERLINK("https://klasma.github.io/Logging_0380/tillsynsmail/A 44675-2023 tillsynsbegäran mail.docx", "A 44675-2023")</f>
        <v/>
      </c>
      <c r="Z371">
        <f>HYPERLINK("https://klasma.github.io/Logging_0380/fåglar/A 44675-2023 prioriterade fågelarter.docx", "A 44675-2023")</f>
        <v/>
      </c>
    </row>
    <row r="372" ht="15" customHeight="1">
      <c r="A372" t="inlineStr">
        <is>
          <t>A 46363-2023</t>
        </is>
      </c>
      <c r="B372" s="1" t="n">
        <v>45197</v>
      </c>
      <c r="C372" s="1" t="n">
        <v>45705</v>
      </c>
      <c r="D372" t="inlineStr">
        <is>
          <t>UPPSALA LÄN</t>
        </is>
      </c>
      <c r="E372" t="inlineStr">
        <is>
          <t>ÄLVKARLEBY</t>
        </is>
      </c>
      <c r="F372" t="inlineStr">
        <is>
          <t>Bergvik skog öst AB</t>
        </is>
      </c>
      <c r="G372" t="n">
        <v>11.8</v>
      </c>
      <c r="H372" t="n">
        <v>2</v>
      </c>
      <c r="I372" t="n">
        <v>0</v>
      </c>
      <c r="J372" t="n">
        <v>0</v>
      </c>
      <c r="K372" t="n">
        <v>0</v>
      </c>
      <c r="L372" t="n">
        <v>0</v>
      </c>
      <c r="M372" t="n">
        <v>0</v>
      </c>
      <c r="N372" t="n">
        <v>0</v>
      </c>
      <c r="O372" t="n">
        <v>0</v>
      </c>
      <c r="P372" t="n">
        <v>0</v>
      </c>
      <c r="Q372" t="n">
        <v>2</v>
      </c>
      <c r="R372" s="2" t="inlineStr">
        <is>
          <t>Brudsporre
Fläcknycklar</t>
        </is>
      </c>
      <c r="S372">
        <f>HYPERLINK("https://klasma.github.io/Logging_0319/artfynd/A 46363-2023 artfynd.xlsx", "A 46363-2023")</f>
        <v/>
      </c>
      <c r="T372">
        <f>HYPERLINK("https://klasma.github.io/Logging_0319/kartor/A 46363-2023 karta.png", "A 46363-2023")</f>
        <v/>
      </c>
      <c r="V372">
        <f>HYPERLINK("https://klasma.github.io/Logging_0319/klagomål/A 46363-2023 FSC-klagomål.docx", "A 46363-2023")</f>
        <v/>
      </c>
      <c r="W372">
        <f>HYPERLINK("https://klasma.github.io/Logging_0319/klagomålsmail/A 46363-2023 FSC-klagomål mail.docx", "A 46363-2023")</f>
        <v/>
      </c>
      <c r="X372">
        <f>HYPERLINK("https://klasma.github.io/Logging_0319/tillsyn/A 46363-2023 tillsynsbegäran.docx", "A 46363-2023")</f>
        <v/>
      </c>
      <c r="Y372">
        <f>HYPERLINK("https://klasma.github.io/Logging_0319/tillsynsmail/A 46363-2023 tillsynsbegäran mail.docx", "A 46363-2023")</f>
        <v/>
      </c>
    </row>
    <row r="373" ht="15" customHeight="1">
      <c r="A373" t="inlineStr">
        <is>
          <t>A 47948-2023</t>
        </is>
      </c>
      <c r="B373" s="1" t="n">
        <v>45204</v>
      </c>
      <c r="C373" s="1" t="n">
        <v>45705</v>
      </c>
      <c r="D373" t="inlineStr">
        <is>
          <t>UPPSALA LÄN</t>
        </is>
      </c>
      <c r="E373" t="inlineStr">
        <is>
          <t>TIERP</t>
        </is>
      </c>
      <c r="G373" t="n">
        <v>0.7</v>
      </c>
      <c r="H373" t="n">
        <v>0</v>
      </c>
      <c r="I373" t="n">
        <v>0</v>
      </c>
      <c r="J373" t="n">
        <v>0</v>
      </c>
      <c r="K373" t="n">
        <v>2</v>
      </c>
      <c r="L373" t="n">
        <v>0</v>
      </c>
      <c r="M373" t="n">
        <v>0</v>
      </c>
      <c r="N373" t="n">
        <v>0</v>
      </c>
      <c r="O373" t="n">
        <v>2</v>
      </c>
      <c r="P373" t="n">
        <v>2</v>
      </c>
      <c r="Q373" t="n">
        <v>2</v>
      </c>
      <c r="R373" s="2" t="inlineStr">
        <is>
          <t>Gulvit blekspik
Liten blekspik</t>
        </is>
      </c>
      <c r="S373">
        <f>HYPERLINK("https://klasma.github.io/Logging_0360/artfynd/A 47948-2023 artfynd.xlsx", "A 47948-2023")</f>
        <v/>
      </c>
      <c r="T373">
        <f>HYPERLINK("https://klasma.github.io/Logging_0360/kartor/A 47948-2023 karta.png", "A 47948-2023")</f>
        <v/>
      </c>
      <c r="V373">
        <f>HYPERLINK("https://klasma.github.io/Logging_0360/klagomål/A 47948-2023 FSC-klagomål.docx", "A 47948-2023")</f>
        <v/>
      </c>
      <c r="W373">
        <f>HYPERLINK("https://klasma.github.io/Logging_0360/klagomålsmail/A 47948-2023 FSC-klagomål mail.docx", "A 47948-2023")</f>
        <v/>
      </c>
      <c r="X373">
        <f>HYPERLINK("https://klasma.github.io/Logging_0360/tillsyn/A 47948-2023 tillsynsbegäran.docx", "A 47948-2023")</f>
        <v/>
      </c>
      <c r="Y373">
        <f>HYPERLINK("https://klasma.github.io/Logging_0360/tillsynsmail/A 47948-2023 tillsynsbegäran mail.docx", "A 47948-2023")</f>
        <v/>
      </c>
    </row>
    <row r="374" ht="15" customHeight="1">
      <c r="A374" t="inlineStr">
        <is>
          <t>A 48209-2023</t>
        </is>
      </c>
      <c r="B374" s="1" t="n">
        <v>45205</v>
      </c>
      <c r="C374" s="1" t="n">
        <v>45705</v>
      </c>
      <c r="D374" t="inlineStr">
        <is>
          <t>UPPSALA LÄN</t>
        </is>
      </c>
      <c r="E374" t="inlineStr">
        <is>
          <t>ÖSTHAMMAR</t>
        </is>
      </c>
      <c r="G374" t="n">
        <v>3.7</v>
      </c>
      <c r="H374" t="n">
        <v>1</v>
      </c>
      <c r="I374" t="n">
        <v>2</v>
      </c>
      <c r="J374" t="n">
        <v>0</v>
      </c>
      <c r="K374" t="n">
        <v>0</v>
      </c>
      <c r="L374" t="n">
        <v>0</v>
      </c>
      <c r="M374" t="n">
        <v>0</v>
      </c>
      <c r="N374" t="n">
        <v>0</v>
      </c>
      <c r="O374" t="n">
        <v>0</v>
      </c>
      <c r="P374" t="n">
        <v>0</v>
      </c>
      <c r="Q374" t="n">
        <v>2</v>
      </c>
      <c r="R374" s="2" t="inlineStr">
        <is>
          <t>Skogsknipprot
Tibast</t>
        </is>
      </c>
      <c r="S374">
        <f>HYPERLINK("https://klasma.github.io/Logging_0382/artfynd/A 48209-2023 artfynd.xlsx", "A 48209-2023")</f>
        <v/>
      </c>
      <c r="T374">
        <f>HYPERLINK("https://klasma.github.io/Logging_0382/kartor/A 48209-2023 karta.png", "A 48209-2023")</f>
        <v/>
      </c>
      <c r="V374">
        <f>HYPERLINK("https://klasma.github.io/Logging_0382/klagomål/A 48209-2023 FSC-klagomål.docx", "A 48209-2023")</f>
        <v/>
      </c>
      <c r="W374">
        <f>HYPERLINK("https://klasma.github.io/Logging_0382/klagomålsmail/A 48209-2023 FSC-klagomål mail.docx", "A 48209-2023")</f>
        <v/>
      </c>
      <c r="X374">
        <f>HYPERLINK("https://klasma.github.io/Logging_0382/tillsyn/A 48209-2023 tillsynsbegäran.docx", "A 48209-2023")</f>
        <v/>
      </c>
      <c r="Y374">
        <f>HYPERLINK("https://klasma.github.io/Logging_0382/tillsynsmail/A 48209-2023 tillsynsbegäran mail.docx", "A 48209-2023")</f>
        <v/>
      </c>
    </row>
    <row r="375" ht="15" customHeight="1">
      <c r="A375" t="inlineStr">
        <is>
          <t>A 48723-2023</t>
        </is>
      </c>
      <c r="B375" s="1" t="n">
        <v>45208</v>
      </c>
      <c r="C375" s="1" t="n">
        <v>45705</v>
      </c>
      <c r="D375" t="inlineStr">
        <is>
          <t>UPPSALA LÄN</t>
        </is>
      </c>
      <c r="E375" t="inlineStr">
        <is>
          <t>ÖSTHAMMAR</t>
        </is>
      </c>
      <c r="G375" t="n">
        <v>1</v>
      </c>
      <c r="H375" t="n">
        <v>0</v>
      </c>
      <c r="I375" t="n">
        <v>2</v>
      </c>
      <c r="J375" t="n">
        <v>0</v>
      </c>
      <c r="K375" t="n">
        <v>0</v>
      </c>
      <c r="L375" t="n">
        <v>0</v>
      </c>
      <c r="M375" t="n">
        <v>0</v>
      </c>
      <c r="N375" t="n">
        <v>0</v>
      </c>
      <c r="O375" t="n">
        <v>0</v>
      </c>
      <c r="P375" t="n">
        <v>0</v>
      </c>
      <c r="Q375" t="n">
        <v>2</v>
      </c>
      <c r="R375" s="2" t="inlineStr">
        <is>
          <t>Anisspindling
Fjällig taggsvamp s.str.</t>
        </is>
      </c>
      <c r="S375">
        <f>HYPERLINK("https://klasma.github.io/Logging_0382/artfynd/A 48723-2023 artfynd.xlsx", "A 48723-2023")</f>
        <v/>
      </c>
      <c r="T375">
        <f>HYPERLINK("https://klasma.github.io/Logging_0382/kartor/A 48723-2023 karta.png", "A 48723-2023")</f>
        <v/>
      </c>
      <c r="V375">
        <f>HYPERLINK("https://klasma.github.io/Logging_0382/klagomål/A 48723-2023 FSC-klagomål.docx", "A 48723-2023")</f>
        <v/>
      </c>
      <c r="W375">
        <f>HYPERLINK("https://klasma.github.io/Logging_0382/klagomålsmail/A 48723-2023 FSC-klagomål mail.docx", "A 48723-2023")</f>
        <v/>
      </c>
      <c r="X375">
        <f>HYPERLINK("https://klasma.github.io/Logging_0382/tillsyn/A 48723-2023 tillsynsbegäran.docx", "A 48723-2023")</f>
        <v/>
      </c>
      <c r="Y375">
        <f>HYPERLINK("https://klasma.github.io/Logging_0382/tillsynsmail/A 48723-2023 tillsynsbegäran mail.docx", "A 48723-2023")</f>
        <v/>
      </c>
    </row>
    <row r="376" ht="15" customHeight="1">
      <c r="A376" t="inlineStr">
        <is>
          <t>A 48917-2023</t>
        </is>
      </c>
      <c r="B376" s="1" t="n">
        <v>45209</v>
      </c>
      <c r="C376" s="1" t="n">
        <v>45705</v>
      </c>
      <c r="D376" t="inlineStr">
        <is>
          <t>UPPSALA LÄN</t>
        </is>
      </c>
      <c r="E376" t="inlineStr">
        <is>
          <t>TIERP</t>
        </is>
      </c>
      <c r="F376" t="inlineStr">
        <is>
          <t>Bergvik skog öst AB</t>
        </is>
      </c>
      <c r="G376" t="n">
        <v>3.4</v>
      </c>
      <c r="H376" t="n">
        <v>2</v>
      </c>
      <c r="I376" t="n">
        <v>0</v>
      </c>
      <c r="J376" t="n">
        <v>2</v>
      </c>
      <c r="K376" t="n">
        <v>0</v>
      </c>
      <c r="L376" t="n">
        <v>0</v>
      </c>
      <c r="M376" t="n">
        <v>0</v>
      </c>
      <c r="N376" t="n">
        <v>0</v>
      </c>
      <c r="O376" t="n">
        <v>2</v>
      </c>
      <c r="P376" t="n">
        <v>0</v>
      </c>
      <c r="Q376" t="n">
        <v>2</v>
      </c>
      <c r="R376" s="2" t="inlineStr">
        <is>
          <t>Gulsparv
Talltita</t>
        </is>
      </c>
      <c r="S376">
        <f>HYPERLINK("https://klasma.github.io/Logging_0360/artfynd/A 48917-2023 artfynd.xlsx", "A 48917-2023")</f>
        <v/>
      </c>
      <c r="T376">
        <f>HYPERLINK("https://klasma.github.io/Logging_0360/kartor/A 48917-2023 karta.png", "A 48917-2023")</f>
        <v/>
      </c>
      <c r="V376">
        <f>HYPERLINK("https://klasma.github.io/Logging_0360/klagomål/A 48917-2023 FSC-klagomål.docx", "A 48917-2023")</f>
        <v/>
      </c>
      <c r="W376">
        <f>HYPERLINK("https://klasma.github.io/Logging_0360/klagomålsmail/A 48917-2023 FSC-klagomål mail.docx", "A 48917-2023")</f>
        <v/>
      </c>
      <c r="X376">
        <f>HYPERLINK("https://klasma.github.io/Logging_0360/tillsyn/A 48917-2023 tillsynsbegäran.docx", "A 48917-2023")</f>
        <v/>
      </c>
      <c r="Y376">
        <f>HYPERLINK("https://klasma.github.io/Logging_0360/tillsynsmail/A 48917-2023 tillsynsbegäran mail.docx", "A 48917-2023")</f>
        <v/>
      </c>
      <c r="Z376">
        <f>HYPERLINK("https://klasma.github.io/Logging_0360/fåglar/A 48917-2023 prioriterade fågelarter.docx", "A 48917-2023")</f>
        <v/>
      </c>
    </row>
    <row r="377" ht="15" customHeight="1">
      <c r="A377" t="inlineStr">
        <is>
          <t>A 50105-2023</t>
        </is>
      </c>
      <c r="B377" s="1" t="n">
        <v>45215</v>
      </c>
      <c r="C377" s="1" t="n">
        <v>45705</v>
      </c>
      <c r="D377" t="inlineStr">
        <is>
          <t>UPPSALA LÄN</t>
        </is>
      </c>
      <c r="E377" t="inlineStr">
        <is>
          <t>ENKÖPING</t>
        </is>
      </c>
      <c r="G377" t="n">
        <v>8.5</v>
      </c>
      <c r="H377" t="n">
        <v>0</v>
      </c>
      <c r="I377" t="n">
        <v>0</v>
      </c>
      <c r="J377" t="n">
        <v>1</v>
      </c>
      <c r="K377" t="n">
        <v>1</v>
      </c>
      <c r="L377" t="n">
        <v>0</v>
      </c>
      <c r="M377" t="n">
        <v>0</v>
      </c>
      <c r="N377" t="n">
        <v>0</v>
      </c>
      <c r="O377" t="n">
        <v>2</v>
      </c>
      <c r="P377" t="n">
        <v>1</v>
      </c>
      <c r="Q377" t="n">
        <v>2</v>
      </c>
      <c r="R377" s="2" t="inlineStr">
        <is>
          <t>Smalskaftslav
Ullticka</t>
        </is>
      </c>
      <c r="S377">
        <f>HYPERLINK("https://klasma.github.io/Logging_0381/artfynd/A 50105-2023 artfynd.xlsx", "A 50105-2023")</f>
        <v/>
      </c>
      <c r="T377">
        <f>HYPERLINK("https://klasma.github.io/Logging_0381/kartor/A 50105-2023 karta.png", "A 50105-2023")</f>
        <v/>
      </c>
      <c r="V377">
        <f>HYPERLINK("https://klasma.github.io/Logging_0381/klagomål/A 50105-2023 FSC-klagomål.docx", "A 50105-2023")</f>
        <v/>
      </c>
      <c r="W377">
        <f>HYPERLINK("https://klasma.github.io/Logging_0381/klagomålsmail/A 50105-2023 FSC-klagomål mail.docx", "A 50105-2023")</f>
        <v/>
      </c>
      <c r="X377">
        <f>HYPERLINK("https://klasma.github.io/Logging_0381/tillsyn/A 50105-2023 tillsynsbegäran.docx", "A 50105-2023")</f>
        <v/>
      </c>
      <c r="Y377">
        <f>HYPERLINK("https://klasma.github.io/Logging_0381/tillsynsmail/A 50105-2023 tillsynsbegäran mail.docx", "A 50105-2023")</f>
        <v/>
      </c>
    </row>
    <row r="378" ht="15" customHeight="1">
      <c r="A378" t="inlineStr">
        <is>
          <t>A 51749-2023</t>
        </is>
      </c>
      <c r="B378" s="1" t="n">
        <v>45222</v>
      </c>
      <c r="C378" s="1" t="n">
        <v>45705</v>
      </c>
      <c r="D378" t="inlineStr">
        <is>
          <t>UPPSALA LÄN</t>
        </is>
      </c>
      <c r="E378" t="inlineStr">
        <is>
          <t>UPPSALA</t>
        </is>
      </c>
      <c r="G378" t="n">
        <v>3.6</v>
      </c>
      <c r="H378" t="n">
        <v>1</v>
      </c>
      <c r="I378" t="n">
        <v>0</v>
      </c>
      <c r="J378" t="n">
        <v>1</v>
      </c>
      <c r="K378" t="n">
        <v>0</v>
      </c>
      <c r="L378" t="n">
        <v>0</v>
      </c>
      <c r="M378" t="n">
        <v>0</v>
      </c>
      <c r="N378" t="n">
        <v>0</v>
      </c>
      <c r="O378" t="n">
        <v>1</v>
      </c>
      <c r="P378" t="n">
        <v>0</v>
      </c>
      <c r="Q378" t="n">
        <v>2</v>
      </c>
      <c r="R378" s="2" t="inlineStr">
        <is>
          <t>Säfferot
Gullviva</t>
        </is>
      </c>
      <c r="S378">
        <f>HYPERLINK("https://klasma.github.io/Logging_0380/artfynd/A 51749-2023 artfynd.xlsx", "A 51749-2023")</f>
        <v/>
      </c>
      <c r="T378">
        <f>HYPERLINK("https://klasma.github.io/Logging_0380/kartor/A 51749-2023 karta.png", "A 51749-2023")</f>
        <v/>
      </c>
      <c r="V378">
        <f>HYPERLINK("https://klasma.github.io/Logging_0380/klagomål/A 51749-2023 FSC-klagomål.docx", "A 51749-2023")</f>
        <v/>
      </c>
      <c r="W378">
        <f>HYPERLINK("https://klasma.github.io/Logging_0380/klagomålsmail/A 51749-2023 FSC-klagomål mail.docx", "A 51749-2023")</f>
        <v/>
      </c>
      <c r="X378">
        <f>HYPERLINK("https://klasma.github.io/Logging_0380/tillsyn/A 51749-2023 tillsynsbegäran.docx", "A 51749-2023")</f>
        <v/>
      </c>
      <c r="Y378">
        <f>HYPERLINK("https://klasma.github.io/Logging_0380/tillsynsmail/A 51749-2023 tillsynsbegäran mail.docx", "A 51749-2023")</f>
        <v/>
      </c>
    </row>
    <row r="379" ht="15" customHeight="1">
      <c r="A379" t="inlineStr">
        <is>
          <t>A 54436-2023</t>
        </is>
      </c>
      <c r="B379" s="1" t="n">
        <v>45233</v>
      </c>
      <c r="C379" s="1" t="n">
        <v>45705</v>
      </c>
      <c r="D379" t="inlineStr">
        <is>
          <t>UPPSALA LÄN</t>
        </is>
      </c>
      <c r="E379" t="inlineStr">
        <is>
          <t>TIERP</t>
        </is>
      </c>
      <c r="F379" t="inlineStr">
        <is>
          <t>Bergvik skog öst AB</t>
        </is>
      </c>
      <c r="G379" t="n">
        <v>30.2</v>
      </c>
      <c r="H379" t="n">
        <v>1</v>
      </c>
      <c r="I379" t="n">
        <v>1</v>
      </c>
      <c r="J379" t="n">
        <v>1</v>
      </c>
      <c r="K379" t="n">
        <v>0</v>
      </c>
      <c r="L379" t="n">
        <v>0</v>
      </c>
      <c r="M379" t="n">
        <v>0</v>
      </c>
      <c r="N379" t="n">
        <v>0</v>
      </c>
      <c r="O379" t="n">
        <v>1</v>
      </c>
      <c r="P379" t="n">
        <v>0</v>
      </c>
      <c r="Q379" t="n">
        <v>2</v>
      </c>
      <c r="R379" s="2" t="inlineStr">
        <is>
          <t>Slåtterfibbla
Tvåblad</t>
        </is>
      </c>
      <c r="S379">
        <f>HYPERLINK("https://klasma.github.io/Logging_0360/artfynd/A 54436-2023 artfynd.xlsx", "A 54436-2023")</f>
        <v/>
      </c>
      <c r="T379">
        <f>HYPERLINK("https://klasma.github.io/Logging_0360/kartor/A 54436-2023 karta.png", "A 54436-2023")</f>
        <v/>
      </c>
      <c r="V379">
        <f>HYPERLINK("https://klasma.github.io/Logging_0360/klagomål/A 54436-2023 FSC-klagomål.docx", "A 54436-2023")</f>
        <v/>
      </c>
      <c r="W379">
        <f>HYPERLINK("https://klasma.github.io/Logging_0360/klagomålsmail/A 54436-2023 FSC-klagomål mail.docx", "A 54436-2023")</f>
        <v/>
      </c>
      <c r="X379">
        <f>HYPERLINK("https://klasma.github.io/Logging_0360/tillsyn/A 54436-2023 tillsynsbegäran.docx", "A 54436-2023")</f>
        <v/>
      </c>
      <c r="Y379">
        <f>HYPERLINK("https://klasma.github.io/Logging_0360/tillsynsmail/A 54436-2023 tillsynsbegäran mail.docx", "A 54436-2023")</f>
        <v/>
      </c>
    </row>
    <row r="380" ht="15" customHeight="1">
      <c r="A380" t="inlineStr">
        <is>
          <t>A 55508-2023</t>
        </is>
      </c>
      <c r="B380" s="1" t="n">
        <v>45238</v>
      </c>
      <c r="C380" s="1" t="n">
        <v>45705</v>
      </c>
      <c r="D380" t="inlineStr">
        <is>
          <t>UPPSALA LÄN</t>
        </is>
      </c>
      <c r="E380" t="inlineStr">
        <is>
          <t>ÖSTHAMMAR</t>
        </is>
      </c>
      <c r="G380" t="n">
        <v>3.4</v>
      </c>
      <c r="H380" t="n">
        <v>1</v>
      </c>
      <c r="I380" t="n">
        <v>1</v>
      </c>
      <c r="J380" t="n">
        <v>1</v>
      </c>
      <c r="K380" t="n">
        <v>0</v>
      </c>
      <c r="L380" t="n">
        <v>0</v>
      </c>
      <c r="M380" t="n">
        <v>0</v>
      </c>
      <c r="N380" t="n">
        <v>0</v>
      </c>
      <c r="O380" t="n">
        <v>1</v>
      </c>
      <c r="P380" t="n">
        <v>0</v>
      </c>
      <c r="Q380" t="n">
        <v>2</v>
      </c>
      <c r="R380" s="2" t="inlineStr">
        <is>
          <t>Svart taggsvamp
Guckusko</t>
        </is>
      </c>
      <c r="S380">
        <f>HYPERLINK("https://klasma.github.io/Logging_0382/artfynd/A 55508-2023 artfynd.xlsx", "A 55508-2023")</f>
        <v/>
      </c>
      <c r="T380">
        <f>HYPERLINK("https://klasma.github.io/Logging_0382/kartor/A 55508-2023 karta.png", "A 55508-2023")</f>
        <v/>
      </c>
      <c r="V380">
        <f>HYPERLINK("https://klasma.github.io/Logging_0382/klagomål/A 55508-2023 FSC-klagomål.docx", "A 55508-2023")</f>
        <v/>
      </c>
      <c r="W380">
        <f>HYPERLINK("https://klasma.github.io/Logging_0382/klagomålsmail/A 55508-2023 FSC-klagomål mail.docx", "A 55508-2023")</f>
        <v/>
      </c>
      <c r="X380">
        <f>HYPERLINK("https://klasma.github.io/Logging_0382/tillsyn/A 55508-2023 tillsynsbegäran.docx", "A 55508-2023")</f>
        <v/>
      </c>
      <c r="Y380">
        <f>HYPERLINK("https://klasma.github.io/Logging_0382/tillsynsmail/A 55508-2023 tillsynsbegäran mail.docx", "A 55508-2023")</f>
        <v/>
      </c>
    </row>
    <row r="381" ht="15" customHeight="1">
      <c r="A381" t="inlineStr">
        <is>
          <t>A 55385-2023</t>
        </is>
      </c>
      <c r="B381" s="1" t="n">
        <v>45238</v>
      </c>
      <c r="C381" s="1" t="n">
        <v>45705</v>
      </c>
      <c r="D381" t="inlineStr">
        <is>
          <t>UPPSALA LÄN</t>
        </is>
      </c>
      <c r="E381" t="inlineStr">
        <is>
          <t>ÖSTHAMMAR</t>
        </is>
      </c>
      <c r="G381" t="n">
        <v>3</v>
      </c>
      <c r="H381" t="n">
        <v>1</v>
      </c>
      <c r="I381" t="n">
        <v>2</v>
      </c>
      <c r="J381" t="n">
        <v>0</v>
      </c>
      <c r="K381" t="n">
        <v>0</v>
      </c>
      <c r="L381" t="n">
        <v>0</v>
      </c>
      <c r="M381" t="n">
        <v>0</v>
      </c>
      <c r="N381" t="n">
        <v>0</v>
      </c>
      <c r="O381" t="n">
        <v>0</v>
      </c>
      <c r="P381" t="n">
        <v>0</v>
      </c>
      <c r="Q381" t="n">
        <v>2</v>
      </c>
      <c r="R381" s="2" t="inlineStr">
        <is>
          <t>Guckusko
Korallblylav</t>
        </is>
      </c>
      <c r="S381">
        <f>HYPERLINK("https://klasma.github.io/Logging_0382/artfynd/A 55385-2023 artfynd.xlsx", "A 55385-2023")</f>
        <v/>
      </c>
      <c r="T381">
        <f>HYPERLINK("https://klasma.github.io/Logging_0382/kartor/A 55385-2023 karta.png", "A 55385-2023")</f>
        <v/>
      </c>
      <c r="V381">
        <f>HYPERLINK("https://klasma.github.io/Logging_0382/klagomål/A 55385-2023 FSC-klagomål.docx", "A 55385-2023")</f>
        <v/>
      </c>
      <c r="W381">
        <f>HYPERLINK("https://klasma.github.io/Logging_0382/klagomålsmail/A 55385-2023 FSC-klagomål mail.docx", "A 55385-2023")</f>
        <v/>
      </c>
      <c r="X381">
        <f>HYPERLINK("https://klasma.github.io/Logging_0382/tillsyn/A 55385-2023 tillsynsbegäran.docx", "A 55385-2023")</f>
        <v/>
      </c>
      <c r="Y381">
        <f>HYPERLINK("https://klasma.github.io/Logging_0382/tillsynsmail/A 55385-2023 tillsynsbegäran mail.docx", "A 55385-2023")</f>
        <v/>
      </c>
    </row>
    <row r="382" ht="15" customHeight="1">
      <c r="A382" t="inlineStr">
        <is>
          <t>A 59283-2023</t>
        </is>
      </c>
      <c r="B382" s="1" t="n">
        <v>45253</v>
      </c>
      <c r="C382" s="1" t="n">
        <v>45705</v>
      </c>
      <c r="D382" t="inlineStr">
        <is>
          <t>UPPSALA LÄN</t>
        </is>
      </c>
      <c r="E382" t="inlineStr">
        <is>
          <t>ÖSTHAMMAR</t>
        </is>
      </c>
      <c r="G382" t="n">
        <v>2</v>
      </c>
      <c r="H382" t="n">
        <v>0</v>
      </c>
      <c r="I382" t="n">
        <v>0</v>
      </c>
      <c r="J382" t="n">
        <v>0</v>
      </c>
      <c r="K382" t="n">
        <v>2</v>
      </c>
      <c r="L382" t="n">
        <v>0</v>
      </c>
      <c r="M382" t="n">
        <v>0</v>
      </c>
      <c r="N382" t="n">
        <v>0</v>
      </c>
      <c r="O382" t="n">
        <v>2</v>
      </c>
      <c r="P382" t="n">
        <v>2</v>
      </c>
      <c r="Q382" t="n">
        <v>2</v>
      </c>
      <c r="R382" s="2" t="inlineStr">
        <is>
          <t>Koppartaggsvamp
Spricktaggsvamp</t>
        </is>
      </c>
      <c r="S382">
        <f>HYPERLINK("https://klasma.github.io/Logging_0382/artfynd/A 59283-2023 artfynd.xlsx", "A 59283-2023")</f>
        <v/>
      </c>
      <c r="T382">
        <f>HYPERLINK("https://klasma.github.io/Logging_0382/kartor/A 59283-2023 karta.png", "A 59283-2023")</f>
        <v/>
      </c>
      <c r="V382">
        <f>HYPERLINK("https://klasma.github.io/Logging_0382/klagomål/A 59283-2023 FSC-klagomål.docx", "A 59283-2023")</f>
        <v/>
      </c>
      <c r="W382">
        <f>HYPERLINK("https://klasma.github.io/Logging_0382/klagomålsmail/A 59283-2023 FSC-klagomål mail.docx", "A 59283-2023")</f>
        <v/>
      </c>
      <c r="X382">
        <f>HYPERLINK("https://klasma.github.io/Logging_0382/tillsyn/A 59283-2023 tillsynsbegäran.docx", "A 59283-2023")</f>
        <v/>
      </c>
      <c r="Y382">
        <f>HYPERLINK("https://klasma.github.io/Logging_0382/tillsynsmail/A 59283-2023 tillsynsbegäran mail.docx", "A 59283-2023")</f>
        <v/>
      </c>
    </row>
    <row r="383" ht="15" customHeight="1">
      <c r="A383" t="inlineStr">
        <is>
          <t>A 59949-2023</t>
        </is>
      </c>
      <c r="B383" s="1" t="n">
        <v>45257</v>
      </c>
      <c r="C383" s="1" t="n">
        <v>45705</v>
      </c>
      <c r="D383" t="inlineStr">
        <is>
          <t>UPPSALA LÄN</t>
        </is>
      </c>
      <c r="E383" t="inlineStr">
        <is>
          <t>TIERP</t>
        </is>
      </c>
      <c r="G383" t="n">
        <v>1.3</v>
      </c>
      <c r="H383" t="n">
        <v>0</v>
      </c>
      <c r="I383" t="n">
        <v>2</v>
      </c>
      <c r="J383" t="n">
        <v>0</v>
      </c>
      <c r="K383" t="n">
        <v>0</v>
      </c>
      <c r="L383" t="n">
        <v>0</v>
      </c>
      <c r="M383" t="n">
        <v>0</v>
      </c>
      <c r="N383" t="n">
        <v>0</v>
      </c>
      <c r="O383" t="n">
        <v>0</v>
      </c>
      <c r="P383" t="n">
        <v>0</v>
      </c>
      <c r="Q383" t="n">
        <v>2</v>
      </c>
      <c r="R383" s="2" t="inlineStr">
        <is>
          <t>Fjällig taggsvamp s.str.
Svavelriska</t>
        </is>
      </c>
      <c r="S383">
        <f>HYPERLINK("https://klasma.github.io/Logging_0360/artfynd/A 59949-2023 artfynd.xlsx", "A 59949-2023")</f>
        <v/>
      </c>
      <c r="T383">
        <f>HYPERLINK("https://klasma.github.io/Logging_0360/kartor/A 59949-2023 karta.png", "A 59949-2023")</f>
        <v/>
      </c>
      <c r="V383">
        <f>HYPERLINK("https://klasma.github.io/Logging_0360/klagomål/A 59949-2023 FSC-klagomål.docx", "A 59949-2023")</f>
        <v/>
      </c>
      <c r="W383">
        <f>HYPERLINK("https://klasma.github.io/Logging_0360/klagomålsmail/A 59949-2023 FSC-klagomål mail.docx", "A 59949-2023")</f>
        <v/>
      </c>
      <c r="X383">
        <f>HYPERLINK("https://klasma.github.io/Logging_0360/tillsyn/A 59949-2023 tillsynsbegäran.docx", "A 59949-2023")</f>
        <v/>
      </c>
      <c r="Y383">
        <f>HYPERLINK("https://klasma.github.io/Logging_0360/tillsynsmail/A 59949-2023 tillsynsbegäran mail.docx", "A 59949-2023")</f>
        <v/>
      </c>
    </row>
    <row r="384" ht="15" customHeight="1">
      <c r="A384" t="inlineStr">
        <is>
          <t>A 60458-2023</t>
        </is>
      </c>
      <c r="B384" s="1" t="n">
        <v>45259</v>
      </c>
      <c r="C384" s="1" t="n">
        <v>45705</v>
      </c>
      <c r="D384" t="inlineStr">
        <is>
          <t>UPPSALA LÄN</t>
        </is>
      </c>
      <c r="E384" t="inlineStr">
        <is>
          <t>ÄLVKARLEBY</t>
        </is>
      </c>
      <c r="F384" t="inlineStr">
        <is>
          <t>Bergvik skog öst AB</t>
        </is>
      </c>
      <c r="G384" t="n">
        <v>2.2</v>
      </c>
      <c r="H384" t="n">
        <v>1</v>
      </c>
      <c r="I384" t="n">
        <v>0</v>
      </c>
      <c r="J384" t="n">
        <v>0</v>
      </c>
      <c r="K384" t="n">
        <v>0</v>
      </c>
      <c r="L384" t="n">
        <v>2</v>
      </c>
      <c r="M384" t="n">
        <v>0</v>
      </c>
      <c r="N384" t="n">
        <v>0</v>
      </c>
      <c r="O384" t="n">
        <v>2</v>
      </c>
      <c r="P384" t="n">
        <v>2</v>
      </c>
      <c r="Q384" t="n">
        <v>2</v>
      </c>
      <c r="R384" s="2" t="inlineStr">
        <is>
          <t>Bredgentiana
Fältgentiana</t>
        </is>
      </c>
      <c r="S384">
        <f>HYPERLINK("https://klasma.github.io/Logging_0319/artfynd/A 60458-2023 artfynd.xlsx", "A 60458-2023")</f>
        <v/>
      </c>
      <c r="T384">
        <f>HYPERLINK("https://klasma.github.io/Logging_0319/kartor/A 60458-2023 karta.png", "A 60458-2023")</f>
        <v/>
      </c>
      <c r="V384">
        <f>HYPERLINK("https://klasma.github.io/Logging_0319/klagomål/A 60458-2023 FSC-klagomål.docx", "A 60458-2023")</f>
        <v/>
      </c>
      <c r="W384">
        <f>HYPERLINK("https://klasma.github.io/Logging_0319/klagomålsmail/A 60458-2023 FSC-klagomål mail.docx", "A 60458-2023")</f>
        <v/>
      </c>
      <c r="X384">
        <f>HYPERLINK("https://klasma.github.io/Logging_0319/tillsyn/A 60458-2023 tillsynsbegäran.docx", "A 60458-2023")</f>
        <v/>
      </c>
      <c r="Y384">
        <f>HYPERLINK("https://klasma.github.io/Logging_0319/tillsynsmail/A 60458-2023 tillsynsbegäran mail.docx", "A 60458-2023")</f>
        <v/>
      </c>
    </row>
    <row r="385" ht="15" customHeight="1">
      <c r="A385" t="inlineStr">
        <is>
          <t>A 60703-2023</t>
        </is>
      </c>
      <c r="B385" s="1" t="n">
        <v>45260</v>
      </c>
      <c r="C385" s="1" t="n">
        <v>45705</v>
      </c>
      <c r="D385" t="inlineStr">
        <is>
          <t>UPPSALA LÄN</t>
        </is>
      </c>
      <c r="E385" t="inlineStr">
        <is>
          <t>UPPSALA</t>
        </is>
      </c>
      <c r="G385" t="n">
        <v>1.6</v>
      </c>
      <c r="H385" t="n">
        <v>0</v>
      </c>
      <c r="I385" t="n">
        <v>2</v>
      </c>
      <c r="J385" t="n">
        <v>0</v>
      </c>
      <c r="K385" t="n">
        <v>0</v>
      </c>
      <c r="L385" t="n">
        <v>0</v>
      </c>
      <c r="M385" t="n">
        <v>0</v>
      </c>
      <c r="N385" t="n">
        <v>0</v>
      </c>
      <c r="O385" t="n">
        <v>0</v>
      </c>
      <c r="P385" t="n">
        <v>0</v>
      </c>
      <c r="Q385" t="n">
        <v>2</v>
      </c>
      <c r="R385" s="2" t="inlineStr">
        <is>
          <t>Kantjordstjärna
Svavelriska</t>
        </is>
      </c>
      <c r="S385">
        <f>HYPERLINK("https://klasma.github.io/Logging_0380/artfynd/A 60703-2023 artfynd.xlsx", "A 60703-2023")</f>
        <v/>
      </c>
      <c r="T385">
        <f>HYPERLINK("https://klasma.github.io/Logging_0380/kartor/A 60703-2023 karta.png", "A 60703-2023")</f>
        <v/>
      </c>
      <c r="V385">
        <f>HYPERLINK("https://klasma.github.io/Logging_0380/klagomål/A 60703-2023 FSC-klagomål.docx", "A 60703-2023")</f>
        <v/>
      </c>
      <c r="W385">
        <f>HYPERLINK("https://klasma.github.io/Logging_0380/klagomålsmail/A 60703-2023 FSC-klagomål mail.docx", "A 60703-2023")</f>
        <v/>
      </c>
      <c r="X385">
        <f>HYPERLINK("https://klasma.github.io/Logging_0380/tillsyn/A 60703-2023 tillsynsbegäran.docx", "A 60703-2023")</f>
        <v/>
      </c>
      <c r="Y385">
        <f>HYPERLINK("https://klasma.github.io/Logging_0380/tillsynsmail/A 60703-2023 tillsynsbegäran mail.docx", "A 60703-2023")</f>
        <v/>
      </c>
    </row>
    <row r="386" ht="15" customHeight="1">
      <c r="A386" t="inlineStr">
        <is>
          <t>A 60712-2023</t>
        </is>
      </c>
      <c r="B386" s="1" t="n">
        <v>45260</v>
      </c>
      <c r="C386" s="1" t="n">
        <v>45705</v>
      </c>
      <c r="D386" t="inlineStr">
        <is>
          <t>UPPSALA LÄN</t>
        </is>
      </c>
      <c r="E386" t="inlineStr">
        <is>
          <t>UPPSALA</t>
        </is>
      </c>
      <c r="G386" t="n">
        <v>1</v>
      </c>
      <c r="H386" t="n">
        <v>0</v>
      </c>
      <c r="I386" t="n">
        <v>1</v>
      </c>
      <c r="J386" t="n">
        <v>1</v>
      </c>
      <c r="K386" t="n">
        <v>0</v>
      </c>
      <c r="L386" t="n">
        <v>0</v>
      </c>
      <c r="M386" t="n">
        <v>0</v>
      </c>
      <c r="N386" t="n">
        <v>0</v>
      </c>
      <c r="O386" t="n">
        <v>1</v>
      </c>
      <c r="P386" t="n">
        <v>0</v>
      </c>
      <c r="Q386" t="n">
        <v>2</v>
      </c>
      <c r="R386" s="2" t="inlineStr">
        <is>
          <t>Tallticka
Blodticka</t>
        </is>
      </c>
      <c r="S386">
        <f>HYPERLINK("https://klasma.github.io/Logging_0380/artfynd/A 60712-2023 artfynd.xlsx", "A 60712-2023")</f>
        <v/>
      </c>
      <c r="T386">
        <f>HYPERLINK("https://klasma.github.io/Logging_0380/kartor/A 60712-2023 karta.png", "A 60712-2023")</f>
        <v/>
      </c>
      <c r="V386">
        <f>HYPERLINK("https://klasma.github.io/Logging_0380/klagomål/A 60712-2023 FSC-klagomål.docx", "A 60712-2023")</f>
        <v/>
      </c>
      <c r="W386">
        <f>HYPERLINK("https://klasma.github.io/Logging_0380/klagomålsmail/A 60712-2023 FSC-klagomål mail.docx", "A 60712-2023")</f>
        <v/>
      </c>
      <c r="X386">
        <f>HYPERLINK("https://klasma.github.io/Logging_0380/tillsyn/A 60712-2023 tillsynsbegäran.docx", "A 60712-2023")</f>
        <v/>
      </c>
      <c r="Y386">
        <f>HYPERLINK("https://klasma.github.io/Logging_0380/tillsynsmail/A 60712-2023 tillsynsbegäran mail.docx", "A 60712-2023")</f>
        <v/>
      </c>
    </row>
    <row r="387" ht="15" customHeight="1">
      <c r="A387" t="inlineStr">
        <is>
          <t>A 88-2024</t>
        </is>
      </c>
      <c r="B387" s="1" t="n">
        <v>45293</v>
      </c>
      <c r="C387" s="1" t="n">
        <v>45705</v>
      </c>
      <c r="D387" t="inlineStr">
        <is>
          <t>UPPSALA LÄN</t>
        </is>
      </c>
      <c r="E387" t="inlineStr">
        <is>
          <t>UPPSALA</t>
        </is>
      </c>
      <c r="G387" t="n">
        <v>2.1</v>
      </c>
      <c r="H387" t="n">
        <v>0</v>
      </c>
      <c r="I387" t="n">
        <v>0</v>
      </c>
      <c r="J387" t="n">
        <v>1</v>
      </c>
      <c r="K387" t="n">
        <v>0</v>
      </c>
      <c r="L387" t="n">
        <v>1</v>
      </c>
      <c r="M387" t="n">
        <v>0</v>
      </c>
      <c r="N387" t="n">
        <v>0</v>
      </c>
      <c r="O387" t="n">
        <v>2</v>
      </c>
      <c r="P387" t="n">
        <v>1</v>
      </c>
      <c r="Q387" t="n">
        <v>2</v>
      </c>
      <c r="R387" s="2" t="inlineStr">
        <is>
          <t>Ask
Gullklöver</t>
        </is>
      </c>
      <c r="S387">
        <f>HYPERLINK("https://klasma.github.io/Logging_0380/artfynd/A 88-2024 artfynd.xlsx", "A 88-2024")</f>
        <v/>
      </c>
      <c r="T387">
        <f>HYPERLINK("https://klasma.github.io/Logging_0380/kartor/A 88-2024 karta.png", "A 88-2024")</f>
        <v/>
      </c>
      <c r="V387">
        <f>HYPERLINK("https://klasma.github.io/Logging_0380/klagomål/A 88-2024 FSC-klagomål.docx", "A 88-2024")</f>
        <v/>
      </c>
      <c r="W387">
        <f>HYPERLINK("https://klasma.github.io/Logging_0380/klagomålsmail/A 88-2024 FSC-klagomål mail.docx", "A 88-2024")</f>
        <v/>
      </c>
      <c r="X387">
        <f>HYPERLINK("https://klasma.github.io/Logging_0380/tillsyn/A 88-2024 tillsynsbegäran.docx", "A 88-2024")</f>
        <v/>
      </c>
      <c r="Y387">
        <f>HYPERLINK("https://klasma.github.io/Logging_0380/tillsynsmail/A 88-2024 tillsynsbegäran mail.docx", "A 88-2024")</f>
        <v/>
      </c>
    </row>
    <row r="388" ht="15" customHeight="1">
      <c r="A388" t="inlineStr">
        <is>
          <t>A 140-2024</t>
        </is>
      </c>
      <c r="B388" s="1" t="n">
        <v>45294</v>
      </c>
      <c r="C388" s="1" t="n">
        <v>45705</v>
      </c>
      <c r="D388" t="inlineStr">
        <is>
          <t>UPPSALA LÄN</t>
        </is>
      </c>
      <c r="E388" t="inlineStr">
        <is>
          <t>TIERP</t>
        </is>
      </c>
      <c r="G388" t="n">
        <v>2.9</v>
      </c>
      <c r="H388" t="n">
        <v>2</v>
      </c>
      <c r="I388" t="n">
        <v>0</v>
      </c>
      <c r="J388" t="n">
        <v>2</v>
      </c>
      <c r="K388" t="n">
        <v>0</v>
      </c>
      <c r="L388" t="n">
        <v>0</v>
      </c>
      <c r="M388" t="n">
        <v>0</v>
      </c>
      <c r="N388" t="n">
        <v>0</v>
      </c>
      <c r="O388" t="n">
        <v>2</v>
      </c>
      <c r="P388" t="n">
        <v>0</v>
      </c>
      <c r="Q388" t="n">
        <v>2</v>
      </c>
      <c r="R388" s="2" t="inlineStr">
        <is>
          <t>Gulsparv
Ärtsångare</t>
        </is>
      </c>
      <c r="S388">
        <f>HYPERLINK("https://klasma.github.io/Logging_0360/artfynd/A 140-2024 artfynd.xlsx", "A 140-2024")</f>
        <v/>
      </c>
      <c r="T388">
        <f>HYPERLINK("https://klasma.github.io/Logging_0360/kartor/A 140-2024 karta.png", "A 140-2024")</f>
        <v/>
      </c>
      <c r="V388">
        <f>HYPERLINK("https://klasma.github.io/Logging_0360/klagomål/A 140-2024 FSC-klagomål.docx", "A 140-2024")</f>
        <v/>
      </c>
      <c r="W388">
        <f>HYPERLINK("https://klasma.github.io/Logging_0360/klagomålsmail/A 140-2024 FSC-klagomål mail.docx", "A 140-2024")</f>
        <v/>
      </c>
      <c r="X388">
        <f>HYPERLINK("https://klasma.github.io/Logging_0360/tillsyn/A 140-2024 tillsynsbegäran.docx", "A 140-2024")</f>
        <v/>
      </c>
      <c r="Y388">
        <f>HYPERLINK("https://klasma.github.io/Logging_0360/tillsynsmail/A 140-2024 tillsynsbegäran mail.docx", "A 140-2024")</f>
        <v/>
      </c>
      <c r="Z388">
        <f>HYPERLINK("https://klasma.github.io/Logging_0360/fåglar/A 140-2024 prioriterade fågelarter.docx", "A 140-2024")</f>
        <v/>
      </c>
    </row>
    <row r="389" ht="15" customHeight="1">
      <c r="A389" t="inlineStr">
        <is>
          <t>A 2554-2024</t>
        </is>
      </c>
      <c r="B389" s="1" t="n">
        <v>45313</v>
      </c>
      <c r="C389" s="1" t="n">
        <v>45705</v>
      </c>
      <c r="D389" t="inlineStr">
        <is>
          <t>UPPSALA LÄN</t>
        </is>
      </c>
      <c r="E389" t="inlineStr">
        <is>
          <t>HEBY</t>
        </is>
      </c>
      <c r="G389" t="n">
        <v>2.4</v>
      </c>
      <c r="H389" t="n">
        <v>1</v>
      </c>
      <c r="I389" t="n">
        <v>0</v>
      </c>
      <c r="J389" t="n">
        <v>1</v>
      </c>
      <c r="K389" t="n">
        <v>1</v>
      </c>
      <c r="L389" t="n">
        <v>0</v>
      </c>
      <c r="M389" t="n">
        <v>0</v>
      </c>
      <c r="N389" t="n">
        <v>0</v>
      </c>
      <c r="O389" t="n">
        <v>2</v>
      </c>
      <c r="P389" t="n">
        <v>1</v>
      </c>
      <c r="Q389" t="n">
        <v>2</v>
      </c>
      <c r="R389" s="2" t="inlineStr">
        <is>
          <t>Knärot
Motaggsvamp</t>
        </is>
      </c>
      <c r="S389">
        <f>HYPERLINK("https://klasma.github.io/Logging_0331/artfynd/A 2554-2024 artfynd.xlsx", "A 2554-2024")</f>
        <v/>
      </c>
      <c r="T389">
        <f>HYPERLINK("https://klasma.github.io/Logging_0331/kartor/A 2554-2024 karta.png", "A 2554-2024")</f>
        <v/>
      </c>
      <c r="U389">
        <f>HYPERLINK("https://klasma.github.io/Logging_0331/knärot/A 2554-2024 karta knärot.png", "A 2554-2024")</f>
        <v/>
      </c>
      <c r="V389">
        <f>HYPERLINK("https://klasma.github.io/Logging_0331/klagomål/A 2554-2024 FSC-klagomål.docx", "A 2554-2024")</f>
        <v/>
      </c>
      <c r="W389">
        <f>HYPERLINK("https://klasma.github.io/Logging_0331/klagomålsmail/A 2554-2024 FSC-klagomål mail.docx", "A 2554-2024")</f>
        <v/>
      </c>
      <c r="X389">
        <f>HYPERLINK("https://klasma.github.io/Logging_0331/tillsyn/A 2554-2024 tillsynsbegäran.docx", "A 2554-2024")</f>
        <v/>
      </c>
      <c r="Y389">
        <f>HYPERLINK("https://klasma.github.io/Logging_0331/tillsynsmail/A 2554-2024 tillsynsbegäran mail.docx", "A 2554-2024")</f>
        <v/>
      </c>
    </row>
    <row r="390" ht="15" customHeight="1">
      <c r="A390" t="inlineStr">
        <is>
          <t>A 5185-2024</t>
        </is>
      </c>
      <c r="B390" s="1" t="n">
        <v>45330</v>
      </c>
      <c r="C390" s="1" t="n">
        <v>45705</v>
      </c>
      <c r="D390" t="inlineStr">
        <is>
          <t>UPPSALA LÄN</t>
        </is>
      </c>
      <c r="E390" t="inlineStr">
        <is>
          <t>UPPSALA</t>
        </is>
      </c>
      <c r="F390" t="inlineStr">
        <is>
          <t>Övriga Aktiebolag</t>
        </is>
      </c>
      <c r="G390" t="n">
        <v>13.1</v>
      </c>
      <c r="H390" t="n">
        <v>0</v>
      </c>
      <c r="I390" t="n">
        <v>1</v>
      </c>
      <c r="J390" t="n">
        <v>1</v>
      </c>
      <c r="K390" t="n">
        <v>0</v>
      </c>
      <c r="L390" t="n">
        <v>0</v>
      </c>
      <c r="M390" t="n">
        <v>0</v>
      </c>
      <c r="N390" t="n">
        <v>0</v>
      </c>
      <c r="O390" t="n">
        <v>1</v>
      </c>
      <c r="P390" t="n">
        <v>0</v>
      </c>
      <c r="Q390" t="n">
        <v>2</v>
      </c>
      <c r="R390" s="2" t="inlineStr">
        <is>
          <t>Skogsklocka
Sotlav</t>
        </is>
      </c>
      <c r="S390">
        <f>HYPERLINK("https://klasma.github.io/Logging_0380/artfynd/A 5185-2024 artfynd.xlsx", "A 5185-2024")</f>
        <v/>
      </c>
      <c r="T390">
        <f>HYPERLINK("https://klasma.github.io/Logging_0380/kartor/A 5185-2024 karta.png", "A 5185-2024")</f>
        <v/>
      </c>
      <c r="V390">
        <f>HYPERLINK("https://klasma.github.io/Logging_0380/klagomål/A 5185-2024 FSC-klagomål.docx", "A 5185-2024")</f>
        <v/>
      </c>
      <c r="W390">
        <f>HYPERLINK("https://klasma.github.io/Logging_0380/klagomålsmail/A 5185-2024 FSC-klagomål mail.docx", "A 5185-2024")</f>
        <v/>
      </c>
      <c r="X390">
        <f>HYPERLINK("https://klasma.github.io/Logging_0380/tillsyn/A 5185-2024 tillsynsbegäran.docx", "A 5185-2024")</f>
        <v/>
      </c>
      <c r="Y390">
        <f>HYPERLINK("https://klasma.github.io/Logging_0380/tillsynsmail/A 5185-2024 tillsynsbegäran mail.docx", "A 5185-2024")</f>
        <v/>
      </c>
    </row>
    <row r="391" ht="15" customHeight="1">
      <c r="A391" t="inlineStr">
        <is>
          <t>A 9646-2024</t>
        </is>
      </c>
      <c r="B391" s="1" t="n">
        <v>45362</v>
      </c>
      <c r="C391" s="1" t="n">
        <v>45705</v>
      </c>
      <c r="D391" t="inlineStr">
        <is>
          <t>UPPSALA LÄN</t>
        </is>
      </c>
      <c r="E391" t="inlineStr">
        <is>
          <t>ÖSTHAMMAR</t>
        </is>
      </c>
      <c r="G391" t="n">
        <v>1.6</v>
      </c>
      <c r="H391" t="n">
        <v>0</v>
      </c>
      <c r="I391" t="n">
        <v>0</v>
      </c>
      <c r="J391" t="n">
        <v>1</v>
      </c>
      <c r="K391" t="n">
        <v>1</v>
      </c>
      <c r="L391" t="n">
        <v>0</v>
      </c>
      <c r="M391" t="n">
        <v>0</v>
      </c>
      <c r="N391" t="n">
        <v>0</v>
      </c>
      <c r="O391" t="n">
        <v>2</v>
      </c>
      <c r="P391" t="n">
        <v>1</v>
      </c>
      <c r="Q391" t="n">
        <v>2</v>
      </c>
      <c r="R391" s="2" t="inlineStr">
        <is>
          <t>Violgubbe
Gultoppig fingersvamp</t>
        </is>
      </c>
      <c r="S391">
        <f>HYPERLINK("https://klasma.github.io/Logging_0382/artfynd/A 9646-2024 artfynd.xlsx", "A 9646-2024")</f>
        <v/>
      </c>
      <c r="T391">
        <f>HYPERLINK("https://klasma.github.io/Logging_0382/kartor/A 9646-2024 karta.png", "A 9646-2024")</f>
        <v/>
      </c>
      <c r="V391">
        <f>HYPERLINK("https://klasma.github.io/Logging_0382/klagomål/A 9646-2024 FSC-klagomål.docx", "A 9646-2024")</f>
        <v/>
      </c>
      <c r="W391">
        <f>HYPERLINK("https://klasma.github.io/Logging_0382/klagomålsmail/A 9646-2024 FSC-klagomål mail.docx", "A 9646-2024")</f>
        <v/>
      </c>
      <c r="X391">
        <f>HYPERLINK("https://klasma.github.io/Logging_0382/tillsyn/A 9646-2024 tillsynsbegäran.docx", "A 9646-2024")</f>
        <v/>
      </c>
      <c r="Y391">
        <f>HYPERLINK("https://klasma.github.io/Logging_0382/tillsynsmail/A 9646-2024 tillsynsbegäran mail.docx", "A 9646-2024")</f>
        <v/>
      </c>
    </row>
    <row r="392" ht="15" customHeight="1">
      <c r="A392" t="inlineStr">
        <is>
          <t>A 11230-2024</t>
        </is>
      </c>
      <c r="B392" s="1" t="n">
        <v>45371</v>
      </c>
      <c r="C392" s="1" t="n">
        <v>45705</v>
      </c>
      <c r="D392" t="inlineStr">
        <is>
          <t>UPPSALA LÄN</t>
        </is>
      </c>
      <c r="E392" t="inlineStr">
        <is>
          <t>UPPSALA</t>
        </is>
      </c>
      <c r="F392" t="inlineStr">
        <is>
          <t>Kommuner</t>
        </is>
      </c>
      <c r="G392" t="n">
        <v>2.1</v>
      </c>
      <c r="H392" t="n">
        <v>0</v>
      </c>
      <c r="I392" t="n">
        <v>1</v>
      </c>
      <c r="J392" t="n">
        <v>1</v>
      </c>
      <c r="K392" t="n">
        <v>0</v>
      </c>
      <c r="L392" t="n">
        <v>0</v>
      </c>
      <c r="M392" t="n">
        <v>0</v>
      </c>
      <c r="N392" t="n">
        <v>0</v>
      </c>
      <c r="O392" t="n">
        <v>1</v>
      </c>
      <c r="P392" t="n">
        <v>0</v>
      </c>
      <c r="Q392" t="n">
        <v>2</v>
      </c>
      <c r="R392" s="2" t="inlineStr">
        <is>
          <t>Tallticka
Fällmossa</t>
        </is>
      </c>
      <c r="S392">
        <f>HYPERLINK("https://klasma.github.io/Logging_0380/artfynd/A 11230-2024 artfynd.xlsx", "A 11230-2024")</f>
        <v/>
      </c>
      <c r="T392">
        <f>HYPERLINK("https://klasma.github.io/Logging_0380/kartor/A 11230-2024 karta.png", "A 11230-2024")</f>
        <v/>
      </c>
      <c r="V392">
        <f>HYPERLINK("https://klasma.github.io/Logging_0380/klagomål/A 11230-2024 FSC-klagomål.docx", "A 11230-2024")</f>
        <v/>
      </c>
      <c r="W392">
        <f>HYPERLINK("https://klasma.github.io/Logging_0380/klagomålsmail/A 11230-2024 FSC-klagomål mail.docx", "A 11230-2024")</f>
        <v/>
      </c>
      <c r="X392">
        <f>HYPERLINK("https://klasma.github.io/Logging_0380/tillsyn/A 11230-2024 tillsynsbegäran.docx", "A 11230-2024")</f>
        <v/>
      </c>
      <c r="Y392">
        <f>HYPERLINK("https://klasma.github.io/Logging_0380/tillsynsmail/A 11230-2024 tillsynsbegäran mail.docx", "A 11230-2024")</f>
        <v/>
      </c>
    </row>
    <row r="393" ht="15" customHeight="1">
      <c r="A393" t="inlineStr">
        <is>
          <t>A 11224-2024</t>
        </is>
      </c>
      <c r="B393" s="1" t="n">
        <v>45371</v>
      </c>
      <c r="C393" s="1" t="n">
        <v>45705</v>
      </c>
      <c r="D393" t="inlineStr">
        <is>
          <t>UPPSALA LÄN</t>
        </is>
      </c>
      <c r="E393" t="inlineStr">
        <is>
          <t>UPPSALA</t>
        </is>
      </c>
      <c r="F393" t="inlineStr">
        <is>
          <t>Kommuner</t>
        </is>
      </c>
      <c r="G393" t="n">
        <v>1.6</v>
      </c>
      <c r="H393" t="n">
        <v>2</v>
      </c>
      <c r="I393" t="n">
        <v>0</v>
      </c>
      <c r="J393" t="n">
        <v>0</v>
      </c>
      <c r="K393" t="n">
        <v>0</v>
      </c>
      <c r="L393" t="n">
        <v>0</v>
      </c>
      <c r="M393" t="n">
        <v>0</v>
      </c>
      <c r="N393" t="n">
        <v>0</v>
      </c>
      <c r="O393" t="n">
        <v>0</v>
      </c>
      <c r="P393" t="n">
        <v>0</v>
      </c>
      <c r="Q393" t="n">
        <v>2</v>
      </c>
      <c r="R393" s="2" t="inlineStr">
        <is>
          <t>Vanlig padda
Blåsippa</t>
        </is>
      </c>
      <c r="S393">
        <f>HYPERLINK("https://klasma.github.io/Logging_0380/artfynd/A 11224-2024 artfynd.xlsx", "A 11224-2024")</f>
        <v/>
      </c>
      <c r="T393">
        <f>HYPERLINK("https://klasma.github.io/Logging_0380/kartor/A 11224-2024 karta.png", "A 11224-2024")</f>
        <v/>
      </c>
      <c r="V393">
        <f>HYPERLINK("https://klasma.github.io/Logging_0380/klagomål/A 11224-2024 FSC-klagomål.docx", "A 11224-2024")</f>
        <v/>
      </c>
      <c r="W393">
        <f>HYPERLINK("https://klasma.github.io/Logging_0380/klagomålsmail/A 11224-2024 FSC-klagomål mail.docx", "A 11224-2024")</f>
        <v/>
      </c>
      <c r="X393">
        <f>HYPERLINK("https://klasma.github.io/Logging_0380/tillsyn/A 11224-2024 tillsynsbegäran.docx", "A 11224-2024")</f>
        <v/>
      </c>
      <c r="Y393">
        <f>HYPERLINK("https://klasma.github.io/Logging_0380/tillsynsmail/A 11224-2024 tillsynsbegäran mail.docx", "A 11224-2024")</f>
        <v/>
      </c>
    </row>
    <row r="394" ht="15" customHeight="1">
      <c r="A394" t="inlineStr">
        <is>
          <t>A 11449-2024</t>
        </is>
      </c>
      <c r="B394" s="1" t="n">
        <v>45372</v>
      </c>
      <c r="C394" s="1" t="n">
        <v>45705</v>
      </c>
      <c r="D394" t="inlineStr">
        <is>
          <t>UPPSALA LÄN</t>
        </is>
      </c>
      <c r="E394" t="inlineStr">
        <is>
          <t>TIERP</t>
        </is>
      </c>
      <c r="G394" t="n">
        <v>1.9</v>
      </c>
      <c r="H394" t="n">
        <v>0</v>
      </c>
      <c r="I394" t="n">
        <v>1</v>
      </c>
      <c r="J394" t="n">
        <v>1</v>
      </c>
      <c r="K394" t="n">
        <v>0</v>
      </c>
      <c r="L394" t="n">
        <v>0</v>
      </c>
      <c r="M394" t="n">
        <v>0</v>
      </c>
      <c r="N394" t="n">
        <v>0</v>
      </c>
      <c r="O394" t="n">
        <v>1</v>
      </c>
      <c r="P394" t="n">
        <v>0</v>
      </c>
      <c r="Q394" t="n">
        <v>2</v>
      </c>
      <c r="R394" s="2" t="inlineStr">
        <is>
          <t>Blek fingersvamp
Rödgul trumpetsvamp</t>
        </is>
      </c>
      <c r="S394">
        <f>HYPERLINK("https://klasma.github.io/Logging_0360/artfynd/A 11449-2024 artfynd.xlsx", "A 11449-2024")</f>
        <v/>
      </c>
      <c r="T394">
        <f>HYPERLINK("https://klasma.github.io/Logging_0360/kartor/A 11449-2024 karta.png", "A 11449-2024")</f>
        <v/>
      </c>
      <c r="V394">
        <f>HYPERLINK("https://klasma.github.io/Logging_0360/klagomål/A 11449-2024 FSC-klagomål.docx", "A 11449-2024")</f>
        <v/>
      </c>
      <c r="W394">
        <f>HYPERLINK("https://klasma.github.io/Logging_0360/klagomålsmail/A 11449-2024 FSC-klagomål mail.docx", "A 11449-2024")</f>
        <v/>
      </c>
      <c r="X394">
        <f>HYPERLINK("https://klasma.github.io/Logging_0360/tillsyn/A 11449-2024 tillsynsbegäran.docx", "A 11449-2024")</f>
        <v/>
      </c>
      <c r="Y394">
        <f>HYPERLINK("https://klasma.github.io/Logging_0360/tillsynsmail/A 11449-2024 tillsynsbegäran mail.docx", "A 11449-2024")</f>
        <v/>
      </c>
    </row>
    <row r="395" ht="15" customHeight="1">
      <c r="A395" t="inlineStr">
        <is>
          <t>A 11695-2024</t>
        </is>
      </c>
      <c r="B395" s="1" t="n">
        <v>45373</v>
      </c>
      <c r="C395" s="1" t="n">
        <v>45705</v>
      </c>
      <c r="D395" t="inlineStr">
        <is>
          <t>UPPSALA LÄN</t>
        </is>
      </c>
      <c r="E395" t="inlineStr">
        <is>
          <t>ÖSTHAMMAR</t>
        </is>
      </c>
      <c r="G395" t="n">
        <v>2</v>
      </c>
      <c r="H395" t="n">
        <v>0</v>
      </c>
      <c r="I395" t="n">
        <v>2</v>
      </c>
      <c r="J395" t="n">
        <v>0</v>
      </c>
      <c r="K395" t="n">
        <v>0</v>
      </c>
      <c r="L395" t="n">
        <v>0</v>
      </c>
      <c r="M395" t="n">
        <v>0</v>
      </c>
      <c r="N395" t="n">
        <v>0</v>
      </c>
      <c r="O395" t="n">
        <v>0</v>
      </c>
      <c r="P395" t="n">
        <v>0</v>
      </c>
      <c r="Q395" t="n">
        <v>2</v>
      </c>
      <c r="R395" s="2" t="inlineStr">
        <is>
          <t>Blåmossa
Fjällig taggsvamp s.str.</t>
        </is>
      </c>
      <c r="S395">
        <f>HYPERLINK("https://klasma.github.io/Logging_0382/artfynd/A 11695-2024 artfynd.xlsx", "A 11695-2024")</f>
        <v/>
      </c>
      <c r="T395">
        <f>HYPERLINK("https://klasma.github.io/Logging_0382/kartor/A 11695-2024 karta.png", "A 11695-2024")</f>
        <v/>
      </c>
      <c r="V395">
        <f>HYPERLINK("https://klasma.github.io/Logging_0382/klagomål/A 11695-2024 FSC-klagomål.docx", "A 11695-2024")</f>
        <v/>
      </c>
      <c r="W395">
        <f>HYPERLINK("https://klasma.github.io/Logging_0382/klagomålsmail/A 11695-2024 FSC-klagomål mail.docx", "A 11695-2024")</f>
        <v/>
      </c>
      <c r="X395">
        <f>HYPERLINK("https://klasma.github.io/Logging_0382/tillsyn/A 11695-2024 tillsynsbegäran.docx", "A 11695-2024")</f>
        <v/>
      </c>
      <c r="Y395">
        <f>HYPERLINK("https://klasma.github.io/Logging_0382/tillsynsmail/A 11695-2024 tillsynsbegäran mail.docx", "A 11695-2024")</f>
        <v/>
      </c>
    </row>
    <row r="396" ht="15" customHeight="1">
      <c r="A396" t="inlineStr">
        <is>
          <t>A 12039-2024</t>
        </is>
      </c>
      <c r="B396" s="1" t="n">
        <v>45377</v>
      </c>
      <c r="C396" s="1" t="n">
        <v>45705</v>
      </c>
      <c r="D396" t="inlineStr">
        <is>
          <t>UPPSALA LÄN</t>
        </is>
      </c>
      <c r="E396" t="inlineStr">
        <is>
          <t>UPPSALA</t>
        </is>
      </c>
      <c r="F396" t="inlineStr">
        <is>
          <t>Allmännings- och besparingsskogar</t>
        </is>
      </c>
      <c r="G396" t="n">
        <v>3.9</v>
      </c>
      <c r="H396" t="n">
        <v>1</v>
      </c>
      <c r="I396" t="n">
        <v>1</v>
      </c>
      <c r="J396" t="n">
        <v>1</v>
      </c>
      <c r="K396" t="n">
        <v>0</v>
      </c>
      <c r="L396" t="n">
        <v>0</v>
      </c>
      <c r="M396" t="n">
        <v>0</v>
      </c>
      <c r="N396" t="n">
        <v>0</v>
      </c>
      <c r="O396" t="n">
        <v>1</v>
      </c>
      <c r="P396" t="n">
        <v>0</v>
      </c>
      <c r="Q396" t="n">
        <v>2</v>
      </c>
      <c r="R396" s="2" t="inlineStr">
        <is>
          <t>Platt spretmossa
Grön sköldmossa</t>
        </is>
      </c>
      <c r="S396">
        <f>HYPERLINK("https://klasma.github.io/Logging_0380/artfynd/A 12039-2024 artfynd.xlsx", "A 12039-2024")</f>
        <v/>
      </c>
      <c r="T396">
        <f>HYPERLINK("https://klasma.github.io/Logging_0380/kartor/A 12039-2024 karta.png", "A 12039-2024")</f>
        <v/>
      </c>
      <c r="V396">
        <f>HYPERLINK("https://klasma.github.io/Logging_0380/klagomål/A 12039-2024 FSC-klagomål.docx", "A 12039-2024")</f>
        <v/>
      </c>
      <c r="W396">
        <f>HYPERLINK("https://klasma.github.io/Logging_0380/klagomålsmail/A 12039-2024 FSC-klagomål mail.docx", "A 12039-2024")</f>
        <v/>
      </c>
      <c r="X396">
        <f>HYPERLINK("https://klasma.github.io/Logging_0380/tillsyn/A 12039-2024 tillsynsbegäran.docx", "A 12039-2024")</f>
        <v/>
      </c>
      <c r="Y396">
        <f>HYPERLINK("https://klasma.github.io/Logging_0380/tillsynsmail/A 12039-2024 tillsynsbegäran mail.docx", "A 12039-2024")</f>
        <v/>
      </c>
    </row>
    <row r="397" ht="15" customHeight="1">
      <c r="A397" t="inlineStr">
        <is>
          <t>A 12971-2024</t>
        </is>
      </c>
      <c r="B397" s="1" t="n">
        <v>45385</v>
      </c>
      <c r="C397" s="1" t="n">
        <v>45705</v>
      </c>
      <c r="D397" t="inlineStr">
        <is>
          <t>UPPSALA LÄN</t>
        </is>
      </c>
      <c r="E397" t="inlineStr">
        <is>
          <t>TIERP</t>
        </is>
      </c>
      <c r="G397" t="n">
        <v>21.4</v>
      </c>
      <c r="H397" t="n">
        <v>2</v>
      </c>
      <c r="I397" t="n">
        <v>0</v>
      </c>
      <c r="J397" t="n">
        <v>2</v>
      </c>
      <c r="K397" t="n">
        <v>0</v>
      </c>
      <c r="L397" t="n">
        <v>0</v>
      </c>
      <c r="M397" t="n">
        <v>0</v>
      </c>
      <c r="N397" t="n">
        <v>0</v>
      </c>
      <c r="O397" t="n">
        <v>2</v>
      </c>
      <c r="P397" t="n">
        <v>0</v>
      </c>
      <c r="Q397" t="n">
        <v>2</v>
      </c>
      <c r="R397" s="2" t="inlineStr">
        <is>
          <t>Entita
Rödvingetrast</t>
        </is>
      </c>
      <c r="S397">
        <f>HYPERLINK("https://klasma.github.io/Logging_0360/artfynd/A 12971-2024 artfynd.xlsx", "A 12971-2024")</f>
        <v/>
      </c>
      <c r="T397">
        <f>HYPERLINK("https://klasma.github.io/Logging_0360/kartor/A 12971-2024 karta.png", "A 12971-2024")</f>
        <v/>
      </c>
      <c r="V397">
        <f>HYPERLINK("https://klasma.github.io/Logging_0360/klagomål/A 12971-2024 FSC-klagomål.docx", "A 12971-2024")</f>
        <v/>
      </c>
      <c r="W397">
        <f>HYPERLINK("https://klasma.github.io/Logging_0360/klagomålsmail/A 12971-2024 FSC-klagomål mail.docx", "A 12971-2024")</f>
        <v/>
      </c>
      <c r="X397">
        <f>HYPERLINK("https://klasma.github.io/Logging_0360/tillsyn/A 12971-2024 tillsynsbegäran.docx", "A 12971-2024")</f>
        <v/>
      </c>
      <c r="Y397">
        <f>HYPERLINK("https://klasma.github.io/Logging_0360/tillsynsmail/A 12971-2024 tillsynsbegäran mail.docx", "A 12971-2024")</f>
        <v/>
      </c>
      <c r="Z397">
        <f>HYPERLINK("https://klasma.github.io/Logging_0360/fåglar/A 12971-2024 prioriterade fågelarter.docx", "A 12971-2024")</f>
        <v/>
      </c>
    </row>
    <row r="398" ht="15" customHeight="1">
      <c r="A398" t="inlineStr">
        <is>
          <t>A 15040-2024</t>
        </is>
      </c>
      <c r="B398" s="1" t="n">
        <v>45399</v>
      </c>
      <c r="C398" s="1" t="n">
        <v>45705</v>
      </c>
      <c r="D398" t="inlineStr">
        <is>
          <t>UPPSALA LÄN</t>
        </is>
      </c>
      <c r="E398" t="inlineStr">
        <is>
          <t>TIERP</t>
        </is>
      </c>
      <c r="G398" t="n">
        <v>7.2</v>
      </c>
      <c r="H398" t="n">
        <v>1</v>
      </c>
      <c r="I398" t="n">
        <v>2</v>
      </c>
      <c r="J398" t="n">
        <v>0</v>
      </c>
      <c r="K398" t="n">
        <v>0</v>
      </c>
      <c r="L398" t="n">
        <v>0</v>
      </c>
      <c r="M398" t="n">
        <v>0</v>
      </c>
      <c r="N398" t="n">
        <v>0</v>
      </c>
      <c r="O398" t="n">
        <v>0</v>
      </c>
      <c r="P398" t="n">
        <v>0</v>
      </c>
      <c r="Q398" t="n">
        <v>2</v>
      </c>
      <c r="R398" s="2" t="inlineStr">
        <is>
          <t>Granbräken
Grönkulla</t>
        </is>
      </c>
      <c r="S398">
        <f>HYPERLINK("https://klasma.github.io/Logging_0360/artfynd/A 15040-2024 artfynd.xlsx", "A 15040-2024")</f>
        <v/>
      </c>
      <c r="T398">
        <f>HYPERLINK("https://klasma.github.io/Logging_0360/kartor/A 15040-2024 karta.png", "A 15040-2024")</f>
        <v/>
      </c>
      <c r="V398">
        <f>HYPERLINK("https://klasma.github.io/Logging_0360/klagomål/A 15040-2024 FSC-klagomål.docx", "A 15040-2024")</f>
        <v/>
      </c>
      <c r="W398">
        <f>HYPERLINK("https://klasma.github.io/Logging_0360/klagomålsmail/A 15040-2024 FSC-klagomål mail.docx", "A 15040-2024")</f>
        <v/>
      </c>
      <c r="X398">
        <f>HYPERLINK("https://klasma.github.io/Logging_0360/tillsyn/A 15040-2024 tillsynsbegäran.docx", "A 15040-2024")</f>
        <v/>
      </c>
      <c r="Y398">
        <f>HYPERLINK("https://klasma.github.io/Logging_0360/tillsynsmail/A 15040-2024 tillsynsbegäran mail.docx", "A 15040-2024")</f>
        <v/>
      </c>
    </row>
    <row r="399" ht="15" customHeight="1">
      <c r="A399" t="inlineStr">
        <is>
          <t>A 18347-2024</t>
        </is>
      </c>
      <c r="B399" s="1" t="n">
        <v>45422</v>
      </c>
      <c r="C399" s="1" t="n">
        <v>45705</v>
      </c>
      <c r="D399" t="inlineStr">
        <is>
          <t>UPPSALA LÄN</t>
        </is>
      </c>
      <c r="E399" t="inlineStr">
        <is>
          <t>UPPSALA</t>
        </is>
      </c>
      <c r="F399" t="inlineStr">
        <is>
          <t>Holmen skog AB</t>
        </is>
      </c>
      <c r="G399" t="n">
        <v>3.5</v>
      </c>
      <c r="H399" t="n">
        <v>1</v>
      </c>
      <c r="I399" t="n">
        <v>1</v>
      </c>
      <c r="J399" t="n">
        <v>0</v>
      </c>
      <c r="K399" t="n">
        <v>0</v>
      </c>
      <c r="L399" t="n">
        <v>0</v>
      </c>
      <c r="M399" t="n">
        <v>0</v>
      </c>
      <c r="N399" t="n">
        <v>0</v>
      </c>
      <c r="O399" t="n">
        <v>0</v>
      </c>
      <c r="P399" t="n">
        <v>0</v>
      </c>
      <c r="Q399" t="n">
        <v>2</v>
      </c>
      <c r="R399" s="2" t="inlineStr">
        <is>
          <t>Fällmossa
Blåsippa</t>
        </is>
      </c>
      <c r="S399">
        <f>HYPERLINK("https://klasma.github.io/Logging_0380/artfynd/A 18347-2024 artfynd.xlsx", "A 18347-2024")</f>
        <v/>
      </c>
      <c r="T399">
        <f>HYPERLINK("https://klasma.github.io/Logging_0380/kartor/A 18347-2024 karta.png", "A 18347-2024")</f>
        <v/>
      </c>
      <c r="V399">
        <f>HYPERLINK("https://klasma.github.io/Logging_0380/klagomål/A 18347-2024 FSC-klagomål.docx", "A 18347-2024")</f>
        <v/>
      </c>
      <c r="W399">
        <f>HYPERLINK("https://klasma.github.io/Logging_0380/klagomålsmail/A 18347-2024 FSC-klagomål mail.docx", "A 18347-2024")</f>
        <v/>
      </c>
      <c r="X399">
        <f>HYPERLINK("https://klasma.github.io/Logging_0380/tillsyn/A 18347-2024 tillsynsbegäran.docx", "A 18347-2024")</f>
        <v/>
      </c>
      <c r="Y399">
        <f>HYPERLINK("https://klasma.github.io/Logging_0380/tillsynsmail/A 18347-2024 tillsynsbegäran mail.docx", "A 18347-2024")</f>
        <v/>
      </c>
    </row>
    <row r="400" ht="15" customHeight="1">
      <c r="A400" t="inlineStr">
        <is>
          <t>A 18539-2024</t>
        </is>
      </c>
      <c r="B400" s="1" t="n">
        <v>45425</v>
      </c>
      <c r="C400" s="1" t="n">
        <v>45705</v>
      </c>
      <c r="D400" t="inlineStr">
        <is>
          <t>UPPSALA LÄN</t>
        </is>
      </c>
      <c r="E400" t="inlineStr">
        <is>
          <t>ÖSTHAMMAR</t>
        </is>
      </c>
      <c r="G400" t="n">
        <v>4.7</v>
      </c>
      <c r="H400" t="n">
        <v>0</v>
      </c>
      <c r="I400" t="n">
        <v>2</v>
      </c>
      <c r="J400" t="n">
        <v>0</v>
      </c>
      <c r="K400" t="n">
        <v>0</v>
      </c>
      <c r="L400" t="n">
        <v>0</v>
      </c>
      <c r="M400" t="n">
        <v>0</v>
      </c>
      <c r="N400" t="n">
        <v>0</v>
      </c>
      <c r="O400" t="n">
        <v>0</v>
      </c>
      <c r="P400" t="n">
        <v>0</v>
      </c>
      <c r="Q400" t="n">
        <v>2</v>
      </c>
      <c r="R400" s="2" t="inlineStr">
        <is>
          <t>Bronshjon
Vågbandad barkbock</t>
        </is>
      </c>
      <c r="S400">
        <f>HYPERLINK("https://klasma.github.io/Logging_0382/artfynd/A 18539-2024 artfynd.xlsx", "A 18539-2024")</f>
        <v/>
      </c>
      <c r="T400">
        <f>HYPERLINK("https://klasma.github.io/Logging_0382/kartor/A 18539-2024 karta.png", "A 18539-2024")</f>
        <v/>
      </c>
      <c r="V400">
        <f>HYPERLINK("https://klasma.github.io/Logging_0382/klagomål/A 18539-2024 FSC-klagomål.docx", "A 18539-2024")</f>
        <v/>
      </c>
      <c r="W400">
        <f>HYPERLINK("https://klasma.github.io/Logging_0382/klagomålsmail/A 18539-2024 FSC-klagomål mail.docx", "A 18539-2024")</f>
        <v/>
      </c>
      <c r="X400">
        <f>HYPERLINK("https://klasma.github.io/Logging_0382/tillsyn/A 18539-2024 tillsynsbegäran.docx", "A 18539-2024")</f>
        <v/>
      </c>
      <c r="Y400">
        <f>HYPERLINK("https://klasma.github.io/Logging_0382/tillsynsmail/A 18539-2024 tillsynsbegäran mail.docx", "A 18539-2024")</f>
        <v/>
      </c>
    </row>
    <row r="401" ht="15" customHeight="1">
      <c r="A401" t="inlineStr">
        <is>
          <t>A 20710-2024</t>
        </is>
      </c>
      <c r="B401" s="1" t="n">
        <v>45436</v>
      </c>
      <c r="C401" s="1" t="n">
        <v>45705</v>
      </c>
      <c r="D401" t="inlineStr">
        <is>
          <t>UPPSALA LÄN</t>
        </is>
      </c>
      <c r="E401" t="inlineStr">
        <is>
          <t>TIERP</t>
        </is>
      </c>
      <c r="F401" t="inlineStr">
        <is>
          <t>Bergvik skog öst AB</t>
        </is>
      </c>
      <c r="G401" t="n">
        <v>21.4</v>
      </c>
      <c r="H401" t="n">
        <v>1</v>
      </c>
      <c r="I401" t="n">
        <v>1</v>
      </c>
      <c r="J401" t="n">
        <v>0</v>
      </c>
      <c r="K401" t="n">
        <v>0</v>
      </c>
      <c r="L401" t="n">
        <v>0</v>
      </c>
      <c r="M401" t="n">
        <v>0</v>
      </c>
      <c r="N401" t="n">
        <v>0</v>
      </c>
      <c r="O401" t="n">
        <v>0</v>
      </c>
      <c r="P401" t="n">
        <v>0</v>
      </c>
      <c r="Q401" t="n">
        <v>2</v>
      </c>
      <c r="R401" s="2" t="inlineStr">
        <is>
          <t>Underviol
Gullviva</t>
        </is>
      </c>
      <c r="S401">
        <f>HYPERLINK("https://klasma.github.io/Logging_0360/artfynd/A 20710-2024 artfynd.xlsx", "A 20710-2024")</f>
        <v/>
      </c>
      <c r="T401">
        <f>HYPERLINK("https://klasma.github.io/Logging_0360/kartor/A 20710-2024 karta.png", "A 20710-2024")</f>
        <v/>
      </c>
      <c r="V401">
        <f>HYPERLINK("https://klasma.github.io/Logging_0360/klagomål/A 20710-2024 FSC-klagomål.docx", "A 20710-2024")</f>
        <v/>
      </c>
      <c r="W401">
        <f>HYPERLINK("https://klasma.github.io/Logging_0360/klagomålsmail/A 20710-2024 FSC-klagomål mail.docx", "A 20710-2024")</f>
        <v/>
      </c>
      <c r="X401">
        <f>HYPERLINK("https://klasma.github.io/Logging_0360/tillsyn/A 20710-2024 tillsynsbegäran.docx", "A 20710-2024")</f>
        <v/>
      </c>
      <c r="Y401">
        <f>HYPERLINK("https://klasma.github.io/Logging_0360/tillsynsmail/A 20710-2024 tillsynsbegäran mail.docx", "A 20710-2024")</f>
        <v/>
      </c>
    </row>
    <row r="402" ht="15" customHeight="1">
      <c r="A402" t="inlineStr">
        <is>
          <t>A 22529-2024</t>
        </is>
      </c>
      <c r="B402" s="1" t="n">
        <v>45447</v>
      </c>
      <c r="C402" s="1" t="n">
        <v>45705</v>
      </c>
      <c r="D402" t="inlineStr">
        <is>
          <t>UPPSALA LÄN</t>
        </is>
      </c>
      <c r="E402" t="inlineStr">
        <is>
          <t>KNIVSTA</t>
        </is>
      </c>
      <c r="G402" t="n">
        <v>13.7</v>
      </c>
      <c r="H402" t="n">
        <v>2</v>
      </c>
      <c r="I402" t="n">
        <v>0</v>
      </c>
      <c r="J402" t="n">
        <v>0</v>
      </c>
      <c r="K402" t="n">
        <v>0</v>
      </c>
      <c r="L402" t="n">
        <v>0</v>
      </c>
      <c r="M402" t="n">
        <v>0</v>
      </c>
      <c r="N402" t="n">
        <v>0</v>
      </c>
      <c r="O402" t="n">
        <v>0</v>
      </c>
      <c r="P402" t="n">
        <v>0</v>
      </c>
      <c r="Q402" t="n">
        <v>2</v>
      </c>
      <c r="R402" s="2" t="inlineStr">
        <is>
          <t>Fläcknycklar
Revlummer</t>
        </is>
      </c>
      <c r="S402">
        <f>HYPERLINK("https://klasma.github.io/Logging_0330/artfynd/A 22529-2024 artfynd.xlsx", "A 22529-2024")</f>
        <v/>
      </c>
      <c r="T402">
        <f>HYPERLINK("https://klasma.github.io/Logging_0330/kartor/A 22529-2024 karta.png", "A 22529-2024")</f>
        <v/>
      </c>
      <c r="V402">
        <f>HYPERLINK("https://klasma.github.io/Logging_0330/klagomål/A 22529-2024 FSC-klagomål.docx", "A 22529-2024")</f>
        <v/>
      </c>
      <c r="W402">
        <f>HYPERLINK("https://klasma.github.io/Logging_0330/klagomålsmail/A 22529-2024 FSC-klagomål mail.docx", "A 22529-2024")</f>
        <v/>
      </c>
      <c r="X402">
        <f>HYPERLINK("https://klasma.github.io/Logging_0330/tillsyn/A 22529-2024 tillsynsbegäran.docx", "A 22529-2024")</f>
        <v/>
      </c>
      <c r="Y402">
        <f>HYPERLINK("https://klasma.github.io/Logging_0330/tillsynsmail/A 22529-2024 tillsynsbegäran mail.docx", "A 22529-2024")</f>
        <v/>
      </c>
    </row>
    <row r="403" ht="15" customHeight="1">
      <c r="A403" t="inlineStr">
        <is>
          <t>A 24323-2024</t>
        </is>
      </c>
      <c r="B403" s="1" t="n">
        <v>45457</v>
      </c>
      <c r="C403" s="1" t="n">
        <v>45705</v>
      </c>
      <c r="D403" t="inlineStr">
        <is>
          <t>UPPSALA LÄN</t>
        </is>
      </c>
      <c r="E403" t="inlineStr">
        <is>
          <t>ENKÖPING</t>
        </is>
      </c>
      <c r="G403" t="n">
        <v>6.3</v>
      </c>
      <c r="H403" t="n">
        <v>2</v>
      </c>
      <c r="I403" t="n">
        <v>0</v>
      </c>
      <c r="J403" t="n">
        <v>1</v>
      </c>
      <c r="K403" t="n">
        <v>0</v>
      </c>
      <c r="L403" t="n">
        <v>0</v>
      </c>
      <c r="M403" t="n">
        <v>0</v>
      </c>
      <c r="N403" t="n">
        <v>0</v>
      </c>
      <c r="O403" t="n">
        <v>1</v>
      </c>
      <c r="P403" t="n">
        <v>0</v>
      </c>
      <c r="Q403" t="n">
        <v>2</v>
      </c>
      <c r="R403" s="2" t="inlineStr">
        <is>
          <t>Spillkråka
Mattlummer</t>
        </is>
      </c>
      <c r="S403">
        <f>HYPERLINK("https://klasma.github.io/Logging_0381/artfynd/A 24323-2024 artfynd.xlsx", "A 24323-2024")</f>
        <v/>
      </c>
      <c r="T403">
        <f>HYPERLINK("https://klasma.github.io/Logging_0381/kartor/A 24323-2024 karta.png", "A 24323-2024")</f>
        <v/>
      </c>
      <c r="V403">
        <f>HYPERLINK("https://klasma.github.io/Logging_0381/klagomål/A 24323-2024 FSC-klagomål.docx", "A 24323-2024")</f>
        <v/>
      </c>
      <c r="W403">
        <f>HYPERLINK("https://klasma.github.io/Logging_0381/klagomålsmail/A 24323-2024 FSC-klagomål mail.docx", "A 24323-2024")</f>
        <v/>
      </c>
      <c r="X403">
        <f>HYPERLINK("https://klasma.github.io/Logging_0381/tillsyn/A 24323-2024 tillsynsbegäran.docx", "A 24323-2024")</f>
        <v/>
      </c>
      <c r="Y403">
        <f>HYPERLINK("https://klasma.github.io/Logging_0381/tillsynsmail/A 24323-2024 tillsynsbegäran mail.docx", "A 24323-2024")</f>
        <v/>
      </c>
      <c r="Z403">
        <f>HYPERLINK("https://klasma.github.io/Logging_0381/fåglar/A 24323-2024 prioriterade fågelarter.docx", "A 24323-2024")</f>
        <v/>
      </c>
    </row>
    <row r="404" ht="15" customHeight="1">
      <c r="A404" t="inlineStr">
        <is>
          <t>A 26277-2024</t>
        </is>
      </c>
      <c r="B404" s="1" t="n">
        <v>45468</v>
      </c>
      <c r="C404" s="1" t="n">
        <v>45705</v>
      </c>
      <c r="D404" t="inlineStr">
        <is>
          <t>UPPSALA LÄN</t>
        </is>
      </c>
      <c r="E404" t="inlineStr">
        <is>
          <t>ÖSTHAMMAR</t>
        </is>
      </c>
      <c r="G404" t="n">
        <v>3.5</v>
      </c>
      <c r="H404" t="n">
        <v>1</v>
      </c>
      <c r="I404" t="n">
        <v>2</v>
      </c>
      <c r="J404" t="n">
        <v>0</v>
      </c>
      <c r="K404" t="n">
        <v>0</v>
      </c>
      <c r="L404" t="n">
        <v>0</v>
      </c>
      <c r="M404" t="n">
        <v>0</v>
      </c>
      <c r="N404" t="n">
        <v>0</v>
      </c>
      <c r="O404" t="n">
        <v>0</v>
      </c>
      <c r="P404" t="n">
        <v>0</v>
      </c>
      <c r="Q404" t="n">
        <v>2</v>
      </c>
      <c r="R404" s="2" t="inlineStr">
        <is>
          <t>Nästrot
Sårläka</t>
        </is>
      </c>
      <c r="S404">
        <f>HYPERLINK("https://klasma.github.io/Logging_0382/artfynd/A 26277-2024 artfynd.xlsx", "A 26277-2024")</f>
        <v/>
      </c>
      <c r="T404">
        <f>HYPERLINK("https://klasma.github.io/Logging_0382/kartor/A 26277-2024 karta.png", "A 26277-2024")</f>
        <v/>
      </c>
      <c r="V404">
        <f>HYPERLINK("https://klasma.github.io/Logging_0382/klagomål/A 26277-2024 FSC-klagomål.docx", "A 26277-2024")</f>
        <v/>
      </c>
      <c r="W404">
        <f>HYPERLINK("https://klasma.github.io/Logging_0382/klagomålsmail/A 26277-2024 FSC-klagomål mail.docx", "A 26277-2024")</f>
        <v/>
      </c>
      <c r="X404">
        <f>HYPERLINK("https://klasma.github.io/Logging_0382/tillsyn/A 26277-2024 tillsynsbegäran.docx", "A 26277-2024")</f>
        <v/>
      </c>
      <c r="Y404">
        <f>HYPERLINK("https://klasma.github.io/Logging_0382/tillsynsmail/A 26277-2024 tillsynsbegäran mail.docx", "A 26277-2024")</f>
        <v/>
      </c>
    </row>
    <row r="405" ht="15" customHeight="1">
      <c r="A405" t="inlineStr">
        <is>
          <t>A 27502-2024</t>
        </is>
      </c>
      <c r="B405" s="1" t="n">
        <v>45474</v>
      </c>
      <c r="C405" s="1" t="n">
        <v>45705</v>
      </c>
      <c r="D405" t="inlineStr">
        <is>
          <t>UPPSALA LÄN</t>
        </is>
      </c>
      <c r="E405" t="inlineStr">
        <is>
          <t>UPPSALA</t>
        </is>
      </c>
      <c r="G405" t="n">
        <v>13.6</v>
      </c>
      <c r="H405" t="n">
        <v>2</v>
      </c>
      <c r="I405" t="n">
        <v>0</v>
      </c>
      <c r="J405" t="n">
        <v>1</v>
      </c>
      <c r="K405" t="n">
        <v>1</v>
      </c>
      <c r="L405" t="n">
        <v>0</v>
      </c>
      <c r="M405" t="n">
        <v>0</v>
      </c>
      <c r="N405" t="n">
        <v>0</v>
      </c>
      <c r="O405" t="n">
        <v>2</v>
      </c>
      <c r="P405" t="n">
        <v>1</v>
      </c>
      <c r="Q405" t="n">
        <v>2</v>
      </c>
      <c r="R405" s="2" t="inlineStr">
        <is>
          <t>Knärot
Talltita</t>
        </is>
      </c>
      <c r="S405">
        <f>HYPERLINK("https://klasma.github.io/Logging_0380/artfynd/A 27502-2024 artfynd.xlsx", "A 27502-2024")</f>
        <v/>
      </c>
      <c r="T405">
        <f>HYPERLINK("https://klasma.github.io/Logging_0380/kartor/A 27502-2024 karta.png", "A 27502-2024")</f>
        <v/>
      </c>
      <c r="U405">
        <f>HYPERLINK("https://klasma.github.io/Logging_0380/knärot/A 27502-2024 karta knärot.png", "A 27502-2024")</f>
        <v/>
      </c>
      <c r="V405">
        <f>HYPERLINK("https://klasma.github.io/Logging_0380/klagomål/A 27502-2024 FSC-klagomål.docx", "A 27502-2024")</f>
        <v/>
      </c>
      <c r="W405">
        <f>HYPERLINK("https://klasma.github.io/Logging_0380/klagomålsmail/A 27502-2024 FSC-klagomål mail.docx", "A 27502-2024")</f>
        <v/>
      </c>
      <c r="X405">
        <f>HYPERLINK("https://klasma.github.io/Logging_0380/tillsyn/A 27502-2024 tillsynsbegäran.docx", "A 27502-2024")</f>
        <v/>
      </c>
      <c r="Y405">
        <f>HYPERLINK("https://klasma.github.io/Logging_0380/tillsynsmail/A 27502-2024 tillsynsbegäran mail.docx", "A 27502-2024")</f>
        <v/>
      </c>
      <c r="Z405">
        <f>HYPERLINK("https://klasma.github.io/Logging_0380/fåglar/A 27502-2024 prioriterade fågelarter.docx", "A 27502-2024")</f>
        <v/>
      </c>
    </row>
    <row r="406" ht="15" customHeight="1">
      <c r="A406" t="inlineStr">
        <is>
          <t>A 30943-2024</t>
        </is>
      </c>
      <c r="B406" s="1" t="n">
        <v>45499</v>
      </c>
      <c r="C406" s="1" t="n">
        <v>45705</v>
      </c>
      <c r="D406" t="inlineStr">
        <is>
          <t>UPPSALA LÄN</t>
        </is>
      </c>
      <c r="E406" t="inlineStr">
        <is>
          <t>ÖSTHAMMAR</t>
        </is>
      </c>
      <c r="G406" t="n">
        <v>4.5</v>
      </c>
      <c r="H406" t="n">
        <v>0</v>
      </c>
      <c r="I406" t="n">
        <v>2</v>
      </c>
      <c r="J406" t="n">
        <v>0</v>
      </c>
      <c r="K406" t="n">
        <v>0</v>
      </c>
      <c r="L406" t="n">
        <v>0</v>
      </c>
      <c r="M406" t="n">
        <v>0</v>
      </c>
      <c r="N406" t="n">
        <v>0</v>
      </c>
      <c r="O406" t="n">
        <v>0</v>
      </c>
      <c r="P406" t="n">
        <v>0</v>
      </c>
      <c r="Q406" t="n">
        <v>2</v>
      </c>
      <c r="R406" s="2" t="inlineStr">
        <is>
          <t>Tibast
Underviol</t>
        </is>
      </c>
      <c r="S406">
        <f>HYPERLINK("https://klasma.github.io/Logging_0382/artfynd/A 30943-2024 artfynd.xlsx", "A 30943-2024")</f>
        <v/>
      </c>
      <c r="T406">
        <f>HYPERLINK("https://klasma.github.io/Logging_0382/kartor/A 30943-2024 karta.png", "A 30943-2024")</f>
        <v/>
      </c>
      <c r="V406">
        <f>HYPERLINK("https://klasma.github.io/Logging_0382/klagomål/A 30943-2024 FSC-klagomål.docx", "A 30943-2024")</f>
        <v/>
      </c>
      <c r="W406">
        <f>HYPERLINK("https://klasma.github.io/Logging_0382/klagomålsmail/A 30943-2024 FSC-klagomål mail.docx", "A 30943-2024")</f>
        <v/>
      </c>
      <c r="X406">
        <f>HYPERLINK("https://klasma.github.io/Logging_0382/tillsyn/A 30943-2024 tillsynsbegäran.docx", "A 30943-2024")</f>
        <v/>
      </c>
      <c r="Y406">
        <f>HYPERLINK("https://klasma.github.io/Logging_0382/tillsynsmail/A 30943-2024 tillsynsbegäran mail.docx", "A 30943-2024")</f>
        <v/>
      </c>
    </row>
    <row r="407" ht="15" customHeight="1">
      <c r="A407" t="inlineStr">
        <is>
          <t>A 31770-2024</t>
        </is>
      </c>
      <c r="B407" s="1" t="n">
        <v>45509</v>
      </c>
      <c r="C407" s="1" t="n">
        <v>45705</v>
      </c>
      <c r="D407" t="inlineStr">
        <is>
          <t>UPPSALA LÄN</t>
        </is>
      </c>
      <c r="E407" t="inlineStr">
        <is>
          <t>HEBY</t>
        </is>
      </c>
      <c r="G407" t="n">
        <v>5</v>
      </c>
      <c r="H407" t="n">
        <v>0</v>
      </c>
      <c r="I407" t="n">
        <v>0</v>
      </c>
      <c r="J407" t="n">
        <v>1</v>
      </c>
      <c r="K407" t="n">
        <v>1</v>
      </c>
      <c r="L407" t="n">
        <v>0</v>
      </c>
      <c r="M407" t="n">
        <v>0</v>
      </c>
      <c r="N407" t="n">
        <v>0</v>
      </c>
      <c r="O407" t="n">
        <v>2</v>
      </c>
      <c r="P407" t="n">
        <v>1</v>
      </c>
      <c r="Q407" t="n">
        <v>2</v>
      </c>
      <c r="R407" s="2" t="inlineStr">
        <is>
          <t>Lammticka
Motaggsvamp</t>
        </is>
      </c>
      <c r="S407">
        <f>HYPERLINK("https://klasma.github.io/Logging_0331/artfynd/A 31770-2024 artfynd.xlsx", "A 31770-2024")</f>
        <v/>
      </c>
      <c r="T407">
        <f>HYPERLINK("https://klasma.github.io/Logging_0331/kartor/A 31770-2024 karta.png", "A 31770-2024")</f>
        <v/>
      </c>
      <c r="V407">
        <f>HYPERLINK("https://klasma.github.io/Logging_0331/klagomål/A 31770-2024 FSC-klagomål.docx", "A 31770-2024")</f>
        <v/>
      </c>
      <c r="W407">
        <f>HYPERLINK("https://klasma.github.io/Logging_0331/klagomålsmail/A 31770-2024 FSC-klagomål mail.docx", "A 31770-2024")</f>
        <v/>
      </c>
      <c r="X407">
        <f>HYPERLINK("https://klasma.github.io/Logging_0331/tillsyn/A 31770-2024 tillsynsbegäran.docx", "A 31770-2024")</f>
        <v/>
      </c>
      <c r="Y407">
        <f>HYPERLINK("https://klasma.github.io/Logging_0331/tillsynsmail/A 31770-2024 tillsynsbegäran mail.docx", "A 31770-2024")</f>
        <v/>
      </c>
    </row>
    <row r="408" ht="15" customHeight="1">
      <c r="A408" t="inlineStr">
        <is>
          <t>A 35927-2024</t>
        </is>
      </c>
      <c r="B408" s="1" t="n">
        <v>45533</v>
      </c>
      <c r="C408" s="1" t="n">
        <v>45705</v>
      </c>
      <c r="D408" t="inlineStr">
        <is>
          <t>UPPSALA LÄN</t>
        </is>
      </c>
      <c r="E408" t="inlineStr">
        <is>
          <t>ÖSTHAMMAR</t>
        </is>
      </c>
      <c r="F408" t="inlineStr">
        <is>
          <t>Övriga Aktiebolag</t>
        </is>
      </c>
      <c r="G408" t="n">
        <v>13.1</v>
      </c>
      <c r="H408" t="n">
        <v>0</v>
      </c>
      <c r="I408" t="n">
        <v>2</v>
      </c>
      <c r="J408" t="n">
        <v>0</v>
      </c>
      <c r="K408" t="n">
        <v>0</v>
      </c>
      <c r="L408" t="n">
        <v>0</v>
      </c>
      <c r="M408" t="n">
        <v>0</v>
      </c>
      <c r="N408" t="n">
        <v>0</v>
      </c>
      <c r="O408" t="n">
        <v>0</v>
      </c>
      <c r="P408" t="n">
        <v>0</v>
      </c>
      <c r="Q408" t="n">
        <v>2</v>
      </c>
      <c r="R408" s="2" t="inlineStr">
        <is>
          <t>Fjällig taggsvamp s.str.
Vårärt</t>
        </is>
      </c>
      <c r="S408">
        <f>HYPERLINK("https://klasma.github.io/Logging_0382/artfynd/A 35927-2024 artfynd.xlsx", "A 35927-2024")</f>
        <v/>
      </c>
      <c r="T408">
        <f>HYPERLINK("https://klasma.github.io/Logging_0382/kartor/A 35927-2024 karta.png", "A 35927-2024")</f>
        <v/>
      </c>
      <c r="V408">
        <f>HYPERLINK("https://klasma.github.io/Logging_0382/klagomål/A 35927-2024 FSC-klagomål.docx", "A 35927-2024")</f>
        <v/>
      </c>
      <c r="W408">
        <f>HYPERLINK("https://klasma.github.io/Logging_0382/klagomålsmail/A 35927-2024 FSC-klagomål mail.docx", "A 35927-2024")</f>
        <v/>
      </c>
      <c r="X408">
        <f>HYPERLINK("https://klasma.github.io/Logging_0382/tillsyn/A 35927-2024 tillsynsbegäran.docx", "A 35927-2024")</f>
        <v/>
      </c>
      <c r="Y408">
        <f>HYPERLINK("https://klasma.github.io/Logging_0382/tillsynsmail/A 35927-2024 tillsynsbegäran mail.docx", "A 35927-2024")</f>
        <v/>
      </c>
    </row>
    <row r="409" ht="15" customHeight="1">
      <c r="A409" t="inlineStr">
        <is>
          <t>A 39018-2024</t>
        </is>
      </c>
      <c r="B409" s="1" t="n">
        <v>45548</v>
      </c>
      <c r="C409" s="1" t="n">
        <v>45705</v>
      </c>
      <c r="D409" t="inlineStr">
        <is>
          <t>UPPSALA LÄN</t>
        </is>
      </c>
      <c r="E409" t="inlineStr">
        <is>
          <t>TIERP</t>
        </is>
      </c>
      <c r="F409" t="inlineStr">
        <is>
          <t>Bergvik skog öst AB</t>
        </is>
      </c>
      <c r="G409" t="n">
        <v>19.1</v>
      </c>
      <c r="H409" t="n">
        <v>2</v>
      </c>
      <c r="I409" t="n">
        <v>0</v>
      </c>
      <c r="J409" t="n">
        <v>2</v>
      </c>
      <c r="K409" t="n">
        <v>0</v>
      </c>
      <c r="L409" t="n">
        <v>0</v>
      </c>
      <c r="M409" t="n">
        <v>0</v>
      </c>
      <c r="N409" t="n">
        <v>0</v>
      </c>
      <c r="O409" t="n">
        <v>2</v>
      </c>
      <c r="P409" t="n">
        <v>0</v>
      </c>
      <c r="Q409" t="n">
        <v>2</v>
      </c>
      <c r="R409" s="2" t="inlineStr">
        <is>
          <t>Rödvingetrast
Talltita</t>
        </is>
      </c>
      <c r="S409">
        <f>HYPERLINK("https://klasma.github.io/Logging_0360/artfynd/A 39018-2024 artfynd.xlsx", "A 39018-2024")</f>
        <v/>
      </c>
      <c r="T409">
        <f>HYPERLINK("https://klasma.github.io/Logging_0360/kartor/A 39018-2024 karta.png", "A 39018-2024")</f>
        <v/>
      </c>
      <c r="V409">
        <f>HYPERLINK("https://klasma.github.io/Logging_0360/klagomål/A 39018-2024 FSC-klagomål.docx", "A 39018-2024")</f>
        <v/>
      </c>
      <c r="W409">
        <f>HYPERLINK("https://klasma.github.io/Logging_0360/klagomålsmail/A 39018-2024 FSC-klagomål mail.docx", "A 39018-2024")</f>
        <v/>
      </c>
      <c r="X409">
        <f>HYPERLINK("https://klasma.github.io/Logging_0360/tillsyn/A 39018-2024 tillsynsbegäran.docx", "A 39018-2024")</f>
        <v/>
      </c>
      <c r="Y409">
        <f>HYPERLINK("https://klasma.github.io/Logging_0360/tillsynsmail/A 39018-2024 tillsynsbegäran mail.docx", "A 39018-2024")</f>
        <v/>
      </c>
      <c r="Z409">
        <f>HYPERLINK("https://klasma.github.io/Logging_0360/fåglar/A 39018-2024 prioriterade fågelarter.docx", "A 39018-2024")</f>
        <v/>
      </c>
    </row>
    <row r="410" ht="15" customHeight="1">
      <c r="A410" t="inlineStr">
        <is>
          <t>A 40687-2024</t>
        </is>
      </c>
      <c r="B410" s="1" t="n">
        <v>45558</v>
      </c>
      <c r="C410" s="1" t="n">
        <v>45705</v>
      </c>
      <c r="D410" t="inlineStr">
        <is>
          <t>UPPSALA LÄN</t>
        </is>
      </c>
      <c r="E410" t="inlineStr">
        <is>
          <t>ÄLVKARLEBY</t>
        </is>
      </c>
      <c r="F410" t="inlineStr">
        <is>
          <t>Bergvik skog väst AB</t>
        </is>
      </c>
      <c r="G410" t="n">
        <v>14.1</v>
      </c>
      <c r="H410" t="n">
        <v>0</v>
      </c>
      <c r="I410" t="n">
        <v>1</v>
      </c>
      <c r="J410" t="n">
        <v>1</v>
      </c>
      <c r="K410" t="n">
        <v>0</v>
      </c>
      <c r="L410" t="n">
        <v>0</v>
      </c>
      <c r="M410" t="n">
        <v>0</v>
      </c>
      <c r="N410" t="n">
        <v>0</v>
      </c>
      <c r="O410" t="n">
        <v>1</v>
      </c>
      <c r="P410" t="n">
        <v>0</v>
      </c>
      <c r="Q410" t="n">
        <v>2</v>
      </c>
      <c r="R410" s="2" t="inlineStr">
        <is>
          <t>Skogsklocka
Trådfräken</t>
        </is>
      </c>
      <c r="S410">
        <f>HYPERLINK("https://klasma.github.io/Logging_0319/artfynd/A 40687-2024 artfynd.xlsx", "A 40687-2024")</f>
        <v/>
      </c>
      <c r="T410">
        <f>HYPERLINK("https://klasma.github.io/Logging_0319/kartor/A 40687-2024 karta.png", "A 40687-2024")</f>
        <v/>
      </c>
      <c r="V410">
        <f>HYPERLINK("https://klasma.github.io/Logging_0319/klagomål/A 40687-2024 FSC-klagomål.docx", "A 40687-2024")</f>
        <v/>
      </c>
      <c r="W410">
        <f>HYPERLINK("https://klasma.github.io/Logging_0319/klagomålsmail/A 40687-2024 FSC-klagomål mail.docx", "A 40687-2024")</f>
        <v/>
      </c>
      <c r="X410">
        <f>HYPERLINK("https://klasma.github.io/Logging_0319/tillsyn/A 40687-2024 tillsynsbegäran.docx", "A 40687-2024")</f>
        <v/>
      </c>
      <c r="Y410">
        <f>HYPERLINK("https://klasma.github.io/Logging_0319/tillsynsmail/A 40687-2024 tillsynsbegäran mail.docx", "A 40687-2024")</f>
        <v/>
      </c>
    </row>
    <row r="411" ht="15" customHeight="1">
      <c r="A411" t="inlineStr">
        <is>
          <t>A 43643-2024</t>
        </is>
      </c>
      <c r="B411" s="1" t="n">
        <v>45569</v>
      </c>
      <c r="C411" s="1" t="n">
        <v>45705</v>
      </c>
      <c r="D411" t="inlineStr">
        <is>
          <t>UPPSALA LÄN</t>
        </is>
      </c>
      <c r="E411" t="inlineStr">
        <is>
          <t>TIERP</t>
        </is>
      </c>
      <c r="F411" t="inlineStr">
        <is>
          <t>Bergvik skog öst AB</t>
        </is>
      </c>
      <c r="G411" t="n">
        <v>16.3</v>
      </c>
      <c r="H411" t="n">
        <v>2</v>
      </c>
      <c r="I411" t="n">
        <v>0</v>
      </c>
      <c r="J411" t="n">
        <v>2</v>
      </c>
      <c r="K411" t="n">
        <v>0</v>
      </c>
      <c r="L411" t="n">
        <v>0</v>
      </c>
      <c r="M411" t="n">
        <v>0</v>
      </c>
      <c r="N411" t="n">
        <v>0</v>
      </c>
      <c r="O411" t="n">
        <v>2</v>
      </c>
      <c r="P411" t="n">
        <v>0</v>
      </c>
      <c r="Q411" t="n">
        <v>2</v>
      </c>
      <c r="R411" s="2" t="inlineStr">
        <is>
          <t>Gulsparv
Järpe</t>
        </is>
      </c>
      <c r="S411">
        <f>HYPERLINK("https://klasma.github.io/Logging_0360/artfynd/A 43643-2024 artfynd.xlsx", "A 43643-2024")</f>
        <v/>
      </c>
      <c r="T411">
        <f>HYPERLINK("https://klasma.github.io/Logging_0360/kartor/A 43643-2024 karta.png", "A 43643-2024")</f>
        <v/>
      </c>
      <c r="V411">
        <f>HYPERLINK("https://klasma.github.io/Logging_0360/klagomål/A 43643-2024 FSC-klagomål.docx", "A 43643-2024")</f>
        <v/>
      </c>
      <c r="W411">
        <f>HYPERLINK("https://klasma.github.io/Logging_0360/klagomålsmail/A 43643-2024 FSC-klagomål mail.docx", "A 43643-2024")</f>
        <v/>
      </c>
      <c r="X411">
        <f>HYPERLINK("https://klasma.github.io/Logging_0360/tillsyn/A 43643-2024 tillsynsbegäran.docx", "A 43643-2024")</f>
        <v/>
      </c>
      <c r="Y411">
        <f>HYPERLINK("https://klasma.github.io/Logging_0360/tillsynsmail/A 43643-2024 tillsynsbegäran mail.docx", "A 43643-2024")</f>
        <v/>
      </c>
      <c r="Z411">
        <f>HYPERLINK("https://klasma.github.io/Logging_0360/fåglar/A 43643-2024 prioriterade fågelarter.docx", "A 43643-2024")</f>
        <v/>
      </c>
    </row>
    <row r="412" ht="15" customHeight="1">
      <c r="A412" t="inlineStr">
        <is>
          <t>A 43645-2024</t>
        </is>
      </c>
      <c r="B412" s="1" t="n">
        <v>45569</v>
      </c>
      <c r="C412" s="1" t="n">
        <v>45705</v>
      </c>
      <c r="D412" t="inlineStr">
        <is>
          <t>UPPSALA LÄN</t>
        </is>
      </c>
      <c r="E412" t="inlineStr">
        <is>
          <t>TIERP</t>
        </is>
      </c>
      <c r="F412" t="inlineStr">
        <is>
          <t>Bergvik skog öst AB</t>
        </is>
      </c>
      <c r="G412" t="n">
        <v>16.3</v>
      </c>
      <c r="H412" t="n">
        <v>2</v>
      </c>
      <c r="I412" t="n">
        <v>0</v>
      </c>
      <c r="J412" t="n">
        <v>2</v>
      </c>
      <c r="K412" t="n">
        <v>0</v>
      </c>
      <c r="L412" t="n">
        <v>0</v>
      </c>
      <c r="M412" t="n">
        <v>0</v>
      </c>
      <c r="N412" t="n">
        <v>0</v>
      </c>
      <c r="O412" t="n">
        <v>2</v>
      </c>
      <c r="P412" t="n">
        <v>0</v>
      </c>
      <c r="Q412" t="n">
        <v>2</v>
      </c>
      <c r="R412" s="2" t="inlineStr">
        <is>
          <t>Gulsparv
Järpe</t>
        </is>
      </c>
      <c r="S412">
        <f>HYPERLINK("https://klasma.github.io/Logging_0360/artfynd/A 43645-2024 artfynd.xlsx", "A 43645-2024")</f>
        <v/>
      </c>
      <c r="T412">
        <f>HYPERLINK("https://klasma.github.io/Logging_0360/kartor/A 43645-2024 karta.png", "A 43645-2024")</f>
        <v/>
      </c>
      <c r="V412">
        <f>HYPERLINK("https://klasma.github.io/Logging_0360/klagomål/A 43645-2024 FSC-klagomål.docx", "A 43645-2024")</f>
        <v/>
      </c>
      <c r="W412">
        <f>HYPERLINK("https://klasma.github.io/Logging_0360/klagomålsmail/A 43645-2024 FSC-klagomål mail.docx", "A 43645-2024")</f>
        <v/>
      </c>
      <c r="X412">
        <f>HYPERLINK("https://klasma.github.io/Logging_0360/tillsyn/A 43645-2024 tillsynsbegäran.docx", "A 43645-2024")</f>
        <v/>
      </c>
      <c r="Y412">
        <f>HYPERLINK("https://klasma.github.io/Logging_0360/tillsynsmail/A 43645-2024 tillsynsbegäran mail.docx", "A 43645-2024")</f>
        <v/>
      </c>
      <c r="Z412">
        <f>HYPERLINK("https://klasma.github.io/Logging_0360/fåglar/A 43645-2024 prioriterade fågelarter.docx", "A 43645-2024")</f>
        <v/>
      </c>
    </row>
    <row r="413" ht="15" customHeight="1">
      <c r="A413" t="inlineStr">
        <is>
          <t>A 43642-2024</t>
        </is>
      </c>
      <c r="B413" s="1" t="n">
        <v>45569</v>
      </c>
      <c r="C413" s="1" t="n">
        <v>45705</v>
      </c>
      <c r="D413" t="inlineStr">
        <is>
          <t>UPPSALA LÄN</t>
        </is>
      </c>
      <c r="E413" t="inlineStr">
        <is>
          <t>TIERP</t>
        </is>
      </c>
      <c r="F413" t="inlineStr">
        <is>
          <t>Bergvik skog öst AB</t>
        </is>
      </c>
      <c r="G413" t="n">
        <v>16.3</v>
      </c>
      <c r="H413" t="n">
        <v>2</v>
      </c>
      <c r="I413" t="n">
        <v>0</v>
      </c>
      <c r="J413" t="n">
        <v>2</v>
      </c>
      <c r="K413" t="n">
        <v>0</v>
      </c>
      <c r="L413" t="n">
        <v>0</v>
      </c>
      <c r="M413" t="n">
        <v>0</v>
      </c>
      <c r="N413" t="n">
        <v>0</v>
      </c>
      <c r="O413" t="n">
        <v>2</v>
      </c>
      <c r="P413" t="n">
        <v>0</v>
      </c>
      <c r="Q413" t="n">
        <v>2</v>
      </c>
      <c r="R413" s="2" t="inlineStr">
        <is>
          <t>Gulsparv
Järpe</t>
        </is>
      </c>
      <c r="S413">
        <f>HYPERLINK("https://klasma.github.io/Logging_0360/artfynd/A 43642-2024 artfynd.xlsx", "A 43642-2024")</f>
        <v/>
      </c>
      <c r="T413">
        <f>HYPERLINK("https://klasma.github.io/Logging_0360/kartor/A 43642-2024 karta.png", "A 43642-2024")</f>
        <v/>
      </c>
      <c r="V413">
        <f>HYPERLINK("https://klasma.github.io/Logging_0360/klagomål/A 43642-2024 FSC-klagomål.docx", "A 43642-2024")</f>
        <v/>
      </c>
      <c r="W413">
        <f>HYPERLINK("https://klasma.github.io/Logging_0360/klagomålsmail/A 43642-2024 FSC-klagomål mail.docx", "A 43642-2024")</f>
        <v/>
      </c>
      <c r="X413">
        <f>HYPERLINK("https://klasma.github.io/Logging_0360/tillsyn/A 43642-2024 tillsynsbegäran.docx", "A 43642-2024")</f>
        <v/>
      </c>
      <c r="Y413">
        <f>HYPERLINK("https://klasma.github.io/Logging_0360/tillsynsmail/A 43642-2024 tillsynsbegäran mail.docx", "A 43642-2024")</f>
        <v/>
      </c>
      <c r="Z413">
        <f>HYPERLINK("https://klasma.github.io/Logging_0360/fåglar/A 43642-2024 prioriterade fågelarter.docx", "A 43642-2024")</f>
        <v/>
      </c>
    </row>
    <row r="414" ht="15" customHeight="1">
      <c r="A414" t="inlineStr">
        <is>
          <t>A 44284-2024</t>
        </is>
      </c>
      <c r="B414" s="1" t="n">
        <v>45573</v>
      </c>
      <c r="C414" s="1" t="n">
        <v>45705</v>
      </c>
      <c r="D414" t="inlineStr">
        <is>
          <t>UPPSALA LÄN</t>
        </is>
      </c>
      <c r="E414" t="inlineStr">
        <is>
          <t>HEBY</t>
        </is>
      </c>
      <c r="G414" t="n">
        <v>3</v>
      </c>
      <c r="H414" t="n">
        <v>0</v>
      </c>
      <c r="I414" t="n">
        <v>0</v>
      </c>
      <c r="J414" t="n">
        <v>2</v>
      </c>
      <c r="K414" t="n">
        <v>0</v>
      </c>
      <c r="L414" t="n">
        <v>0</v>
      </c>
      <c r="M414" t="n">
        <v>0</v>
      </c>
      <c r="N414" t="n">
        <v>0</v>
      </c>
      <c r="O414" t="n">
        <v>2</v>
      </c>
      <c r="P414" t="n">
        <v>0</v>
      </c>
      <c r="Q414" t="n">
        <v>2</v>
      </c>
      <c r="R414" s="2" t="inlineStr">
        <is>
          <t>Dvärgbägarlav
Vedskivlav</t>
        </is>
      </c>
      <c r="S414">
        <f>HYPERLINK("https://klasma.github.io/Logging_0331/artfynd/A 44284-2024 artfynd.xlsx", "A 44284-2024")</f>
        <v/>
      </c>
      <c r="T414">
        <f>HYPERLINK("https://klasma.github.io/Logging_0331/kartor/A 44284-2024 karta.png", "A 44284-2024")</f>
        <v/>
      </c>
      <c r="V414">
        <f>HYPERLINK("https://klasma.github.io/Logging_0331/klagomål/A 44284-2024 FSC-klagomål.docx", "A 44284-2024")</f>
        <v/>
      </c>
      <c r="W414">
        <f>HYPERLINK("https://klasma.github.io/Logging_0331/klagomålsmail/A 44284-2024 FSC-klagomål mail.docx", "A 44284-2024")</f>
        <v/>
      </c>
      <c r="X414">
        <f>HYPERLINK("https://klasma.github.io/Logging_0331/tillsyn/A 44284-2024 tillsynsbegäran.docx", "A 44284-2024")</f>
        <v/>
      </c>
      <c r="Y414">
        <f>HYPERLINK("https://klasma.github.io/Logging_0331/tillsynsmail/A 44284-2024 tillsynsbegäran mail.docx", "A 44284-2024")</f>
        <v/>
      </c>
    </row>
    <row r="415" ht="15" customHeight="1">
      <c r="A415" t="inlineStr">
        <is>
          <t>A 46577-2024</t>
        </is>
      </c>
      <c r="B415" s="1" t="n">
        <v>45582</v>
      </c>
      <c r="C415" s="1" t="n">
        <v>45705</v>
      </c>
      <c r="D415" t="inlineStr">
        <is>
          <t>UPPSALA LÄN</t>
        </is>
      </c>
      <c r="E415" t="inlineStr">
        <is>
          <t>ÖSTHAMMAR</t>
        </is>
      </c>
      <c r="F415" t="inlineStr">
        <is>
          <t>Bergvik skog väst AB</t>
        </is>
      </c>
      <c r="G415" t="n">
        <v>7.1</v>
      </c>
      <c r="H415" t="n">
        <v>1</v>
      </c>
      <c r="I415" t="n">
        <v>2</v>
      </c>
      <c r="J415" t="n">
        <v>0</v>
      </c>
      <c r="K415" t="n">
        <v>0</v>
      </c>
      <c r="L415" t="n">
        <v>0</v>
      </c>
      <c r="M415" t="n">
        <v>0</v>
      </c>
      <c r="N415" t="n">
        <v>0</v>
      </c>
      <c r="O415" t="n">
        <v>0</v>
      </c>
      <c r="P415" t="n">
        <v>0</v>
      </c>
      <c r="Q415" t="n">
        <v>2</v>
      </c>
      <c r="R415" s="2" t="inlineStr">
        <is>
          <t>Skogsknipprot
Tibast</t>
        </is>
      </c>
      <c r="S415">
        <f>HYPERLINK("https://klasma.github.io/Logging_0382/artfynd/A 46577-2024 artfynd.xlsx", "A 46577-2024")</f>
        <v/>
      </c>
      <c r="T415">
        <f>HYPERLINK("https://klasma.github.io/Logging_0382/kartor/A 46577-2024 karta.png", "A 46577-2024")</f>
        <v/>
      </c>
      <c r="V415">
        <f>HYPERLINK("https://klasma.github.io/Logging_0382/klagomål/A 46577-2024 FSC-klagomål.docx", "A 46577-2024")</f>
        <v/>
      </c>
      <c r="W415">
        <f>HYPERLINK("https://klasma.github.io/Logging_0382/klagomålsmail/A 46577-2024 FSC-klagomål mail.docx", "A 46577-2024")</f>
        <v/>
      </c>
      <c r="X415">
        <f>HYPERLINK("https://klasma.github.io/Logging_0382/tillsyn/A 46577-2024 tillsynsbegäran.docx", "A 46577-2024")</f>
        <v/>
      </c>
      <c r="Y415">
        <f>HYPERLINK("https://klasma.github.io/Logging_0382/tillsynsmail/A 46577-2024 tillsynsbegäran mail.docx", "A 46577-2024")</f>
        <v/>
      </c>
    </row>
    <row r="416" ht="15" customHeight="1">
      <c r="A416" t="inlineStr">
        <is>
          <t>A 47976-2024</t>
        </is>
      </c>
      <c r="B416" s="1" t="n">
        <v>45589</v>
      </c>
      <c r="C416" s="1" t="n">
        <v>45705</v>
      </c>
      <c r="D416" t="inlineStr">
        <is>
          <t>UPPSALA LÄN</t>
        </is>
      </c>
      <c r="E416" t="inlineStr">
        <is>
          <t>ÄLVKARLEBY</t>
        </is>
      </c>
      <c r="F416" t="inlineStr">
        <is>
          <t>Bergvik skog väst AB</t>
        </is>
      </c>
      <c r="G416" t="n">
        <v>14.6</v>
      </c>
      <c r="H416" t="n">
        <v>1</v>
      </c>
      <c r="I416" t="n">
        <v>1</v>
      </c>
      <c r="J416" t="n">
        <v>0</v>
      </c>
      <c r="K416" t="n">
        <v>0</v>
      </c>
      <c r="L416" t="n">
        <v>1</v>
      </c>
      <c r="M416" t="n">
        <v>0</v>
      </c>
      <c r="N416" t="n">
        <v>0</v>
      </c>
      <c r="O416" t="n">
        <v>1</v>
      </c>
      <c r="P416" t="n">
        <v>1</v>
      </c>
      <c r="Q416" t="n">
        <v>2</v>
      </c>
      <c r="R416" s="2" t="inlineStr">
        <is>
          <t>Ask
Skogsknipprot</t>
        </is>
      </c>
      <c r="S416">
        <f>HYPERLINK("https://klasma.github.io/Logging_0319/artfynd/A 47976-2024 artfynd.xlsx", "A 47976-2024")</f>
        <v/>
      </c>
      <c r="T416">
        <f>HYPERLINK("https://klasma.github.io/Logging_0319/kartor/A 47976-2024 karta.png", "A 47976-2024")</f>
        <v/>
      </c>
      <c r="V416">
        <f>HYPERLINK("https://klasma.github.io/Logging_0319/klagomål/A 47976-2024 FSC-klagomål.docx", "A 47976-2024")</f>
        <v/>
      </c>
      <c r="W416">
        <f>HYPERLINK("https://klasma.github.io/Logging_0319/klagomålsmail/A 47976-2024 FSC-klagomål mail.docx", "A 47976-2024")</f>
        <v/>
      </c>
      <c r="X416">
        <f>HYPERLINK("https://klasma.github.io/Logging_0319/tillsyn/A 47976-2024 tillsynsbegäran.docx", "A 47976-2024")</f>
        <v/>
      </c>
      <c r="Y416">
        <f>HYPERLINK("https://klasma.github.io/Logging_0319/tillsynsmail/A 47976-2024 tillsynsbegäran mail.docx", "A 47976-2024")</f>
        <v/>
      </c>
    </row>
    <row r="417" ht="15" customHeight="1">
      <c r="A417" t="inlineStr">
        <is>
          <t>A 50458-2024</t>
        </is>
      </c>
      <c r="B417" s="1" t="n">
        <v>45601</v>
      </c>
      <c r="C417" s="1" t="n">
        <v>45705</v>
      </c>
      <c r="D417" t="inlineStr">
        <is>
          <t>UPPSALA LÄN</t>
        </is>
      </c>
      <c r="E417" t="inlineStr">
        <is>
          <t>HEBY</t>
        </is>
      </c>
      <c r="G417" t="n">
        <v>3.1</v>
      </c>
      <c r="H417" t="n">
        <v>2</v>
      </c>
      <c r="I417" t="n">
        <v>0</v>
      </c>
      <c r="J417" t="n">
        <v>0</v>
      </c>
      <c r="K417" t="n">
        <v>1</v>
      </c>
      <c r="L417" t="n">
        <v>0</v>
      </c>
      <c r="M417" t="n">
        <v>0</v>
      </c>
      <c r="N417" t="n">
        <v>0</v>
      </c>
      <c r="O417" t="n">
        <v>1</v>
      </c>
      <c r="P417" t="n">
        <v>1</v>
      </c>
      <c r="Q417" t="n">
        <v>2</v>
      </c>
      <c r="R417" s="2" t="inlineStr">
        <is>
          <t>Knärot
Blåsippa</t>
        </is>
      </c>
      <c r="S417">
        <f>HYPERLINK("https://klasma.github.io/Logging_0331/artfynd/A 50458-2024 artfynd.xlsx", "A 50458-2024")</f>
        <v/>
      </c>
      <c r="T417">
        <f>HYPERLINK("https://klasma.github.io/Logging_0331/kartor/A 50458-2024 karta.png", "A 50458-2024")</f>
        <v/>
      </c>
      <c r="U417">
        <f>HYPERLINK("https://klasma.github.io/Logging_0331/knärot/A 50458-2024 karta knärot.png", "A 50458-2024")</f>
        <v/>
      </c>
      <c r="V417">
        <f>HYPERLINK("https://klasma.github.io/Logging_0331/klagomål/A 50458-2024 FSC-klagomål.docx", "A 50458-2024")</f>
        <v/>
      </c>
      <c r="W417">
        <f>HYPERLINK("https://klasma.github.io/Logging_0331/klagomålsmail/A 50458-2024 FSC-klagomål mail.docx", "A 50458-2024")</f>
        <v/>
      </c>
      <c r="X417">
        <f>HYPERLINK("https://klasma.github.io/Logging_0331/tillsyn/A 50458-2024 tillsynsbegäran.docx", "A 50458-2024")</f>
        <v/>
      </c>
      <c r="Y417">
        <f>HYPERLINK("https://klasma.github.io/Logging_0331/tillsynsmail/A 50458-2024 tillsynsbegäran mail.docx", "A 50458-2024")</f>
        <v/>
      </c>
    </row>
    <row r="418" ht="15" customHeight="1">
      <c r="A418" t="inlineStr">
        <is>
          <t>A 54032-2024</t>
        </is>
      </c>
      <c r="B418" s="1" t="n">
        <v>45616</v>
      </c>
      <c r="C418" s="1" t="n">
        <v>45705</v>
      </c>
      <c r="D418" t="inlineStr">
        <is>
          <t>UPPSALA LÄN</t>
        </is>
      </c>
      <c r="E418" t="inlineStr">
        <is>
          <t>ÖSTHAMMAR</t>
        </is>
      </c>
      <c r="G418" t="n">
        <v>2</v>
      </c>
      <c r="H418" t="n">
        <v>1</v>
      </c>
      <c r="I418" t="n">
        <v>1</v>
      </c>
      <c r="J418" t="n">
        <v>0</v>
      </c>
      <c r="K418" t="n">
        <v>0</v>
      </c>
      <c r="L418" t="n">
        <v>0</v>
      </c>
      <c r="M418" t="n">
        <v>0</v>
      </c>
      <c r="N418" t="n">
        <v>0</v>
      </c>
      <c r="O418" t="n">
        <v>0</v>
      </c>
      <c r="P418" t="n">
        <v>0</v>
      </c>
      <c r="Q418" t="n">
        <v>2</v>
      </c>
      <c r="R418" s="2" t="inlineStr">
        <is>
          <t>Vedticka
Blåsippa</t>
        </is>
      </c>
      <c r="S418">
        <f>HYPERLINK("https://klasma.github.io/Logging_0382/artfynd/A 54032-2024 artfynd.xlsx", "A 54032-2024")</f>
        <v/>
      </c>
      <c r="T418">
        <f>HYPERLINK("https://klasma.github.io/Logging_0382/kartor/A 54032-2024 karta.png", "A 54032-2024")</f>
        <v/>
      </c>
      <c r="V418">
        <f>HYPERLINK("https://klasma.github.io/Logging_0382/klagomål/A 54032-2024 FSC-klagomål.docx", "A 54032-2024")</f>
        <v/>
      </c>
      <c r="W418">
        <f>HYPERLINK("https://klasma.github.io/Logging_0382/klagomålsmail/A 54032-2024 FSC-klagomål mail.docx", "A 54032-2024")</f>
        <v/>
      </c>
      <c r="X418">
        <f>HYPERLINK("https://klasma.github.io/Logging_0382/tillsyn/A 54032-2024 tillsynsbegäran.docx", "A 54032-2024")</f>
        <v/>
      </c>
      <c r="Y418">
        <f>HYPERLINK("https://klasma.github.io/Logging_0382/tillsynsmail/A 54032-2024 tillsynsbegäran mail.docx", "A 54032-2024")</f>
        <v/>
      </c>
    </row>
    <row r="419" ht="15" customHeight="1">
      <c r="A419" t="inlineStr">
        <is>
          <t>A 54814-2024</t>
        </is>
      </c>
      <c r="B419" s="1" t="n">
        <v>45618</v>
      </c>
      <c r="C419" s="1" t="n">
        <v>45705</v>
      </c>
      <c r="D419" t="inlineStr">
        <is>
          <t>UPPSALA LÄN</t>
        </is>
      </c>
      <c r="E419" t="inlineStr">
        <is>
          <t>HEBY</t>
        </is>
      </c>
      <c r="G419" t="n">
        <v>2.5</v>
      </c>
      <c r="H419" t="n">
        <v>2</v>
      </c>
      <c r="I419" t="n">
        <v>0</v>
      </c>
      <c r="J419" t="n">
        <v>1</v>
      </c>
      <c r="K419" t="n">
        <v>1</v>
      </c>
      <c r="L419" t="n">
        <v>0</v>
      </c>
      <c r="M419" t="n">
        <v>0</v>
      </c>
      <c r="N419" t="n">
        <v>0</v>
      </c>
      <c r="O419" t="n">
        <v>2</v>
      </c>
      <c r="P419" t="n">
        <v>1</v>
      </c>
      <c r="Q419" t="n">
        <v>2</v>
      </c>
      <c r="R419" s="2" t="inlineStr">
        <is>
          <t>Knärot
Talltita</t>
        </is>
      </c>
      <c r="S419">
        <f>HYPERLINK("https://klasma.github.io/Logging_0331/artfynd/A 54814-2024 artfynd.xlsx", "A 54814-2024")</f>
        <v/>
      </c>
      <c r="T419">
        <f>HYPERLINK("https://klasma.github.io/Logging_0331/kartor/A 54814-2024 karta.png", "A 54814-2024")</f>
        <v/>
      </c>
      <c r="U419">
        <f>HYPERLINK("https://klasma.github.io/Logging_0331/knärot/A 54814-2024 karta knärot.png", "A 54814-2024")</f>
        <v/>
      </c>
      <c r="V419">
        <f>HYPERLINK("https://klasma.github.io/Logging_0331/klagomål/A 54814-2024 FSC-klagomål.docx", "A 54814-2024")</f>
        <v/>
      </c>
      <c r="W419">
        <f>HYPERLINK("https://klasma.github.io/Logging_0331/klagomålsmail/A 54814-2024 FSC-klagomål mail.docx", "A 54814-2024")</f>
        <v/>
      </c>
      <c r="X419">
        <f>HYPERLINK("https://klasma.github.io/Logging_0331/tillsyn/A 54814-2024 tillsynsbegäran.docx", "A 54814-2024")</f>
        <v/>
      </c>
      <c r="Y419">
        <f>HYPERLINK("https://klasma.github.io/Logging_0331/tillsynsmail/A 54814-2024 tillsynsbegäran mail.docx", "A 54814-2024")</f>
        <v/>
      </c>
      <c r="Z419">
        <f>HYPERLINK("https://klasma.github.io/Logging_0331/fåglar/A 54814-2024 prioriterade fågelarter.docx", "A 54814-2024")</f>
        <v/>
      </c>
    </row>
    <row r="420" ht="15" customHeight="1">
      <c r="A420" t="inlineStr">
        <is>
          <t>A 55143-2024</t>
        </is>
      </c>
      <c r="B420" s="1" t="n">
        <v>45621</v>
      </c>
      <c r="C420" s="1" t="n">
        <v>45705</v>
      </c>
      <c r="D420" t="inlineStr">
        <is>
          <t>UPPSALA LÄN</t>
        </is>
      </c>
      <c r="E420" t="inlineStr">
        <is>
          <t>ÄLVKARLEBY</t>
        </is>
      </c>
      <c r="F420" t="inlineStr">
        <is>
          <t>Bergvik skog väst AB</t>
        </is>
      </c>
      <c r="G420" t="n">
        <v>9.5</v>
      </c>
      <c r="H420" t="n">
        <v>1</v>
      </c>
      <c r="I420" t="n">
        <v>1</v>
      </c>
      <c r="J420" t="n">
        <v>0</v>
      </c>
      <c r="K420" t="n">
        <v>1</v>
      </c>
      <c r="L420" t="n">
        <v>0</v>
      </c>
      <c r="M420" t="n">
        <v>0</v>
      </c>
      <c r="N420" t="n">
        <v>0</v>
      </c>
      <c r="O420" t="n">
        <v>1</v>
      </c>
      <c r="P420" t="n">
        <v>1</v>
      </c>
      <c r="Q420" t="n">
        <v>2</v>
      </c>
      <c r="R420" s="2" t="inlineStr">
        <is>
          <t>Stor låsbräken
Ögonpyrola</t>
        </is>
      </c>
      <c r="S420">
        <f>HYPERLINK("https://klasma.github.io/Logging_0319/artfynd/A 55143-2024 artfynd.xlsx", "A 55143-2024")</f>
        <v/>
      </c>
      <c r="T420">
        <f>HYPERLINK("https://klasma.github.io/Logging_0319/kartor/A 55143-2024 karta.png", "A 55143-2024")</f>
        <v/>
      </c>
      <c r="V420">
        <f>HYPERLINK("https://klasma.github.io/Logging_0319/klagomål/A 55143-2024 FSC-klagomål.docx", "A 55143-2024")</f>
        <v/>
      </c>
      <c r="W420">
        <f>HYPERLINK("https://klasma.github.io/Logging_0319/klagomålsmail/A 55143-2024 FSC-klagomål mail.docx", "A 55143-2024")</f>
        <v/>
      </c>
      <c r="X420">
        <f>HYPERLINK("https://klasma.github.io/Logging_0319/tillsyn/A 55143-2024 tillsynsbegäran.docx", "A 55143-2024")</f>
        <v/>
      </c>
      <c r="Y420">
        <f>HYPERLINK("https://klasma.github.io/Logging_0319/tillsynsmail/A 55143-2024 tillsynsbegäran mail.docx", "A 55143-2024")</f>
        <v/>
      </c>
    </row>
    <row r="421" ht="15" customHeight="1">
      <c r="A421" t="inlineStr">
        <is>
          <t>A 58146-2024</t>
        </is>
      </c>
      <c r="B421" s="1" t="n">
        <v>45632</v>
      </c>
      <c r="C421" s="1" t="n">
        <v>45705</v>
      </c>
      <c r="D421" t="inlineStr">
        <is>
          <t>UPPSALA LÄN</t>
        </is>
      </c>
      <c r="E421" t="inlineStr">
        <is>
          <t>TIERP</t>
        </is>
      </c>
      <c r="G421" t="n">
        <v>11.8</v>
      </c>
      <c r="H421" t="n">
        <v>1</v>
      </c>
      <c r="I421" t="n">
        <v>1</v>
      </c>
      <c r="J421" t="n">
        <v>0</v>
      </c>
      <c r="K421" t="n">
        <v>0</v>
      </c>
      <c r="L421" t="n">
        <v>0</v>
      </c>
      <c r="M421" t="n">
        <v>0</v>
      </c>
      <c r="N421" t="n">
        <v>0</v>
      </c>
      <c r="O421" t="n">
        <v>0</v>
      </c>
      <c r="P421" t="n">
        <v>0</v>
      </c>
      <c r="Q421" t="n">
        <v>2</v>
      </c>
      <c r="R421" s="2" t="inlineStr">
        <is>
          <t>Vårärt
Blåsippa</t>
        </is>
      </c>
      <c r="S421">
        <f>HYPERLINK("https://klasma.github.io/Logging_0360/artfynd/A 58146-2024 artfynd.xlsx", "A 58146-2024")</f>
        <v/>
      </c>
      <c r="T421">
        <f>HYPERLINK("https://klasma.github.io/Logging_0360/kartor/A 58146-2024 karta.png", "A 58146-2024")</f>
        <v/>
      </c>
      <c r="V421">
        <f>HYPERLINK("https://klasma.github.io/Logging_0360/klagomål/A 58146-2024 FSC-klagomål.docx", "A 58146-2024")</f>
        <v/>
      </c>
      <c r="W421">
        <f>HYPERLINK("https://klasma.github.io/Logging_0360/klagomålsmail/A 58146-2024 FSC-klagomål mail.docx", "A 58146-2024")</f>
        <v/>
      </c>
      <c r="X421">
        <f>HYPERLINK("https://klasma.github.io/Logging_0360/tillsyn/A 58146-2024 tillsynsbegäran.docx", "A 58146-2024")</f>
        <v/>
      </c>
      <c r="Y421">
        <f>HYPERLINK("https://klasma.github.io/Logging_0360/tillsynsmail/A 58146-2024 tillsynsbegäran mail.docx", "A 58146-2024")</f>
        <v/>
      </c>
    </row>
    <row r="422" ht="15" customHeight="1">
      <c r="A422" t="inlineStr">
        <is>
          <t>A 61511-2024</t>
        </is>
      </c>
      <c r="B422" s="1" t="n">
        <v>45646</v>
      </c>
      <c r="C422" s="1" t="n">
        <v>45705</v>
      </c>
      <c r="D422" t="inlineStr">
        <is>
          <t>UPPSALA LÄN</t>
        </is>
      </c>
      <c r="E422" t="inlineStr">
        <is>
          <t>UPPSALA</t>
        </is>
      </c>
      <c r="F422" t="inlineStr">
        <is>
          <t>Bergvik skog väst AB</t>
        </is>
      </c>
      <c r="G422" t="n">
        <v>25.1</v>
      </c>
      <c r="H422" t="n">
        <v>0</v>
      </c>
      <c r="I422" t="n">
        <v>1</v>
      </c>
      <c r="J422" t="n">
        <v>0</v>
      </c>
      <c r="K422" t="n">
        <v>1</v>
      </c>
      <c r="L422" t="n">
        <v>0</v>
      </c>
      <c r="M422" t="n">
        <v>0</v>
      </c>
      <c r="N422" t="n">
        <v>0</v>
      </c>
      <c r="O422" t="n">
        <v>1</v>
      </c>
      <c r="P422" t="n">
        <v>1</v>
      </c>
      <c r="Q422" t="n">
        <v>2</v>
      </c>
      <c r="R422" s="2" t="inlineStr">
        <is>
          <t>Doftfjällskivling
Kamjordstjärna</t>
        </is>
      </c>
      <c r="S422">
        <f>HYPERLINK("https://klasma.github.io/Logging_0380/artfynd/A 61511-2024 artfynd.xlsx", "A 61511-2024")</f>
        <v/>
      </c>
      <c r="T422">
        <f>HYPERLINK("https://klasma.github.io/Logging_0380/kartor/A 61511-2024 karta.png", "A 61511-2024")</f>
        <v/>
      </c>
      <c r="V422">
        <f>HYPERLINK("https://klasma.github.io/Logging_0380/klagomål/A 61511-2024 FSC-klagomål.docx", "A 61511-2024")</f>
        <v/>
      </c>
      <c r="W422">
        <f>HYPERLINK("https://klasma.github.io/Logging_0380/klagomålsmail/A 61511-2024 FSC-klagomål mail.docx", "A 61511-2024")</f>
        <v/>
      </c>
      <c r="X422">
        <f>HYPERLINK("https://klasma.github.io/Logging_0380/tillsyn/A 61511-2024 tillsynsbegäran.docx", "A 61511-2024")</f>
        <v/>
      </c>
      <c r="Y422">
        <f>HYPERLINK("https://klasma.github.io/Logging_0380/tillsynsmail/A 61511-2024 tillsynsbegäran mail.docx", "A 61511-2024")</f>
        <v/>
      </c>
    </row>
    <row r="423" ht="15" customHeight="1">
      <c r="A423" t="inlineStr">
        <is>
          <t>A 1124-2025</t>
        </is>
      </c>
      <c r="B423" s="1" t="n">
        <v>45666</v>
      </c>
      <c r="C423" s="1" t="n">
        <v>45705</v>
      </c>
      <c r="D423" t="inlineStr">
        <is>
          <t>UPPSALA LÄN</t>
        </is>
      </c>
      <c r="E423" t="inlineStr">
        <is>
          <t>UPPSALA</t>
        </is>
      </c>
      <c r="G423" t="n">
        <v>8.300000000000001</v>
      </c>
      <c r="H423" t="n">
        <v>1</v>
      </c>
      <c r="I423" t="n">
        <v>1</v>
      </c>
      <c r="J423" t="n">
        <v>0</v>
      </c>
      <c r="K423" t="n">
        <v>1</v>
      </c>
      <c r="L423" t="n">
        <v>0</v>
      </c>
      <c r="M423" t="n">
        <v>0</v>
      </c>
      <c r="N423" t="n">
        <v>0</v>
      </c>
      <c r="O423" t="n">
        <v>1</v>
      </c>
      <c r="P423" t="n">
        <v>1</v>
      </c>
      <c r="Q423" t="n">
        <v>2</v>
      </c>
      <c r="R423" s="2" t="inlineStr">
        <is>
          <t>Rynkskinn
Grön sköldmossa</t>
        </is>
      </c>
      <c r="S423">
        <f>HYPERLINK("https://klasma.github.io/Logging_0380/artfynd/A 1124-2025 artfynd.xlsx", "A 1124-2025")</f>
        <v/>
      </c>
      <c r="T423">
        <f>HYPERLINK("https://klasma.github.io/Logging_0380/kartor/A 1124-2025 karta.png", "A 1124-2025")</f>
        <v/>
      </c>
      <c r="V423">
        <f>HYPERLINK("https://klasma.github.io/Logging_0380/klagomål/A 1124-2025 FSC-klagomål.docx", "A 1124-2025")</f>
        <v/>
      </c>
      <c r="W423">
        <f>HYPERLINK("https://klasma.github.io/Logging_0380/klagomålsmail/A 1124-2025 FSC-klagomål mail.docx", "A 1124-2025")</f>
        <v/>
      </c>
      <c r="X423">
        <f>HYPERLINK("https://klasma.github.io/Logging_0380/tillsyn/A 1124-2025 tillsynsbegäran.docx", "A 1124-2025")</f>
        <v/>
      </c>
      <c r="Y423">
        <f>HYPERLINK("https://klasma.github.io/Logging_0380/tillsynsmail/A 1124-2025 tillsynsbegäran mail.docx", "A 1124-2025")</f>
        <v/>
      </c>
    </row>
    <row r="424" ht="15" customHeight="1">
      <c r="A424" t="inlineStr">
        <is>
          <t>A 5703-2025</t>
        </is>
      </c>
      <c r="B424" s="1" t="n">
        <v>45694</v>
      </c>
      <c r="C424" s="1" t="n">
        <v>45705</v>
      </c>
      <c r="D424" t="inlineStr">
        <is>
          <t>UPPSALA LÄN</t>
        </is>
      </c>
      <c r="E424" t="inlineStr">
        <is>
          <t>UPPSALA</t>
        </is>
      </c>
      <c r="F424" t="inlineStr">
        <is>
          <t>Bergvik skog öst AB</t>
        </is>
      </c>
      <c r="G424" t="n">
        <v>12.1</v>
      </c>
      <c r="H424" t="n">
        <v>2</v>
      </c>
      <c r="I424" t="n">
        <v>0</v>
      </c>
      <c r="J424" t="n">
        <v>0</v>
      </c>
      <c r="K424" t="n">
        <v>0</v>
      </c>
      <c r="L424" t="n">
        <v>0</v>
      </c>
      <c r="M424" t="n">
        <v>0</v>
      </c>
      <c r="N424" t="n">
        <v>0</v>
      </c>
      <c r="O424" t="n">
        <v>0</v>
      </c>
      <c r="P424" t="n">
        <v>0</v>
      </c>
      <c r="Q424" t="n">
        <v>2</v>
      </c>
      <c r="R424" s="2" t="inlineStr">
        <is>
          <t>Fläcknycklar
Nattviol</t>
        </is>
      </c>
      <c r="S424">
        <f>HYPERLINK("https://klasma.github.io/Logging_0380/artfynd/A 5703-2025 artfynd.xlsx", "A 5703-2025")</f>
        <v/>
      </c>
      <c r="T424">
        <f>HYPERLINK("https://klasma.github.io/Logging_0380/kartor/A 5703-2025 karta.png", "A 5703-2025")</f>
        <v/>
      </c>
      <c r="V424">
        <f>HYPERLINK("https://klasma.github.io/Logging_0380/klagomål/A 5703-2025 FSC-klagomål.docx", "A 5703-2025")</f>
        <v/>
      </c>
      <c r="W424">
        <f>HYPERLINK("https://klasma.github.io/Logging_0380/klagomålsmail/A 5703-2025 FSC-klagomål mail.docx", "A 5703-2025")</f>
        <v/>
      </c>
      <c r="X424">
        <f>HYPERLINK("https://klasma.github.io/Logging_0380/tillsyn/A 5703-2025 tillsynsbegäran.docx", "A 5703-2025")</f>
        <v/>
      </c>
      <c r="Y424">
        <f>HYPERLINK("https://klasma.github.io/Logging_0380/tillsynsmail/A 5703-2025 tillsynsbegäran mail.docx", "A 5703-2025")</f>
        <v/>
      </c>
    </row>
    <row r="425" ht="15" customHeight="1">
      <c r="A425" t="inlineStr">
        <is>
          <t>A 5755-2025</t>
        </is>
      </c>
      <c r="B425" s="1" t="n">
        <v>45694</v>
      </c>
      <c r="C425" s="1" t="n">
        <v>45705</v>
      </c>
      <c r="D425" t="inlineStr">
        <is>
          <t>UPPSALA LÄN</t>
        </is>
      </c>
      <c r="E425" t="inlineStr">
        <is>
          <t>UPPSALA</t>
        </is>
      </c>
      <c r="G425" t="n">
        <v>1.3</v>
      </c>
      <c r="H425" t="n">
        <v>0</v>
      </c>
      <c r="I425" t="n">
        <v>2</v>
      </c>
      <c r="J425" t="n">
        <v>0</v>
      </c>
      <c r="K425" t="n">
        <v>0</v>
      </c>
      <c r="L425" t="n">
        <v>0</v>
      </c>
      <c r="M425" t="n">
        <v>0</v>
      </c>
      <c r="N425" t="n">
        <v>0</v>
      </c>
      <c r="O425" t="n">
        <v>0</v>
      </c>
      <c r="P425" t="n">
        <v>0</v>
      </c>
      <c r="Q425" t="n">
        <v>2</v>
      </c>
      <c r="R425" s="2" t="inlineStr">
        <is>
          <t>Fällmossa
Hasselticka</t>
        </is>
      </c>
      <c r="S425">
        <f>HYPERLINK("https://klasma.github.io/Logging_0380/artfynd/A 5755-2025 artfynd.xlsx", "A 5755-2025")</f>
        <v/>
      </c>
      <c r="T425">
        <f>HYPERLINK("https://klasma.github.io/Logging_0380/kartor/A 5755-2025 karta.png", "A 5755-2025")</f>
        <v/>
      </c>
      <c r="V425">
        <f>HYPERLINK("https://klasma.github.io/Logging_0380/klagomål/A 5755-2025 FSC-klagomål.docx", "A 5755-2025")</f>
        <v/>
      </c>
      <c r="W425">
        <f>HYPERLINK("https://klasma.github.io/Logging_0380/klagomålsmail/A 5755-2025 FSC-klagomål mail.docx", "A 5755-2025")</f>
        <v/>
      </c>
      <c r="X425">
        <f>HYPERLINK("https://klasma.github.io/Logging_0380/tillsyn/A 5755-2025 tillsynsbegäran.docx", "A 5755-2025")</f>
        <v/>
      </c>
      <c r="Y425">
        <f>HYPERLINK("https://klasma.github.io/Logging_0380/tillsynsmail/A 5755-2025 tillsynsbegäran mail.docx", "A 5755-2025")</f>
        <v/>
      </c>
    </row>
    <row r="426" ht="15" customHeight="1">
      <c r="A426" t="inlineStr">
        <is>
          <t>A 6831-2025</t>
        </is>
      </c>
      <c r="B426" s="1" t="n">
        <v>45700</v>
      </c>
      <c r="C426" s="1" t="n">
        <v>45705</v>
      </c>
      <c r="D426" t="inlineStr">
        <is>
          <t>UPPSALA LÄN</t>
        </is>
      </c>
      <c r="E426" t="inlineStr">
        <is>
          <t>TIERP</t>
        </is>
      </c>
      <c r="G426" t="n">
        <v>11.7</v>
      </c>
      <c r="H426" t="n">
        <v>1</v>
      </c>
      <c r="I426" t="n">
        <v>1</v>
      </c>
      <c r="J426" t="n">
        <v>0</v>
      </c>
      <c r="K426" t="n">
        <v>0</v>
      </c>
      <c r="L426" t="n">
        <v>0</v>
      </c>
      <c r="M426" t="n">
        <v>0</v>
      </c>
      <c r="N426" t="n">
        <v>0</v>
      </c>
      <c r="O426" t="n">
        <v>0</v>
      </c>
      <c r="P426" t="n">
        <v>0</v>
      </c>
      <c r="Q426" t="n">
        <v>2</v>
      </c>
      <c r="R426" s="2" t="inlineStr">
        <is>
          <t>Tibast
Revlummer</t>
        </is>
      </c>
      <c r="S426">
        <f>HYPERLINK("https://klasma.github.io/Logging_0360/artfynd/A 6831-2025 artfynd.xlsx", "A 6831-2025")</f>
        <v/>
      </c>
      <c r="T426">
        <f>HYPERLINK("https://klasma.github.io/Logging_0360/kartor/A 6831-2025 karta.png", "A 6831-2025")</f>
        <v/>
      </c>
      <c r="V426">
        <f>HYPERLINK("https://klasma.github.io/Logging_0360/klagomål/A 6831-2025 FSC-klagomål.docx", "A 6831-2025")</f>
        <v/>
      </c>
      <c r="W426">
        <f>HYPERLINK("https://klasma.github.io/Logging_0360/klagomålsmail/A 6831-2025 FSC-klagomål mail.docx", "A 6831-2025")</f>
        <v/>
      </c>
      <c r="X426">
        <f>HYPERLINK("https://klasma.github.io/Logging_0360/tillsyn/A 6831-2025 tillsynsbegäran.docx", "A 6831-2025")</f>
        <v/>
      </c>
      <c r="Y426">
        <f>HYPERLINK("https://klasma.github.io/Logging_0360/tillsynsmail/A 6831-2025 tillsynsbegäran mail.docx", "A 6831-2025")</f>
        <v/>
      </c>
    </row>
    <row r="427" ht="15" customHeight="1">
      <c r="A427" t="inlineStr">
        <is>
          <t>A 18172-2019</t>
        </is>
      </c>
      <c r="B427" s="1" t="n">
        <v>43558</v>
      </c>
      <c r="C427" s="1" t="n">
        <v>45705</v>
      </c>
      <c r="D427" t="inlineStr">
        <is>
          <t>UPPSALA LÄN</t>
        </is>
      </c>
      <c r="E427" t="inlineStr">
        <is>
          <t>KNIVSTA</t>
        </is>
      </c>
      <c r="G427" t="n">
        <v>6.7</v>
      </c>
      <c r="H427" t="n">
        <v>1</v>
      </c>
      <c r="I427" t="n">
        <v>0</v>
      </c>
      <c r="J427" t="n">
        <v>1</v>
      </c>
      <c r="K427" t="n">
        <v>0</v>
      </c>
      <c r="L427" t="n">
        <v>0</v>
      </c>
      <c r="M427" t="n">
        <v>0</v>
      </c>
      <c r="N427" t="n">
        <v>0</v>
      </c>
      <c r="O427" t="n">
        <v>1</v>
      </c>
      <c r="P427" t="n">
        <v>0</v>
      </c>
      <c r="Q427" t="n">
        <v>1</v>
      </c>
      <c r="R427" s="2" t="inlineStr">
        <is>
          <t>Spillkråka</t>
        </is>
      </c>
      <c r="S427">
        <f>HYPERLINK("https://klasma.github.io/Logging_0330/artfynd/A 18172-2019 artfynd.xlsx", "A 18172-2019")</f>
        <v/>
      </c>
      <c r="T427">
        <f>HYPERLINK("https://klasma.github.io/Logging_0330/kartor/A 18172-2019 karta.png", "A 18172-2019")</f>
        <v/>
      </c>
      <c r="V427">
        <f>HYPERLINK("https://klasma.github.io/Logging_0330/klagomål/A 18172-2019 FSC-klagomål.docx", "A 18172-2019")</f>
        <v/>
      </c>
      <c r="W427">
        <f>HYPERLINK("https://klasma.github.io/Logging_0330/klagomålsmail/A 18172-2019 FSC-klagomål mail.docx", "A 18172-2019")</f>
        <v/>
      </c>
      <c r="X427">
        <f>HYPERLINK("https://klasma.github.io/Logging_0330/tillsyn/A 18172-2019 tillsynsbegäran.docx", "A 18172-2019")</f>
        <v/>
      </c>
      <c r="Y427">
        <f>HYPERLINK("https://klasma.github.io/Logging_0330/tillsynsmail/A 18172-2019 tillsynsbegäran mail.docx", "A 18172-2019")</f>
        <v/>
      </c>
      <c r="Z427">
        <f>HYPERLINK("https://klasma.github.io/Logging_0330/fåglar/A 18172-2019 prioriterade fågelarter.docx", "A 18172-2019")</f>
        <v/>
      </c>
    </row>
    <row r="428" ht="15" customHeight="1">
      <c r="A428" t="inlineStr">
        <is>
          <t>A 18495-2019</t>
        </is>
      </c>
      <c r="B428" s="1" t="n">
        <v>43559</v>
      </c>
      <c r="C428" s="1" t="n">
        <v>45705</v>
      </c>
      <c r="D428" t="inlineStr">
        <is>
          <t>UPPSALA LÄN</t>
        </is>
      </c>
      <c r="E428" t="inlineStr">
        <is>
          <t>HEBY</t>
        </is>
      </c>
      <c r="G428" t="n">
        <v>1.1</v>
      </c>
      <c r="H428" t="n">
        <v>1</v>
      </c>
      <c r="I428" t="n">
        <v>0</v>
      </c>
      <c r="J428" t="n">
        <v>1</v>
      </c>
      <c r="K428" t="n">
        <v>0</v>
      </c>
      <c r="L428" t="n">
        <v>0</v>
      </c>
      <c r="M428" t="n">
        <v>0</v>
      </c>
      <c r="N428" t="n">
        <v>0</v>
      </c>
      <c r="O428" t="n">
        <v>1</v>
      </c>
      <c r="P428" t="n">
        <v>0</v>
      </c>
      <c r="Q428" t="n">
        <v>1</v>
      </c>
      <c r="R428" s="2" t="inlineStr">
        <is>
          <t>Slaguggla</t>
        </is>
      </c>
      <c r="S428">
        <f>HYPERLINK("https://klasma.github.io/Logging_0331/artfynd/A 18495-2019 artfynd.xlsx", "A 18495-2019")</f>
        <v/>
      </c>
      <c r="T428">
        <f>HYPERLINK("https://klasma.github.io/Logging_0331/kartor/A 18495-2019 karta.png", "A 18495-2019")</f>
        <v/>
      </c>
      <c r="V428">
        <f>HYPERLINK("https://klasma.github.io/Logging_0331/klagomål/A 18495-2019 FSC-klagomål.docx", "A 18495-2019")</f>
        <v/>
      </c>
      <c r="W428">
        <f>HYPERLINK("https://klasma.github.io/Logging_0331/klagomålsmail/A 18495-2019 FSC-klagomål mail.docx", "A 18495-2019")</f>
        <v/>
      </c>
      <c r="X428">
        <f>HYPERLINK("https://klasma.github.io/Logging_0331/tillsyn/A 18495-2019 tillsynsbegäran.docx", "A 18495-2019")</f>
        <v/>
      </c>
      <c r="Y428">
        <f>HYPERLINK("https://klasma.github.io/Logging_0331/tillsynsmail/A 18495-2019 tillsynsbegäran mail.docx", "A 18495-2019")</f>
        <v/>
      </c>
      <c r="Z428">
        <f>HYPERLINK("https://klasma.github.io/Logging_0331/fåglar/A 18495-2019 prioriterade fågelarter.docx", "A 18495-2019")</f>
        <v/>
      </c>
    </row>
    <row r="429" ht="15" customHeight="1">
      <c r="A429" t="inlineStr">
        <is>
          <t>A 21862-2019</t>
        </is>
      </c>
      <c r="B429" s="1" t="n">
        <v>43583</v>
      </c>
      <c r="C429" s="1" t="n">
        <v>45705</v>
      </c>
      <c r="D429" t="inlineStr">
        <is>
          <t>UPPSALA LÄN</t>
        </is>
      </c>
      <c r="E429" t="inlineStr">
        <is>
          <t>UPPSALA</t>
        </is>
      </c>
      <c r="G429" t="n">
        <v>9.5</v>
      </c>
      <c r="H429" t="n">
        <v>1</v>
      </c>
      <c r="I429" t="n">
        <v>0</v>
      </c>
      <c r="J429" t="n">
        <v>0</v>
      </c>
      <c r="K429" t="n">
        <v>1</v>
      </c>
      <c r="L429" t="n">
        <v>0</v>
      </c>
      <c r="M429" t="n">
        <v>0</v>
      </c>
      <c r="N429" t="n">
        <v>0</v>
      </c>
      <c r="O429" t="n">
        <v>1</v>
      </c>
      <c r="P429" t="n">
        <v>1</v>
      </c>
      <c r="Q429" t="n">
        <v>1</v>
      </c>
      <c r="R429" s="2" t="inlineStr">
        <is>
          <t>Stare</t>
        </is>
      </c>
      <c r="S429">
        <f>HYPERLINK("https://klasma.github.io/Logging_0380/artfynd/A 21862-2019 artfynd.xlsx", "A 21862-2019")</f>
        <v/>
      </c>
      <c r="T429">
        <f>HYPERLINK("https://klasma.github.io/Logging_0380/kartor/A 21862-2019 karta.png", "A 21862-2019")</f>
        <v/>
      </c>
      <c r="V429">
        <f>HYPERLINK("https://klasma.github.io/Logging_0380/klagomål/A 21862-2019 FSC-klagomål.docx", "A 21862-2019")</f>
        <v/>
      </c>
      <c r="W429">
        <f>HYPERLINK("https://klasma.github.io/Logging_0380/klagomålsmail/A 21862-2019 FSC-klagomål mail.docx", "A 21862-2019")</f>
        <v/>
      </c>
      <c r="X429">
        <f>HYPERLINK("https://klasma.github.io/Logging_0380/tillsyn/A 21862-2019 tillsynsbegäran.docx", "A 21862-2019")</f>
        <v/>
      </c>
      <c r="Y429">
        <f>HYPERLINK("https://klasma.github.io/Logging_0380/tillsynsmail/A 21862-2019 tillsynsbegäran mail.docx", "A 21862-2019")</f>
        <v/>
      </c>
    </row>
    <row r="430" ht="15" customHeight="1">
      <c r="A430" t="inlineStr">
        <is>
          <t>A 30583-2019</t>
        </is>
      </c>
      <c r="B430" s="1" t="n">
        <v>43635</v>
      </c>
      <c r="C430" s="1" t="n">
        <v>45705</v>
      </c>
      <c r="D430" t="inlineStr">
        <is>
          <t>UPPSALA LÄN</t>
        </is>
      </c>
      <c r="E430" t="inlineStr">
        <is>
          <t>TIERP</t>
        </is>
      </c>
      <c r="G430" t="n">
        <v>1.9</v>
      </c>
      <c r="H430" t="n">
        <v>1</v>
      </c>
      <c r="I430" t="n">
        <v>1</v>
      </c>
      <c r="J430" t="n">
        <v>0</v>
      </c>
      <c r="K430" t="n">
        <v>0</v>
      </c>
      <c r="L430" t="n">
        <v>0</v>
      </c>
      <c r="M430" t="n">
        <v>0</v>
      </c>
      <c r="N430" t="n">
        <v>0</v>
      </c>
      <c r="O430" t="n">
        <v>0</v>
      </c>
      <c r="P430" t="n">
        <v>0</v>
      </c>
      <c r="Q430" t="n">
        <v>1</v>
      </c>
      <c r="R430" s="2" t="inlineStr">
        <is>
          <t>Guckusko</t>
        </is>
      </c>
      <c r="S430">
        <f>HYPERLINK("https://klasma.github.io/Logging_0360/artfynd/A 30583-2019 artfynd.xlsx", "A 30583-2019")</f>
        <v/>
      </c>
      <c r="T430">
        <f>HYPERLINK("https://klasma.github.io/Logging_0360/kartor/A 30583-2019 karta.png", "A 30583-2019")</f>
        <v/>
      </c>
      <c r="V430">
        <f>HYPERLINK("https://klasma.github.io/Logging_0360/klagomål/A 30583-2019 FSC-klagomål.docx", "A 30583-2019")</f>
        <v/>
      </c>
      <c r="W430">
        <f>HYPERLINK("https://klasma.github.io/Logging_0360/klagomålsmail/A 30583-2019 FSC-klagomål mail.docx", "A 30583-2019")</f>
        <v/>
      </c>
      <c r="X430">
        <f>HYPERLINK("https://klasma.github.io/Logging_0360/tillsyn/A 30583-2019 tillsynsbegäran.docx", "A 30583-2019")</f>
        <v/>
      </c>
      <c r="Y430">
        <f>HYPERLINK("https://klasma.github.io/Logging_0360/tillsynsmail/A 30583-2019 tillsynsbegäran mail.docx", "A 30583-2019")</f>
        <v/>
      </c>
    </row>
    <row r="431" ht="15" customHeight="1">
      <c r="A431" t="inlineStr">
        <is>
          <t>A 33753-2019</t>
        </is>
      </c>
      <c r="B431" s="1" t="n">
        <v>43651</v>
      </c>
      <c r="C431" s="1" t="n">
        <v>45705</v>
      </c>
      <c r="D431" t="inlineStr">
        <is>
          <t>UPPSALA LÄN</t>
        </is>
      </c>
      <c r="E431" t="inlineStr">
        <is>
          <t>TIERP</t>
        </is>
      </c>
      <c r="F431" t="inlineStr">
        <is>
          <t>Bergvik skog öst AB</t>
        </is>
      </c>
      <c r="G431" t="n">
        <v>1</v>
      </c>
      <c r="H431" t="n">
        <v>1</v>
      </c>
      <c r="I431" t="n">
        <v>0</v>
      </c>
      <c r="J431" t="n">
        <v>0</v>
      </c>
      <c r="K431" t="n">
        <v>0</v>
      </c>
      <c r="L431" t="n">
        <v>0</v>
      </c>
      <c r="M431" t="n">
        <v>0</v>
      </c>
      <c r="N431" t="n">
        <v>0</v>
      </c>
      <c r="O431" t="n">
        <v>0</v>
      </c>
      <c r="P431" t="n">
        <v>0</v>
      </c>
      <c r="Q431" t="n">
        <v>1</v>
      </c>
      <c r="R431" s="2" t="inlineStr">
        <is>
          <t>Blåsippa</t>
        </is>
      </c>
      <c r="S431">
        <f>HYPERLINK("https://klasma.github.io/Logging_0360/artfynd/A 33753-2019 artfynd.xlsx", "A 33753-2019")</f>
        <v/>
      </c>
      <c r="T431">
        <f>HYPERLINK("https://klasma.github.io/Logging_0360/kartor/A 33753-2019 karta.png", "A 33753-2019")</f>
        <v/>
      </c>
      <c r="V431">
        <f>HYPERLINK("https://klasma.github.io/Logging_0360/klagomål/A 33753-2019 FSC-klagomål.docx", "A 33753-2019")</f>
        <v/>
      </c>
      <c r="W431">
        <f>HYPERLINK("https://klasma.github.io/Logging_0360/klagomålsmail/A 33753-2019 FSC-klagomål mail.docx", "A 33753-2019")</f>
        <v/>
      </c>
      <c r="X431">
        <f>HYPERLINK("https://klasma.github.io/Logging_0360/tillsyn/A 33753-2019 tillsynsbegäran.docx", "A 33753-2019")</f>
        <v/>
      </c>
      <c r="Y431">
        <f>HYPERLINK("https://klasma.github.io/Logging_0360/tillsynsmail/A 33753-2019 tillsynsbegäran mail.docx", "A 33753-2019")</f>
        <v/>
      </c>
    </row>
    <row r="432" ht="15" customHeight="1">
      <c r="A432" t="inlineStr">
        <is>
          <t>A 36637-2019</t>
        </is>
      </c>
      <c r="B432" s="1" t="n">
        <v>43671</v>
      </c>
      <c r="C432" s="1" t="n">
        <v>45705</v>
      </c>
      <c r="D432" t="inlineStr">
        <is>
          <t>UPPSALA LÄN</t>
        </is>
      </c>
      <c r="E432" t="inlineStr">
        <is>
          <t>KNIVSTA</t>
        </is>
      </c>
      <c r="G432" t="n">
        <v>3</v>
      </c>
      <c r="H432" t="n">
        <v>1</v>
      </c>
      <c r="I432" t="n">
        <v>0</v>
      </c>
      <c r="J432" t="n">
        <v>0</v>
      </c>
      <c r="K432" t="n">
        <v>0</v>
      </c>
      <c r="L432" t="n">
        <v>0</v>
      </c>
      <c r="M432" t="n">
        <v>0</v>
      </c>
      <c r="N432" t="n">
        <v>0</v>
      </c>
      <c r="O432" t="n">
        <v>0</v>
      </c>
      <c r="P432" t="n">
        <v>0</v>
      </c>
      <c r="Q432" t="n">
        <v>1</v>
      </c>
      <c r="R432" s="2" t="inlineStr">
        <is>
          <t>Revlummer</t>
        </is>
      </c>
      <c r="S432">
        <f>HYPERLINK("https://klasma.github.io/Logging_0330/artfynd/A 36637-2019 artfynd.xlsx", "A 36637-2019")</f>
        <v/>
      </c>
      <c r="T432">
        <f>HYPERLINK("https://klasma.github.io/Logging_0330/kartor/A 36637-2019 karta.png", "A 36637-2019")</f>
        <v/>
      </c>
      <c r="V432">
        <f>HYPERLINK("https://klasma.github.io/Logging_0330/klagomål/A 36637-2019 FSC-klagomål.docx", "A 36637-2019")</f>
        <v/>
      </c>
      <c r="W432">
        <f>HYPERLINK("https://klasma.github.io/Logging_0330/klagomålsmail/A 36637-2019 FSC-klagomål mail.docx", "A 36637-2019")</f>
        <v/>
      </c>
      <c r="X432">
        <f>HYPERLINK("https://klasma.github.io/Logging_0330/tillsyn/A 36637-2019 tillsynsbegäran.docx", "A 36637-2019")</f>
        <v/>
      </c>
      <c r="Y432">
        <f>HYPERLINK("https://klasma.github.io/Logging_0330/tillsynsmail/A 36637-2019 tillsynsbegäran mail.docx", "A 36637-2019")</f>
        <v/>
      </c>
    </row>
    <row r="433" ht="15" customHeight="1">
      <c r="A433" t="inlineStr">
        <is>
          <t>A 38957-2019</t>
        </is>
      </c>
      <c r="B433" s="1" t="n">
        <v>43689</v>
      </c>
      <c r="C433" s="1" t="n">
        <v>45705</v>
      </c>
      <c r="D433" t="inlineStr">
        <is>
          <t>UPPSALA LÄN</t>
        </is>
      </c>
      <c r="E433" t="inlineStr">
        <is>
          <t>ÖSTHAMMAR</t>
        </is>
      </c>
      <c r="G433" t="n">
        <v>1.9</v>
      </c>
      <c r="H433" t="n">
        <v>0</v>
      </c>
      <c r="I433" t="n">
        <v>0</v>
      </c>
      <c r="J433" t="n">
        <v>1</v>
      </c>
      <c r="K433" t="n">
        <v>0</v>
      </c>
      <c r="L433" t="n">
        <v>0</v>
      </c>
      <c r="M433" t="n">
        <v>0</v>
      </c>
      <c r="N433" t="n">
        <v>0</v>
      </c>
      <c r="O433" t="n">
        <v>1</v>
      </c>
      <c r="P433" t="n">
        <v>0</v>
      </c>
      <c r="Q433" t="n">
        <v>1</v>
      </c>
      <c r="R433" s="2" t="inlineStr">
        <is>
          <t>Bredbrämad bastardsvärmare</t>
        </is>
      </c>
      <c r="S433">
        <f>HYPERLINK("https://klasma.github.io/Logging_0382/artfynd/A 38957-2019 artfynd.xlsx", "A 38957-2019")</f>
        <v/>
      </c>
      <c r="T433">
        <f>HYPERLINK("https://klasma.github.io/Logging_0382/kartor/A 38957-2019 karta.png", "A 38957-2019")</f>
        <v/>
      </c>
      <c r="V433">
        <f>HYPERLINK("https://klasma.github.io/Logging_0382/klagomål/A 38957-2019 FSC-klagomål.docx", "A 38957-2019")</f>
        <v/>
      </c>
      <c r="W433">
        <f>HYPERLINK("https://klasma.github.io/Logging_0382/klagomålsmail/A 38957-2019 FSC-klagomål mail.docx", "A 38957-2019")</f>
        <v/>
      </c>
      <c r="X433">
        <f>HYPERLINK("https://klasma.github.io/Logging_0382/tillsyn/A 38957-2019 tillsynsbegäran.docx", "A 38957-2019")</f>
        <v/>
      </c>
      <c r="Y433">
        <f>HYPERLINK("https://klasma.github.io/Logging_0382/tillsynsmail/A 38957-2019 tillsynsbegäran mail.docx", "A 38957-2019")</f>
        <v/>
      </c>
    </row>
    <row r="434" ht="15" customHeight="1">
      <c r="A434" t="inlineStr">
        <is>
          <t>A 39974-2019</t>
        </is>
      </c>
      <c r="B434" s="1" t="n">
        <v>43692</v>
      </c>
      <c r="C434" s="1" t="n">
        <v>45705</v>
      </c>
      <c r="D434" t="inlineStr">
        <is>
          <t>UPPSALA LÄN</t>
        </is>
      </c>
      <c r="E434" t="inlineStr">
        <is>
          <t>ENKÖPING</t>
        </is>
      </c>
      <c r="G434" t="n">
        <v>6</v>
      </c>
      <c r="H434" t="n">
        <v>1</v>
      </c>
      <c r="I434" t="n">
        <v>0</v>
      </c>
      <c r="J434" t="n">
        <v>1</v>
      </c>
      <c r="K434" t="n">
        <v>0</v>
      </c>
      <c r="L434" t="n">
        <v>0</v>
      </c>
      <c r="M434" t="n">
        <v>0</v>
      </c>
      <c r="N434" t="n">
        <v>0</v>
      </c>
      <c r="O434" t="n">
        <v>1</v>
      </c>
      <c r="P434" t="n">
        <v>0</v>
      </c>
      <c r="Q434" t="n">
        <v>1</v>
      </c>
      <c r="R434" s="2" t="inlineStr">
        <is>
          <t>Havsörn</t>
        </is>
      </c>
      <c r="S434">
        <f>HYPERLINK("https://klasma.github.io/Logging_0381/artfynd/A 39974-2019 artfynd.xlsx", "A 39974-2019")</f>
        <v/>
      </c>
      <c r="T434">
        <f>HYPERLINK("https://klasma.github.io/Logging_0381/kartor/A 39974-2019 karta.png", "A 39974-2019")</f>
        <v/>
      </c>
      <c r="V434">
        <f>HYPERLINK("https://klasma.github.io/Logging_0381/klagomål/A 39974-2019 FSC-klagomål.docx", "A 39974-2019")</f>
        <v/>
      </c>
      <c r="W434">
        <f>HYPERLINK("https://klasma.github.io/Logging_0381/klagomålsmail/A 39974-2019 FSC-klagomål mail.docx", "A 39974-2019")</f>
        <v/>
      </c>
      <c r="X434">
        <f>HYPERLINK("https://klasma.github.io/Logging_0381/tillsyn/A 39974-2019 tillsynsbegäran.docx", "A 39974-2019")</f>
        <v/>
      </c>
      <c r="Y434">
        <f>HYPERLINK("https://klasma.github.io/Logging_0381/tillsynsmail/A 39974-2019 tillsynsbegäran mail.docx", "A 39974-2019")</f>
        <v/>
      </c>
      <c r="Z434">
        <f>HYPERLINK("https://klasma.github.io/Logging_0381/fåglar/A 39974-2019 prioriterade fågelarter.docx", "A 39974-2019")</f>
        <v/>
      </c>
    </row>
    <row r="435" ht="15" customHeight="1">
      <c r="A435" t="inlineStr">
        <is>
          <t>A 40104-2019</t>
        </is>
      </c>
      <c r="B435" s="1" t="n">
        <v>43693</v>
      </c>
      <c r="C435" s="1" t="n">
        <v>45705</v>
      </c>
      <c r="D435" t="inlineStr">
        <is>
          <t>UPPSALA LÄN</t>
        </is>
      </c>
      <c r="E435" t="inlineStr">
        <is>
          <t>UPPSALA</t>
        </is>
      </c>
      <c r="G435" t="n">
        <v>1.8</v>
      </c>
      <c r="H435" t="n">
        <v>1</v>
      </c>
      <c r="I435" t="n">
        <v>0</v>
      </c>
      <c r="J435" t="n">
        <v>0</v>
      </c>
      <c r="K435" t="n">
        <v>0</v>
      </c>
      <c r="L435" t="n">
        <v>0</v>
      </c>
      <c r="M435" t="n">
        <v>0</v>
      </c>
      <c r="N435" t="n">
        <v>0</v>
      </c>
      <c r="O435" t="n">
        <v>0</v>
      </c>
      <c r="P435" t="n">
        <v>0</v>
      </c>
      <c r="Q435" t="n">
        <v>1</v>
      </c>
      <c r="R435" s="2" t="inlineStr">
        <is>
          <t>Huggorm</t>
        </is>
      </c>
      <c r="S435">
        <f>HYPERLINK("https://klasma.github.io/Logging_0380/artfynd/A 40104-2019 artfynd.xlsx", "A 40104-2019")</f>
        <v/>
      </c>
      <c r="T435">
        <f>HYPERLINK("https://klasma.github.io/Logging_0380/kartor/A 40104-2019 karta.png", "A 40104-2019")</f>
        <v/>
      </c>
      <c r="V435">
        <f>HYPERLINK("https://klasma.github.io/Logging_0380/klagomål/A 40104-2019 FSC-klagomål.docx", "A 40104-2019")</f>
        <v/>
      </c>
      <c r="W435">
        <f>HYPERLINK("https://klasma.github.io/Logging_0380/klagomålsmail/A 40104-2019 FSC-klagomål mail.docx", "A 40104-2019")</f>
        <v/>
      </c>
      <c r="X435">
        <f>HYPERLINK("https://klasma.github.io/Logging_0380/tillsyn/A 40104-2019 tillsynsbegäran.docx", "A 40104-2019")</f>
        <v/>
      </c>
      <c r="Y435">
        <f>HYPERLINK("https://klasma.github.io/Logging_0380/tillsynsmail/A 40104-2019 tillsynsbegäran mail.docx", "A 40104-2019")</f>
        <v/>
      </c>
    </row>
    <row r="436" ht="15" customHeight="1">
      <c r="A436" t="inlineStr">
        <is>
          <t>A 40111-2019</t>
        </is>
      </c>
      <c r="B436" s="1" t="n">
        <v>43693</v>
      </c>
      <c r="C436" s="1" t="n">
        <v>45705</v>
      </c>
      <c r="D436" t="inlineStr">
        <is>
          <t>UPPSALA LÄN</t>
        </is>
      </c>
      <c r="E436" t="inlineStr">
        <is>
          <t>UPPSALA</t>
        </is>
      </c>
      <c r="G436" t="n">
        <v>1.9</v>
      </c>
      <c r="H436" t="n">
        <v>1</v>
      </c>
      <c r="I436" t="n">
        <v>0</v>
      </c>
      <c r="J436" t="n">
        <v>0</v>
      </c>
      <c r="K436" t="n">
        <v>0</v>
      </c>
      <c r="L436" t="n">
        <v>0</v>
      </c>
      <c r="M436" t="n">
        <v>0</v>
      </c>
      <c r="N436" t="n">
        <v>0</v>
      </c>
      <c r="O436" t="n">
        <v>0</v>
      </c>
      <c r="P436" t="n">
        <v>0</v>
      </c>
      <c r="Q436" t="n">
        <v>1</v>
      </c>
      <c r="R436" s="2" t="inlineStr">
        <is>
          <t>Blåsippa</t>
        </is>
      </c>
      <c r="S436">
        <f>HYPERLINK("https://klasma.github.io/Logging_0380/artfynd/A 40111-2019 artfynd.xlsx", "A 40111-2019")</f>
        <v/>
      </c>
      <c r="T436">
        <f>HYPERLINK("https://klasma.github.io/Logging_0380/kartor/A 40111-2019 karta.png", "A 40111-2019")</f>
        <v/>
      </c>
      <c r="V436">
        <f>HYPERLINK("https://klasma.github.io/Logging_0380/klagomål/A 40111-2019 FSC-klagomål.docx", "A 40111-2019")</f>
        <v/>
      </c>
      <c r="W436">
        <f>HYPERLINK("https://klasma.github.io/Logging_0380/klagomålsmail/A 40111-2019 FSC-klagomål mail.docx", "A 40111-2019")</f>
        <v/>
      </c>
      <c r="X436">
        <f>HYPERLINK("https://klasma.github.io/Logging_0380/tillsyn/A 40111-2019 tillsynsbegäran.docx", "A 40111-2019")</f>
        <v/>
      </c>
      <c r="Y436">
        <f>HYPERLINK("https://klasma.github.io/Logging_0380/tillsynsmail/A 40111-2019 tillsynsbegäran mail.docx", "A 40111-2019")</f>
        <v/>
      </c>
    </row>
    <row r="437" ht="15" customHeight="1">
      <c r="A437" t="inlineStr">
        <is>
          <t>A 40881-2019</t>
        </is>
      </c>
      <c r="B437" s="1" t="n">
        <v>43697</v>
      </c>
      <c r="C437" s="1" t="n">
        <v>45705</v>
      </c>
      <c r="D437" t="inlineStr">
        <is>
          <t>UPPSALA LÄN</t>
        </is>
      </c>
      <c r="E437" t="inlineStr">
        <is>
          <t>ENKÖPING</t>
        </is>
      </c>
      <c r="G437" t="n">
        <v>21</v>
      </c>
      <c r="H437" t="n">
        <v>0</v>
      </c>
      <c r="I437" t="n">
        <v>1</v>
      </c>
      <c r="J437" t="n">
        <v>0</v>
      </c>
      <c r="K437" t="n">
        <v>0</v>
      </c>
      <c r="L437" t="n">
        <v>0</v>
      </c>
      <c r="M437" t="n">
        <v>0</v>
      </c>
      <c r="N437" t="n">
        <v>0</v>
      </c>
      <c r="O437" t="n">
        <v>0</v>
      </c>
      <c r="P437" t="n">
        <v>0</v>
      </c>
      <c r="Q437" t="n">
        <v>1</v>
      </c>
      <c r="R437" s="2" t="inlineStr">
        <is>
          <t>Rävticka</t>
        </is>
      </c>
      <c r="S437">
        <f>HYPERLINK("https://klasma.github.io/Logging_0381/artfynd/A 40881-2019 artfynd.xlsx", "A 40881-2019")</f>
        <v/>
      </c>
      <c r="T437">
        <f>HYPERLINK("https://klasma.github.io/Logging_0381/kartor/A 40881-2019 karta.png", "A 40881-2019")</f>
        <v/>
      </c>
      <c r="V437">
        <f>HYPERLINK("https://klasma.github.io/Logging_0381/klagomål/A 40881-2019 FSC-klagomål.docx", "A 40881-2019")</f>
        <v/>
      </c>
      <c r="W437">
        <f>HYPERLINK("https://klasma.github.io/Logging_0381/klagomålsmail/A 40881-2019 FSC-klagomål mail.docx", "A 40881-2019")</f>
        <v/>
      </c>
      <c r="X437">
        <f>HYPERLINK("https://klasma.github.io/Logging_0381/tillsyn/A 40881-2019 tillsynsbegäran.docx", "A 40881-2019")</f>
        <v/>
      </c>
      <c r="Y437">
        <f>HYPERLINK("https://klasma.github.io/Logging_0381/tillsynsmail/A 40881-2019 tillsynsbegäran mail.docx", "A 40881-2019")</f>
        <v/>
      </c>
    </row>
    <row r="438" ht="15" customHeight="1">
      <c r="A438" t="inlineStr">
        <is>
          <t>A 42340-2019</t>
        </is>
      </c>
      <c r="B438" s="1" t="n">
        <v>43703</v>
      </c>
      <c r="C438" s="1" t="n">
        <v>45705</v>
      </c>
      <c r="D438" t="inlineStr">
        <is>
          <t>UPPSALA LÄN</t>
        </is>
      </c>
      <c r="E438" t="inlineStr">
        <is>
          <t>ENKÖPING</t>
        </is>
      </c>
      <c r="G438" t="n">
        <v>3.9</v>
      </c>
      <c r="H438" t="n">
        <v>1</v>
      </c>
      <c r="I438" t="n">
        <v>0</v>
      </c>
      <c r="J438" t="n">
        <v>1</v>
      </c>
      <c r="K438" t="n">
        <v>0</v>
      </c>
      <c r="L438" t="n">
        <v>0</v>
      </c>
      <c r="M438" t="n">
        <v>0</v>
      </c>
      <c r="N438" t="n">
        <v>0</v>
      </c>
      <c r="O438" t="n">
        <v>1</v>
      </c>
      <c r="P438" t="n">
        <v>0</v>
      </c>
      <c r="Q438" t="n">
        <v>1</v>
      </c>
      <c r="R438" s="2" t="inlineStr">
        <is>
          <t>Spillkråka</t>
        </is>
      </c>
      <c r="S438">
        <f>HYPERLINK("https://klasma.github.io/Logging_0381/artfynd/A 42340-2019 artfynd.xlsx", "A 42340-2019")</f>
        <v/>
      </c>
      <c r="T438">
        <f>HYPERLINK("https://klasma.github.io/Logging_0381/kartor/A 42340-2019 karta.png", "A 42340-2019")</f>
        <v/>
      </c>
      <c r="V438">
        <f>HYPERLINK("https://klasma.github.io/Logging_0381/klagomål/A 42340-2019 FSC-klagomål.docx", "A 42340-2019")</f>
        <v/>
      </c>
      <c r="W438">
        <f>HYPERLINK("https://klasma.github.io/Logging_0381/klagomålsmail/A 42340-2019 FSC-klagomål mail.docx", "A 42340-2019")</f>
        <v/>
      </c>
      <c r="X438">
        <f>HYPERLINK("https://klasma.github.io/Logging_0381/tillsyn/A 42340-2019 tillsynsbegäran.docx", "A 42340-2019")</f>
        <v/>
      </c>
      <c r="Y438">
        <f>HYPERLINK("https://klasma.github.io/Logging_0381/tillsynsmail/A 42340-2019 tillsynsbegäran mail.docx", "A 42340-2019")</f>
        <v/>
      </c>
      <c r="Z438">
        <f>HYPERLINK("https://klasma.github.io/Logging_0381/fåglar/A 42340-2019 prioriterade fågelarter.docx", "A 42340-2019")</f>
        <v/>
      </c>
    </row>
    <row r="439" ht="15" customHeight="1">
      <c r="A439" t="inlineStr">
        <is>
          <t>A 49081-2019</t>
        </is>
      </c>
      <c r="B439" s="1" t="n">
        <v>43731</v>
      </c>
      <c r="C439" s="1" t="n">
        <v>45705</v>
      </c>
      <c r="D439" t="inlineStr">
        <is>
          <t>UPPSALA LÄN</t>
        </is>
      </c>
      <c r="E439" t="inlineStr">
        <is>
          <t>UPPSALA</t>
        </is>
      </c>
      <c r="G439" t="n">
        <v>14.4</v>
      </c>
      <c r="H439" t="n">
        <v>1</v>
      </c>
      <c r="I439" t="n">
        <v>0</v>
      </c>
      <c r="J439" t="n">
        <v>0</v>
      </c>
      <c r="K439" t="n">
        <v>0</v>
      </c>
      <c r="L439" t="n">
        <v>0</v>
      </c>
      <c r="M439" t="n">
        <v>0</v>
      </c>
      <c r="N439" t="n">
        <v>0</v>
      </c>
      <c r="O439" t="n">
        <v>0</v>
      </c>
      <c r="P439" t="n">
        <v>0</v>
      </c>
      <c r="Q439" t="n">
        <v>1</v>
      </c>
      <c r="R439" s="2" t="inlineStr">
        <is>
          <t>Vanlig padda</t>
        </is>
      </c>
      <c r="S439">
        <f>HYPERLINK("https://klasma.github.io/Logging_0380/artfynd/A 49081-2019 artfynd.xlsx", "A 49081-2019")</f>
        <v/>
      </c>
      <c r="T439">
        <f>HYPERLINK("https://klasma.github.io/Logging_0380/kartor/A 49081-2019 karta.png", "A 49081-2019")</f>
        <v/>
      </c>
      <c r="V439">
        <f>HYPERLINK("https://klasma.github.io/Logging_0380/klagomål/A 49081-2019 FSC-klagomål.docx", "A 49081-2019")</f>
        <v/>
      </c>
      <c r="W439">
        <f>HYPERLINK("https://klasma.github.io/Logging_0380/klagomålsmail/A 49081-2019 FSC-klagomål mail.docx", "A 49081-2019")</f>
        <v/>
      </c>
      <c r="X439">
        <f>HYPERLINK("https://klasma.github.io/Logging_0380/tillsyn/A 49081-2019 tillsynsbegäran.docx", "A 49081-2019")</f>
        <v/>
      </c>
      <c r="Y439">
        <f>HYPERLINK("https://klasma.github.io/Logging_0380/tillsynsmail/A 49081-2019 tillsynsbegäran mail.docx", "A 49081-2019")</f>
        <v/>
      </c>
    </row>
    <row r="440" ht="15" customHeight="1">
      <c r="A440" t="inlineStr">
        <is>
          <t>A 49060-2019</t>
        </is>
      </c>
      <c r="B440" s="1" t="n">
        <v>43731</v>
      </c>
      <c r="C440" s="1" t="n">
        <v>45705</v>
      </c>
      <c r="D440" t="inlineStr">
        <is>
          <t>UPPSALA LÄN</t>
        </is>
      </c>
      <c r="E440" t="inlineStr">
        <is>
          <t>ENKÖPING</t>
        </is>
      </c>
      <c r="F440" t="inlineStr">
        <is>
          <t>Kyrkan</t>
        </is>
      </c>
      <c r="G440" t="n">
        <v>1.5</v>
      </c>
      <c r="H440" t="n">
        <v>0</v>
      </c>
      <c r="I440" t="n">
        <v>0</v>
      </c>
      <c r="J440" t="n">
        <v>1</v>
      </c>
      <c r="K440" t="n">
        <v>0</v>
      </c>
      <c r="L440" t="n">
        <v>0</v>
      </c>
      <c r="M440" t="n">
        <v>0</v>
      </c>
      <c r="N440" t="n">
        <v>0</v>
      </c>
      <c r="O440" t="n">
        <v>1</v>
      </c>
      <c r="P440" t="n">
        <v>0</v>
      </c>
      <c r="Q440" t="n">
        <v>1</v>
      </c>
      <c r="R440" s="2" t="inlineStr">
        <is>
          <t>Backtimjan</t>
        </is>
      </c>
      <c r="S440">
        <f>HYPERLINK("https://klasma.github.io/Logging_0381/artfynd/A 49060-2019 artfynd.xlsx", "A 49060-2019")</f>
        <v/>
      </c>
      <c r="T440">
        <f>HYPERLINK("https://klasma.github.io/Logging_0381/kartor/A 49060-2019 karta.png", "A 49060-2019")</f>
        <v/>
      </c>
      <c r="V440">
        <f>HYPERLINK("https://klasma.github.io/Logging_0381/klagomål/A 49060-2019 FSC-klagomål.docx", "A 49060-2019")</f>
        <v/>
      </c>
      <c r="W440">
        <f>HYPERLINK("https://klasma.github.io/Logging_0381/klagomålsmail/A 49060-2019 FSC-klagomål mail.docx", "A 49060-2019")</f>
        <v/>
      </c>
      <c r="X440">
        <f>HYPERLINK("https://klasma.github.io/Logging_0381/tillsyn/A 49060-2019 tillsynsbegäran.docx", "A 49060-2019")</f>
        <v/>
      </c>
      <c r="Y440">
        <f>HYPERLINK("https://klasma.github.io/Logging_0381/tillsynsmail/A 49060-2019 tillsynsbegäran mail.docx", "A 49060-2019")</f>
        <v/>
      </c>
    </row>
    <row r="441" ht="15" customHeight="1">
      <c r="A441" t="inlineStr">
        <is>
          <t>A 52004-2019</t>
        </is>
      </c>
      <c r="B441" s="1" t="n">
        <v>43742</v>
      </c>
      <c r="C441" s="1" t="n">
        <v>45705</v>
      </c>
      <c r="D441" t="inlineStr">
        <is>
          <t>UPPSALA LÄN</t>
        </is>
      </c>
      <c r="E441" t="inlineStr">
        <is>
          <t>ÖSTHAMMAR</t>
        </is>
      </c>
      <c r="G441" t="n">
        <v>2.5</v>
      </c>
      <c r="H441" t="n">
        <v>1</v>
      </c>
      <c r="I441" t="n">
        <v>0</v>
      </c>
      <c r="J441" t="n">
        <v>0</v>
      </c>
      <c r="K441" t="n">
        <v>0</v>
      </c>
      <c r="L441" t="n">
        <v>0</v>
      </c>
      <c r="M441" t="n">
        <v>0</v>
      </c>
      <c r="N441" t="n">
        <v>0</v>
      </c>
      <c r="O441" t="n">
        <v>0</v>
      </c>
      <c r="P441" t="n">
        <v>0</v>
      </c>
      <c r="Q441" t="n">
        <v>1</v>
      </c>
      <c r="R441" s="2" t="inlineStr">
        <is>
          <t>Revlummer</t>
        </is>
      </c>
      <c r="S441">
        <f>HYPERLINK("https://klasma.github.io/Logging_0382/artfynd/A 52004-2019 artfynd.xlsx", "A 52004-2019")</f>
        <v/>
      </c>
      <c r="T441">
        <f>HYPERLINK("https://klasma.github.io/Logging_0382/kartor/A 52004-2019 karta.png", "A 52004-2019")</f>
        <v/>
      </c>
      <c r="V441">
        <f>HYPERLINK("https://klasma.github.io/Logging_0382/klagomål/A 52004-2019 FSC-klagomål.docx", "A 52004-2019")</f>
        <v/>
      </c>
      <c r="W441">
        <f>HYPERLINK("https://klasma.github.io/Logging_0382/klagomålsmail/A 52004-2019 FSC-klagomål mail.docx", "A 52004-2019")</f>
        <v/>
      </c>
      <c r="X441">
        <f>HYPERLINK("https://klasma.github.io/Logging_0382/tillsyn/A 52004-2019 tillsynsbegäran.docx", "A 52004-2019")</f>
        <v/>
      </c>
      <c r="Y441">
        <f>HYPERLINK("https://klasma.github.io/Logging_0382/tillsynsmail/A 52004-2019 tillsynsbegäran mail.docx", "A 52004-2019")</f>
        <v/>
      </c>
    </row>
    <row r="442" ht="15" customHeight="1">
      <c r="A442" t="inlineStr">
        <is>
          <t>A 54859-2019</t>
        </is>
      </c>
      <c r="B442" s="1" t="n">
        <v>43755</v>
      </c>
      <c r="C442" s="1" t="n">
        <v>45705</v>
      </c>
      <c r="D442" t="inlineStr">
        <is>
          <t>UPPSALA LÄN</t>
        </is>
      </c>
      <c r="E442" t="inlineStr">
        <is>
          <t>UPPSALA</t>
        </is>
      </c>
      <c r="G442" t="n">
        <v>2.4</v>
      </c>
      <c r="H442" t="n">
        <v>1</v>
      </c>
      <c r="I442" t="n">
        <v>0</v>
      </c>
      <c r="J442" t="n">
        <v>1</v>
      </c>
      <c r="K442" t="n">
        <v>0</v>
      </c>
      <c r="L442" t="n">
        <v>0</v>
      </c>
      <c r="M442" t="n">
        <v>0</v>
      </c>
      <c r="N442" t="n">
        <v>0</v>
      </c>
      <c r="O442" t="n">
        <v>1</v>
      </c>
      <c r="P442" t="n">
        <v>0</v>
      </c>
      <c r="Q442" t="n">
        <v>1</v>
      </c>
      <c r="R442" s="2" t="inlineStr">
        <is>
          <t>Slaguggla</t>
        </is>
      </c>
      <c r="S442">
        <f>HYPERLINK("https://klasma.github.io/Logging_0380/artfynd/A 54859-2019 artfynd.xlsx", "A 54859-2019")</f>
        <v/>
      </c>
      <c r="T442">
        <f>HYPERLINK("https://klasma.github.io/Logging_0380/kartor/A 54859-2019 karta.png", "A 54859-2019")</f>
        <v/>
      </c>
      <c r="V442">
        <f>HYPERLINK("https://klasma.github.io/Logging_0380/klagomål/A 54859-2019 FSC-klagomål.docx", "A 54859-2019")</f>
        <v/>
      </c>
      <c r="W442">
        <f>HYPERLINK("https://klasma.github.io/Logging_0380/klagomålsmail/A 54859-2019 FSC-klagomål mail.docx", "A 54859-2019")</f>
        <v/>
      </c>
      <c r="X442">
        <f>HYPERLINK("https://klasma.github.io/Logging_0380/tillsyn/A 54859-2019 tillsynsbegäran.docx", "A 54859-2019")</f>
        <v/>
      </c>
      <c r="Y442">
        <f>HYPERLINK("https://klasma.github.io/Logging_0380/tillsynsmail/A 54859-2019 tillsynsbegäran mail.docx", "A 54859-2019")</f>
        <v/>
      </c>
      <c r="Z442">
        <f>HYPERLINK("https://klasma.github.io/Logging_0380/fåglar/A 54859-2019 prioriterade fågelarter.docx", "A 54859-2019")</f>
        <v/>
      </c>
    </row>
    <row r="443" ht="15" customHeight="1">
      <c r="A443" t="inlineStr">
        <is>
          <t>A 61147-2019</t>
        </is>
      </c>
      <c r="B443" s="1" t="n">
        <v>43782</v>
      </c>
      <c r="C443" s="1" t="n">
        <v>45705</v>
      </c>
      <c r="D443" t="inlineStr">
        <is>
          <t>UPPSALA LÄN</t>
        </is>
      </c>
      <c r="E443" t="inlineStr">
        <is>
          <t>ÄLVKARLEBY</t>
        </is>
      </c>
      <c r="F443" t="inlineStr">
        <is>
          <t>Bergvik skog väst AB</t>
        </is>
      </c>
      <c r="G443" t="n">
        <v>0.9</v>
      </c>
      <c r="H443" t="n">
        <v>0</v>
      </c>
      <c r="I443" t="n">
        <v>0</v>
      </c>
      <c r="J443" t="n">
        <v>0</v>
      </c>
      <c r="K443" t="n">
        <v>1</v>
      </c>
      <c r="L443" t="n">
        <v>0</v>
      </c>
      <c r="M443" t="n">
        <v>0</v>
      </c>
      <c r="N443" t="n">
        <v>0</v>
      </c>
      <c r="O443" t="n">
        <v>1</v>
      </c>
      <c r="P443" t="n">
        <v>1</v>
      </c>
      <c r="Q443" t="n">
        <v>1</v>
      </c>
      <c r="R443" s="2" t="inlineStr">
        <is>
          <t>Violgubbe</t>
        </is>
      </c>
      <c r="S443">
        <f>HYPERLINK("https://klasma.github.io/Logging_0319/artfynd/A 61147-2019 artfynd.xlsx", "A 61147-2019")</f>
        <v/>
      </c>
      <c r="T443">
        <f>HYPERLINK("https://klasma.github.io/Logging_0319/kartor/A 61147-2019 karta.png", "A 61147-2019")</f>
        <v/>
      </c>
      <c r="V443">
        <f>HYPERLINK("https://klasma.github.io/Logging_0319/klagomål/A 61147-2019 FSC-klagomål.docx", "A 61147-2019")</f>
        <v/>
      </c>
      <c r="W443">
        <f>HYPERLINK("https://klasma.github.io/Logging_0319/klagomålsmail/A 61147-2019 FSC-klagomål mail.docx", "A 61147-2019")</f>
        <v/>
      </c>
      <c r="X443">
        <f>HYPERLINK("https://klasma.github.io/Logging_0319/tillsyn/A 61147-2019 tillsynsbegäran.docx", "A 61147-2019")</f>
        <v/>
      </c>
      <c r="Y443">
        <f>HYPERLINK("https://klasma.github.io/Logging_0319/tillsynsmail/A 61147-2019 tillsynsbegäran mail.docx", "A 61147-2019")</f>
        <v/>
      </c>
    </row>
    <row r="444" ht="15" customHeight="1">
      <c r="A444" t="inlineStr">
        <is>
          <t>A 2391-2020</t>
        </is>
      </c>
      <c r="B444" s="1" t="n">
        <v>43847</v>
      </c>
      <c r="C444" s="1" t="n">
        <v>45705</v>
      </c>
      <c r="D444" t="inlineStr">
        <is>
          <t>UPPSALA LÄN</t>
        </is>
      </c>
      <c r="E444" t="inlineStr">
        <is>
          <t>TIERP</t>
        </is>
      </c>
      <c r="G444" t="n">
        <v>1.7</v>
      </c>
      <c r="H444" t="n">
        <v>0</v>
      </c>
      <c r="I444" t="n">
        <v>0</v>
      </c>
      <c r="J444" t="n">
        <v>1</v>
      </c>
      <c r="K444" t="n">
        <v>0</v>
      </c>
      <c r="L444" t="n">
        <v>0</v>
      </c>
      <c r="M444" t="n">
        <v>0</v>
      </c>
      <c r="N444" t="n">
        <v>0</v>
      </c>
      <c r="O444" t="n">
        <v>1</v>
      </c>
      <c r="P444" t="n">
        <v>0</v>
      </c>
      <c r="Q444" t="n">
        <v>1</v>
      </c>
      <c r="R444" s="2" t="inlineStr">
        <is>
          <t>Äggspindling</t>
        </is>
      </c>
      <c r="S444">
        <f>HYPERLINK("https://klasma.github.io/Logging_0360/artfynd/A 2391-2020 artfynd.xlsx", "A 2391-2020")</f>
        <v/>
      </c>
      <c r="T444">
        <f>HYPERLINK("https://klasma.github.io/Logging_0360/kartor/A 2391-2020 karta.png", "A 2391-2020")</f>
        <v/>
      </c>
      <c r="V444">
        <f>HYPERLINK("https://klasma.github.io/Logging_0360/klagomål/A 2391-2020 FSC-klagomål.docx", "A 2391-2020")</f>
        <v/>
      </c>
      <c r="W444">
        <f>HYPERLINK("https://klasma.github.io/Logging_0360/klagomålsmail/A 2391-2020 FSC-klagomål mail.docx", "A 2391-2020")</f>
        <v/>
      </c>
      <c r="X444">
        <f>HYPERLINK("https://klasma.github.io/Logging_0360/tillsyn/A 2391-2020 tillsynsbegäran.docx", "A 2391-2020")</f>
        <v/>
      </c>
      <c r="Y444">
        <f>HYPERLINK("https://klasma.github.io/Logging_0360/tillsynsmail/A 2391-2020 tillsynsbegäran mail.docx", "A 2391-2020")</f>
        <v/>
      </c>
    </row>
    <row r="445" ht="15" customHeight="1">
      <c r="A445" t="inlineStr">
        <is>
          <t>A 2835-2020</t>
        </is>
      </c>
      <c r="B445" s="1" t="n">
        <v>43850</v>
      </c>
      <c r="C445" s="1" t="n">
        <v>45705</v>
      </c>
      <c r="D445" t="inlineStr">
        <is>
          <t>UPPSALA LÄN</t>
        </is>
      </c>
      <c r="E445" t="inlineStr">
        <is>
          <t>TIERP</t>
        </is>
      </c>
      <c r="G445" t="n">
        <v>7.6</v>
      </c>
      <c r="H445" t="n">
        <v>0</v>
      </c>
      <c r="I445" t="n">
        <v>1</v>
      </c>
      <c r="J445" t="n">
        <v>0</v>
      </c>
      <c r="K445" t="n">
        <v>0</v>
      </c>
      <c r="L445" t="n">
        <v>0</v>
      </c>
      <c r="M445" t="n">
        <v>0</v>
      </c>
      <c r="N445" t="n">
        <v>0</v>
      </c>
      <c r="O445" t="n">
        <v>0</v>
      </c>
      <c r="P445" t="n">
        <v>0</v>
      </c>
      <c r="Q445" t="n">
        <v>1</v>
      </c>
      <c r="R445" s="2" t="inlineStr">
        <is>
          <t>Kamjordstjärna</t>
        </is>
      </c>
      <c r="S445">
        <f>HYPERLINK("https://klasma.github.io/Logging_0360/artfynd/A 2835-2020 artfynd.xlsx", "A 2835-2020")</f>
        <v/>
      </c>
      <c r="T445">
        <f>HYPERLINK("https://klasma.github.io/Logging_0360/kartor/A 2835-2020 karta.png", "A 2835-2020")</f>
        <v/>
      </c>
      <c r="V445">
        <f>HYPERLINK("https://klasma.github.io/Logging_0360/klagomål/A 2835-2020 FSC-klagomål.docx", "A 2835-2020")</f>
        <v/>
      </c>
      <c r="W445">
        <f>HYPERLINK("https://klasma.github.io/Logging_0360/klagomålsmail/A 2835-2020 FSC-klagomål mail.docx", "A 2835-2020")</f>
        <v/>
      </c>
      <c r="X445">
        <f>HYPERLINK("https://klasma.github.io/Logging_0360/tillsyn/A 2835-2020 tillsynsbegäran.docx", "A 2835-2020")</f>
        <v/>
      </c>
      <c r="Y445">
        <f>HYPERLINK("https://klasma.github.io/Logging_0360/tillsynsmail/A 2835-2020 tillsynsbegäran mail.docx", "A 2835-2020")</f>
        <v/>
      </c>
    </row>
    <row r="446" ht="15" customHeight="1">
      <c r="A446" t="inlineStr">
        <is>
          <t>A 3015-2020</t>
        </is>
      </c>
      <c r="B446" s="1" t="n">
        <v>43851</v>
      </c>
      <c r="C446" s="1" t="n">
        <v>45705</v>
      </c>
      <c r="D446" t="inlineStr">
        <is>
          <t>UPPSALA LÄN</t>
        </is>
      </c>
      <c r="E446" t="inlineStr">
        <is>
          <t>HEBY</t>
        </is>
      </c>
      <c r="G446" t="n">
        <v>2.8</v>
      </c>
      <c r="H446" t="n">
        <v>0</v>
      </c>
      <c r="I446" t="n">
        <v>0</v>
      </c>
      <c r="J446" t="n">
        <v>0</v>
      </c>
      <c r="K446" t="n">
        <v>0</v>
      </c>
      <c r="L446" t="n">
        <v>1</v>
      </c>
      <c r="M446" t="n">
        <v>0</v>
      </c>
      <c r="N446" t="n">
        <v>0</v>
      </c>
      <c r="O446" t="n">
        <v>1</v>
      </c>
      <c r="P446" t="n">
        <v>1</v>
      </c>
      <c r="Q446" t="n">
        <v>1</v>
      </c>
      <c r="R446" s="2" t="inlineStr">
        <is>
          <t>Ask</t>
        </is>
      </c>
      <c r="S446">
        <f>HYPERLINK("https://klasma.github.io/Logging_0331/artfynd/A 3015-2020 artfynd.xlsx", "A 3015-2020")</f>
        <v/>
      </c>
      <c r="T446">
        <f>HYPERLINK("https://klasma.github.io/Logging_0331/kartor/A 3015-2020 karta.png", "A 3015-2020")</f>
        <v/>
      </c>
      <c r="V446">
        <f>HYPERLINK("https://klasma.github.io/Logging_0331/klagomål/A 3015-2020 FSC-klagomål.docx", "A 3015-2020")</f>
        <v/>
      </c>
      <c r="W446">
        <f>HYPERLINK("https://klasma.github.io/Logging_0331/klagomålsmail/A 3015-2020 FSC-klagomål mail.docx", "A 3015-2020")</f>
        <v/>
      </c>
      <c r="X446">
        <f>HYPERLINK("https://klasma.github.io/Logging_0331/tillsyn/A 3015-2020 tillsynsbegäran.docx", "A 3015-2020")</f>
        <v/>
      </c>
      <c r="Y446">
        <f>HYPERLINK("https://klasma.github.io/Logging_0331/tillsynsmail/A 3015-2020 tillsynsbegäran mail.docx", "A 3015-2020")</f>
        <v/>
      </c>
    </row>
    <row r="447" ht="15" customHeight="1">
      <c r="A447" t="inlineStr">
        <is>
          <t>A 3725-2020</t>
        </is>
      </c>
      <c r="B447" s="1" t="n">
        <v>43853</v>
      </c>
      <c r="C447" s="1" t="n">
        <v>45705</v>
      </c>
      <c r="D447" t="inlineStr">
        <is>
          <t>UPPSALA LÄN</t>
        </is>
      </c>
      <c r="E447" t="inlineStr">
        <is>
          <t>HEBY</t>
        </is>
      </c>
      <c r="G447" t="n">
        <v>29.6</v>
      </c>
      <c r="H447" t="n">
        <v>0</v>
      </c>
      <c r="I447" t="n">
        <v>0</v>
      </c>
      <c r="J447" t="n">
        <v>1</v>
      </c>
      <c r="K447" t="n">
        <v>0</v>
      </c>
      <c r="L447" t="n">
        <v>0</v>
      </c>
      <c r="M447" t="n">
        <v>0</v>
      </c>
      <c r="N447" t="n">
        <v>0</v>
      </c>
      <c r="O447" t="n">
        <v>1</v>
      </c>
      <c r="P447" t="n">
        <v>0</v>
      </c>
      <c r="Q447" t="n">
        <v>1</v>
      </c>
      <c r="R447" s="2" t="inlineStr">
        <is>
          <t>Brunklöver</t>
        </is>
      </c>
      <c r="S447">
        <f>HYPERLINK("https://klasma.github.io/Logging_0331/artfynd/A 3725-2020 artfynd.xlsx", "A 3725-2020")</f>
        <v/>
      </c>
      <c r="T447">
        <f>HYPERLINK("https://klasma.github.io/Logging_0331/kartor/A 3725-2020 karta.png", "A 3725-2020")</f>
        <v/>
      </c>
      <c r="V447">
        <f>HYPERLINK("https://klasma.github.io/Logging_0331/klagomål/A 3725-2020 FSC-klagomål.docx", "A 3725-2020")</f>
        <v/>
      </c>
      <c r="W447">
        <f>HYPERLINK("https://klasma.github.io/Logging_0331/klagomålsmail/A 3725-2020 FSC-klagomål mail.docx", "A 3725-2020")</f>
        <v/>
      </c>
      <c r="X447">
        <f>HYPERLINK("https://klasma.github.io/Logging_0331/tillsyn/A 3725-2020 tillsynsbegäran.docx", "A 3725-2020")</f>
        <v/>
      </c>
      <c r="Y447">
        <f>HYPERLINK("https://klasma.github.io/Logging_0331/tillsynsmail/A 3725-2020 tillsynsbegäran mail.docx", "A 3725-2020")</f>
        <v/>
      </c>
    </row>
    <row r="448" ht="15" customHeight="1">
      <c r="A448" t="inlineStr">
        <is>
          <t>A 5316-2020</t>
        </is>
      </c>
      <c r="B448" s="1" t="n">
        <v>43860</v>
      </c>
      <c r="C448" s="1" t="n">
        <v>45705</v>
      </c>
      <c r="D448" t="inlineStr">
        <is>
          <t>UPPSALA LÄN</t>
        </is>
      </c>
      <c r="E448" t="inlineStr">
        <is>
          <t>TIERP</t>
        </is>
      </c>
      <c r="F448" t="inlineStr">
        <is>
          <t>Bergvik skog väst AB</t>
        </is>
      </c>
      <c r="G448" t="n">
        <v>18.2</v>
      </c>
      <c r="H448" t="n">
        <v>1</v>
      </c>
      <c r="I448" t="n">
        <v>0</v>
      </c>
      <c r="J448" t="n">
        <v>1</v>
      </c>
      <c r="K448" t="n">
        <v>0</v>
      </c>
      <c r="L448" t="n">
        <v>0</v>
      </c>
      <c r="M448" t="n">
        <v>0</v>
      </c>
      <c r="N448" t="n">
        <v>0</v>
      </c>
      <c r="O448" t="n">
        <v>1</v>
      </c>
      <c r="P448" t="n">
        <v>0</v>
      </c>
      <c r="Q448" t="n">
        <v>1</v>
      </c>
      <c r="R448" s="2" t="inlineStr">
        <is>
          <t>Spillkråka</t>
        </is>
      </c>
      <c r="S448">
        <f>HYPERLINK("https://klasma.github.io/Logging_0360/artfynd/A 5316-2020 artfynd.xlsx", "A 5316-2020")</f>
        <v/>
      </c>
      <c r="T448">
        <f>HYPERLINK("https://klasma.github.io/Logging_0360/kartor/A 5316-2020 karta.png", "A 5316-2020")</f>
        <v/>
      </c>
      <c r="V448">
        <f>HYPERLINK("https://klasma.github.io/Logging_0360/klagomål/A 5316-2020 FSC-klagomål.docx", "A 5316-2020")</f>
        <v/>
      </c>
      <c r="W448">
        <f>HYPERLINK("https://klasma.github.io/Logging_0360/klagomålsmail/A 5316-2020 FSC-klagomål mail.docx", "A 5316-2020")</f>
        <v/>
      </c>
      <c r="X448">
        <f>HYPERLINK("https://klasma.github.io/Logging_0360/tillsyn/A 5316-2020 tillsynsbegäran.docx", "A 5316-2020")</f>
        <v/>
      </c>
      <c r="Y448">
        <f>HYPERLINK("https://klasma.github.io/Logging_0360/tillsynsmail/A 5316-2020 tillsynsbegäran mail.docx", "A 5316-2020")</f>
        <v/>
      </c>
      <c r="Z448">
        <f>HYPERLINK("https://klasma.github.io/Logging_0360/fåglar/A 5316-2020 prioriterade fågelarter.docx", "A 5316-2020")</f>
        <v/>
      </c>
    </row>
    <row r="449" ht="15" customHeight="1">
      <c r="A449" t="inlineStr">
        <is>
          <t>A 6075-2020</t>
        </is>
      </c>
      <c r="B449" s="1" t="n">
        <v>43865</v>
      </c>
      <c r="C449" s="1" t="n">
        <v>45705</v>
      </c>
      <c r="D449" t="inlineStr">
        <is>
          <t>UPPSALA LÄN</t>
        </is>
      </c>
      <c r="E449" t="inlineStr">
        <is>
          <t>ENKÖPING</t>
        </is>
      </c>
      <c r="G449" t="n">
        <v>7.3</v>
      </c>
      <c r="H449" t="n">
        <v>1</v>
      </c>
      <c r="I449" t="n">
        <v>0</v>
      </c>
      <c r="J449" t="n">
        <v>0</v>
      </c>
      <c r="K449" t="n">
        <v>0</v>
      </c>
      <c r="L449" t="n">
        <v>0</v>
      </c>
      <c r="M449" t="n">
        <v>0</v>
      </c>
      <c r="N449" t="n">
        <v>0</v>
      </c>
      <c r="O449" t="n">
        <v>0</v>
      </c>
      <c r="P449" t="n">
        <v>0</v>
      </c>
      <c r="Q449" t="n">
        <v>1</v>
      </c>
      <c r="R449" s="2" t="inlineStr">
        <is>
          <t>Tjäder</t>
        </is>
      </c>
      <c r="S449">
        <f>HYPERLINK("https://klasma.github.io/Logging_0381/artfynd/A 6075-2020 artfynd.xlsx", "A 6075-2020")</f>
        <v/>
      </c>
      <c r="T449">
        <f>HYPERLINK("https://klasma.github.io/Logging_0381/kartor/A 6075-2020 karta.png", "A 6075-2020")</f>
        <v/>
      </c>
      <c r="V449">
        <f>HYPERLINK("https://klasma.github.io/Logging_0381/klagomål/A 6075-2020 FSC-klagomål.docx", "A 6075-2020")</f>
        <v/>
      </c>
      <c r="W449">
        <f>HYPERLINK("https://klasma.github.io/Logging_0381/klagomålsmail/A 6075-2020 FSC-klagomål mail.docx", "A 6075-2020")</f>
        <v/>
      </c>
      <c r="X449">
        <f>HYPERLINK("https://klasma.github.io/Logging_0381/tillsyn/A 6075-2020 tillsynsbegäran.docx", "A 6075-2020")</f>
        <v/>
      </c>
      <c r="Y449">
        <f>HYPERLINK("https://klasma.github.io/Logging_0381/tillsynsmail/A 6075-2020 tillsynsbegäran mail.docx", "A 6075-2020")</f>
        <v/>
      </c>
      <c r="Z449">
        <f>HYPERLINK("https://klasma.github.io/Logging_0381/fåglar/A 6075-2020 prioriterade fågelarter.docx", "A 6075-2020")</f>
        <v/>
      </c>
    </row>
    <row r="450" ht="15" customHeight="1">
      <c r="A450" t="inlineStr">
        <is>
          <t>A 6659-2020</t>
        </is>
      </c>
      <c r="B450" s="1" t="n">
        <v>43867</v>
      </c>
      <c r="C450" s="1" t="n">
        <v>45705</v>
      </c>
      <c r="D450" t="inlineStr">
        <is>
          <t>UPPSALA LÄN</t>
        </is>
      </c>
      <c r="E450" t="inlineStr">
        <is>
          <t>UPPSALA</t>
        </is>
      </c>
      <c r="G450" t="n">
        <v>3.4</v>
      </c>
      <c r="H450" t="n">
        <v>1</v>
      </c>
      <c r="I450" t="n">
        <v>0</v>
      </c>
      <c r="J450" t="n">
        <v>0</v>
      </c>
      <c r="K450" t="n">
        <v>0</v>
      </c>
      <c r="L450" t="n">
        <v>0</v>
      </c>
      <c r="M450" t="n">
        <v>0</v>
      </c>
      <c r="N450" t="n">
        <v>0</v>
      </c>
      <c r="O450" t="n">
        <v>0</v>
      </c>
      <c r="P450" t="n">
        <v>0</v>
      </c>
      <c r="Q450" t="n">
        <v>1</v>
      </c>
      <c r="R450" s="2" t="inlineStr">
        <is>
          <t>Mindre vattensalamander</t>
        </is>
      </c>
      <c r="S450">
        <f>HYPERLINK("https://klasma.github.io/Logging_0380/artfynd/A 6659-2020 artfynd.xlsx", "A 6659-2020")</f>
        <v/>
      </c>
      <c r="T450">
        <f>HYPERLINK("https://klasma.github.io/Logging_0380/kartor/A 6659-2020 karta.png", "A 6659-2020")</f>
        <v/>
      </c>
      <c r="V450">
        <f>HYPERLINK("https://klasma.github.io/Logging_0380/klagomål/A 6659-2020 FSC-klagomål.docx", "A 6659-2020")</f>
        <v/>
      </c>
      <c r="W450">
        <f>HYPERLINK("https://klasma.github.io/Logging_0380/klagomålsmail/A 6659-2020 FSC-klagomål mail.docx", "A 6659-2020")</f>
        <v/>
      </c>
      <c r="X450">
        <f>HYPERLINK("https://klasma.github.io/Logging_0380/tillsyn/A 6659-2020 tillsynsbegäran.docx", "A 6659-2020")</f>
        <v/>
      </c>
      <c r="Y450">
        <f>HYPERLINK("https://klasma.github.io/Logging_0380/tillsynsmail/A 6659-2020 tillsynsbegäran mail.docx", "A 6659-2020")</f>
        <v/>
      </c>
    </row>
    <row r="451" ht="15" customHeight="1">
      <c r="A451" t="inlineStr">
        <is>
          <t>A 12786-2020</t>
        </is>
      </c>
      <c r="B451" s="1" t="n">
        <v>43893</v>
      </c>
      <c r="C451" s="1" t="n">
        <v>45705</v>
      </c>
      <c r="D451" t="inlineStr">
        <is>
          <t>UPPSALA LÄN</t>
        </is>
      </c>
      <c r="E451" t="inlineStr">
        <is>
          <t>UPPSALA</t>
        </is>
      </c>
      <c r="G451" t="n">
        <v>1</v>
      </c>
      <c r="H451" t="n">
        <v>1</v>
      </c>
      <c r="I451" t="n">
        <v>0</v>
      </c>
      <c r="J451" t="n">
        <v>0</v>
      </c>
      <c r="K451" t="n">
        <v>0</v>
      </c>
      <c r="L451" t="n">
        <v>0</v>
      </c>
      <c r="M451" t="n">
        <v>0</v>
      </c>
      <c r="N451" t="n">
        <v>0</v>
      </c>
      <c r="O451" t="n">
        <v>0</v>
      </c>
      <c r="P451" t="n">
        <v>0</v>
      </c>
      <c r="Q451" t="n">
        <v>1</v>
      </c>
      <c r="R451" s="2" t="inlineStr">
        <is>
          <t>Blåsippa</t>
        </is>
      </c>
      <c r="S451">
        <f>HYPERLINK("https://klasma.github.io/Logging_0380/artfynd/A 12786-2020 artfynd.xlsx", "A 12786-2020")</f>
        <v/>
      </c>
      <c r="T451">
        <f>HYPERLINK("https://klasma.github.io/Logging_0380/kartor/A 12786-2020 karta.png", "A 12786-2020")</f>
        <v/>
      </c>
      <c r="V451">
        <f>HYPERLINK("https://klasma.github.io/Logging_0380/klagomål/A 12786-2020 FSC-klagomål.docx", "A 12786-2020")</f>
        <v/>
      </c>
      <c r="W451">
        <f>HYPERLINK("https://klasma.github.io/Logging_0380/klagomålsmail/A 12786-2020 FSC-klagomål mail.docx", "A 12786-2020")</f>
        <v/>
      </c>
      <c r="X451">
        <f>HYPERLINK("https://klasma.github.io/Logging_0380/tillsyn/A 12786-2020 tillsynsbegäran.docx", "A 12786-2020")</f>
        <v/>
      </c>
      <c r="Y451">
        <f>HYPERLINK("https://klasma.github.io/Logging_0380/tillsynsmail/A 12786-2020 tillsynsbegäran mail.docx", "A 12786-2020")</f>
        <v/>
      </c>
    </row>
    <row r="452" ht="15" customHeight="1">
      <c r="A452" t="inlineStr">
        <is>
          <t>A 13172-2020</t>
        </is>
      </c>
      <c r="B452" s="1" t="n">
        <v>43901</v>
      </c>
      <c r="C452" s="1" t="n">
        <v>45705</v>
      </c>
      <c r="D452" t="inlineStr">
        <is>
          <t>UPPSALA LÄN</t>
        </is>
      </c>
      <c r="E452" t="inlineStr">
        <is>
          <t>HEBY</t>
        </is>
      </c>
      <c r="F452" t="inlineStr">
        <is>
          <t>Kyrkan</t>
        </is>
      </c>
      <c r="G452" t="n">
        <v>2.7</v>
      </c>
      <c r="H452" t="n">
        <v>1</v>
      </c>
      <c r="I452" t="n">
        <v>0</v>
      </c>
      <c r="J452" t="n">
        <v>0</v>
      </c>
      <c r="K452" t="n">
        <v>0</v>
      </c>
      <c r="L452" t="n">
        <v>0</v>
      </c>
      <c r="M452" t="n">
        <v>0</v>
      </c>
      <c r="N452" t="n">
        <v>0</v>
      </c>
      <c r="O452" t="n">
        <v>0</v>
      </c>
      <c r="P452" t="n">
        <v>0</v>
      </c>
      <c r="Q452" t="n">
        <v>1</v>
      </c>
      <c r="R452" s="2" t="inlineStr">
        <is>
          <t>Nattviol</t>
        </is>
      </c>
      <c r="S452">
        <f>HYPERLINK("https://klasma.github.io/Logging_0331/artfynd/A 13172-2020 artfynd.xlsx", "A 13172-2020")</f>
        <v/>
      </c>
      <c r="T452">
        <f>HYPERLINK("https://klasma.github.io/Logging_0331/kartor/A 13172-2020 karta.png", "A 13172-2020")</f>
        <v/>
      </c>
      <c r="V452">
        <f>HYPERLINK("https://klasma.github.io/Logging_0331/klagomål/A 13172-2020 FSC-klagomål.docx", "A 13172-2020")</f>
        <v/>
      </c>
      <c r="W452">
        <f>HYPERLINK("https://klasma.github.io/Logging_0331/klagomålsmail/A 13172-2020 FSC-klagomål mail.docx", "A 13172-2020")</f>
        <v/>
      </c>
      <c r="X452">
        <f>HYPERLINK("https://klasma.github.io/Logging_0331/tillsyn/A 13172-2020 tillsynsbegäran.docx", "A 13172-2020")</f>
        <v/>
      </c>
      <c r="Y452">
        <f>HYPERLINK("https://klasma.github.io/Logging_0331/tillsynsmail/A 13172-2020 tillsynsbegäran mail.docx", "A 13172-2020")</f>
        <v/>
      </c>
    </row>
    <row r="453" ht="15" customHeight="1">
      <c r="A453" t="inlineStr">
        <is>
          <t>A 14008-2020</t>
        </is>
      </c>
      <c r="B453" s="1" t="n">
        <v>43906</v>
      </c>
      <c r="C453" s="1" t="n">
        <v>45705</v>
      </c>
      <c r="D453" t="inlineStr">
        <is>
          <t>UPPSALA LÄN</t>
        </is>
      </c>
      <c r="E453" t="inlineStr">
        <is>
          <t>TIERP</t>
        </is>
      </c>
      <c r="G453" t="n">
        <v>22.3</v>
      </c>
      <c r="H453" t="n">
        <v>1</v>
      </c>
      <c r="I453" t="n">
        <v>0</v>
      </c>
      <c r="J453" t="n">
        <v>0</v>
      </c>
      <c r="K453" t="n">
        <v>0</v>
      </c>
      <c r="L453" t="n">
        <v>0</v>
      </c>
      <c r="M453" t="n">
        <v>0</v>
      </c>
      <c r="N453" t="n">
        <v>0</v>
      </c>
      <c r="O453" t="n">
        <v>0</v>
      </c>
      <c r="P453" t="n">
        <v>0</v>
      </c>
      <c r="Q453" t="n">
        <v>1</v>
      </c>
      <c r="R453" s="2" t="inlineStr">
        <is>
          <t>Revlummer</t>
        </is>
      </c>
      <c r="S453">
        <f>HYPERLINK("https://klasma.github.io/Logging_0360/artfynd/A 14008-2020 artfynd.xlsx", "A 14008-2020")</f>
        <v/>
      </c>
      <c r="T453">
        <f>HYPERLINK("https://klasma.github.io/Logging_0360/kartor/A 14008-2020 karta.png", "A 14008-2020")</f>
        <v/>
      </c>
      <c r="V453">
        <f>HYPERLINK("https://klasma.github.io/Logging_0360/klagomål/A 14008-2020 FSC-klagomål.docx", "A 14008-2020")</f>
        <v/>
      </c>
      <c r="W453">
        <f>HYPERLINK("https://klasma.github.io/Logging_0360/klagomålsmail/A 14008-2020 FSC-klagomål mail.docx", "A 14008-2020")</f>
        <v/>
      </c>
      <c r="X453">
        <f>HYPERLINK("https://klasma.github.io/Logging_0360/tillsyn/A 14008-2020 tillsynsbegäran.docx", "A 14008-2020")</f>
        <v/>
      </c>
      <c r="Y453">
        <f>HYPERLINK("https://klasma.github.io/Logging_0360/tillsynsmail/A 14008-2020 tillsynsbegäran mail.docx", "A 14008-2020")</f>
        <v/>
      </c>
    </row>
    <row r="454" ht="15" customHeight="1">
      <c r="A454" t="inlineStr">
        <is>
          <t>A 18773-2020</t>
        </is>
      </c>
      <c r="B454" s="1" t="n">
        <v>43930</v>
      </c>
      <c r="C454" s="1" t="n">
        <v>45705</v>
      </c>
      <c r="D454" t="inlineStr">
        <is>
          <t>UPPSALA LÄN</t>
        </is>
      </c>
      <c r="E454" t="inlineStr">
        <is>
          <t>TIERP</t>
        </is>
      </c>
      <c r="F454" t="inlineStr">
        <is>
          <t>Bergvik skog väst AB</t>
        </is>
      </c>
      <c r="G454" t="n">
        <v>2.4</v>
      </c>
      <c r="H454" t="n">
        <v>1</v>
      </c>
      <c r="I454" t="n">
        <v>1</v>
      </c>
      <c r="J454" t="n">
        <v>0</v>
      </c>
      <c r="K454" t="n">
        <v>0</v>
      </c>
      <c r="L454" t="n">
        <v>0</v>
      </c>
      <c r="M454" t="n">
        <v>0</v>
      </c>
      <c r="N454" t="n">
        <v>0</v>
      </c>
      <c r="O454" t="n">
        <v>0</v>
      </c>
      <c r="P454" t="n">
        <v>0</v>
      </c>
      <c r="Q454" t="n">
        <v>1</v>
      </c>
      <c r="R454" s="2" t="inlineStr">
        <is>
          <t>Skogsknipprot</t>
        </is>
      </c>
      <c r="S454">
        <f>HYPERLINK("https://klasma.github.io/Logging_0360/artfynd/A 18773-2020 artfynd.xlsx", "A 18773-2020")</f>
        <v/>
      </c>
      <c r="T454">
        <f>HYPERLINK("https://klasma.github.io/Logging_0360/kartor/A 18773-2020 karta.png", "A 18773-2020")</f>
        <v/>
      </c>
      <c r="V454">
        <f>HYPERLINK("https://klasma.github.io/Logging_0360/klagomål/A 18773-2020 FSC-klagomål.docx", "A 18773-2020")</f>
        <v/>
      </c>
      <c r="W454">
        <f>HYPERLINK("https://klasma.github.io/Logging_0360/klagomålsmail/A 18773-2020 FSC-klagomål mail.docx", "A 18773-2020")</f>
        <v/>
      </c>
      <c r="X454">
        <f>HYPERLINK("https://klasma.github.io/Logging_0360/tillsyn/A 18773-2020 tillsynsbegäran.docx", "A 18773-2020")</f>
        <v/>
      </c>
      <c r="Y454">
        <f>HYPERLINK("https://klasma.github.io/Logging_0360/tillsynsmail/A 18773-2020 tillsynsbegäran mail.docx", "A 18773-2020")</f>
        <v/>
      </c>
    </row>
    <row r="455" ht="15" customHeight="1">
      <c r="A455" t="inlineStr">
        <is>
          <t>A 22044-2020</t>
        </is>
      </c>
      <c r="B455" s="1" t="n">
        <v>43959</v>
      </c>
      <c r="C455" s="1" t="n">
        <v>45705</v>
      </c>
      <c r="D455" t="inlineStr">
        <is>
          <t>UPPSALA LÄN</t>
        </is>
      </c>
      <c r="E455" t="inlineStr">
        <is>
          <t>ÖSTHAMMAR</t>
        </is>
      </c>
      <c r="G455" t="n">
        <v>2.7</v>
      </c>
      <c r="H455" t="n">
        <v>0</v>
      </c>
      <c r="I455" t="n">
        <v>1</v>
      </c>
      <c r="J455" t="n">
        <v>0</v>
      </c>
      <c r="K455" t="n">
        <v>0</v>
      </c>
      <c r="L455" t="n">
        <v>0</v>
      </c>
      <c r="M455" t="n">
        <v>0</v>
      </c>
      <c r="N455" t="n">
        <v>0</v>
      </c>
      <c r="O455" t="n">
        <v>0</v>
      </c>
      <c r="P455" t="n">
        <v>0</v>
      </c>
      <c r="Q455" t="n">
        <v>1</v>
      </c>
      <c r="R455" s="2" t="inlineStr">
        <is>
          <t>Anisspindling</t>
        </is>
      </c>
      <c r="S455">
        <f>HYPERLINK("https://klasma.github.io/Logging_0382/artfynd/A 22044-2020 artfynd.xlsx", "A 22044-2020")</f>
        <v/>
      </c>
      <c r="T455">
        <f>HYPERLINK("https://klasma.github.io/Logging_0382/kartor/A 22044-2020 karta.png", "A 22044-2020")</f>
        <v/>
      </c>
      <c r="V455">
        <f>HYPERLINK("https://klasma.github.io/Logging_0382/klagomål/A 22044-2020 FSC-klagomål.docx", "A 22044-2020")</f>
        <v/>
      </c>
      <c r="W455">
        <f>HYPERLINK("https://klasma.github.io/Logging_0382/klagomålsmail/A 22044-2020 FSC-klagomål mail.docx", "A 22044-2020")</f>
        <v/>
      </c>
      <c r="X455">
        <f>HYPERLINK("https://klasma.github.io/Logging_0382/tillsyn/A 22044-2020 tillsynsbegäran.docx", "A 22044-2020")</f>
        <v/>
      </c>
      <c r="Y455">
        <f>HYPERLINK("https://klasma.github.io/Logging_0382/tillsynsmail/A 22044-2020 tillsynsbegäran mail.docx", "A 22044-2020")</f>
        <v/>
      </c>
    </row>
    <row r="456" ht="15" customHeight="1">
      <c r="A456" t="inlineStr">
        <is>
          <t>A 25299-2020</t>
        </is>
      </c>
      <c r="B456" s="1" t="n">
        <v>43980</v>
      </c>
      <c r="C456" s="1" t="n">
        <v>45705</v>
      </c>
      <c r="D456" t="inlineStr">
        <is>
          <t>UPPSALA LÄN</t>
        </is>
      </c>
      <c r="E456" t="inlineStr">
        <is>
          <t>UPPSALA</t>
        </is>
      </c>
      <c r="F456" t="inlineStr">
        <is>
          <t>Bergvik skog öst AB</t>
        </is>
      </c>
      <c r="G456" t="n">
        <v>2.5</v>
      </c>
      <c r="H456" t="n">
        <v>0</v>
      </c>
      <c r="I456" t="n">
        <v>1</v>
      </c>
      <c r="J456" t="n">
        <v>0</v>
      </c>
      <c r="K456" t="n">
        <v>0</v>
      </c>
      <c r="L456" t="n">
        <v>0</v>
      </c>
      <c r="M456" t="n">
        <v>0</v>
      </c>
      <c r="N456" t="n">
        <v>0</v>
      </c>
      <c r="O456" t="n">
        <v>0</v>
      </c>
      <c r="P456" t="n">
        <v>0</v>
      </c>
      <c r="Q456" t="n">
        <v>1</v>
      </c>
      <c r="R456" s="2" t="inlineStr">
        <is>
          <t>Scharlakansskål</t>
        </is>
      </c>
      <c r="S456">
        <f>HYPERLINK("https://klasma.github.io/Logging_0380/artfynd/A 25299-2020 artfynd.xlsx", "A 25299-2020")</f>
        <v/>
      </c>
      <c r="T456">
        <f>HYPERLINK("https://klasma.github.io/Logging_0380/kartor/A 25299-2020 karta.png", "A 25299-2020")</f>
        <v/>
      </c>
      <c r="V456">
        <f>HYPERLINK("https://klasma.github.io/Logging_0380/klagomål/A 25299-2020 FSC-klagomål.docx", "A 25299-2020")</f>
        <v/>
      </c>
      <c r="W456">
        <f>HYPERLINK("https://klasma.github.io/Logging_0380/klagomålsmail/A 25299-2020 FSC-klagomål mail.docx", "A 25299-2020")</f>
        <v/>
      </c>
      <c r="X456">
        <f>HYPERLINK("https://klasma.github.io/Logging_0380/tillsyn/A 25299-2020 tillsynsbegäran.docx", "A 25299-2020")</f>
        <v/>
      </c>
      <c r="Y456">
        <f>HYPERLINK("https://klasma.github.io/Logging_0380/tillsynsmail/A 25299-2020 tillsynsbegäran mail.docx", "A 25299-2020")</f>
        <v/>
      </c>
    </row>
    <row r="457" ht="15" customHeight="1">
      <c r="A457" t="inlineStr">
        <is>
          <t>A 30405-2020</t>
        </is>
      </c>
      <c r="B457" s="1" t="n">
        <v>44007</v>
      </c>
      <c r="C457" s="1" t="n">
        <v>45705</v>
      </c>
      <c r="D457" t="inlineStr">
        <is>
          <t>UPPSALA LÄN</t>
        </is>
      </c>
      <c r="E457" t="inlineStr">
        <is>
          <t>ÖSTHAMMAR</t>
        </is>
      </c>
      <c r="G457" t="n">
        <v>0.6</v>
      </c>
      <c r="H457" t="n">
        <v>0</v>
      </c>
      <c r="I457" t="n">
        <v>0</v>
      </c>
      <c r="J457" t="n">
        <v>0</v>
      </c>
      <c r="K457" t="n">
        <v>1</v>
      </c>
      <c r="L457" t="n">
        <v>0</v>
      </c>
      <c r="M457" t="n">
        <v>0</v>
      </c>
      <c r="N457" t="n">
        <v>0</v>
      </c>
      <c r="O457" t="n">
        <v>1</v>
      </c>
      <c r="P457" t="n">
        <v>1</v>
      </c>
      <c r="Q457" t="n">
        <v>1</v>
      </c>
      <c r="R457" s="2" t="inlineStr">
        <is>
          <t>Gulvit blekspik</t>
        </is>
      </c>
      <c r="S457">
        <f>HYPERLINK("https://klasma.github.io/Logging_0382/artfynd/A 30405-2020 artfynd.xlsx", "A 30405-2020")</f>
        <v/>
      </c>
      <c r="T457">
        <f>HYPERLINK("https://klasma.github.io/Logging_0382/kartor/A 30405-2020 karta.png", "A 30405-2020")</f>
        <v/>
      </c>
      <c r="V457">
        <f>HYPERLINK("https://klasma.github.io/Logging_0382/klagomål/A 30405-2020 FSC-klagomål.docx", "A 30405-2020")</f>
        <v/>
      </c>
      <c r="W457">
        <f>HYPERLINK("https://klasma.github.io/Logging_0382/klagomålsmail/A 30405-2020 FSC-klagomål mail.docx", "A 30405-2020")</f>
        <v/>
      </c>
      <c r="X457">
        <f>HYPERLINK("https://klasma.github.io/Logging_0382/tillsyn/A 30405-2020 tillsynsbegäran.docx", "A 30405-2020")</f>
        <v/>
      </c>
      <c r="Y457">
        <f>HYPERLINK("https://klasma.github.io/Logging_0382/tillsynsmail/A 30405-2020 tillsynsbegäran mail.docx", "A 30405-2020")</f>
        <v/>
      </c>
    </row>
    <row r="458" ht="15" customHeight="1">
      <c r="A458" t="inlineStr">
        <is>
          <t>A 35478-2020</t>
        </is>
      </c>
      <c r="B458" s="1" t="n">
        <v>44042</v>
      </c>
      <c r="C458" s="1" t="n">
        <v>45705</v>
      </c>
      <c r="D458" t="inlineStr">
        <is>
          <t>UPPSALA LÄN</t>
        </is>
      </c>
      <c r="E458" t="inlineStr">
        <is>
          <t>UPPSALA</t>
        </is>
      </c>
      <c r="G458" t="n">
        <v>2.5</v>
      </c>
      <c r="H458" t="n">
        <v>0</v>
      </c>
      <c r="I458" t="n">
        <v>1</v>
      </c>
      <c r="J458" t="n">
        <v>0</v>
      </c>
      <c r="K458" t="n">
        <v>0</v>
      </c>
      <c r="L458" t="n">
        <v>0</v>
      </c>
      <c r="M458" t="n">
        <v>0</v>
      </c>
      <c r="N458" t="n">
        <v>0</v>
      </c>
      <c r="O458" t="n">
        <v>0</v>
      </c>
      <c r="P458" t="n">
        <v>0</v>
      </c>
      <c r="Q458" t="n">
        <v>1</v>
      </c>
      <c r="R458" s="2" t="inlineStr">
        <is>
          <t>Stor aspticka</t>
        </is>
      </c>
      <c r="S458">
        <f>HYPERLINK("https://klasma.github.io/Logging_0380/artfynd/A 35478-2020 artfynd.xlsx", "A 35478-2020")</f>
        <v/>
      </c>
      <c r="T458">
        <f>HYPERLINK("https://klasma.github.io/Logging_0380/kartor/A 35478-2020 karta.png", "A 35478-2020")</f>
        <v/>
      </c>
      <c r="V458">
        <f>HYPERLINK("https://klasma.github.io/Logging_0380/klagomål/A 35478-2020 FSC-klagomål.docx", "A 35478-2020")</f>
        <v/>
      </c>
      <c r="W458">
        <f>HYPERLINK("https://klasma.github.io/Logging_0380/klagomålsmail/A 35478-2020 FSC-klagomål mail.docx", "A 35478-2020")</f>
        <v/>
      </c>
      <c r="X458">
        <f>HYPERLINK("https://klasma.github.io/Logging_0380/tillsyn/A 35478-2020 tillsynsbegäran.docx", "A 35478-2020")</f>
        <v/>
      </c>
      <c r="Y458">
        <f>HYPERLINK("https://klasma.github.io/Logging_0380/tillsynsmail/A 35478-2020 tillsynsbegäran mail.docx", "A 35478-2020")</f>
        <v/>
      </c>
    </row>
    <row r="459" ht="15" customHeight="1">
      <c r="A459" t="inlineStr">
        <is>
          <t>A 35553-2020</t>
        </is>
      </c>
      <c r="B459" s="1" t="n">
        <v>44043</v>
      </c>
      <c r="C459" s="1" t="n">
        <v>45705</v>
      </c>
      <c r="D459" t="inlineStr">
        <is>
          <t>UPPSALA LÄN</t>
        </is>
      </c>
      <c r="E459" t="inlineStr">
        <is>
          <t>ÖSTHAMMAR</t>
        </is>
      </c>
      <c r="F459" t="inlineStr">
        <is>
          <t>Bergvik skog öst AB</t>
        </is>
      </c>
      <c r="G459" t="n">
        <v>5.8</v>
      </c>
      <c r="H459" t="n">
        <v>1</v>
      </c>
      <c r="I459" t="n">
        <v>0</v>
      </c>
      <c r="J459" t="n">
        <v>0</v>
      </c>
      <c r="K459" t="n">
        <v>0</v>
      </c>
      <c r="L459" t="n">
        <v>0</v>
      </c>
      <c r="M459" t="n">
        <v>0</v>
      </c>
      <c r="N459" t="n">
        <v>0</v>
      </c>
      <c r="O459" t="n">
        <v>0</v>
      </c>
      <c r="P459" t="n">
        <v>0</v>
      </c>
      <c r="Q459" t="n">
        <v>1</v>
      </c>
      <c r="R459" s="2" t="inlineStr">
        <is>
          <t>Tjäder</t>
        </is>
      </c>
      <c r="S459">
        <f>HYPERLINK("https://klasma.github.io/Logging_0382/artfynd/A 35553-2020 artfynd.xlsx", "A 35553-2020")</f>
        <v/>
      </c>
      <c r="T459">
        <f>HYPERLINK("https://klasma.github.io/Logging_0382/kartor/A 35553-2020 karta.png", "A 35553-2020")</f>
        <v/>
      </c>
      <c r="V459">
        <f>HYPERLINK("https://klasma.github.io/Logging_0382/klagomål/A 35553-2020 FSC-klagomål.docx", "A 35553-2020")</f>
        <v/>
      </c>
      <c r="W459">
        <f>HYPERLINK("https://klasma.github.io/Logging_0382/klagomålsmail/A 35553-2020 FSC-klagomål mail.docx", "A 35553-2020")</f>
        <v/>
      </c>
      <c r="X459">
        <f>HYPERLINK("https://klasma.github.io/Logging_0382/tillsyn/A 35553-2020 tillsynsbegäran.docx", "A 35553-2020")</f>
        <v/>
      </c>
      <c r="Y459">
        <f>HYPERLINK("https://klasma.github.io/Logging_0382/tillsynsmail/A 35553-2020 tillsynsbegäran mail.docx", "A 35553-2020")</f>
        <v/>
      </c>
      <c r="Z459">
        <f>HYPERLINK("https://klasma.github.io/Logging_0382/fåglar/A 35553-2020 prioriterade fågelarter.docx", "A 35553-2020")</f>
        <v/>
      </c>
    </row>
    <row r="460" ht="15" customHeight="1">
      <c r="A460" t="inlineStr">
        <is>
          <t>A 42895-2020</t>
        </is>
      </c>
      <c r="B460" s="1" t="n">
        <v>44078</v>
      </c>
      <c r="C460" s="1" t="n">
        <v>45705</v>
      </c>
      <c r="D460" t="inlineStr">
        <is>
          <t>UPPSALA LÄN</t>
        </is>
      </c>
      <c r="E460" t="inlineStr">
        <is>
          <t>ÄLVKARLEBY</t>
        </is>
      </c>
      <c r="F460" t="inlineStr">
        <is>
          <t>Bergvik skog väst AB</t>
        </is>
      </c>
      <c r="G460" t="n">
        <v>21.9</v>
      </c>
      <c r="H460" t="n">
        <v>1</v>
      </c>
      <c r="I460" t="n">
        <v>0</v>
      </c>
      <c r="J460" t="n">
        <v>0</v>
      </c>
      <c r="K460" t="n">
        <v>1</v>
      </c>
      <c r="L460" t="n">
        <v>0</v>
      </c>
      <c r="M460" t="n">
        <v>0</v>
      </c>
      <c r="N460" t="n">
        <v>0</v>
      </c>
      <c r="O460" t="n">
        <v>1</v>
      </c>
      <c r="P460" t="n">
        <v>1</v>
      </c>
      <c r="Q460" t="n">
        <v>1</v>
      </c>
      <c r="R460" s="2" t="inlineStr">
        <is>
          <t>Gölgroda</t>
        </is>
      </c>
      <c r="S460">
        <f>HYPERLINK("https://klasma.github.io/Logging_0319/artfynd/A 42895-2020 artfynd.xlsx", "A 42895-2020")</f>
        <v/>
      </c>
      <c r="T460">
        <f>HYPERLINK("https://klasma.github.io/Logging_0319/kartor/A 42895-2020 karta.png", "A 42895-2020")</f>
        <v/>
      </c>
      <c r="V460">
        <f>HYPERLINK("https://klasma.github.io/Logging_0319/klagomål/A 42895-2020 FSC-klagomål.docx", "A 42895-2020")</f>
        <v/>
      </c>
      <c r="W460">
        <f>HYPERLINK("https://klasma.github.io/Logging_0319/klagomålsmail/A 42895-2020 FSC-klagomål mail.docx", "A 42895-2020")</f>
        <v/>
      </c>
      <c r="X460">
        <f>HYPERLINK("https://klasma.github.io/Logging_0319/tillsyn/A 42895-2020 tillsynsbegäran.docx", "A 42895-2020")</f>
        <v/>
      </c>
      <c r="Y460">
        <f>HYPERLINK("https://klasma.github.io/Logging_0319/tillsynsmail/A 42895-2020 tillsynsbegäran mail.docx", "A 42895-2020")</f>
        <v/>
      </c>
    </row>
    <row r="461" ht="15" customHeight="1">
      <c r="A461" t="inlineStr">
        <is>
          <t>A 43192-2020</t>
        </is>
      </c>
      <c r="B461" s="1" t="n">
        <v>44081</v>
      </c>
      <c r="C461" s="1" t="n">
        <v>45705</v>
      </c>
      <c r="D461" t="inlineStr">
        <is>
          <t>UPPSALA LÄN</t>
        </is>
      </c>
      <c r="E461" t="inlineStr">
        <is>
          <t>UPPSALA</t>
        </is>
      </c>
      <c r="G461" t="n">
        <v>16.5</v>
      </c>
      <c r="H461" t="n">
        <v>0</v>
      </c>
      <c r="I461" t="n">
        <v>0</v>
      </c>
      <c r="J461" t="n">
        <v>1</v>
      </c>
      <c r="K461" t="n">
        <v>0</v>
      </c>
      <c r="L461" t="n">
        <v>0</v>
      </c>
      <c r="M461" t="n">
        <v>0</v>
      </c>
      <c r="N461" t="n">
        <v>0</v>
      </c>
      <c r="O461" t="n">
        <v>1</v>
      </c>
      <c r="P461" t="n">
        <v>0</v>
      </c>
      <c r="Q461" t="n">
        <v>1</v>
      </c>
      <c r="R461" s="2" t="inlineStr">
        <is>
          <t>Lunglav</t>
        </is>
      </c>
      <c r="S461">
        <f>HYPERLINK("https://klasma.github.io/Logging_0380/artfynd/A 43192-2020 artfynd.xlsx", "A 43192-2020")</f>
        <v/>
      </c>
      <c r="T461">
        <f>HYPERLINK("https://klasma.github.io/Logging_0380/kartor/A 43192-2020 karta.png", "A 43192-2020")</f>
        <v/>
      </c>
      <c r="V461">
        <f>HYPERLINK("https://klasma.github.io/Logging_0380/klagomål/A 43192-2020 FSC-klagomål.docx", "A 43192-2020")</f>
        <v/>
      </c>
      <c r="W461">
        <f>HYPERLINK("https://klasma.github.io/Logging_0380/klagomålsmail/A 43192-2020 FSC-klagomål mail.docx", "A 43192-2020")</f>
        <v/>
      </c>
      <c r="X461">
        <f>HYPERLINK("https://klasma.github.io/Logging_0380/tillsyn/A 43192-2020 tillsynsbegäran.docx", "A 43192-2020")</f>
        <v/>
      </c>
      <c r="Y461">
        <f>HYPERLINK("https://klasma.github.io/Logging_0380/tillsynsmail/A 43192-2020 tillsynsbegäran mail.docx", "A 43192-2020")</f>
        <v/>
      </c>
    </row>
    <row r="462" ht="15" customHeight="1">
      <c r="A462" t="inlineStr">
        <is>
          <t>A 46185-2020</t>
        </is>
      </c>
      <c r="B462" s="1" t="n">
        <v>44092</v>
      </c>
      <c r="C462" s="1" t="n">
        <v>45705</v>
      </c>
      <c r="D462" t="inlineStr">
        <is>
          <t>UPPSALA LÄN</t>
        </is>
      </c>
      <c r="E462" t="inlineStr">
        <is>
          <t>ENKÖPING</t>
        </is>
      </c>
      <c r="G462" t="n">
        <v>1.7</v>
      </c>
      <c r="H462" t="n">
        <v>0</v>
      </c>
      <c r="I462" t="n">
        <v>1</v>
      </c>
      <c r="J462" t="n">
        <v>0</v>
      </c>
      <c r="K462" t="n">
        <v>0</v>
      </c>
      <c r="L462" t="n">
        <v>0</v>
      </c>
      <c r="M462" t="n">
        <v>0</v>
      </c>
      <c r="N462" t="n">
        <v>0</v>
      </c>
      <c r="O462" t="n">
        <v>0</v>
      </c>
      <c r="P462" t="n">
        <v>0</v>
      </c>
      <c r="Q462" t="n">
        <v>1</v>
      </c>
      <c r="R462" s="2" t="inlineStr">
        <is>
          <t>Vedticka</t>
        </is>
      </c>
      <c r="S462">
        <f>HYPERLINK("https://klasma.github.io/Logging_0381/artfynd/A 46185-2020 artfynd.xlsx", "A 46185-2020")</f>
        <v/>
      </c>
      <c r="T462">
        <f>HYPERLINK("https://klasma.github.io/Logging_0381/kartor/A 46185-2020 karta.png", "A 46185-2020")</f>
        <v/>
      </c>
      <c r="V462">
        <f>HYPERLINK("https://klasma.github.io/Logging_0381/klagomål/A 46185-2020 FSC-klagomål.docx", "A 46185-2020")</f>
        <v/>
      </c>
      <c r="W462">
        <f>HYPERLINK("https://klasma.github.io/Logging_0381/klagomålsmail/A 46185-2020 FSC-klagomål mail.docx", "A 46185-2020")</f>
        <v/>
      </c>
      <c r="X462">
        <f>HYPERLINK("https://klasma.github.io/Logging_0381/tillsyn/A 46185-2020 tillsynsbegäran.docx", "A 46185-2020")</f>
        <v/>
      </c>
      <c r="Y462">
        <f>HYPERLINK("https://klasma.github.io/Logging_0381/tillsynsmail/A 46185-2020 tillsynsbegäran mail.docx", "A 46185-2020")</f>
        <v/>
      </c>
    </row>
    <row r="463" ht="15" customHeight="1">
      <c r="A463" t="inlineStr">
        <is>
          <t>A 61479-2020</t>
        </is>
      </c>
      <c r="B463" s="1" t="n">
        <v>44154</v>
      </c>
      <c r="C463" s="1" t="n">
        <v>45705</v>
      </c>
      <c r="D463" t="inlineStr">
        <is>
          <t>UPPSALA LÄN</t>
        </is>
      </c>
      <c r="E463" t="inlineStr">
        <is>
          <t>ÖSTHAMMAR</t>
        </is>
      </c>
      <c r="G463" t="n">
        <v>2.5</v>
      </c>
      <c r="H463" t="n">
        <v>0</v>
      </c>
      <c r="I463" t="n">
        <v>1</v>
      </c>
      <c r="J463" t="n">
        <v>0</v>
      </c>
      <c r="K463" t="n">
        <v>0</v>
      </c>
      <c r="L463" t="n">
        <v>0</v>
      </c>
      <c r="M463" t="n">
        <v>0</v>
      </c>
      <c r="N463" t="n">
        <v>0</v>
      </c>
      <c r="O463" t="n">
        <v>0</v>
      </c>
      <c r="P463" t="n">
        <v>0</v>
      </c>
      <c r="Q463" t="n">
        <v>1</v>
      </c>
      <c r="R463" s="2" t="inlineStr">
        <is>
          <t>Olivspindling</t>
        </is>
      </c>
      <c r="S463">
        <f>HYPERLINK("https://klasma.github.io/Logging_0382/artfynd/A 61479-2020 artfynd.xlsx", "A 61479-2020")</f>
        <v/>
      </c>
      <c r="T463">
        <f>HYPERLINK("https://klasma.github.io/Logging_0382/kartor/A 61479-2020 karta.png", "A 61479-2020")</f>
        <v/>
      </c>
      <c r="V463">
        <f>HYPERLINK("https://klasma.github.io/Logging_0382/klagomål/A 61479-2020 FSC-klagomål.docx", "A 61479-2020")</f>
        <v/>
      </c>
      <c r="W463">
        <f>HYPERLINK("https://klasma.github.io/Logging_0382/klagomålsmail/A 61479-2020 FSC-klagomål mail.docx", "A 61479-2020")</f>
        <v/>
      </c>
      <c r="X463">
        <f>HYPERLINK("https://klasma.github.io/Logging_0382/tillsyn/A 61479-2020 tillsynsbegäran.docx", "A 61479-2020")</f>
        <v/>
      </c>
      <c r="Y463">
        <f>HYPERLINK("https://klasma.github.io/Logging_0382/tillsynsmail/A 61479-2020 tillsynsbegäran mail.docx", "A 61479-2020")</f>
        <v/>
      </c>
    </row>
    <row r="464" ht="15" customHeight="1">
      <c r="A464" t="inlineStr">
        <is>
          <t>A 62718-2020</t>
        </is>
      </c>
      <c r="B464" s="1" t="n">
        <v>44161</v>
      </c>
      <c r="C464" s="1" t="n">
        <v>45705</v>
      </c>
      <c r="D464" t="inlineStr">
        <is>
          <t>UPPSALA LÄN</t>
        </is>
      </c>
      <c r="E464" t="inlineStr">
        <is>
          <t>HEBY</t>
        </is>
      </c>
      <c r="G464" t="n">
        <v>7.9</v>
      </c>
      <c r="H464" t="n">
        <v>1</v>
      </c>
      <c r="I464" t="n">
        <v>0</v>
      </c>
      <c r="J464" t="n">
        <v>0</v>
      </c>
      <c r="K464" t="n">
        <v>0</v>
      </c>
      <c r="L464" t="n">
        <v>0</v>
      </c>
      <c r="M464" t="n">
        <v>0</v>
      </c>
      <c r="N464" t="n">
        <v>0</v>
      </c>
      <c r="O464" t="n">
        <v>0</v>
      </c>
      <c r="P464" t="n">
        <v>0</v>
      </c>
      <c r="Q464" t="n">
        <v>1</v>
      </c>
      <c r="R464" s="2" t="inlineStr">
        <is>
          <t>Nattviol</t>
        </is>
      </c>
      <c r="S464">
        <f>HYPERLINK("https://klasma.github.io/Logging_0331/artfynd/A 62718-2020 artfynd.xlsx", "A 62718-2020")</f>
        <v/>
      </c>
      <c r="T464">
        <f>HYPERLINK("https://klasma.github.io/Logging_0331/kartor/A 62718-2020 karta.png", "A 62718-2020")</f>
        <v/>
      </c>
      <c r="V464">
        <f>HYPERLINK("https://klasma.github.io/Logging_0331/klagomål/A 62718-2020 FSC-klagomål.docx", "A 62718-2020")</f>
        <v/>
      </c>
      <c r="W464">
        <f>HYPERLINK("https://klasma.github.io/Logging_0331/klagomålsmail/A 62718-2020 FSC-klagomål mail.docx", "A 62718-2020")</f>
        <v/>
      </c>
      <c r="X464">
        <f>HYPERLINK("https://klasma.github.io/Logging_0331/tillsyn/A 62718-2020 tillsynsbegäran.docx", "A 62718-2020")</f>
        <v/>
      </c>
      <c r="Y464">
        <f>HYPERLINK("https://klasma.github.io/Logging_0331/tillsynsmail/A 62718-2020 tillsynsbegäran mail.docx", "A 62718-2020")</f>
        <v/>
      </c>
    </row>
    <row r="465" ht="15" customHeight="1">
      <c r="A465" t="inlineStr">
        <is>
          <t>A 66277-2020</t>
        </is>
      </c>
      <c r="B465" s="1" t="n">
        <v>44176</v>
      </c>
      <c r="C465" s="1" t="n">
        <v>45705</v>
      </c>
      <c r="D465" t="inlineStr">
        <is>
          <t>UPPSALA LÄN</t>
        </is>
      </c>
      <c r="E465" t="inlineStr">
        <is>
          <t>ÄLVKARLEBY</t>
        </is>
      </c>
      <c r="F465" t="inlineStr">
        <is>
          <t>Bergvik skog väst AB</t>
        </is>
      </c>
      <c r="G465" t="n">
        <v>2.6</v>
      </c>
      <c r="H465" t="n">
        <v>1</v>
      </c>
      <c r="I465" t="n">
        <v>0</v>
      </c>
      <c r="J465" t="n">
        <v>0</v>
      </c>
      <c r="K465" t="n">
        <v>0</v>
      </c>
      <c r="L465" t="n">
        <v>0</v>
      </c>
      <c r="M465" t="n">
        <v>0</v>
      </c>
      <c r="N465" t="n">
        <v>0</v>
      </c>
      <c r="O465" t="n">
        <v>0</v>
      </c>
      <c r="P465" t="n">
        <v>0</v>
      </c>
      <c r="Q465" t="n">
        <v>1</v>
      </c>
      <c r="R465" s="2" t="inlineStr">
        <is>
          <t>Vanlig padda</t>
        </is>
      </c>
      <c r="S465">
        <f>HYPERLINK("https://klasma.github.io/Logging_0319/artfynd/A 66277-2020 artfynd.xlsx", "A 66277-2020")</f>
        <v/>
      </c>
      <c r="T465">
        <f>HYPERLINK("https://klasma.github.io/Logging_0319/kartor/A 66277-2020 karta.png", "A 66277-2020")</f>
        <v/>
      </c>
      <c r="V465">
        <f>HYPERLINK("https://klasma.github.io/Logging_0319/klagomål/A 66277-2020 FSC-klagomål.docx", "A 66277-2020")</f>
        <v/>
      </c>
      <c r="W465">
        <f>HYPERLINK("https://klasma.github.io/Logging_0319/klagomålsmail/A 66277-2020 FSC-klagomål mail.docx", "A 66277-2020")</f>
        <v/>
      </c>
      <c r="X465">
        <f>HYPERLINK("https://klasma.github.io/Logging_0319/tillsyn/A 66277-2020 tillsynsbegäran.docx", "A 66277-2020")</f>
        <v/>
      </c>
      <c r="Y465">
        <f>HYPERLINK("https://klasma.github.io/Logging_0319/tillsynsmail/A 66277-2020 tillsynsbegäran mail.docx", "A 66277-2020")</f>
        <v/>
      </c>
    </row>
    <row r="466" ht="15" customHeight="1">
      <c r="A466" t="inlineStr">
        <is>
          <t>A 2474-2021</t>
        </is>
      </c>
      <c r="B466" s="1" t="n">
        <v>44214</v>
      </c>
      <c r="C466" s="1" t="n">
        <v>45705</v>
      </c>
      <c r="D466" t="inlineStr">
        <is>
          <t>UPPSALA LÄN</t>
        </is>
      </c>
      <c r="E466" t="inlineStr">
        <is>
          <t>HÅBO</t>
        </is>
      </c>
      <c r="G466" t="n">
        <v>3.4</v>
      </c>
      <c r="H466" t="n">
        <v>0</v>
      </c>
      <c r="I466" t="n">
        <v>0</v>
      </c>
      <c r="J466" t="n">
        <v>1</v>
      </c>
      <c r="K466" t="n">
        <v>0</v>
      </c>
      <c r="L466" t="n">
        <v>0</v>
      </c>
      <c r="M466" t="n">
        <v>0</v>
      </c>
      <c r="N466" t="n">
        <v>0</v>
      </c>
      <c r="O466" t="n">
        <v>1</v>
      </c>
      <c r="P466" t="n">
        <v>0</v>
      </c>
      <c r="Q466" t="n">
        <v>1</v>
      </c>
      <c r="R466" s="2" t="inlineStr">
        <is>
          <t>Fyrflikig jordstjärna</t>
        </is>
      </c>
      <c r="S466">
        <f>HYPERLINK("https://klasma.github.io/Logging_0305/artfynd/A 2474-2021 artfynd.xlsx", "A 2474-2021")</f>
        <v/>
      </c>
      <c r="T466">
        <f>HYPERLINK("https://klasma.github.io/Logging_0305/kartor/A 2474-2021 karta.png", "A 2474-2021")</f>
        <v/>
      </c>
      <c r="V466">
        <f>HYPERLINK("https://klasma.github.io/Logging_0305/klagomål/A 2474-2021 FSC-klagomål.docx", "A 2474-2021")</f>
        <v/>
      </c>
      <c r="W466">
        <f>HYPERLINK("https://klasma.github.io/Logging_0305/klagomålsmail/A 2474-2021 FSC-klagomål mail.docx", "A 2474-2021")</f>
        <v/>
      </c>
      <c r="X466">
        <f>HYPERLINK("https://klasma.github.io/Logging_0305/tillsyn/A 2474-2021 tillsynsbegäran.docx", "A 2474-2021")</f>
        <v/>
      </c>
      <c r="Y466">
        <f>HYPERLINK("https://klasma.github.io/Logging_0305/tillsynsmail/A 2474-2021 tillsynsbegäran mail.docx", "A 2474-2021")</f>
        <v/>
      </c>
    </row>
    <row r="467" ht="15" customHeight="1">
      <c r="A467" t="inlineStr">
        <is>
          <t>A 3444-2021</t>
        </is>
      </c>
      <c r="B467" s="1" t="n">
        <v>44218</v>
      </c>
      <c r="C467" s="1" t="n">
        <v>45705</v>
      </c>
      <c r="D467" t="inlineStr">
        <is>
          <t>UPPSALA LÄN</t>
        </is>
      </c>
      <c r="E467" t="inlineStr">
        <is>
          <t>TIERP</t>
        </is>
      </c>
      <c r="G467" t="n">
        <v>5.6</v>
      </c>
      <c r="H467" t="n">
        <v>0</v>
      </c>
      <c r="I467" t="n">
        <v>0</v>
      </c>
      <c r="J467" t="n">
        <v>1</v>
      </c>
      <c r="K467" t="n">
        <v>0</v>
      </c>
      <c r="L467" t="n">
        <v>0</v>
      </c>
      <c r="M467" t="n">
        <v>0</v>
      </c>
      <c r="N467" t="n">
        <v>0</v>
      </c>
      <c r="O467" t="n">
        <v>1</v>
      </c>
      <c r="P467" t="n">
        <v>0</v>
      </c>
      <c r="Q467" t="n">
        <v>1</v>
      </c>
      <c r="R467" s="2" t="inlineStr">
        <is>
          <t>Fyrflikig jordstjärna</t>
        </is>
      </c>
      <c r="S467">
        <f>HYPERLINK("https://klasma.github.io/Logging_0360/artfynd/A 3444-2021 artfynd.xlsx", "A 3444-2021")</f>
        <v/>
      </c>
      <c r="T467">
        <f>HYPERLINK("https://klasma.github.io/Logging_0360/kartor/A 3444-2021 karta.png", "A 3444-2021")</f>
        <v/>
      </c>
      <c r="V467">
        <f>HYPERLINK("https://klasma.github.io/Logging_0360/klagomål/A 3444-2021 FSC-klagomål.docx", "A 3444-2021")</f>
        <v/>
      </c>
      <c r="W467">
        <f>HYPERLINK("https://klasma.github.io/Logging_0360/klagomålsmail/A 3444-2021 FSC-klagomål mail.docx", "A 3444-2021")</f>
        <v/>
      </c>
      <c r="X467">
        <f>HYPERLINK("https://klasma.github.io/Logging_0360/tillsyn/A 3444-2021 tillsynsbegäran.docx", "A 3444-2021")</f>
        <v/>
      </c>
      <c r="Y467">
        <f>HYPERLINK("https://klasma.github.io/Logging_0360/tillsynsmail/A 3444-2021 tillsynsbegäran mail.docx", "A 3444-2021")</f>
        <v/>
      </c>
    </row>
    <row r="468" ht="15" customHeight="1">
      <c r="A468" t="inlineStr">
        <is>
          <t>A 5714-2021</t>
        </is>
      </c>
      <c r="B468" s="1" t="n">
        <v>44230</v>
      </c>
      <c r="C468" s="1" t="n">
        <v>45705</v>
      </c>
      <c r="D468" t="inlineStr">
        <is>
          <t>UPPSALA LÄN</t>
        </is>
      </c>
      <c r="E468" t="inlineStr">
        <is>
          <t>HÅBO</t>
        </is>
      </c>
      <c r="F468" t="inlineStr">
        <is>
          <t>Kommuner</t>
        </is>
      </c>
      <c r="G468" t="n">
        <v>2.2</v>
      </c>
      <c r="H468" t="n">
        <v>1</v>
      </c>
      <c r="I468" t="n">
        <v>1</v>
      </c>
      <c r="J468" t="n">
        <v>0</v>
      </c>
      <c r="K468" t="n">
        <v>0</v>
      </c>
      <c r="L468" t="n">
        <v>0</v>
      </c>
      <c r="M468" t="n">
        <v>0</v>
      </c>
      <c r="N468" t="n">
        <v>0</v>
      </c>
      <c r="O468" t="n">
        <v>0</v>
      </c>
      <c r="P468" t="n">
        <v>0</v>
      </c>
      <c r="Q468" t="n">
        <v>1</v>
      </c>
      <c r="R468" s="2" t="inlineStr">
        <is>
          <t>Nästrot</t>
        </is>
      </c>
      <c r="S468">
        <f>HYPERLINK("https://klasma.github.io/Logging_0305/artfynd/A 5714-2021 artfynd.xlsx", "A 5714-2021")</f>
        <v/>
      </c>
      <c r="T468">
        <f>HYPERLINK("https://klasma.github.io/Logging_0305/kartor/A 5714-2021 karta.png", "A 5714-2021")</f>
        <v/>
      </c>
      <c r="V468">
        <f>HYPERLINK("https://klasma.github.io/Logging_0305/klagomål/A 5714-2021 FSC-klagomål.docx", "A 5714-2021")</f>
        <v/>
      </c>
      <c r="W468">
        <f>HYPERLINK("https://klasma.github.io/Logging_0305/klagomålsmail/A 5714-2021 FSC-klagomål mail.docx", "A 5714-2021")</f>
        <v/>
      </c>
      <c r="X468">
        <f>HYPERLINK("https://klasma.github.io/Logging_0305/tillsyn/A 5714-2021 tillsynsbegäran.docx", "A 5714-2021")</f>
        <v/>
      </c>
      <c r="Y468">
        <f>HYPERLINK("https://klasma.github.io/Logging_0305/tillsynsmail/A 5714-2021 tillsynsbegäran mail.docx", "A 5714-2021")</f>
        <v/>
      </c>
    </row>
    <row r="469" ht="15" customHeight="1">
      <c r="A469" t="inlineStr">
        <is>
          <t>A 7946-2021</t>
        </is>
      </c>
      <c r="B469" s="1" t="n">
        <v>44242</v>
      </c>
      <c r="C469" s="1" t="n">
        <v>45705</v>
      </c>
      <c r="D469" t="inlineStr">
        <is>
          <t>UPPSALA LÄN</t>
        </is>
      </c>
      <c r="E469" t="inlineStr">
        <is>
          <t>HÅBO</t>
        </is>
      </c>
      <c r="G469" t="n">
        <v>6.7</v>
      </c>
      <c r="H469" t="n">
        <v>1</v>
      </c>
      <c r="I469" t="n">
        <v>0</v>
      </c>
      <c r="J469" t="n">
        <v>0</v>
      </c>
      <c r="K469" t="n">
        <v>0</v>
      </c>
      <c r="L469" t="n">
        <v>0</v>
      </c>
      <c r="M469" t="n">
        <v>0</v>
      </c>
      <c r="N469" t="n">
        <v>0</v>
      </c>
      <c r="O469" t="n">
        <v>0</v>
      </c>
      <c r="P469" t="n">
        <v>0</v>
      </c>
      <c r="Q469" t="n">
        <v>1</v>
      </c>
      <c r="R469" s="2" t="inlineStr">
        <is>
          <t>Kopparödla</t>
        </is>
      </c>
      <c r="S469">
        <f>HYPERLINK("https://klasma.github.io/Logging_0305/artfynd/A 7946-2021 artfynd.xlsx", "A 7946-2021")</f>
        <v/>
      </c>
      <c r="T469">
        <f>HYPERLINK("https://klasma.github.io/Logging_0305/kartor/A 7946-2021 karta.png", "A 7946-2021")</f>
        <v/>
      </c>
      <c r="V469">
        <f>HYPERLINK("https://klasma.github.io/Logging_0305/klagomål/A 7946-2021 FSC-klagomål.docx", "A 7946-2021")</f>
        <v/>
      </c>
      <c r="W469">
        <f>HYPERLINK("https://klasma.github.io/Logging_0305/klagomålsmail/A 7946-2021 FSC-klagomål mail.docx", "A 7946-2021")</f>
        <v/>
      </c>
      <c r="X469">
        <f>HYPERLINK("https://klasma.github.io/Logging_0305/tillsyn/A 7946-2021 tillsynsbegäran.docx", "A 7946-2021")</f>
        <v/>
      </c>
      <c r="Y469">
        <f>HYPERLINK("https://klasma.github.io/Logging_0305/tillsynsmail/A 7946-2021 tillsynsbegäran mail.docx", "A 7946-2021")</f>
        <v/>
      </c>
    </row>
    <row r="470" ht="15" customHeight="1">
      <c r="A470" t="inlineStr">
        <is>
          <t>A 12255-2021</t>
        </is>
      </c>
      <c r="B470" s="1" t="n">
        <v>44266</v>
      </c>
      <c r="C470" s="1" t="n">
        <v>45705</v>
      </c>
      <c r="D470" t="inlineStr">
        <is>
          <t>UPPSALA LÄN</t>
        </is>
      </c>
      <c r="E470" t="inlineStr">
        <is>
          <t>UPPSALA</t>
        </is>
      </c>
      <c r="F470" t="inlineStr">
        <is>
          <t>Bergvik skog öst AB</t>
        </is>
      </c>
      <c r="G470" t="n">
        <v>19.1</v>
      </c>
      <c r="H470" t="n">
        <v>0</v>
      </c>
      <c r="I470" t="n">
        <v>0</v>
      </c>
      <c r="J470" t="n">
        <v>1</v>
      </c>
      <c r="K470" t="n">
        <v>0</v>
      </c>
      <c r="L470" t="n">
        <v>0</v>
      </c>
      <c r="M470" t="n">
        <v>0</v>
      </c>
      <c r="N470" t="n">
        <v>0</v>
      </c>
      <c r="O470" t="n">
        <v>1</v>
      </c>
      <c r="P470" t="n">
        <v>0</v>
      </c>
      <c r="Q470" t="n">
        <v>1</v>
      </c>
      <c r="R470" s="2" t="inlineStr">
        <is>
          <t>Sexfläckig bastardsvärmare</t>
        </is>
      </c>
      <c r="S470">
        <f>HYPERLINK("https://klasma.github.io/Logging_0380/artfynd/A 12255-2021 artfynd.xlsx", "A 12255-2021")</f>
        <v/>
      </c>
      <c r="T470">
        <f>HYPERLINK("https://klasma.github.io/Logging_0380/kartor/A 12255-2021 karta.png", "A 12255-2021")</f>
        <v/>
      </c>
      <c r="V470">
        <f>HYPERLINK("https://klasma.github.io/Logging_0380/klagomål/A 12255-2021 FSC-klagomål.docx", "A 12255-2021")</f>
        <v/>
      </c>
      <c r="W470">
        <f>HYPERLINK("https://klasma.github.io/Logging_0380/klagomålsmail/A 12255-2021 FSC-klagomål mail.docx", "A 12255-2021")</f>
        <v/>
      </c>
      <c r="X470">
        <f>HYPERLINK("https://klasma.github.io/Logging_0380/tillsyn/A 12255-2021 tillsynsbegäran.docx", "A 12255-2021")</f>
        <v/>
      </c>
      <c r="Y470">
        <f>HYPERLINK("https://klasma.github.io/Logging_0380/tillsynsmail/A 12255-2021 tillsynsbegäran mail.docx", "A 12255-2021")</f>
        <v/>
      </c>
    </row>
    <row r="471" ht="15" customHeight="1">
      <c r="A471" t="inlineStr">
        <is>
          <t>A 16973-2021</t>
        </is>
      </c>
      <c r="B471" s="1" t="n">
        <v>44295</v>
      </c>
      <c r="C471" s="1" t="n">
        <v>45705</v>
      </c>
      <c r="D471" t="inlineStr">
        <is>
          <t>UPPSALA LÄN</t>
        </is>
      </c>
      <c r="E471" t="inlineStr">
        <is>
          <t>KNIVSTA</t>
        </is>
      </c>
      <c r="G471" t="n">
        <v>5.5</v>
      </c>
      <c r="H471" t="n">
        <v>0</v>
      </c>
      <c r="I471" t="n">
        <v>0</v>
      </c>
      <c r="J471" t="n">
        <v>1</v>
      </c>
      <c r="K471" t="n">
        <v>0</v>
      </c>
      <c r="L471" t="n">
        <v>0</v>
      </c>
      <c r="M471" t="n">
        <v>0</v>
      </c>
      <c r="N471" t="n">
        <v>0</v>
      </c>
      <c r="O471" t="n">
        <v>1</v>
      </c>
      <c r="P471" t="n">
        <v>0</v>
      </c>
      <c r="Q471" t="n">
        <v>1</v>
      </c>
      <c r="R471" s="2" t="inlineStr">
        <is>
          <t>Backklöver</t>
        </is>
      </c>
      <c r="S471">
        <f>HYPERLINK("https://klasma.github.io/Logging_0330/artfynd/A 16973-2021 artfynd.xlsx", "A 16973-2021")</f>
        <v/>
      </c>
      <c r="T471">
        <f>HYPERLINK("https://klasma.github.io/Logging_0330/kartor/A 16973-2021 karta.png", "A 16973-2021")</f>
        <v/>
      </c>
      <c r="V471">
        <f>HYPERLINK("https://klasma.github.io/Logging_0330/klagomål/A 16973-2021 FSC-klagomål.docx", "A 16973-2021")</f>
        <v/>
      </c>
      <c r="W471">
        <f>HYPERLINK("https://klasma.github.io/Logging_0330/klagomålsmail/A 16973-2021 FSC-klagomål mail.docx", "A 16973-2021")</f>
        <v/>
      </c>
      <c r="X471">
        <f>HYPERLINK("https://klasma.github.io/Logging_0330/tillsyn/A 16973-2021 tillsynsbegäran.docx", "A 16973-2021")</f>
        <v/>
      </c>
      <c r="Y471">
        <f>HYPERLINK("https://klasma.github.io/Logging_0330/tillsynsmail/A 16973-2021 tillsynsbegäran mail.docx", "A 16973-2021")</f>
        <v/>
      </c>
    </row>
    <row r="472" ht="15" customHeight="1">
      <c r="A472" t="inlineStr">
        <is>
          <t>A 19139-2021</t>
        </is>
      </c>
      <c r="B472" s="1" t="n">
        <v>44308</v>
      </c>
      <c r="C472" s="1" t="n">
        <v>45705</v>
      </c>
      <c r="D472" t="inlineStr">
        <is>
          <t>UPPSALA LÄN</t>
        </is>
      </c>
      <c r="E472" t="inlineStr">
        <is>
          <t>HEBY</t>
        </is>
      </c>
      <c r="G472" t="n">
        <v>4.6</v>
      </c>
      <c r="H472" t="n">
        <v>1</v>
      </c>
      <c r="I472" t="n">
        <v>0</v>
      </c>
      <c r="J472" t="n">
        <v>0</v>
      </c>
      <c r="K472" t="n">
        <v>1</v>
      </c>
      <c r="L472" t="n">
        <v>0</v>
      </c>
      <c r="M472" t="n">
        <v>0</v>
      </c>
      <c r="N472" t="n">
        <v>0</v>
      </c>
      <c r="O472" t="n">
        <v>1</v>
      </c>
      <c r="P472" t="n">
        <v>1</v>
      </c>
      <c r="Q472" t="n">
        <v>1</v>
      </c>
      <c r="R472" s="2" t="inlineStr">
        <is>
          <t>Knärot</t>
        </is>
      </c>
      <c r="S472">
        <f>HYPERLINK("https://klasma.github.io/Logging_0331/artfynd/A 19139-2021 artfynd.xlsx", "A 19139-2021")</f>
        <v/>
      </c>
      <c r="T472">
        <f>HYPERLINK("https://klasma.github.io/Logging_0331/kartor/A 19139-2021 karta.png", "A 19139-2021")</f>
        <v/>
      </c>
      <c r="U472">
        <f>HYPERLINK("https://klasma.github.io/Logging_0331/knärot/A 19139-2021 karta knärot.png", "A 19139-2021")</f>
        <v/>
      </c>
      <c r="V472">
        <f>HYPERLINK("https://klasma.github.io/Logging_0331/klagomål/A 19139-2021 FSC-klagomål.docx", "A 19139-2021")</f>
        <v/>
      </c>
      <c r="W472">
        <f>HYPERLINK("https://klasma.github.io/Logging_0331/klagomålsmail/A 19139-2021 FSC-klagomål mail.docx", "A 19139-2021")</f>
        <v/>
      </c>
      <c r="X472">
        <f>HYPERLINK("https://klasma.github.io/Logging_0331/tillsyn/A 19139-2021 tillsynsbegäran.docx", "A 19139-2021")</f>
        <v/>
      </c>
      <c r="Y472">
        <f>HYPERLINK("https://klasma.github.io/Logging_0331/tillsynsmail/A 19139-2021 tillsynsbegäran mail.docx", "A 19139-2021")</f>
        <v/>
      </c>
    </row>
    <row r="473" ht="15" customHeight="1">
      <c r="A473" t="inlineStr">
        <is>
          <t>A 23385-2021</t>
        </is>
      </c>
      <c r="B473" s="1" t="n">
        <v>44333</v>
      </c>
      <c r="C473" s="1" t="n">
        <v>45705</v>
      </c>
      <c r="D473" t="inlineStr">
        <is>
          <t>UPPSALA LÄN</t>
        </is>
      </c>
      <c r="E473" t="inlineStr">
        <is>
          <t>ENKÖPING</t>
        </is>
      </c>
      <c r="G473" t="n">
        <v>0.7</v>
      </c>
      <c r="H473" t="n">
        <v>1</v>
      </c>
      <c r="I473" t="n">
        <v>0</v>
      </c>
      <c r="J473" t="n">
        <v>1</v>
      </c>
      <c r="K473" t="n">
        <v>0</v>
      </c>
      <c r="L473" t="n">
        <v>0</v>
      </c>
      <c r="M473" t="n">
        <v>0</v>
      </c>
      <c r="N473" t="n">
        <v>0</v>
      </c>
      <c r="O473" t="n">
        <v>1</v>
      </c>
      <c r="P473" t="n">
        <v>0</v>
      </c>
      <c r="Q473" t="n">
        <v>1</v>
      </c>
      <c r="R473" s="2" t="inlineStr">
        <is>
          <t>Talltita</t>
        </is>
      </c>
      <c r="S473">
        <f>HYPERLINK("https://klasma.github.io/Logging_0381/artfynd/A 23385-2021 artfynd.xlsx", "A 23385-2021")</f>
        <v/>
      </c>
      <c r="T473">
        <f>HYPERLINK("https://klasma.github.io/Logging_0381/kartor/A 23385-2021 karta.png", "A 23385-2021")</f>
        <v/>
      </c>
      <c r="V473">
        <f>HYPERLINK("https://klasma.github.io/Logging_0381/klagomål/A 23385-2021 FSC-klagomål.docx", "A 23385-2021")</f>
        <v/>
      </c>
      <c r="W473">
        <f>HYPERLINK("https://klasma.github.io/Logging_0381/klagomålsmail/A 23385-2021 FSC-klagomål mail.docx", "A 23385-2021")</f>
        <v/>
      </c>
      <c r="X473">
        <f>HYPERLINK("https://klasma.github.io/Logging_0381/tillsyn/A 23385-2021 tillsynsbegäran.docx", "A 23385-2021")</f>
        <v/>
      </c>
      <c r="Y473">
        <f>HYPERLINK("https://klasma.github.io/Logging_0381/tillsynsmail/A 23385-2021 tillsynsbegäran mail.docx", "A 23385-2021")</f>
        <v/>
      </c>
      <c r="Z473">
        <f>HYPERLINK("https://klasma.github.io/Logging_0381/fåglar/A 23385-2021 prioriterade fågelarter.docx", "A 23385-2021")</f>
        <v/>
      </c>
    </row>
    <row r="474" ht="15" customHeight="1">
      <c r="A474" t="inlineStr">
        <is>
          <t>A 33150-2021</t>
        </is>
      </c>
      <c r="B474" s="1" t="n">
        <v>44376</v>
      </c>
      <c r="C474" s="1" t="n">
        <v>45705</v>
      </c>
      <c r="D474" t="inlineStr">
        <is>
          <t>UPPSALA LÄN</t>
        </is>
      </c>
      <c r="E474" t="inlineStr">
        <is>
          <t>HEBY</t>
        </is>
      </c>
      <c r="G474" t="n">
        <v>8.6</v>
      </c>
      <c r="H474" t="n">
        <v>0</v>
      </c>
      <c r="I474" t="n">
        <v>1</v>
      </c>
      <c r="J474" t="n">
        <v>0</v>
      </c>
      <c r="K474" t="n">
        <v>0</v>
      </c>
      <c r="L474" t="n">
        <v>0</v>
      </c>
      <c r="M474" t="n">
        <v>0</v>
      </c>
      <c r="N474" t="n">
        <v>0</v>
      </c>
      <c r="O474" t="n">
        <v>0</v>
      </c>
      <c r="P474" t="n">
        <v>0</v>
      </c>
      <c r="Q474" t="n">
        <v>1</v>
      </c>
      <c r="R474" s="2" t="inlineStr">
        <is>
          <t>Rostfläck</t>
        </is>
      </c>
      <c r="S474">
        <f>HYPERLINK("https://klasma.github.io/Logging_0331/artfynd/A 33150-2021 artfynd.xlsx", "A 33150-2021")</f>
        <v/>
      </c>
      <c r="T474">
        <f>HYPERLINK("https://klasma.github.io/Logging_0331/kartor/A 33150-2021 karta.png", "A 33150-2021")</f>
        <v/>
      </c>
      <c r="V474">
        <f>HYPERLINK("https://klasma.github.io/Logging_0331/klagomål/A 33150-2021 FSC-klagomål.docx", "A 33150-2021")</f>
        <v/>
      </c>
      <c r="W474">
        <f>HYPERLINK("https://klasma.github.io/Logging_0331/klagomålsmail/A 33150-2021 FSC-klagomål mail.docx", "A 33150-2021")</f>
        <v/>
      </c>
      <c r="X474">
        <f>HYPERLINK("https://klasma.github.io/Logging_0331/tillsyn/A 33150-2021 tillsynsbegäran.docx", "A 33150-2021")</f>
        <v/>
      </c>
      <c r="Y474">
        <f>HYPERLINK("https://klasma.github.io/Logging_0331/tillsynsmail/A 33150-2021 tillsynsbegäran mail.docx", "A 33150-2021")</f>
        <v/>
      </c>
    </row>
    <row r="475" ht="15" customHeight="1">
      <c r="A475" t="inlineStr">
        <is>
          <t>A 34020-2021</t>
        </is>
      </c>
      <c r="B475" s="1" t="n">
        <v>44379</v>
      </c>
      <c r="C475" s="1" t="n">
        <v>45705</v>
      </c>
      <c r="D475" t="inlineStr">
        <is>
          <t>UPPSALA LÄN</t>
        </is>
      </c>
      <c r="E475" t="inlineStr">
        <is>
          <t>UPPSALA</t>
        </is>
      </c>
      <c r="G475" t="n">
        <v>1.9</v>
      </c>
      <c r="H475" t="n">
        <v>0</v>
      </c>
      <c r="I475" t="n">
        <v>0</v>
      </c>
      <c r="J475" t="n">
        <v>1</v>
      </c>
      <c r="K475" t="n">
        <v>0</v>
      </c>
      <c r="L475" t="n">
        <v>0</v>
      </c>
      <c r="M475" t="n">
        <v>0</v>
      </c>
      <c r="N475" t="n">
        <v>0</v>
      </c>
      <c r="O475" t="n">
        <v>1</v>
      </c>
      <c r="P475" t="n">
        <v>0</v>
      </c>
      <c r="Q475" t="n">
        <v>1</v>
      </c>
      <c r="R475" s="2" t="inlineStr">
        <is>
          <t>Tallticka</t>
        </is>
      </c>
      <c r="S475">
        <f>HYPERLINK("https://klasma.github.io/Logging_0380/artfynd/A 34020-2021 artfynd.xlsx", "A 34020-2021")</f>
        <v/>
      </c>
      <c r="T475">
        <f>HYPERLINK("https://klasma.github.io/Logging_0380/kartor/A 34020-2021 karta.png", "A 34020-2021")</f>
        <v/>
      </c>
      <c r="V475">
        <f>HYPERLINK("https://klasma.github.io/Logging_0380/klagomål/A 34020-2021 FSC-klagomål.docx", "A 34020-2021")</f>
        <v/>
      </c>
      <c r="W475">
        <f>HYPERLINK("https://klasma.github.io/Logging_0380/klagomålsmail/A 34020-2021 FSC-klagomål mail.docx", "A 34020-2021")</f>
        <v/>
      </c>
      <c r="X475">
        <f>HYPERLINK("https://klasma.github.io/Logging_0380/tillsyn/A 34020-2021 tillsynsbegäran.docx", "A 34020-2021")</f>
        <v/>
      </c>
      <c r="Y475">
        <f>HYPERLINK("https://klasma.github.io/Logging_0380/tillsynsmail/A 34020-2021 tillsynsbegäran mail.docx", "A 34020-2021")</f>
        <v/>
      </c>
    </row>
    <row r="476" ht="15" customHeight="1">
      <c r="A476" t="inlineStr">
        <is>
          <t>A 36523-2021</t>
        </is>
      </c>
      <c r="B476" s="1" t="n">
        <v>44391</v>
      </c>
      <c r="C476" s="1" t="n">
        <v>45705</v>
      </c>
      <c r="D476" t="inlineStr">
        <is>
          <t>UPPSALA LÄN</t>
        </is>
      </c>
      <c r="E476" t="inlineStr">
        <is>
          <t>ENKÖPING</t>
        </is>
      </c>
      <c r="G476" t="n">
        <v>3.5</v>
      </c>
      <c r="H476" t="n">
        <v>1</v>
      </c>
      <c r="I476" t="n">
        <v>0</v>
      </c>
      <c r="J476" t="n">
        <v>1</v>
      </c>
      <c r="K476" t="n">
        <v>0</v>
      </c>
      <c r="L476" t="n">
        <v>0</v>
      </c>
      <c r="M476" t="n">
        <v>0</v>
      </c>
      <c r="N476" t="n">
        <v>0</v>
      </c>
      <c r="O476" t="n">
        <v>1</v>
      </c>
      <c r="P476" t="n">
        <v>0</v>
      </c>
      <c r="Q476" t="n">
        <v>1</v>
      </c>
      <c r="R476" s="2" t="inlineStr">
        <is>
          <t>Spillkråka</t>
        </is>
      </c>
      <c r="S476">
        <f>HYPERLINK("https://klasma.github.io/Logging_0381/artfynd/A 36523-2021 artfynd.xlsx", "A 36523-2021")</f>
        <v/>
      </c>
      <c r="T476">
        <f>HYPERLINK("https://klasma.github.io/Logging_0381/kartor/A 36523-2021 karta.png", "A 36523-2021")</f>
        <v/>
      </c>
      <c r="V476">
        <f>HYPERLINK("https://klasma.github.io/Logging_0381/klagomål/A 36523-2021 FSC-klagomål.docx", "A 36523-2021")</f>
        <v/>
      </c>
      <c r="W476">
        <f>HYPERLINK("https://klasma.github.io/Logging_0381/klagomålsmail/A 36523-2021 FSC-klagomål mail.docx", "A 36523-2021")</f>
        <v/>
      </c>
      <c r="X476">
        <f>HYPERLINK("https://klasma.github.io/Logging_0381/tillsyn/A 36523-2021 tillsynsbegäran.docx", "A 36523-2021")</f>
        <v/>
      </c>
      <c r="Y476">
        <f>HYPERLINK("https://klasma.github.io/Logging_0381/tillsynsmail/A 36523-2021 tillsynsbegäran mail.docx", "A 36523-2021")</f>
        <v/>
      </c>
      <c r="Z476">
        <f>HYPERLINK("https://klasma.github.io/Logging_0381/fåglar/A 36523-2021 prioriterade fågelarter.docx", "A 36523-2021")</f>
        <v/>
      </c>
    </row>
    <row r="477" ht="15" customHeight="1">
      <c r="A477" t="inlineStr">
        <is>
          <t>A 37076-2021</t>
        </is>
      </c>
      <c r="B477" s="1" t="n">
        <v>44395</v>
      </c>
      <c r="C477" s="1" t="n">
        <v>45705</v>
      </c>
      <c r="D477" t="inlineStr">
        <is>
          <t>UPPSALA LÄN</t>
        </is>
      </c>
      <c r="E477" t="inlineStr">
        <is>
          <t>HEBY</t>
        </is>
      </c>
      <c r="G477" t="n">
        <v>4.5</v>
      </c>
      <c r="H477" t="n">
        <v>1</v>
      </c>
      <c r="I477" t="n">
        <v>0</v>
      </c>
      <c r="J477" t="n">
        <v>0</v>
      </c>
      <c r="K477" t="n">
        <v>1</v>
      </c>
      <c r="L477" t="n">
        <v>0</v>
      </c>
      <c r="M477" t="n">
        <v>0</v>
      </c>
      <c r="N477" t="n">
        <v>0</v>
      </c>
      <c r="O477" t="n">
        <v>1</v>
      </c>
      <c r="P477" t="n">
        <v>1</v>
      </c>
      <c r="Q477" t="n">
        <v>1</v>
      </c>
      <c r="R477" s="2" t="inlineStr">
        <is>
          <t>Knärot</t>
        </is>
      </c>
      <c r="S477">
        <f>HYPERLINK("https://klasma.github.io/Logging_0331/artfynd/A 37076-2021 artfynd.xlsx", "A 37076-2021")</f>
        <v/>
      </c>
      <c r="T477">
        <f>HYPERLINK("https://klasma.github.io/Logging_0331/kartor/A 37076-2021 karta.png", "A 37076-2021")</f>
        <v/>
      </c>
      <c r="U477">
        <f>HYPERLINK("https://klasma.github.io/Logging_0331/knärot/A 37076-2021 karta knärot.png", "A 37076-2021")</f>
        <v/>
      </c>
      <c r="V477">
        <f>HYPERLINK("https://klasma.github.io/Logging_0331/klagomål/A 37076-2021 FSC-klagomål.docx", "A 37076-2021")</f>
        <v/>
      </c>
      <c r="W477">
        <f>HYPERLINK("https://klasma.github.io/Logging_0331/klagomålsmail/A 37076-2021 FSC-klagomål mail.docx", "A 37076-2021")</f>
        <v/>
      </c>
      <c r="X477">
        <f>HYPERLINK("https://klasma.github.io/Logging_0331/tillsyn/A 37076-2021 tillsynsbegäran.docx", "A 37076-2021")</f>
        <v/>
      </c>
      <c r="Y477">
        <f>HYPERLINK("https://klasma.github.io/Logging_0331/tillsynsmail/A 37076-2021 tillsynsbegäran mail.docx", "A 37076-2021")</f>
        <v/>
      </c>
    </row>
    <row r="478" ht="15" customHeight="1">
      <c r="A478" t="inlineStr">
        <is>
          <t>A 46417-2021</t>
        </is>
      </c>
      <c r="B478" s="1" t="n">
        <v>44445</v>
      </c>
      <c r="C478" s="1" t="n">
        <v>45705</v>
      </c>
      <c r="D478" t="inlineStr">
        <is>
          <t>UPPSALA LÄN</t>
        </is>
      </c>
      <c r="E478" t="inlineStr">
        <is>
          <t>ÖSTHAMMAR</t>
        </is>
      </c>
      <c r="F478" t="inlineStr">
        <is>
          <t>Övriga Aktiebolag</t>
        </is>
      </c>
      <c r="G478" t="n">
        <v>9.1</v>
      </c>
      <c r="H478" t="n">
        <v>0</v>
      </c>
      <c r="I478" t="n">
        <v>0</v>
      </c>
      <c r="J478" t="n">
        <v>1</v>
      </c>
      <c r="K478" t="n">
        <v>0</v>
      </c>
      <c r="L478" t="n">
        <v>0</v>
      </c>
      <c r="M478" t="n">
        <v>0</v>
      </c>
      <c r="N478" t="n">
        <v>0</v>
      </c>
      <c r="O478" t="n">
        <v>1</v>
      </c>
      <c r="P478" t="n">
        <v>0</v>
      </c>
      <c r="Q478" t="n">
        <v>1</v>
      </c>
      <c r="R478" s="2" t="inlineStr">
        <is>
          <t>Klasefibbla</t>
        </is>
      </c>
      <c r="S478">
        <f>HYPERLINK("https://klasma.github.io/Logging_0382/artfynd/A 46417-2021 artfynd.xlsx", "A 46417-2021")</f>
        <v/>
      </c>
      <c r="T478">
        <f>HYPERLINK("https://klasma.github.io/Logging_0382/kartor/A 46417-2021 karta.png", "A 46417-2021")</f>
        <v/>
      </c>
      <c r="V478">
        <f>HYPERLINK("https://klasma.github.io/Logging_0382/klagomål/A 46417-2021 FSC-klagomål.docx", "A 46417-2021")</f>
        <v/>
      </c>
      <c r="W478">
        <f>HYPERLINK("https://klasma.github.io/Logging_0382/klagomålsmail/A 46417-2021 FSC-klagomål mail.docx", "A 46417-2021")</f>
        <v/>
      </c>
      <c r="X478">
        <f>HYPERLINK("https://klasma.github.io/Logging_0382/tillsyn/A 46417-2021 tillsynsbegäran.docx", "A 46417-2021")</f>
        <v/>
      </c>
      <c r="Y478">
        <f>HYPERLINK("https://klasma.github.io/Logging_0382/tillsynsmail/A 46417-2021 tillsynsbegäran mail.docx", "A 46417-2021")</f>
        <v/>
      </c>
    </row>
    <row r="479" ht="15" customHeight="1">
      <c r="A479" t="inlineStr">
        <is>
          <t>A 49839-2021</t>
        </is>
      </c>
      <c r="B479" s="1" t="n">
        <v>44455</v>
      </c>
      <c r="C479" s="1" t="n">
        <v>45705</v>
      </c>
      <c r="D479" t="inlineStr">
        <is>
          <t>UPPSALA LÄN</t>
        </is>
      </c>
      <c r="E479" t="inlineStr">
        <is>
          <t>ÖSTHAMMAR</t>
        </is>
      </c>
      <c r="G479" t="n">
        <v>3.6</v>
      </c>
      <c r="H479" t="n">
        <v>0</v>
      </c>
      <c r="I479" t="n">
        <v>0</v>
      </c>
      <c r="J479" t="n">
        <v>0</v>
      </c>
      <c r="K479" t="n">
        <v>1</v>
      </c>
      <c r="L479" t="n">
        <v>0</v>
      </c>
      <c r="M479" t="n">
        <v>0</v>
      </c>
      <c r="N479" t="n">
        <v>0</v>
      </c>
      <c r="O479" t="n">
        <v>1</v>
      </c>
      <c r="P479" t="n">
        <v>1</v>
      </c>
      <c r="Q479" t="n">
        <v>1</v>
      </c>
      <c r="R479" s="2" t="inlineStr">
        <is>
          <t>Violgubbe</t>
        </is>
      </c>
      <c r="S479">
        <f>HYPERLINK("https://klasma.github.io/Logging_0382/artfynd/A 49839-2021 artfynd.xlsx", "A 49839-2021")</f>
        <v/>
      </c>
      <c r="T479">
        <f>HYPERLINK("https://klasma.github.io/Logging_0382/kartor/A 49839-2021 karta.png", "A 49839-2021")</f>
        <v/>
      </c>
      <c r="V479">
        <f>HYPERLINK("https://klasma.github.io/Logging_0382/klagomål/A 49839-2021 FSC-klagomål.docx", "A 49839-2021")</f>
        <v/>
      </c>
      <c r="W479">
        <f>HYPERLINK("https://klasma.github.io/Logging_0382/klagomålsmail/A 49839-2021 FSC-klagomål mail.docx", "A 49839-2021")</f>
        <v/>
      </c>
      <c r="X479">
        <f>HYPERLINK("https://klasma.github.io/Logging_0382/tillsyn/A 49839-2021 tillsynsbegäran.docx", "A 49839-2021")</f>
        <v/>
      </c>
      <c r="Y479">
        <f>HYPERLINK("https://klasma.github.io/Logging_0382/tillsynsmail/A 49839-2021 tillsynsbegäran mail.docx", "A 49839-2021")</f>
        <v/>
      </c>
    </row>
    <row r="480" ht="15" customHeight="1">
      <c r="A480" t="inlineStr">
        <is>
          <t>A 49871-2021</t>
        </is>
      </c>
      <c r="B480" s="1" t="n">
        <v>44455</v>
      </c>
      <c r="C480" s="1" t="n">
        <v>45705</v>
      </c>
      <c r="D480" t="inlineStr">
        <is>
          <t>UPPSALA LÄN</t>
        </is>
      </c>
      <c r="E480" t="inlineStr">
        <is>
          <t>ÖSTHAMMAR</t>
        </is>
      </c>
      <c r="G480" t="n">
        <v>0.5</v>
      </c>
      <c r="H480" t="n">
        <v>0</v>
      </c>
      <c r="I480" t="n">
        <v>1</v>
      </c>
      <c r="J480" t="n">
        <v>0</v>
      </c>
      <c r="K480" t="n">
        <v>0</v>
      </c>
      <c r="L480" t="n">
        <v>0</v>
      </c>
      <c r="M480" t="n">
        <v>0</v>
      </c>
      <c r="N480" t="n">
        <v>0</v>
      </c>
      <c r="O480" t="n">
        <v>0</v>
      </c>
      <c r="P480" t="n">
        <v>0</v>
      </c>
      <c r="Q480" t="n">
        <v>1</v>
      </c>
      <c r="R480" s="2" t="inlineStr">
        <is>
          <t>Anisspindling</t>
        </is>
      </c>
      <c r="S480">
        <f>HYPERLINK("https://klasma.github.io/Logging_0382/artfynd/A 49871-2021 artfynd.xlsx", "A 49871-2021")</f>
        <v/>
      </c>
      <c r="T480">
        <f>HYPERLINK("https://klasma.github.io/Logging_0382/kartor/A 49871-2021 karta.png", "A 49871-2021")</f>
        <v/>
      </c>
      <c r="V480">
        <f>HYPERLINK("https://klasma.github.io/Logging_0382/klagomål/A 49871-2021 FSC-klagomål.docx", "A 49871-2021")</f>
        <v/>
      </c>
      <c r="W480">
        <f>HYPERLINK("https://klasma.github.io/Logging_0382/klagomålsmail/A 49871-2021 FSC-klagomål mail.docx", "A 49871-2021")</f>
        <v/>
      </c>
      <c r="X480">
        <f>HYPERLINK("https://klasma.github.io/Logging_0382/tillsyn/A 49871-2021 tillsynsbegäran.docx", "A 49871-2021")</f>
        <v/>
      </c>
      <c r="Y480">
        <f>HYPERLINK("https://klasma.github.io/Logging_0382/tillsynsmail/A 49871-2021 tillsynsbegäran mail.docx", "A 49871-2021")</f>
        <v/>
      </c>
    </row>
    <row r="481" ht="15" customHeight="1">
      <c r="A481" t="inlineStr">
        <is>
          <t>A 50442-2021</t>
        </is>
      </c>
      <c r="B481" s="1" t="n">
        <v>44459</v>
      </c>
      <c r="C481" s="1" t="n">
        <v>45705</v>
      </c>
      <c r="D481" t="inlineStr">
        <is>
          <t>UPPSALA LÄN</t>
        </is>
      </c>
      <c r="E481" t="inlineStr">
        <is>
          <t>TIERP</t>
        </is>
      </c>
      <c r="F481" t="inlineStr">
        <is>
          <t>Bergvik skog öst AB</t>
        </is>
      </c>
      <c r="G481" t="n">
        <v>5.8</v>
      </c>
      <c r="H481" t="n">
        <v>1</v>
      </c>
      <c r="I481" t="n">
        <v>0</v>
      </c>
      <c r="J481" t="n">
        <v>0</v>
      </c>
      <c r="K481" t="n">
        <v>0</v>
      </c>
      <c r="L481" t="n">
        <v>0</v>
      </c>
      <c r="M481" t="n">
        <v>0</v>
      </c>
      <c r="N481" t="n">
        <v>0</v>
      </c>
      <c r="O481" t="n">
        <v>0</v>
      </c>
      <c r="P481" t="n">
        <v>0</v>
      </c>
      <c r="Q481" t="n">
        <v>1</v>
      </c>
      <c r="R481" s="2" t="inlineStr">
        <is>
          <t>Tjäder</t>
        </is>
      </c>
      <c r="S481">
        <f>HYPERLINK("https://klasma.github.io/Logging_0360/artfynd/A 50442-2021 artfynd.xlsx", "A 50442-2021")</f>
        <v/>
      </c>
      <c r="T481">
        <f>HYPERLINK("https://klasma.github.io/Logging_0360/kartor/A 50442-2021 karta.png", "A 50442-2021")</f>
        <v/>
      </c>
      <c r="V481">
        <f>HYPERLINK("https://klasma.github.io/Logging_0360/klagomål/A 50442-2021 FSC-klagomål.docx", "A 50442-2021")</f>
        <v/>
      </c>
      <c r="W481">
        <f>HYPERLINK("https://klasma.github.io/Logging_0360/klagomålsmail/A 50442-2021 FSC-klagomål mail.docx", "A 50442-2021")</f>
        <v/>
      </c>
      <c r="X481">
        <f>HYPERLINK("https://klasma.github.io/Logging_0360/tillsyn/A 50442-2021 tillsynsbegäran.docx", "A 50442-2021")</f>
        <v/>
      </c>
      <c r="Y481">
        <f>HYPERLINK("https://klasma.github.io/Logging_0360/tillsynsmail/A 50442-2021 tillsynsbegäran mail.docx", "A 50442-2021")</f>
        <v/>
      </c>
      <c r="Z481">
        <f>HYPERLINK("https://klasma.github.io/Logging_0360/fåglar/A 50442-2021 prioriterade fågelarter.docx", "A 50442-2021")</f>
        <v/>
      </c>
    </row>
    <row r="482" ht="15" customHeight="1">
      <c r="A482" t="inlineStr">
        <is>
          <t>A 50429-2021</t>
        </is>
      </c>
      <c r="B482" s="1" t="n">
        <v>44459</v>
      </c>
      <c r="C482" s="1" t="n">
        <v>45705</v>
      </c>
      <c r="D482" t="inlineStr">
        <is>
          <t>UPPSALA LÄN</t>
        </is>
      </c>
      <c r="E482" t="inlineStr">
        <is>
          <t>TIERP</t>
        </is>
      </c>
      <c r="F482" t="inlineStr">
        <is>
          <t>Bergvik skog öst AB</t>
        </is>
      </c>
      <c r="G482" t="n">
        <v>11.4</v>
      </c>
      <c r="H482" t="n">
        <v>1</v>
      </c>
      <c r="I482" t="n">
        <v>0</v>
      </c>
      <c r="J482" t="n">
        <v>0</v>
      </c>
      <c r="K482" t="n">
        <v>0</v>
      </c>
      <c r="L482" t="n">
        <v>0</v>
      </c>
      <c r="M482" t="n">
        <v>0</v>
      </c>
      <c r="N482" t="n">
        <v>0</v>
      </c>
      <c r="O482" t="n">
        <v>0</v>
      </c>
      <c r="P482" t="n">
        <v>0</v>
      </c>
      <c r="Q482" t="n">
        <v>1</v>
      </c>
      <c r="R482" s="2" t="inlineStr">
        <is>
          <t>Tjäder</t>
        </is>
      </c>
      <c r="S482">
        <f>HYPERLINK("https://klasma.github.io/Logging_0360/artfynd/A 50429-2021 artfynd.xlsx", "A 50429-2021")</f>
        <v/>
      </c>
      <c r="T482">
        <f>HYPERLINK("https://klasma.github.io/Logging_0360/kartor/A 50429-2021 karta.png", "A 50429-2021")</f>
        <v/>
      </c>
      <c r="V482">
        <f>HYPERLINK("https://klasma.github.io/Logging_0360/klagomål/A 50429-2021 FSC-klagomål.docx", "A 50429-2021")</f>
        <v/>
      </c>
      <c r="W482">
        <f>HYPERLINK("https://klasma.github.io/Logging_0360/klagomålsmail/A 50429-2021 FSC-klagomål mail.docx", "A 50429-2021")</f>
        <v/>
      </c>
      <c r="X482">
        <f>HYPERLINK("https://klasma.github.io/Logging_0360/tillsyn/A 50429-2021 tillsynsbegäran.docx", "A 50429-2021")</f>
        <v/>
      </c>
      <c r="Y482">
        <f>HYPERLINK("https://klasma.github.io/Logging_0360/tillsynsmail/A 50429-2021 tillsynsbegäran mail.docx", "A 50429-2021")</f>
        <v/>
      </c>
      <c r="Z482">
        <f>HYPERLINK("https://klasma.github.io/Logging_0360/fåglar/A 50429-2021 prioriterade fågelarter.docx", "A 50429-2021")</f>
        <v/>
      </c>
    </row>
    <row r="483" ht="15" customHeight="1">
      <c r="A483" t="inlineStr">
        <is>
          <t>A 52849-2021</t>
        </is>
      </c>
      <c r="B483" s="1" t="n">
        <v>44467</v>
      </c>
      <c r="C483" s="1" t="n">
        <v>45705</v>
      </c>
      <c r="D483" t="inlineStr">
        <is>
          <t>UPPSALA LÄN</t>
        </is>
      </c>
      <c r="E483" t="inlineStr">
        <is>
          <t>UPPSALA</t>
        </is>
      </c>
      <c r="F483" t="inlineStr">
        <is>
          <t>Övriga Aktiebolag</t>
        </is>
      </c>
      <c r="G483" t="n">
        <v>3.3</v>
      </c>
      <c r="H483" t="n">
        <v>0</v>
      </c>
      <c r="I483" t="n">
        <v>0</v>
      </c>
      <c r="J483" t="n">
        <v>1</v>
      </c>
      <c r="K483" t="n">
        <v>0</v>
      </c>
      <c r="L483" t="n">
        <v>0</v>
      </c>
      <c r="M483" t="n">
        <v>0</v>
      </c>
      <c r="N483" t="n">
        <v>0</v>
      </c>
      <c r="O483" t="n">
        <v>1</v>
      </c>
      <c r="P483" t="n">
        <v>0</v>
      </c>
      <c r="Q483" t="n">
        <v>1</v>
      </c>
      <c r="R483" s="2" t="inlineStr">
        <is>
          <t>Skogshare</t>
        </is>
      </c>
      <c r="S483">
        <f>HYPERLINK("https://klasma.github.io/Logging_0380/artfynd/A 52849-2021 artfynd.xlsx", "A 52849-2021")</f>
        <v/>
      </c>
      <c r="T483">
        <f>HYPERLINK("https://klasma.github.io/Logging_0380/kartor/A 52849-2021 karta.png", "A 52849-2021")</f>
        <v/>
      </c>
      <c r="V483">
        <f>HYPERLINK("https://klasma.github.io/Logging_0380/klagomål/A 52849-2021 FSC-klagomål.docx", "A 52849-2021")</f>
        <v/>
      </c>
      <c r="W483">
        <f>HYPERLINK("https://klasma.github.io/Logging_0380/klagomålsmail/A 52849-2021 FSC-klagomål mail.docx", "A 52849-2021")</f>
        <v/>
      </c>
      <c r="X483">
        <f>HYPERLINK("https://klasma.github.io/Logging_0380/tillsyn/A 52849-2021 tillsynsbegäran.docx", "A 52849-2021")</f>
        <v/>
      </c>
      <c r="Y483">
        <f>HYPERLINK("https://klasma.github.io/Logging_0380/tillsynsmail/A 52849-2021 tillsynsbegäran mail.docx", "A 52849-2021")</f>
        <v/>
      </c>
    </row>
    <row r="484" ht="15" customHeight="1">
      <c r="A484" t="inlineStr">
        <is>
          <t>A 58050-2021</t>
        </is>
      </c>
      <c r="B484" s="1" t="n">
        <v>44487</v>
      </c>
      <c r="C484" s="1" t="n">
        <v>45705</v>
      </c>
      <c r="D484" t="inlineStr">
        <is>
          <t>UPPSALA LÄN</t>
        </is>
      </c>
      <c r="E484" t="inlineStr">
        <is>
          <t>UPPSALA</t>
        </is>
      </c>
      <c r="G484" t="n">
        <v>4.4</v>
      </c>
      <c r="H484" t="n">
        <v>0</v>
      </c>
      <c r="I484" t="n">
        <v>0</v>
      </c>
      <c r="J484" t="n">
        <v>1</v>
      </c>
      <c r="K484" t="n">
        <v>0</v>
      </c>
      <c r="L484" t="n">
        <v>0</v>
      </c>
      <c r="M484" t="n">
        <v>0</v>
      </c>
      <c r="N484" t="n">
        <v>0</v>
      </c>
      <c r="O484" t="n">
        <v>1</v>
      </c>
      <c r="P484" t="n">
        <v>0</v>
      </c>
      <c r="Q484" t="n">
        <v>1</v>
      </c>
      <c r="R484" s="2" t="inlineStr">
        <is>
          <t>Ullticka</t>
        </is>
      </c>
      <c r="S484">
        <f>HYPERLINK("https://klasma.github.io/Logging_0380/artfynd/A 58050-2021 artfynd.xlsx", "A 58050-2021")</f>
        <v/>
      </c>
      <c r="T484">
        <f>HYPERLINK("https://klasma.github.io/Logging_0380/kartor/A 58050-2021 karta.png", "A 58050-2021")</f>
        <v/>
      </c>
      <c r="V484">
        <f>HYPERLINK("https://klasma.github.io/Logging_0380/klagomål/A 58050-2021 FSC-klagomål.docx", "A 58050-2021")</f>
        <v/>
      </c>
      <c r="W484">
        <f>HYPERLINK("https://klasma.github.io/Logging_0380/klagomålsmail/A 58050-2021 FSC-klagomål mail.docx", "A 58050-2021")</f>
        <v/>
      </c>
      <c r="X484">
        <f>HYPERLINK("https://klasma.github.io/Logging_0380/tillsyn/A 58050-2021 tillsynsbegäran.docx", "A 58050-2021")</f>
        <v/>
      </c>
      <c r="Y484">
        <f>HYPERLINK("https://klasma.github.io/Logging_0380/tillsynsmail/A 58050-2021 tillsynsbegäran mail.docx", "A 58050-2021")</f>
        <v/>
      </c>
    </row>
    <row r="485" ht="15" customHeight="1">
      <c r="A485" t="inlineStr">
        <is>
          <t>A 58906-2021</t>
        </is>
      </c>
      <c r="B485" s="1" t="n">
        <v>44489</v>
      </c>
      <c r="C485" s="1" t="n">
        <v>45705</v>
      </c>
      <c r="D485" t="inlineStr">
        <is>
          <t>UPPSALA LÄN</t>
        </is>
      </c>
      <c r="E485" t="inlineStr">
        <is>
          <t>UPPSALA</t>
        </is>
      </c>
      <c r="G485" t="n">
        <v>8.6</v>
      </c>
      <c r="H485" t="n">
        <v>0</v>
      </c>
      <c r="I485" t="n">
        <v>0</v>
      </c>
      <c r="J485" t="n">
        <v>1</v>
      </c>
      <c r="K485" t="n">
        <v>0</v>
      </c>
      <c r="L485" t="n">
        <v>0</v>
      </c>
      <c r="M485" t="n">
        <v>0</v>
      </c>
      <c r="N485" t="n">
        <v>0</v>
      </c>
      <c r="O485" t="n">
        <v>1</v>
      </c>
      <c r="P485" t="n">
        <v>0</v>
      </c>
      <c r="Q485" t="n">
        <v>1</v>
      </c>
      <c r="R485" s="2" t="inlineStr">
        <is>
          <t>Ullticka</t>
        </is>
      </c>
      <c r="S485">
        <f>HYPERLINK("https://klasma.github.io/Logging_0380/artfynd/A 58906-2021 artfynd.xlsx", "A 58906-2021")</f>
        <v/>
      </c>
      <c r="T485">
        <f>HYPERLINK("https://klasma.github.io/Logging_0380/kartor/A 58906-2021 karta.png", "A 58906-2021")</f>
        <v/>
      </c>
      <c r="V485">
        <f>HYPERLINK("https://klasma.github.io/Logging_0380/klagomål/A 58906-2021 FSC-klagomål.docx", "A 58906-2021")</f>
        <v/>
      </c>
      <c r="W485">
        <f>HYPERLINK("https://klasma.github.io/Logging_0380/klagomålsmail/A 58906-2021 FSC-klagomål mail.docx", "A 58906-2021")</f>
        <v/>
      </c>
      <c r="X485">
        <f>HYPERLINK("https://klasma.github.io/Logging_0380/tillsyn/A 58906-2021 tillsynsbegäran.docx", "A 58906-2021")</f>
        <v/>
      </c>
      <c r="Y485">
        <f>HYPERLINK("https://klasma.github.io/Logging_0380/tillsynsmail/A 58906-2021 tillsynsbegäran mail.docx", "A 58906-2021")</f>
        <v/>
      </c>
    </row>
    <row r="486" ht="15" customHeight="1">
      <c r="A486" t="inlineStr">
        <is>
          <t>A 60855-2021</t>
        </is>
      </c>
      <c r="B486" s="1" t="n">
        <v>44497</v>
      </c>
      <c r="C486" s="1" t="n">
        <v>45705</v>
      </c>
      <c r="D486" t="inlineStr">
        <is>
          <t>UPPSALA LÄN</t>
        </is>
      </c>
      <c r="E486" t="inlineStr">
        <is>
          <t>ENKÖPING</t>
        </is>
      </c>
      <c r="G486" t="n">
        <v>1.2</v>
      </c>
      <c r="H486" t="n">
        <v>1</v>
      </c>
      <c r="I486" t="n">
        <v>0</v>
      </c>
      <c r="J486" t="n">
        <v>0</v>
      </c>
      <c r="K486" t="n">
        <v>1</v>
      </c>
      <c r="L486" t="n">
        <v>0</v>
      </c>
      <c r="M486" t="n">
        <v>0</v>
      </c>
      <c r="N486" t="n">
        <v>0</v>
      </c>
      <c r="O486" t="n">
        <v>1</v>
      </c>
      <c r="P486" t="n">
        <v>1</v>
      </c>
      <c r="Q486" t="n">
        <v>1</v>
      </c>
      <c r="R486" s="2" t="inlineStr">
        <is>
          <t>Knärot</t>
        </is>
      </c>
      <c r="S486">
        <f>HYPERLINK("https://klasma.github.io/Logging_0381/artfynd/A 60855-2021 artfynd.xlsx", "A 60855-2021")</f>
        <v/>
      </c>
      <c r="T486">
        <f>HYPERLINK("https://klasma.github.io/Logging_0381/kartor/A 60855-2021 karta.png", "A 60855-2021")</f>
        <v/>
      </c>
      <c r="U486">
        <f>HYPERLINK("https://klasma.github.io/Logging_0381/knärot/A 60855-2021 karta knärot.png", "A 60855-2021")</f>
        <v/>
      </c>
      <c r="V486">
        <f>HYPERLINK("https://klasma.github.io/Logging_0381/klagomål/A 60855-2021 FSC-klagomål.docx", "A 60855-2021")</f>
        <v/>
      </c>
      <c r="W486">
        <f>HYPERLINK("https://klasma.github.io/Logging_0381/klagomålsmail/A 60855-2021 FSC-klagomål mail.docx", "A 60855-2021")</f>
        <v/>
      </c>
      <c r="X486">
        <f>HYPERLINK("https://klasma.github.io/Logging_0381/tillsyn/A 60855-2021 tillsynsbegäran.docx", "A 60855-2021")</f>
        <v/>
      </c>
      <c r="Y486">
        <f>HYPERLINK("https://klasma.github.io/Logging_0381/tillsynsmail/A 60855-2021 tillsynsbegäran mail.docx", "A 60855-2021")</f>
        <v/>
      </c>
    </row>
    <row r="487" ht="15" customHeight="1">
      <c r="A487" t="inlineStr">
        <is>
          <t>A 61536-2021</t>
        </is>
      </c>
      <c r="B487" s="1" t="n">
        <v>44501</v>
      </c>
      <c r="C487" s="1" t="n">
        <v>45705</v>
      </c>
      <c r="D487" t="inlineStr">
        <is>
          <t>UPPSALA LÄN</t>
        </is>
      </c>
      <c r="E487" t="inlineStr">
        <is>
          <t>ÖSTHAMMAR</t>
        </is>
      </c>
      <c r="F487" t="inlineStr">
        <is>
          <t>Sveaskog</t>
        </is>
      </c>
      <c r="G487" t="n">
        <v>2.1</v>
      </c>
      <c r="H487" t="n">
        <v>0</v>
      </c>
      <c r="I487" t="n">
        <v>0</v>
      </c>
      <c r="J487" t="n">
        <v>1</v>
      </c>
      <c r="K487" t="n">
        <v>0</v>
      </c>
      <c r="L487" t="n">
        <v>0</v>
      </c>
      <c r="M487" t="n">
        <v>0</v>
      </c>
      <c r="N487" t="n">
        <v>0</v>
      </c>
      <c r="O487" t="n">
        <v>1</v>
      </c>
      <c r="P487" t="n">
        <v>0</v>
      </c>
      <c r="Q487" t="n">
        <v>1</v>
      </c>
      <c r="R487" s="2" t="inlineStr">
        <is>
          <t>Klasefibbla</t>
        </is>
      </c>
      <c r="S487">
        <f>HYPERLINK("https://klasma.github.io/Logging_0382/artfynd/A 61536-2021 artfynd.xlsx", "A 61536-2021")</f>
        <v/>
      </c>
      <c r="T487">
        <f>HYPERLINK("https://klasma.github.io/Logging_0382/kartor/A 61536-2021 karta.png", "A 61536-2021")</f>
        <v/>
      </c>
      <c r="V487">
        <f>HYPERLINK("https://klasma.github.io/Logging_0382/klagomål/A 61536-2021 FSC-klagomål.docx", "A 61536-2021")</f>
        <v/>
      </c>
      <c r="W487">
        <f>HYPERLINK("https://klasma.github.io/Logging_0382/klagomålsmail/A 61536-2021 FSC-klagomål mail.docx", "A 61536-2021")</f>
        <v/>
      </c>
      <c r="X487">
        <f>HYPERLINK("https://klasma.github.io/Logging_0382/tillsyn/A 61536-2021 tillsynsbegäran.docx", "A 61536-2021")</f>
        <v/>
      </c>
      <c r="Y487">
        <f>HYPERLINK("https://klasma.github.io/Logging_0382/tillsynsmail/A 61536-2021 tillsynsbegäran mail.docx", "A 61536-2021")</f>
        <v/>
      </c>
    </row>
    <row r="488" ht="15" customHeight="1">
      <c r="A488" t="inlineStr">
        <is>
          <t>A 61598-2021</t>
        </is>
      </c>
      <c r="B488" s="1" t="n">
        <v>44501</v>
      </c>
      <c r="C488" s="1" t="n">
        <v>45705</v>
      </c>
      <c r="D488" t="inlineStr">
        <is>
          <t>UPPSALA LÄN</t>
        </is>
      </c>
      <c r="E488" t="inlineStr">
        <is>
          <t>HEBY</t>
        </is>
      </c>
      <c r="G488" t="n">
        <v>1.5</v>
      </c>
      <c r="H488" t="n">
        <v>1</v>
      </c>
      <c r="I488" t="n">
        <v>0</v>
      </c>
      <c r="J488" t="n">
        <v>0</v>
      </c>
      <c r="K488" t="n">
        <v>0</v>
      </c>
      <c r="L488" t="n">
        <v>0</v>
      </c>
      <c r="M488" t="n">
        <v>0</v>
      </c>
      <c r="N488" t="n">
        <v>0</v>
      </c>
      <c r="O488" t="n">
        <v>0</v>
      </c>
      <c r="P488" t="n">
        <v>0</v>
      </c>
      <c r="Q488" t="n">
        <v>1</v>
      </c>
      <c r="R488" s="2" t="inlineStr">
        <is>
          <t>Trana</t>
        </is>
      </c>
      <c r="S488">
        <f>HYPERLINK("https://klasma.github.io/Logging_0331/artfynd/A 61598-2021 artfynd.xlsx", "A 61598-2021")</f>
        <v/>
      </c>
      <c r="T488">
        <f>HYPERLINK("https://klasma.github.io/Logging_0331/kartor/A 61598-2021 karta.png", "A 61598-2021")</f>
        <v/>
      </c>
      <c r="V488">
        <f>HYPERLINK("https://klasma.github.io/Logging_0331/klagomål/A 61598-2021 FSC-klagomål.docx", "A 61598-2021")</f>
        <v/>
      </c>
      <c r="W488">
        <f>HYPERLINK("https://klasma.github.io/Logging_0331/klagomålsmail/A 61598-2021 FSC-klagomål mail.docx", "A 61598-2021")</f>
        <v/>
      </c>
      <c r="X488">
        <f>HYPERLINK("https://klasma.github.io/Logging_0331/tillsyn/A 61598-2021 tillsynsbegäran.docx", "A 61598-2021")</f>
        <v/>
      </c>
      <c r="Y488">
        <f>HYPERLINK("https://klasma.github.io/Logging_0331/tillsynsmail/A 61598-2021 tillsynsbegäran mail.docx", "A 61598-2021")</f>
        <v/>
      </c>
      <c r="Z488">
        <f>HYPERLINK("https://klasma.github.io/Logging_0331/fåglar/A 61598-2021 prioriterade fågelarter.docx", "A 61598-2021")</f>
        <v/>
      </c>
    </row>
    <row r="489" ht="15" customHeight="1">
      <c r="A489" t="inlineStr">
        <is>
          <t>A 61559-2021</t>
        </is>
      </c>
      <c r="B489" s="1" t="n">
        <v>44501</v>
      </c>
      <c r="C489" s="1" t="n">
        <v>45705</v>
      </c>
      <c r="D489" t="inlineStr">
        <is>
          <t>UPPSALA LÄN</t>
        </is>
      </c>
      <c r="E489" t="inlineStr">
        <is>
          <t>ÖSTHAMMAR</t>
        </is>
      </c>
      <c r="F489" t="inlineStr">
        <is>
          <t>Sveaskog</t>
        </is>
      </c>
      <c r="G489" t="n">
        <v>2.3</v>
      </c>
      <c r="H489" t="n">
        <v>0</v>
      </c>
      <c r="I489" t="n">
        <v>0</v>
      </c>
      <c r="J489" t="n">
        <v>1</v>
      </c>
      <c r="K489" t="n">
        <v>0</v>
      </c>
      <c r="L489" t="n">
        <v>0</v>
      </c>
      <c r="M489" t="n">
        <v>0</v>
      </c>
      <c r="N489" t="n">
        <v>0</v>
      </c>
      <c r="O489" t="n">
        <v>1</v>
      </c>
      <c r="P489" t="n">
        <v>0</v>
      </c>
      <c r="Q489" t="n">
        <v>1</v>
      </c>
      <c r="R489" s="2" t="inlineStr">
        <is>
          <t>Backklöver</t>
        </is>
      </c>
      <c r="S489">
        <f>HYPERLINK("https://klasma.github.io/Logging_0382/artfynd/A 61559-2021 artfynd.xlsx", "A 61559-2021")</f>
        <v/>
      </c>
      <c r="T489">
        <f>HYPERLINK("https://klasma.github.io/Logging_0382/kartor/A 61559-2021 karta.png", "A 61559-2021")</f>
        <v/>
      </c>
      <c r="V489">
        <f>HYPERLINK("https://klasma.github.io/Logging_0382/klagomål/A 61559-2021 FSC-klagomål.docx", "A 61559-2021")</f>
        <v/>
      </c>
      <c r="W489">
        <f>HYPERLINK("https://klasma.github.io/Logging_0382/klagomålsmail/A 61559-2021 FSC-klagomål mail.docx", "A 61559-2021")</f>
        <v/>
      </c>
      <c r="X489">
        <f>HYPERLINK("https://klasma.github.io/Logging_0382/tillsyn/A 61559-2021 tillsynsbegäran.docx", "A 61559-2021")</f>
        <v/>
      </c>
      <c r="Y489">
        <f>HYPERLINK("https://klasma.github.io/Logging_0382/tillsynsmail/A 61559-2021 tillsynsbegäran mail.docx", "A 61559-2021")</f>
        <v/>
      </c>
    </row>
    <row r="490" ht="15" customHeight="1">
      <c r="A490" t="inlineStr">
        <is>
          <t>A 63615-2021</t>
        </is>
      </c>
      <c r="B490" s="1" t="n">
        <v>44509</v>
      </c>
      <c r="C490" s="1" t="n">
        <v>45705</v>
      </c>
      <c r="D490" t="inlineStr">
        <is>
          <t>UPPSALA LÄN</t>
        </is>
      </c>
      <c r="E490" t="inlineStr">
        <is>
          <t>ÖSTHAMMAR</t>
        </is>
      </c>
      <c r="G490" t="n">
        <v>1.9</v>
      </c>
      <c r="H490" t="n">
        <v>0</v>
      </c>
      <c r="I490" t="n">
        <v>0</v>
      </c>
      <c r="J490" t="n">
        <v>1</v>
      </c>
      <c r="K490" t="n">
        <v>0</v>
      </c>
      <c r="L490" t="n">
        <v>0</v>
      </c>
      <c r="M490" t="n">
        <v>0</v>
      </c>
      <c r="N490" t="n">
        <v>0</v>
      </c>
      <c r="O490" t="n">
        <v>1</v>
      </c>
      <c r="P490" t="n">
        <v>0</v>
      </c>
      <c r="Q490" t="n">
        <v>1</v>
      </c>
      <c r="R490" s="2" t="inlineStr">
        <is>
          <t>Gul taggsvamp</t>
        </is>
      </c>
      <c r="S490">
        <f>HYPERLINK("https://klasma.github.io/Logging_0382/artfynd/A 63615-2021 artfynd.xlsx", "A 63615-2021")</f>
        <v/>
      </c>
      <c r="T490">
        <f>HYPERLINK("https://klasma.github.io/Logging_0382/kartor/A 63615-2021 karta.png", "A 63615-2021")</f>
        <v/>
      </c>
      <c r="V490">
        <f>HYPERLINK("https://klasma.github.io/Logging_0382/klagomål/A 63615-2021 FSC-klagomål.docx", "A 63615-2021")</f>
        <v/>
      </c>
      <c r="W490">
        <f>HYPERLINK("https://klasma.github.io/Logging_0382/klagomålsmail/A 63615-2021 FSC-klagomål mail.docx", "A 63615-2021")</f>
        <v/>
      </c>
      <c r="X490">
        <f>HYPERLINK("https://klasma.github.io/Logging_0382/tillsyn/A 63615-2021 tillsynsbegäran.docx", "A 63615-2021")</f>
        <v/>
      </c>
      <c r="Y490">
        <f>HYPERLINK("https://klasma.github.io/Logging_0382/tillsynsmail/A 63615-2021 tillsynsbegäran mail.docx", "A 63615-2021")</f>
        <v/>
      </c>
    </row>
    <row r="491" ht="15" customHeight="1">
      <c r="A491" t="inlineStr">
        <is>
          <t>A 65989-2021</t>
        </is>
      </c>
      <c r="B491" s="1" t="n">
        <v>44517</v>
      </c>
      <c r="C491" s="1" t="n">
        <v>45705</v>
      </c>
      <c r="D491" t="inlineStr">
        <is>
          <t>UPPSALA LÄN</t>
        </is>
      </c>
      <c r="E491" t="inlineStr">
        <is>
          <t>ÖSTHAMMAR</t>
        </is>
      </c>
      <c r="G491" t="n">
        <v>6.9</v>
      </c>
      <c r="H491" t="n">
        <v>1</v>
      </c>
      <c r="I491" t="n">
        <v>1</v>
      </c>
      <c r="J491" t="n">
        <v>0</v>
      </c>
      <c r="K491" t="n">
        <v>0</v>
      </c>
      <c r="L491" t="n">
        <v>0</v>
      </c>
      <c r="M491" t="n">
        <v>0</v>
      </c>
      <c r="N491" t="n">
        <v>0</v>
      </c>
      <c r="O491" t="n">
        <v>0</v>
      </c>
      <c r="P491" t="n">
        <v>0</v>
      </c>
      <c r="Q491" t="n">
        <v>1</v>
      </c>
      <c r="R491" s="2" t="inlineStr">
        <is>
          <t>Skogsknipprot</t>
        </is>
      </c>
      <c r="S491">
        <f>HYPERLINK("https://klasma.github.io/Logging_0382/artfynd/A 65989-2021 artfynd.xlsx", "A 65989-2021")</f>
        <v/>
      </c>
      <c r="T491">
        <f>HYPERLINK("https://klasma.github.io/Logging_0382/kartor/A 65989-2021 karta.png", "A 65989-2021")</f>
        <v/>
      </c>
      <c r="V491">
        <f>HYPERLINK("https://klasma.github.io/Logging_0382/klagomål/A 65989-2021 FSC-klagomål.docx", "A 65989-2021")</f>
        <v/>
      </c>
      <c r="W491">
        <f>HYPERLINK("https://klasma.github.io/Logging_0382/klagomålsmail/A 65989-2021 FSC-klagomål mail.docx", "A 65989-2021")</f>
        <v/>
      </c>
      <c r="X491">
        <f>HYPERLINK("https://klasma.github.io/Logging_0382/tillsyn/A 65989-2021 tillsynsbegäran.docx", "A 65989-2021")</f>
        <v/>
      </c>
      <c r="Y491">
        <f>HYPERLINK("https://klasma.github.io/Logging_0382/tillsynsmail/A 65989-2021 tillsynsbegäran mail.docx", "A 65989-2021")</f>
        <v/>
      </c>
    </row>
    <row r="492" ht="15" customHeight="1">
      <c r="A492" t="inlineStr">
        <is>
          <t>A 70495-2021</t>
        </is>
      </c>
      <c r="B492" s="1" t="n">
        <v>44536</v>
      </c>
      <c r="C492" s="1" t="n">
        <v>45705</v>
      </c>
      <c r="D492" t="inlineStr">
        <is>
          <t>UPPSALA LÄN</t>
        </is>
      </c>
      <c r="E492" t="inlineStr">
        <is>
          <t>ÖSTHAMMAR</t>
        </is>
      </c>
      <c r="G492" t="n">
        <v>1</v>
      </c>
      <c r="H492" t="n">
        <v>1</v>
      </c>
      <c r="I492" t="n">
        <v>0</v>
      </c>
      <c r="J492" t="n">
        <v>1</v>
      </c>
      <c r="K492" t="n">
        <v>0</v>
      </c>
      <c r="L492" t="n">
        <v>0</v>
      </c>
      <c r="M492" t="n">
        <v>0</v>
      </c>
      <c r="N492" t="n">
        <v>0</v>
      </c>
      <c r="O492" t="n">
        <v>1</v>
      </c>
      <c r="P492" t="n">
        <v>0</v>
      </c>
      <c r="Q492" t="n">
        <v>1</v>
      </c>
      <c r="R492" s="2" t="inlineStr">
        <is>
          <t>Slaguggla</t>
        </is>
      </c>
      <c r="S492">
        <f>HYPERLINK("https://klasma.github.io/Logging_0382/artfynd/A 70495-2021 artfynd.xlsx", "A 70495-2021")</f>
        <v/>
      </c>
      <c r="T492">
        <f>HYPERLINK("https://klasma.github.io/Logging_0382/kartor/A 70495-2021 karta.png", "A 70495-2021")</f>
        <v/>
      </c>
      <c r="V492">
        <f>HYPERLINK("https://klasma.github.io/Logging_0382/klagomål/A 70495-2021 FSC-klagomål.docx", "A 70495-2021")</f>
        <v/>
      </c>
      <c r="W492">
        <f>HYPERLINK("https://klasma.github.io/Logging_0382/klagomålsmail/A 70495-2021 FSC-klagomål mail.docx", "A 70495-2021")</f>
        <v/>
      </c>
      <c r="X492">
        <f>HYPERLINK("https://klasma.github.io/Logging_0382/tillsyn/A 70495-2021 tillsynsbegäran.docx", "A 70495-2021")</f>
        <v/>
      </c>
      <c r="Y492">
        <f>HYPERLINK("https://klasma.github.io/Logging_0382/tillsynsmail/A 70495-2021 tillsynsbegäran mail.docx", "A 70495-2021")</f>
        <v/>
      </c>
      <c r="Z492">
        <f>HYPERLINK("https://klasma.github.io/Logging_0382/fåglar/A 70495-2021 prioriterade fågelarter.docx", "A 70495-2021")</f>
        <v/>
      </c>
    </row>
    <row r="493" ht="15" customHeight="1">
      <c r="A493" t="inlineStr">
        <is>
          <t>A 73320-2021</t>
        </is>
      </c>
      <c r="B493" s="1" t="n">
        <v>44551</v>
      </c>
      <c r="C493" s="1" t="n">
        <v>45705</v>
      </c>
      <c r="D493" t="inlineStr">
        <is>
          <t>UPPSALA LÄN</t>
        </is>
      </c>
      <c r="E493" t="inlineStr">
        <is>
          <t>TIERP</t>
        </is>
      </c>
      <c r="G493" t="n">
        <v>8.699999999999999</v>
      </c>
      <c r="H493" t="n">
        <v>0</v>
      </c>
      <c r="I493" t="n">
        <v>1</v>
      </c>
      <c r="J493" t="n">
        <v>0</v>
      </c>
      <c r="K493" t="n">
        <v>0</v>
      </c>
      <c r="L493" t="n">
        <v>0</v>
      </c>
      <c r="M493" t="n">
        <v>0</v>
      </c>
      <c r="N493" t="n">
        <v>0</v>
      </c>
      <c r="O493" t="n">
        <v>0</v>
      </c>
      <c r="P493" t="n">
        <v>0</v>
      </c>
      <c r="Q493" t="n">
        <v>1</v>
      </c>
      <c r="R493" s="2" t="inlineStr">
        <is>
          <t>Rödgul trumpetsvamp</t>
        </is>
      </c>
      <c r="S493">
        <f>HYPERLINK("https://klasma.github.io/Logging_0360/artfynd/A 73320-2021 artfynd.xlsx", "A 73320-2021")</f>
        <v/>
      </c>
      <c r="T493">
        <f>HYPERLINK("https://klasma.github.io/Logging_0360/kartor/A 73320-2021 karta.png", "A 73320-2021")</f>
        <v/>
      </c>
      <c r="V493">
        <f>HYPERLINK("https://klasma.github.io/Logging_0360/klagomål/A 73320-2021 FSC-klagomål.docx", "A 73320-2021")</f>
        <v/>
      </c>
      <c r="W493">
        <f>HYPERLINK("https://klasma.github.io/Logging_0360/klagomålsmail/A 73320-2021 FSC-klagomål mail.docx", "A 73320-2021")</f>
        <v/>
      </c>
      <c r="X493">
        <f>HYPERLINK("https://klasma.github.io/Logging_0360/tillsyn/A 73320-2021 tillsynsbegäran.docx", "A 73320-2021")</f>
        <v/>
      </c>
      <c r="Y493">
        <f>HYPERLINK("https://klasma.github.io/Logging_0360/tillsynsmail/A 73320-2021 tillsynsbegäran mail.docx", "A 73320-2021")</f>
        <v/>
      </c>
    </row>
    <row r="494" ht="15" customHeight="1">
      <c r="A494" t="inlineStr">
        <is>
          <t>A 74028-2021</t>
        </is>
      </c>
      <c r="B494" s="1" t="n">
        <v>44557</v>
      </c>
      <c r="C494" s="1" t="n">
        <v>45705</v>
      </c>
      <c r="D494" t="inlineStr">
        <is>
          <t>UPPSALA LÄN</t>
        </is>
      </c>
      <c r="E494" t="inlineStr">
        <is>
          <t>ENKÖPING</t>
        </is>
      </c>
      <c r="G494" t="n">
        <v>7.3</v>
      </c>
      <c r="H494" t="n">
        <v>1</v>
      </c>
      <c r="I494" t="n">
        <v>0</v>
      </c>
      <c r="J494" t="n">
        <v>0</v>
      </c>
      <c r="K494" t="n">
        <v>0</v>
      </c>
      <c r="L494" t="n">
        <v>0</v>
      </c>
      <c r="M494" t="n">
        <v>0</v>
      </c>
      <c r="N494" t="n">
        <v>0</v>
      </c>
      <c r="O494" t="n">
        <v>0</v>
      </c>
      <c r="P494" t="n">
        <v>0</v>
      </c>
      <c r="Q494" t="n">
        <v>1</v>
      </c>
      <c r="R494" s="2" t="inlineStr">
        <is>
          <t>Tjäder</t>
        </is>
      </c>
      <c r="S494">
        <f>HYPERLINK("https://klasma.github.io/Logging_0381/artfynd/A 74028-2021 artfynd.xlsx", "A 74028-2021")</f>
        <v/>
      </c>
      <c r="T494">
        <f>HYPERLINK("https://klasma.github.io/Logging_0381/kartor/A 74028-2021 karta.png", "A 74028-2021")</f>
        <v/>
      </c>
      <c r="V494">
        <f>HYPERLINK("https://klasma.github.io/Logging_0381/klagomål/A 74028-2021 FSC-klagomål.docx", "A 74028-2021")</f>
        <v/>
      </c>
      <c r="W494">
        <f>HYPERLINK("https://klasma.github.io/Logging_0381/klagomålsmail/A 74028-2021 FSC-klagomål mail.docx", "A 74028-2021")</f>
        <v/>
      </c>
      <c r="X494">
        <f>HYPERLINK("https://klasma.github.io/Logging_0381/tillsyn/A 74028-2021 tillsynsbegäran.docx", "A 74028-2021")</f>
        <v/>
      </c>
      <c r="Y494">
        <f>HYPERLINK("https://klasma.github.io/Logging_0381/tillsynsmail/A 74028-2021 tillsynsbegäran mail.docx", "A 74028-2021")</f>
        <v/>
      </c>
      <c r="Z494">
        <f>HYPERLINK("https://klasma.github.io/Logging_0381/fåglar/A 74028-2021 prioriterade fågelarter.docx", "A 74028-2021")</f>
        <v/>
      </c>
    </row>
    <row r="495" ht="15" customHeight="1">
      <c r="A495" t="inlineStr">
        <is>
          <t>A 74472-2021</t>
        </is>
      </c>
      <c r="B495" s="1" t="n">
        <v>44560</v>
      </c>
      <c r="C495" s="1" t="n">
        <v>45705</v>
      </c>
      <c r="D495" t="inlineStr">
        <is>
          <t>UPPSALA LÄN</t>
        </is>
      </c>
      <c r="E495" t="inlineStr">
        <is>
          <t>TIERP</t>
        </is>
      </c>
      <c r="G495" t="n">
        <v>2.8</v>
      </c>
      <c r="H495" t="n">
        <v>0</v>
      </c>
      <c r="I495" t="n">
        <v>1</v>
      </c>
      <c r="J495" t="n">
        <v>0</v>
      </c>
      <c r="K495" t="n">
        <v>0</v>
      </c>
      <c r="L495" t="n">
        <v>0</v>
      </c>
      <c r="M495" t="n">
        <v>0</v>
      </c>
      <c r="N495" t="n">
        <v>0</v>
      </c>
      <c r="O495" t="n">
        <v>0</v>
      </c>
      <c r="P495" t="n">
        <v>0</v>
      </c>
      <c r="Q495" t="n">
        <v>1</v>
      </c>
      <c r="R495" s="2" t="inlineStr">
        <is>
          <t>Underviol</t>
        </is>
      </c>
      <c r="S495">
        <f>HYPERLINK("https://klasma.github.io/Logging_0360/artfynd/A 74472-2021 artfynd.xlsx", "A 74472-2021")</f>
        <v/>
      </c>
      <c r="T495">
        <f>HYPERLINK("https://klasma.github.io/Logging_0360/kartor/A 74472-2021 karta.png", "A 74472-2021")</f>
        <v/>
      </c>
      <c r="V495">
        <f>HYPERLINK("https://klasma.github.io/Logging_0360/klagomål/A 74472-2021 FSC-klagomål.docx", "A 74472-2021")</f>
        <v/>
      </c>
      <c r="W495">
        <f>HYPERLINK("https://klasma.github.io/Logging_0360/klagomålsmail/A 74472-2021 FSC-klagomål mail.docx", "A 74472-2021")</f>
        <v/>
      </c>
      <c r="X495">
        <f>HYPERLINK("https://klasma.github.io/Logging_0360/tillsyn/A 74472-2021 tillsynsbegäran.docx", "A 74472-2021")</f>
        <v/>
      </c>
      <c r="Y495">
        <f>HYPERLINK("https://klasma.github.io/Logging_0360/tillsynsmail/A 74472-2021 tillsynsbegäran mail.docx", "A 74472-2021")</f>
        <v/>
      </c>
    </row>
    <row r="496" ht="15" customHeight="1">
      <c r="A496" t="inlineStr">
        <is>
          <t>A 738-2022</t>
        </is>
      </c>
      <c r="B496" s="1" t="n">
        <v>44568</v>
      </c>
      <c r="C496" s="1" t="n">
        <v>45705</v>
      </c>
      <c r="D496" t="inlineStr">
        <is>
          <t>UPPSALA LÄN</t>
        </is>
      </c>
      <c r="E496" t="inlineStr">
        <is>
          <t>HEBY</t>
        </is>
      </c>
      <c r="G496" t="n">
        <v>10.6</v>
      </c>
      <c r="H496" t="n">
        <v>0</v>
      </c>
      <c r="I496" t="n">
        <v>0</v>
      </c>
      <c r="J496" t="n">
        <v>1</v>
      </c>
      <c r="K496" t="n">
        <v>0</v>
      </c>
      <c r="L496" t="n">
        <v>0</v>
      </c>
      <c r="M496" t="n">
        <v>0</v>
      </c>
      <c r="N496" t="n">
        <v>0</v>
      </c>
      <c r="O496" t="n">
        <v>1</v>
      </c>
      <c r="P496" t="n">
        <v>0</v>
      </c>
      <c r="Q496" t="n">
        <v>1</v>
      </c>
      <c r="R496" s="2" t="inlineStr">
        <is>
          <t>Mindre timmerman</t>
        </is>
      </c>
      <c r="S496">
        <f>HYPERLINK("https://klasma.github.io/Logging_0331/artfynd/A 738-2022 artfynd.xlsx", "A 738-2022")</f>
        <v/>
      </c>
      <c r="T496">
        <f>HYPERLINK("https://klasma.github.io/Logging_0331/kartor/A 738-2022 karta.png", "A 738-2022")</f>
        <v/>
      </c>
      <c r="V496">
        <f>HYPERLINK("https://klasma.github.io/Logging_0331/klagomål/A 738-2022 FSC-klagomål.docx", "A 738-2022")</f>
        <v/>
      </c>
      <c r="W496">
        <f>HYPERLINK("https://klasma.github.io/Logging_0331/klagomålsmail/A 738-2022 FSC-klagomål mail.docx", "A 738-2022")</f>
        <v/>
      </c>
      <c r="X496">
        <f>HYPERLINK("https://klasma.github.io/Logging_0331/tillsyn/A 738-2022 tillsynsbegäran.docx", "A 738-2022")</f>
        <v/>
      </c>
      <c r="Y496">
        <f>HYPERLINK("https://klasma.github.io/Logging_0331/tillsynsmail/A 738-2022 tillsynsbegäran mail.docx", "A 738-2022")</f>
        <v/>
      </c>
    </row>
    <row r="497" ht="15" customHeight="1">
      <c r="A497" t="inlineStr">
        <is>
          <t>A 938-2022</t>
        </is>
      </c>
      <c r="B497" s="1" t="n">
        <v>44571</v>
      </c>
      <c r="C497" s="1" t="n">
        <v>45705</v>
      </c>
      <c r="D497" t="inlineStr">
        <is>
          <t>UPPSALA LÄN</t>
        </is>
      </c>
      <c r="E497" t="inlineStr">
        <is>
          <t>ÖSTHAMMAR</t>
        </is>
      </c>
      <c r="G497" t="n">
        <v>3.2</v>
      </c>
      <c r="H497" t="n">
        <v>0</v>
      </c>
      <c r="I497" t="n">
        <v>0</v>
      </c>
      <c r="J497" t="n">
        <v>1</v>
      </c>
      <c r="K497" t="n">
        <v>0</v>
      </c>
      <c r="L497" t="n">
        <v>0</v>
      </c>
      <c r="M497" t="n">
        <v>0</v>
      </c>
      <c r="N497" t="n">
        <v>0</v>
      </c>
      <c r="O497" t="n">
        <v>1</v>
      </c>
      <c r="P497" t="n">
        <v>0</v>
      </c>
      <c r="Q497" t="n">
        <v>1</v>
      </c>
      <c r="R497" s="2" t="inlineStr">
        <is>
          <t>Vedtrappmossa</t>
        </is>
      </c>
      <c r="S497">
        <f>HYPERLINK("https://klasma.github.io/Logging_0382/artfynd/A 938-2022 artfynd.xlsx", "A 938-2022")</f>
        <v/>
      </c>
      <c r="T497">
        <f>HYPERLINK("https://klasma.github.io/Logging_0382/kartor/A 938-2022 karta.png", "A 938-2022")</f>
        <v/>
      </c>
      <c r="V497">
        <f>HYPERLINK("https://klasma.github.io/Logging_0382/klagomål/A 938-2022 FSC-klagomål.docx", "A 938-2022")</f>
        <v/>
      </c>
      <c r="W497">
        <f>HYPERLINK("https://klasma.github.io/Logging_0382/klagomålsmail/A 938-2022 FSC-klagomål mail.docx", "A 938-2022")</f>
        <v/>
      </c>
      <c r="X497">
        <f>HYPERLINK("https://klasma.github.io/Logging_0382/tillsyn/A 938-2022 tillsynsbegäran.docx", "A 938-2022")</f>
        <v/>
      </c>
      <c r="Y497">
        <f>HYPERLINK("https://klasma.github.io/Logging_0382/tillsynsmail/A 938-2022 tillsynsbegäran mail.docx", "A 938-2022")</f>
        <v/>
      </c>
    </row>
    <row r="498" ht="15" customHeight="1">
      <c r="A498" t="inlineStr">
        <is>
          <t>A 1227-2022</t>
        </is>
      </c>
      <c r="B498" s="1" t="n">
        <v>44572</v>
      </c>
      <c r="C498" s="1" t="n">
        <v>45705</v>
      </c>
      <c r="D498" t="inlineStr">
        <is>
          <t>UPPSALA LÄN</t>
        </is>
      </c>
      <c r="E498" t="inlineStr">
        <is>
          <t>ÖSTHAMMAR</t>
        </is>
      </c>
      <c r="G498" t="n">
        <v>1.7</v>
      </c>
      <c r="H498" t="n">
        <v>0</v>
      </c>
      <c r="I498" t="n">
        <v>1</v>
      </c>
      <c r="J498" t="n">
        <v>0</v>
      </c>
      <c r="K498" t="n">
        <v>0</v>
      </c>
      <c r="L498" t="n">
        <v>0</v>
      </c>
      <c r="M498" t="n">
        <v>0</v>
      </c>
      <c r="N498" t="n">
        <v>0</v>
      </c>
      <c r="O498" t="n">
        <v>0</v>
      </c>
      <c r="P498" t="n">
        <v>0</v>
      </c>
      <c r="Q498" t="n">
        <v>1</v>
      </c>
      <c r="R498" s="2" t="inlineStr">
        <is>
          <t>Guldkremla</t>
        </is>
      </c>
      <c r="S498">
        <f>HYPERLINK("https://klasma.github.io/Logging_0382/artfynd/A 1227-2022 artfynd.xlsx", "A 1227-2022")</f>
        <v/>
      </c>
      <c r="T498">
        <f>HYPERLINK("https://klasma.github.io/Logging_0382/kartor/A 1227-2022 karta.png", "A 1227-2022")</f>
        <v/>
      </c>
      <c r="V498">
        <f>HYPERLINK("https://klasma.github.io/Logging_0382/klagomål/A 1227-2022 FSC-klagomål.docx", "A 1227-2022")</f>
        <v/>
      </c>
      <c r="W498">
        <f>HYPERLINK("https://klasma.github.io/Logging_0382/klagomålsmail/A 1227-2022 FSC-klagomål mail.docx", "A 1227-2022")</f>
        <v/>
      </c>
      <c r="X498">
        <f>HYPERLINK("https://klasma.github.io/Logging_0382/tillsyn/A 1227-2022 tillsynsbegäran.docx", "A 1227-2022")</f>
        <v/>
      </c>
      <c r="Y498">
        <f>HYPERLINK("https://klasma.github.io/Logging_0382/tillsynsmail/A 1227-2022 tillsynsbegäran mail.docx", "A 1227-2022")</f>
        <v/>
      </c>
    </row>
    <row r="499" ht="15" customHeight="1">
      <c r="A499" t="inlineStr">
        <is>
          <t>A 3257-2022</t>
        </is>
      </c>
      <c r="B499" s="1" t="n">
        <v>44583</v>
      </c>
      <c r="C499" s="1" t="n">
        <v>45705</v>
      </c>
      <c r="D499" t="inlineStr">
        <is>
          <t>UPPSALA LÄN</t>
        </is>
      </c>
      <c r="E499" t="inlineStr">
        <is>
          <t>UPPSALA</t>
        </is>
      </c>
      <c r="F499" t="inlineStr">
        <is>
          <t>Holmen skog AB</t>
        </is>
      </c>
      <c r="G499" t="n">
        <v>1.9</v>
      </c>
      <c r="H499" t="n">
        <v>0</v>
      </c>
      <c r="I499" t="n">
        <v>1</v>
      </c>
      <c r="J499" t="n">
        <v>0</v>
      </c>
      <c r="K499" t="n">
        <v>0</v>
      </c>
      <c r="L499" t="n">
        <v>0</v>
      </c>
      <c r="M499" t="n">
        <v>0</v>
      </c>
      <c r="N499" t="n">
        <v>0</v>
      </c>
      <c r="O499" t="n">
        <v>0</v>
      </c>
      <c r="P499" t="n">
        <v>0</v>
      </c>
      <c r="Q499" t="n">
        <v>1</v>
      </c>
      <c r="R499" s="2" t="inlineStr">
        <is>
          <t>Gulpudrad spiklav</t>
        </is>
      </c>
      <c r="S499">
        <f>HYPERLINK("https://klasma.github.io/Logging_0380/artfynd/A 3257-2022 artfynd.xlsx", "A 3257-2022")</f>
        <v/>
      </c>
      <c r="T499">
        <f>HYPERLINK("https://klasma.github.io/Logging_0380/kartor/A 3257-2022 karta.png", "A 3257-2022")</f>
        <v/>
      </c>
      <c r="V499">
        <f>HYPERLINK("https://klasma.github.io/Logging_0380/klagomål/A 3257-2022 FSC-klagomål.docx", "A 3257-2022")</f>
        <v/>
      </c>
      <c r="W499">
        <f>HYPERLINK("https://klasma.github.io/Logging_0380/klagomålsmail/A 3257-2022 FSC-klagomål mail.docx", "A 3257-2022")</f>
        <v/>
      </c>
      <c r="X499">
        <f>HYPERLINK("https://klasma.github.io/Logging_0380/tillsyn/A 3257-2022 tillsynsbegäran.docx", "A 3257-2022")</f>
        <v/>
      </c>
      <c r="Y499">
        <f>HYPERLINK("https://klasma.github.io/Logging_0380/tillsynsmail/A 3257-2022 tillsynsbegäran mail.docx", "A 3257-2022")</f>
        <v/>
      </c>
    </row>
    <row r="500" ht="15" customHeight="1">
      <c r="A500" t="inlineStr">
        <is>
          <t>A 4449-2022</t>
        </is>
      </c>
      <c r="B500" s="1" t="n">
        <v>44589</v>
      </c>
      <c r="C500" s="1" t="n">
        <v>45705</v>
      </c>
      <c r="D500" t="inlineStr">
        <is>
          <t>UPPSALA LÄN</t>
        </is>
      </c>
      <c r="E500" t="inlineStr">
        <is>
          <t>UPPSALA</t>
        </is>
      </c>
      <c r="G500" t="n">
        <v>8.9</v>
      </c>
      <c r="H500" t="n">
        <v>0</v>
      </c>
      <c r="I500" t="n">
        <v>0</v>
      </c>
      <c r="J500" t="n">
        <v>1</v>
      </c>
      <c r="K500" t="n">
        <v>0</v>
      </c>
      <c r="L500" t="n">
        <v>0</v>
      </c>
      <c r="M500" t="n">
        <v>0</v>
      </c>
      <c r="N500" t="n">
        <v>0</v>
      </c>
      <c r="O500" t="n">
        <v>1</v>
      </c>
      <c r="P500" t="n">
        <v>0</v>
      </c>
      <c r="Q500" t="n">
        <v>1</v>
      </c>
      <c r="R500" s="2" t="inlineStr">
        <is>
          <t>Gul taggsvamp</t>
        </is>
      </c>
      <c r="S500">
        <f>HYPERLINK("https://klasma.github.io/Logging_0380/artfynd/A 4449-2022 artfynd.xlsx", "A 4449-2022")</f>
        <v/>
      </c>
      <c r="T500">
        <f>HYPERLINK("https://klasma.github.io/Logging_0380/kartor/A 4449-2022 karta.png", "A 4449-2022")</f>
        <v/>
      </c>
      <c r="V500">
        <f>HYPERLINK("https://klasma.github.io/Logging_0380/klagomål/A 4449-2022 FSC-klagomål.docx", "A 4449-2022")</f>
        <v/>
      </c>
      <c r="W500">
        <f>HYPERLINK("https://klasma.github.io/Logging_0380/klagomålsmail/A 4449-2022 FSC-klagomål mail.docx", "A 4449-2022")</f>
        <v/>
      </c>
      <c r="X500">
        <f>HYPERLINK("https://klasma.github.io/Logging_0380/tillsyn/A 4449-2022 tillsynsbegäran.docx", "A 4449-2022")</f>
        <v/>
      </c>
      <c r="Y500">
        <f>HYPERLINK("https://klasma.github.io/Logging_0380/tillsynsmail/A 4449-2022 tillsynsbegäran mail.docx", "A 4449-2022")</f>
        <v/>
      </c>
    </row>
    <row r="501" ht="15" customHeight="1">
      <c r="A501" t="inlineStr">
        <is>
          <t>A 5454-2022</t>
        </is>
      </c>
      <c r="B501" s="1" t="n">
        <v>44595</v>
      </c>
      <c r="C501" s="1" t="n">
        <v>45705</v>
      </c>
      <c r="D501" t="inlineStr">
        <is>
          <t>UPPSALA LÄN</t>
        </is>
      </c>
      <c r="E501" t="inlineStr">
        <is>
          <t>TIERP</t>
        </is>
      </c>
      <c r="G501" t="n">
        <v>2</v>
      </c>
      <c r="H501" t="n">
        <v>0</v>
      </c>
      <c r="I501" t="n">
        <v>1</v>
      </c>
      <c r="J501" t="n">
        <v>0</v>
      </c>
      <c r="K501" t="n">
        <v>0</v>
      </c>
      <c r="L501" t="n">
        <v>0</v>
      </c>
      <c r="M501" t="n">
        <v>0</v>
      </c>
      <c r="N501" t="n">
        <v>0</v>
      </c>
      <c r="O501" t="n">
        <v>0</v>
      </c>
      <c r="P501" t="n">
        <v>0</v>
      </c>
      <c r="Q501" t="n">
        <v>1</v>
      </c>
      <c r="R501" s="2" t="inlineStr">
        <is>
          <t>Anisspindling</t>
        </is>
      </c>
      <c r="S501">
        <f>HYPERLINK("https://klasma.github.io/Logging_0360/artfynd/A 5454-2022 artfynd.xlsx", "A 5454-2022")</f>
        <v/>
      </c>
      <c r="T501">
        <f>HYPERLINK("https://klasma.github.io/Logging_0360/kartor/A 5454-2022 karta.png", "A 5454-2022")</f>
        <v/>
      </c>
      <c r="U501">
        <f>HYPERLINK("https://klasma.github.io/Logging_0360/knärot/A 5454-2022 karta knärot.png", "A 5454-2022")</f>
        <v/>
      </c>
      <c r="V501">
        <f>HYPERLINK("https://klasma.github.io/Logging_0360/klagomål/A 5454-2022 FSC-klagomål.docx", "A 5454-2022")</f>
        <v/>
      </c>
      <c r="W501">
        <f>HYPERLINK("https://klasma.github.io/Logging_0360/klagomålsmail/A 5454-2022 FSC-klagomål mail.docx", "A 5454-2022")</f>
        <v/>
      </c>
      <c r="X501">
        <f>HYPERLINK("https://klasma.github.io/Logging_0360/tillsyn/A 5454-2022 tillsynsbegäran.docx", "A 5454-2022")</f>
        <v/>
      </c>
      <c r="Y501">
        <f>HYPERLINK("https://klasma.github.io/Logging_0360/tillsynsmail/A 5454-2022 tillsynsbegäran mail.docx", "A 5454-2022")</f>
        <v/>
      </c>
    </row>
    <row r="502" ht="15" customHeight="1">
      <c r="A502" t="inlineStr">
        <is>
          <t>A 7446-2022</t>
        </is>
      </c>
      <c r="B502" s="1" t="n">
        <v>44606</v>
      </c>
      <c r="C502" s="1" t="n">
        <v>45705</v>
      </c>
      <c r="D502" t="inlineStr">
        <is>
          <t>UPPSALA LÄN</t>
        </is>
      </c>
      <c r="E502" t="inlineStr">
        <is>
          <t>ÖSTHAMMAR</t>
        </is>
      </c>
      <c r="G502" t="n">
        <v>5</v>
      </c>
      <c r="H502" t="n">
        <v>1</v>
      </c>
      <c r="I502" t="n">
        <v>0</v>
      </c>
      <c r="J502" t="n">
        <v>0</v>
      </c>
      <c r="K502" t="n">
        <v>0</v>
      </c>
      <c r="L502" t="n">
        <v>0</v>
      </c>
      <c r="M502" t="n">
        <v>0</v>
      </c>
      <c r="N502" t="n">
        <v>0</v>
      </c>
      <c r="O502" t="n">
        <v>0</v>
      </c>
      <c r="P502" t="n">
        <v>0</v>
      </c>
      <c r="Q502" t="n">
        <v>1</v>
      </c>
      <c r="R502" s="2" t="inlineStr">
        <is>
          <t>Mattlummer</t>
        </is>
      </c>
      <c r="S502">
        <f>HYPERLINK("https://klasma.github.io/Logging_0382/artfynd/A 7446-2022 artfynd.xlsx", "A 7446-2022")</f>
        <v/>
      </c>
      <c r="T502">
        <f>HYPERLINK("https://klasma.github.io/Logging_0382/kartor/A 7446-2022 karta.png", "A 7446-2022")</f>
        <v/>
      </c>
      <c r="V502">
        <f>HYPERLINK("https://klasma.github.io/Logging_0382/klagomål/A 7446-2022 FSC-klagomål.docx", "A 7446-2022")</f>
        <v/>
      </c>
      <c r="W502">
        <f>HYPERLINK("https://klasma.github.io/Logging_0382/klagomålsmail/A 7446-2022 FSC-klagomål mail.docx", "A 7446-2022")</f>
        <v/>
      </c>
      <c r="X502">
        <f>HYPERLINK("https://klasma.github.io/Logging_0382/tillsyn/A 7446-2022 tillsynsbegäran.docx", "A 7446-2022")</f>
        <v/>
      </c>
      <c r="Y502">
        <f>HYPERLINK("https://klasma.github.io/Logging_0382/tillsynsmail/A 7446-2022 tillsynsbegäran mail.docx", "A 7446-2022")</f>
        <v/>
      </c>
    </row>
    <row r="503" ht="15" customHeight="1">
      <c r="A503" t="inlineStr">
        <is>
          <t>A 7470-2022</t>
        </is>
      </c>
      <c r="B503" s="1" t="n">
        <v>44607</v>
      </c>
      <c r="C503" s="1" t="n">
        <v>45705</v>
      </c>
      <c r="D503" t="inlineStr">
        <is>
          <t>UPPSALA LÄN</t>
        </is>
      </c>
      <c r="E503" t="inlineStr">
        <is>
          <t>ÖSTHAMMAR</t>
        </is>
      </c>
      <c r="G503" t="n">
        <v>2.6</v>
      </c>
      <c r="H503" t="n">
        <v>1</v>
      </c>
      <c r="I503" t="n">
        <v>1</v>
      </c>
      <c r="J503" t="n">
        <v>0</v>
      </c>
      <c r="K503" t="n">
        <v>0</v>
      </c>
      <c r="L503" t="n">
        <v>0</v>
      </c>
      <c r="M503" t="n">
        <v>0</v>
      </c>
      <c r="N503" t="n">
        <v>0</v>
      </c>
      <c r="O503" t="n">
        <v>0</v>
      </c>
      <c r="P503" t="n">
        <v>0</v>
      </c>
      <c r="Q503" t="n">
        <v>1</v>
      </c>
      <c r="R503" s="2" t="inlineStr">
        <is>
          <t>Grön sköldmossa</t>
        </is>
      </c>
      <c r="S503">
        <f>HYPERLINK("https://klasma.github.io/Logging_0382/artfynd/A 7470-2022 artfynd.xlsx", "A 7470-2022")</f>
        <v/>
      </c>
      <c r="T503">
        <f>HYPERLINK("https://klasma.github.io/Logging_0382/kartor/A 7470-2022 karta.png", "A 7470-2022")</f>
        <v/>
      </c>
      <c r="V503">
        <f>HYPERLINK("https://klasma.github.io/Logging_0382/klagomål/A 7470-2022 FSC-klagomål.docx", "A 7470-2022")</f>
        <v/>
      </c>
      <c r="W503">
        <f>HYPERLINK("https://klasma.github.io/Logging_0382/klagomålsmail/A 7470-2022 FSC-klagomål mail.docx", "A 7470-2022")</f>
        <v/>
      </c>
      <c r="X503">
        <f>HYPERLINK("https://klasma.github.io/Logging_0382/tillsyn/A 7470-2022 tillsynsbegäran.docx", "A 7470-2022")</f>
        <v/>
      </c>
      <c r="Y503">
        <f>HYPERLINK("https://klasma.github.io/Logging_0382/tillsynsmail/A 7470-2022 tillsynsbegäran mail.docx", "A 7470-2022")</f>
        <v/>
      </c>
    </row>
    <row r="504" ht="15" customHeight="1">
      <c r="A504" t="inlineStr">
        <is>
          <t>A 7505-2022</t>
        </is>
      </c>
      <c r="B504" s="1" t="n">
        <v>44607</v>
      </c>
      <c r="C504" s="1" t="n">
        <v>45705</v>
      </c>
      <c r="D504" t="inlineStr">
        <is>
          <t>UPPSALA LÄN</t>
        </is>
      </c>
      <c r="E504" t="inlineStr">
        <is>
          <t>TIERP</t>
        </is>
      </c>
      <c r="F504" t="inlineStr">
        <is>
          <t>Bergvik skog öst AB</t>
        </is>
      </c>
      <c r="G504" t="n">
        <v>3.8</v>
      </c>
      <c r="H504" t="n">
        <v>0</v>
      </c>
      <c r="I504" t="n">
        <v>0</v>
      </c>
      <c r="J504" t="n">
        <v>1</v>
      </c>
      <c r="K504" t="n">
        <v>0</v>
      </c>
      <c r="L504" t="n">
        <v>0</v>
      </c>
      <c r="M504" t="n">
        <v>0</v>
      </c>
      <c r="N504" t="n">
        <v>0</v>
      </c>
      <c r="O504" t="n">
        <v>1</v>
      </c>
      <c r="P504" t="n">
        <v>0</v>
      </c>
      <c r="Q504" t="n">
        <v>1</v>
      </c>
      <c r="R504" s="2" t="inlineStr">
        <is>
          <t>Grentaggsvamp</t>
        </is>
      </c>
      <c r="S504">
        <f>HYPERLINK("https://klasma.github.io/Logging_0360/artfynd/A 7505-2022 artfynd.xlsx", "A 7505-2022")</f>
        <v/>
      </c>
      <c r="T504">
        <f>HYPERLINK("https://klasma.github.io/Logging_0360/kartor/A 7505-2022 karta.png", "A 7505-2022")</f>
        <v/>
      </c>
      <c r="V504">
        <f>HYPERLINK("https://klasma.github.io/Logging_0360/klagomål/A 7505-2022 FSC-klagomål.docx", "A 7505-2022")</f>
        <v/>
      </c>
      <c r="W504">
        <f>HYPERLINK("https://klasma.github.io/Logging_0360/klagomålsmail/A 7505-2022 FSC-klagomål mail.docx", "A 7505-2022")</f>
        <v/>
      </c>
      <c r="X504">
        <f>HYPERLINK("https://klasma.github.io/Logging_0360/tillsyn/A 7505-2022 tillsynsbegäran.docx", "A 7505-2022")</f>
        <v/>
      </c>
      <c r="Y504">
        <f>HYPERLINK("https://klasma.github.io/Logging_0360/tillsynsmail/A 7505-2022 tillsynsbegäran mail.docx", "A 7505-2022")</f>
        <v/>
      </c>
    </row>
    <row r="505" ht="15" customHeight="1">
      <c r="A505" t="inlineStr">
        <is>
          <t>A 8181-2022</t>
        </is>
      </c>
      <c r="B505" s="1" t="n">
        <v>44609</v>
      </c>
      <c r="C505" s="1" t="n">
        <v>45705</v>
      </c>
      <c r="D505" t="inlineStr">
        <is>
          <t>UPPSALA LÄN</t>
        </is>
      </c>
      <c r="E505" t="inlineStr">
        <is>
          <t>HEBY</t>
        </is>
      </c>
      <c r="G505" t="n">
        <v>6.5</v>
      </c>
      <c r="H505" t="n">
        <v>1</v>
      </c>
      <c r="I505" t="n">
        <v>0</v>
      </c>
      <c r="J505" t="n">
        <v>0</v>
      </c>
      <c r="K505" t="n">
        <v>0</v>
      </c>
      <c r="L505" t="n">
        <v>0</v>
      </c>
      <c r="M505" t="n">
        <v>0</v>
      </c>
      <c r="N505" t="n">
        <v>0</v>
      </c>
      <c r="O505" t="n">
        <v>0</v>
      </c>
      <c r="P505" t="n">
        <v>0</v>
      </c>
      <c r="Q505" t="n">
        <v>1</v>
      </c>
      <c r="R505" s="2" t="inlineStr">
        <is>
          <t>Kopparödla</t>
        </is>
      </c>
      <c r="S505">
        <f>HYPERLINK("https://klasma.github.io/Logging_0331/artfynd/A 8181-2022 artfynd.xlsx", "A 8181-2022")</f>
        <v/>
      </c>
      <c r="T505">
        <f>HYPERLINK("https://klasma.github.io/Logging_0331/kartor/A 8181-2022 karta.png", "A 8181-2022")</f>
        <v/>
      </c>
      <c r="V505">
        <f>HYPERLINK("https://klasma.github.io/Logging_0331/klagomål/A 8181-2022 FSC-klagomål.docx", "A 8181-2022")</f>
        <v/>
      </c>
      <c r="W505">
        <f>HYPERLINK("https://klasma.github.io/Logging_0331/klagomålsmail/A 8181-2022 FSC-klagomål mail.docx", "A 8181-2022")</f>
        <v/>
      </c>
      <c r="X505">
        <f>HYPERLINK("https://klasma.github.io/Logging_0331/tillsyn/A 8181-2022 tillsynsbegäran.docx", "A 8181-2022")</f>
        <v/>
      </c>
      <c r="Y505">
        <f>HYPERLINK("https://klasma.github.io/Logging_0331/tillsynsmail/A 8181-2022 tillsynsbegäran mail.docx", "A 8181-2022")</f>
        <v/>
      </c>
    </row>
    <row r="506" ht="15" customHeight="1">
      <c r="A506" t="inlineStr">
        <is>
          <t>A 8865-2022</t>
        </is>
      </c>
      <c r="B506" s="1" t="n">
        <v>44614</v>
      </c>
      <c r="C506" s="1" t="n">
        <v>45705</v>
      </c>
      <c r="D506" t="inlineStr">
        <is>
          <t>UPPSALA LÄN</t>
        </is>
      </c>
      <c r="E506" t="inlineStr">
        <is>
          <t>UPPSALA</t>
        </is>
      </c>
      <c r="G506" t="n">
        <v>1.1</v>
      </c>
      <c r="H506" t="n">
        <v>0</v>
      </c>
      <c r="I506" t="n">
        <v>1</v>
      </c>
      <c r="J506" t="n">
        <v>0</v>
      </c>
      <c r="K506" t="n">
        <v>0</v>
      </c>
      <c r="L506" t="n">
        <v>0</v>
      </c>
      <c r="M506" t="n">
        <v>0</v>
      </c>
      <c r="N506" t="n">
        <v>0</v>
      </c>
      <c r="O506" t="n">
        <v>0</v>
      </c>
      <c r="P506" t="n">
        <v>0</v>
      </c>
      <c r="Q506" t="n">
        <v>1</v>
      </c>
      <c r="R506" s="2" t="inlineStr">
        <is>
          <t>Narrtagging</t>
        </is>
      </c>
      <c r="S506">
        <f>HYPERLINK("https://klasma.github.io/Logging_0380/artfynd/A 8865-2022 artfynd.xlsx", "A 8865-2022")</f>
        <v/>
      </c>
      <c r="T506">
        <f>HYPERLINK("https://klasma.github.io/Logging_0380/kartor/A 8865-2022 karta.png", "A 8865-2022")</f>
        <v/>
      </c>
      <c r="V506">
        <f>HYPERLINK("https://klasma.github.io/Logging_0380/klagomål/A 8865-2022 FSC-klagomål.docx", "A 8865-2022")</f>
        <v/>
      </c>
      <c r="W506">
        <f>HYPERLINK("https://klasma.github.io/Logging_0380/klagomålsmail/A 8865-2022 FSC-klagomål mail.docx", "A 8865-2022")</f>
        <v/>
      </c>
      <c r="X506">
        <f>HYPERLINK("https://klasma.github.io/Logging_0380/tillsyn/A 8865-2022 tillsynsbegäran.docx", "A 8865-2022")</f>
        <v/>
      </c>
      <c r="Y506">
        <f>HYPERLINK("https://klasma.github.io/Logging_0380/tillsynsmail/A 8865-2022 tillsynsbegäran mail.docx", "A 8865-2022")</f>
        <v/>
      </c>
    </row>
    <row r="507" ht="15" customHeight="1">
      <c r="A507" t="inlineStr">
        <is>
          <t>A 9396-2022</t>
        </is>
      </c>
      <c r="B507" s="1" t="n">
        <v>44616</v>
      </c>
      <c r="C507" s="1" t="n">
        <v>45705</v>
      </c>
      <c r="D507" t="inlineStr">
        <is>
          <t>UPPSALA LÄN</t>
        </is>
      </c>
      <c r="E507" t="inlineStr">
        <is>
          <t>KNIVSTA</t>
        </is>
      </c>
      <c r="F507" t="inlineStr">
        <is>
          <t>Holmen skog AB</t>
        </is>
      </c>
      <c r="G507" t="n">
        <v>5.2</v>
      </c>
      <c r="H507" t="n">
        <v>0</v>
      </c>
      <c r="I507" t="n">
        <v>0</v>
      </c>
      <c r="J507" t="n">
        <v>0</v>
      </c>
      <c r="K507" t="n">
        <v>1</v>
      </c>
      <c r="L507" t="n">
        <v>0</v>
      </c>
      <c r="M507" t="n">
        <v>0</v>
      </c>
      <c r="N507" t="n">
        <v>0</v>
      </c>
      <c r="O507" t="n">
        <v>1</v>
      </c>
      <c r="P507" t="n">
        <v>1</v>
      </c>
      <c r="Q507" t="n">
        <v>1</v>
      </c>
      <c r="R507" s="2" t="inlineStr">
        <is>
          <t>Korkmusslingsmal</t>
        </is>
      </c>
      <c r="S507">
        <f>HYPERLINK("https://klasma.github.io/Logging_0330/artfynd/A 9396-2022 artfynd.xlsx", "A 9396-2022")</f>
        <v/>
      </c>
      <c r="T507">
        <f>HYPERLINK("https://klasma.github.io/Logging_0330/kartor/A 9396-2022 karta.png", "A 9396-2022")</f>
        <v/>
      </c>
      <c r="V507">
        <f>HYPERLINK("https://klasma.github.io/Logging_0330/klagomål/A 9396-2022 FSC-klagomål.docx", "A 9396-2022")</f>
        <v/>
      </c>
      <c r="W507">
        <f>HYPERLINK("https://klasma.github.io/Logging_0330/klagomålsmail/A 9396-2022 FSC-klagomål mail.docx", "A 9396-2022")</f>
        <v/>
      </c>
      <c r="X507">
        <f>HYPERLINK("https://klasma.github.io/Logging_0330/tillsyn/A 9396-2022 tillsynsbegäran.docx", "A 9396-2022")</f>
        <v/>
      </c>
      <c r="Y507">
        <f>HYPERLINK("https://klasma.github.io/Logging_0330/tillsynsmail/A 9396-2022 tillsynsbegäran mail.docx", "A 9396-2022")</f>
        <v/>
      </c>
    </row>
    <row r="508" ht="15" customHeight="1">
      <c r="A508" t="inlineStr">
        <is>
          <t>A 10455-2022</t>
        </is>
      </c>
      <c r="B508" s="1" t="n">
        <v>44623</v>
      </c>
      <c r="C508" s="1" t="n">
        <v>45705</v>
      </c>
      <c r="D508" t="inlineStr">
        <is>
          <t>UPPSALA LÄN</t>
        </is>
      </c>
      <c r="E508" t="inlineStr">
        <is>
          <t>ÄLVKARLEBY</t>
        </is>
      </c>
      <c r="F508" t="inlineStr">
        <is>
          <t>Bergvik skog öst AB</t>
        </is>
      </c>
      <c r="G508" t="n">
        <v>1.1</v>
      </c>
      <c r="H508" t="n">
        <v>0</v>
      </c>
      <c r="I508" t="n">
        <v>0</v>
      </c>
      <c r="J508" t="n">
        <v>1</v>
      </c>
      <c r="K508" t="n">
        <v>0</v>
      </c>
      <c r="L508" t="n">
        <v>0</v>
      </c>
      <c r="M508" t="n">
        <v>0</v>
      </c>
      <c r="N508" t="n">
        <v>0</v>
      </c>
      <c r="O508" t="n">
        <v>1</v>
      </c>
      <c r="P508" t="n">
        <v>0</v>
      </c>
      <c r="Q508" t="n">
        <v>1</v>
      </c>
      <c r="R508" s="2" t="inlineStr">
        <is>
          <t>Sandviol</t>
        </is>
      </c>
      <c r="S508">
        <f>HYPERLINK("https://klasma.github.io/Logging_0319/artfynd/A 10455-2022 artfynd.xlsx", "A 10455-2022")</f>
        <v/>
      </c>
      <c r="T508">
        <f>HYPERLINK("https://klasma.github.io/Logging_0319/kartor/A 10455-2022 karta.png", "A 10455-2022")</f>
        <v/>
      </c>
      <c r="V508">
        <f>HYPERLINK("https://klasma.github.io/Logging_0319/klagomål/A 10455-2022 FSC-klagomål.docx", "A 10455-2022")</f>
        <v/>
      </c>
      <c r="W508">
        <f>HYPERLINK("https://klasma.github.io/Logging_0319/klagomålsmail/A 10455-2022 FSC-klagomål mail.docx", "A 10455-2022")</f>
        <v/>
      </c>
      <c r="X508">
        <f>HYPERLINK("https://klasma.github.io/Logging_0319/tillsyn/A 10455-2022 tillsynsbegäran.docx", "A 10455-2022")</f>
        <v/>
      </c>
      <c r="Y508">
        <f>HYPERLINK("https://klasma.github.io/Logging_0319/tillsynsmail/A 10455-2022 tillsynsbegäran mail.docx", "A 10455-2022")</f>
        <v/>
      </c>
    </row>
    <row r="509" ht="15" customHeight="1">
      <c r="A509" t="inlineStr">
        <is>
          <t>A 13363-2022</t>
        </is>
      </c>
      <c r="B509" s="1" t="n">
        <v>44645</v>
      </c>
      <c r="C509" s="1" t="n">
        <v>45705</v>
      </c>
      <c r="D509" t="inlineStr">
        <is>
          <t>UPPSALA LÄN</t>
        </is>
      </c>
      <c r="E509" t="inlineStr">
        <is>
          <t>UPPSALA</t>
        </is>
      </c>
      <c r="F509" t="inlineStr">
        <is>
          <t>Övriga Aktiebolag</t>
        </is>
      </c>
      <c r="G509" t="n">
        <v>9.4</v>
      </c>
      <c r="H509" t="n">
        <v>1</v>
      </c>
      <c r="I509" t="n">
        <v>0</v>
      </c>
      <c r="J509" t="n">
        <v>0</v>
      </c>
      <c r="K509" t="n">
        <v>0</v>
      </c>
      <c r="L509" t="n">
        <v>0</v>
      </c>
      <c r="M509" t="n">
        <v>0</v>
      </c>
      <c r="N509" t="n">
        <v>0</v>
      </c>
      <c r="O509" t="n">
        <v>0</v>
      </c>
      <c r="P509" t="n">
        <v>0</v>
      </c>
      <c r="Q509" t="n">
        <v>1</v>
      </c>
      <c r="R509" s="2" t="inlineStr">
        <is>
          <t>Huggorm</t>
        </is>
      </c>
      <c r="S509">
        <f>HYPERLINK("https://klasma.github.io/Logging_0380/artfynd/A 13363-2022 artfynd.xlsx", "A 13363-2022")</f>
        <v/>
      </c>
      <c r="T509">
        <f>HYPERLINK("https://klasma.github.io/Logging_0380/kartor/A 13363-2022 karta.png", "A 13363-2022")</f>
        <v/>
      </c>
      <c r="V509">
        <f>HYPERLINK("https://klasma.github.io/Logging_0380/klagomål/A 13363-2022 FSC-klagomål.docx", "A 13363-2022")</f>
        <v/>
      </c>
      <c r="W509">
        <f>HYPERLINK("https://klasma.github.io/Logging_0380/klagomålsmail/A 13363-2022 FSC-klagomål mail.docx", "A 13363-2022")</f>
        <v/>
      </c>
      <c r="X509">
        <f>HYPERLINK("https://klasma.github.io/Logging_0380/tillsyn/A 13363-2022 tillsynsbegäran.docx", "A 13363-2022")</f>
        <v/>
      </c>
      <c r="Y509">
        <f>HYPERLINK("https://klasma.github.io/Logging_0380/tillsynsmail/A 13363-2022 tillsynsbegäran mail.docx", "A 13363-2022")</f>
        <v/>
      </c>
    </row>
    <row r="510" ht="15" customHeight="1">
      <c r="A510" t="inlineStr">
        <is>
          <t>A 15297-2022</t>
        </is>
      </c>
      <c r="B510" s="1" t="n">
        <v>44659</v>
      </c>
      <c r="C510" s="1" t="n">
        <v>45705</v>
      </c>
      <c r="D510" t="inlineStr">
        <is>
          <t>UPPSALA LÄN</t>
        </is>
      </c>
      <c r="E510" t="inlineStr">
        <is>
          <t>UPPSALA</t>
        </is>
      </c>
      <c r="F510" t="inlineStr">
        <is>
          <t>Övriga Aktiebolag</t>
        </is>
      </c>
      <c r="G510" t="n">
        <v>6.6</v>
      </c>
      <c r="H510" t="n">
        <v>0</v>
      </c>
      <c r="I510" t="n">
        <v>1</v>
      </c>
      <c r="J510" t="n">
        <v>0</v>
      </c>
      <c r="K510" t="n">
        <v>0</v>
      </c>
      <c r="L510" t="n">
        <v>0</v>
      </c>
      <c r="M510" t="n">
        <v>0</v>
      </c>
      <c r="N510" t="n">
        <v>0</v>
      </c>
      <c r="O510" t="n">
        <v>0</v>
      </c>
      <c r="P510" t="n">
        <v>0</v>
      </c>
      <c r="Q510" t="n">
        <v>1</v>
      </c>
      <c r="R510" s="2" t="inlineStr">
        <is>
          <t>Stor aspticka</t>
        </is>
      </c>
      <c r="S510">
        <f>HYPERLINK("https://klasma.github.io/Logging_0380/artfynd/A 15297-2022 artfynd.xlsx", "A 15297-2022")</f>
        <v/>
      </c>
      <c r="T510">
        <f>HYPERLINK("https://klasma.github.io/Logging_0380/kartor/A 15297-2022 karta.png", "A 15297-2022")</f>
        <v/>
      </c>
      <c r="V510">
        <f>HYPERLINK("https://klasma.github.io/Logging_0380/klagomål/A 15297-2022 FSC-klagomål.docx", "A 15297-2022")</f>
        <v/>
      </c>
      <c r="W510">
        <f>HYPERLINK("https://klasma.github.io/Logging_0380/klagomålsmail/A 15297-2022 FSC-klagomål mail.docx", "A 15297-2022")</f>
        <v/>
      </c>
      <c r="X510">
        <f>HYPERLINK("https://klasma.github.io/Logging_0380/tillsyn/A 15297-2022 tillsynsbegäran.docx", "A 15297-2022")</f>
        <v/>
      </c>
      <c r="Y510">
        <f>HYPERLINK("https://klasma.github.io/Logging_0380/tillsynsmail/A 15297-2022 tillsynsbegäran mail.docx", "A 15297-2022")</f>
        <v/>
      </c>
    </row>
    <row r="511" ht="15" customHeight="1">
      <c r="A511" t="inlineStr">
        <is>
          <t>A 18588-2022</t>
        </is>
      </c>
      <c r="B511" s="1" t="n">
        <v>44687</v>
      </c>
      <c r="C511" s="1" t="n">
        <v>45705</v>
      </c>
      <c r="D511" t="inlineStr">
        <is>
          <t>UPPSALA LÄN</t>
        </is>
      </c>
      <c r="E511" t="inlineStr">
        <is>
          <t>ENKÖPING</t>
        </is>
      </c>
      <c r="G511" t="n">
        <v>6.7</v>
      </c>
      <c r="H511" t="n">
        <v>1</v>
      </c>
      <c r="I511" t="n">
        <v>0</v>
      </c>
      <c r="J511" t="n">
        <v>0</v>
      </c>
      <c r="K511" t="n">
        <v>1</v>
      </c>
      <c r="L511" t="n">
        <v>0</v>
      </c>
      <c r="M511" t="n">
        <v>0</v>
      </c>
      <c r="N511" t="n">
        <v>0</v>
      </c>
      <c r="O511" t="n">
        <v>1</v>
      </c>
      <c r="P511" t="n">
        <v>1</v>
      </c>
      <c r="Q511" t="n">
        <v>1</v>
      </c>
      <c r="R511" s="2" t="inlineStr">
        <is>
          <t>Bombmurkla</t>
        </is>
      </c>
      <c r="S511">
        <f>HYPERLINK("https://klasma.github.io/Logging_0381/artfynd/A 18588-2022 artfynd.xlsx", "A 18588-2022")</f>
        <v/>
      </c>
      <c r="T511">
        <f>HYPERLINK("https://klasma.github.io/Logging_0381/kartor/A 18588-2022 karta.png", "A 18588-2022")</f>
        <v/>
      </c>
      <c r="V511">
        <f>HYPERLINK("https://klasma.github.io/Logging_0381/klagomål/A 18588-2022 FSC-klagomål.docx", "A 18588-2022")</f>
        <v/>
      </c>
      <c r="W511">
        <f>HYPERLINK("https://klasma.github.io/Logging_0381/klagomålsmail/A 18588-2022 FSC-klagomål mail.docx", "A 18588-2022")</f>
        <v/>
      </c>
      <c r="X511">
        <f>HYPERLINK("https://klasma.github.io/Logging_0381/tillsyn/A 18588-2022 tillsynsbegäran.docx", "A 18588-2022")</f>
        <v/>
      </c>
      <c r="Y511">
        <f>HYPERLINK("https://klasma.github.io/Logging_0381/tillsynsmail/A 18588-2022 tillsynsbegäran mail.docx", "A 18588-2022")</f>
        <v/>
      </c>
    </row>
    <row r="512" ht="15" customHeight="1">
      <c r="A512" t="inlineStr">
        <is>
          <t>A 19376-2022</t>
        </is>
      </c>
      <c r="B512" s="1" t="n">
        <v>44692</v>
      </c>
      <c r="C512" s="1" t="n">
        <v>45705</v>
      </c>
      <c r="D512" t="inlineStr">
        <is>
          <t>UPPSALA LÄN</t>
        </is>
      </c>
      <c r="E512" t="inlineStr">
        <is>
          <t>UPPSALA</t>
        </is>
      </c>
      <c r="F512" t="inlineStr">
        <is>
          <t>Bergvik skog öst AB</t>
        </is>
      </c>
      <c r="G512" t="n">
        <v>6.8</v>
      </c>
      <c r="H512" t="n">
        <v>0</v>
      </c>
      <c r="I512" t="n">
        <v>1</v>
      </c>
      <c r="J512" t="n">
        <v>0</v>
      </c>
      <c r="K512" t="n">
        <v>0</v>
      </c>
      <c r="L512" t="n">
        <v>0</v>
      </c>
      <c r="M512" t="n">
        <v>0</v>
      </c>
      <c r="N512" t="n">
        <v>0</v>
      </c>
      <c r="O512" t="n">
        <v>0</v>
      </c>
      <c r="P512" t="n">
        <v>0</v>
      </c>
      <c r="Q512" t="n">
        <v>1</v>
      </c>
      <c r="R512" s="2" t="inlineStr">
        <is>
          <t>Vårärt</t>
        </is>
      </c>
      <c r="S512">
        <f>HYPERLINK("https://klasma.github.io/Logging_0380/artfynd/A 19376-2022 artfynd.xlsx", "A 19376-2022")</f>
        <v/>
      </c>
      <c r="T512">
        <f>HYPERLINK("https://klasma.github.io/Logging_0380/kartor/A 19376-2022 karta.png", "A 19376-2022")</f>
        <v/>
      </c>
      <c r="V512">
        <f>HYPERLINK("https://klasma.github.io/Logging_0380/klagomål/A 19376-2022 FSC-klagomål.docx", "A 19376-2022")</f>
        <v/>
      </c>
      <c r="W512">
        <f>HYPERLINK("https://klasma.github.io/Logging_0380/klagomålsmail/A 19376-2022 FSC-klagomål mail.docx", "A 19376-2022")</f>
        <v/>
      </c>
      <c r="X512">
        <f>HYPERLINK("https://klasma.github.io/Logging_0380/tillsyn/A 19376-2022 tillsynsbegäran.docx", "A 19376-2022")</f>
        <v/>
      </c>
      <c r="Y512">
        <f>HYPERLINK("https://klasma.github.io/Logging_0380/tillsynsmail/A 19376-2022 tillsynsbegäran mail.docx", "A 19376-2022")</f>
        <v/>
      </c>
    </row>
    <row r="513" ht="15" customHeight="1">
      <c r="A513" t="inlineStr">
        <is>
          <t>A 22209-2022</t>
        </is>
      </c>
      <c r="B513" s="1" t="n">
        <v>44712</v>
      </c>
      <c r="C513" s="1" t="n">
        <v>45705</v>
      </c>
      <c r="D513" t="inlineStr">
        <is>
          <t>UPPSALA LÄN</t>
        </is>
      </c>
      <c r="E513" t="inlineStr">
        <is>
          <t>ÖSTHAMMAR</t>
        </is>
      </c>
      <c r="F513" t="inlineStr">
        <is>
          <t>Bergvik skog öst AB</t>
        </is>
      </c>
      <c r="G513" t="n">
        <v>1.5</v>
      </c>
      <c r="H513" t="n">
        <v>1</v>
      </c>
      <c r="I513" t="n">
        <v>0</v>
      </c>
      <c r="J513" t="n">
        <v>0</v>
      </c>
      <c r="K513" t="n">
        <v>0</v>
      </c>
      <c r="L513" t="n">
        <v>0</v>
      </c>
      <c r="M513" t="n">
        <v>0</v>
      </c>
      <c r="N513" t="n">
        <v>0</v>
      </c>
      <c r="O513" t="n">
        <v>0</v>
      </c>
      <c r="P513" t="n">
        <v>0</v>
      </c>
      <c r="Q513" t="n">
        <v>1</v>
      </c>
      <c r="R513" s="2" t="inlineStr">
        <is>
          <t>Blåsippa</t>
        </is>
      </c>
      <c r="S513">
        <f>HYPERLINK("https://klasma.github.io/Logging_0382/artfynd/A 22209-2022 artfynd.xlsx", "A 22209-2022")</f>
        <v/>
      </c>
      <c r="T513">
        <f>HYPERLINK("https://klasma.github.io/Logging_0382/kartor/A 22209-2022 karta.png", "A 22209-2022")</f>
        <v/>
      </c>
      <c r="V513">
        <f>HYPERLINK("https://klasma.github.io/Logging_0382/klagomål/A 22209-2022 FSC-klagomål.docx", "A 22209-2022")</f>
        <v/>
      </c>
      <c r="W513">
        <f>HYPERLINK("https://klasma.github.io/Logging_0382/klagomålsmail/A 22209-2022 FSC-klagomål mail.docx", "A 22209-2022")</f>
        <v/>
      </c>
      <c r="X513">
        <f>HYPERLINK("https://klasma.github.io/Logging_0382/tillsyn/A 22209-2022 tillsynsbegäran.docx", "A 22209-2022")</f>
        <v/>
      </c>
      <c r="Y513">
        <f>HYPERLINK("https://klasma.github.io/Logging_0382/tillsynsmail/A 22209-2022 tillsynsbegäran mail.docx", "A 22209-2022")</f>
        <v/>
      </c>
    </row>
    <row r="514" ht="15" customHeight="1">
      <c r="A514" t="inlineStr">
        <is>
          <t>A 22467-2022</t>
        </is>
      </c>
      <c r="B514" s="1" t="n">
        <v>44713</v>
      </c>
      <c r="C514" s="1" t="n">
        <v>45705</v>
      </c>
      <c r="D514" t="inlineStr">
        <is>
          <t>UPPSALA LÄN</t>
        </is>
      </c>
      <c r="E514" t="inlineStr">
        <is>
          <t>KNIVSTA</t>
        </is>
      </c>
      <c r="G514" t="n">
        <v>2</v>
      </c>
      <c r="H514" t="n">
        <v>1</v>
      </c>
      <c r="I514" t="n">
        <v>0</v>
      </c>
      <c r="J514" t="n">
        <v>0</v>
      </c>
      <c r="K514" t="n">
        <v>0</v>
      </c>
      <c r="L514" t="n">
        <v>0</v>
      </c>
      <c r="M514" t="n">
        <v>0</v>
      </c>
      <c r="N514" t="n">
        <v>0</v>
      </c>
      <c r="O514" t="n">
        <v>0</v>
      </c>
      <c r="P514" t="n">
        <v>0</v>
      </c>
      <c r="Q514" t="n">
        <v>1</v>
      </c>
      <c r="R514" s="2" t="inlineStr">
        <is>
          <t>Gullviva</t>
        </is>
      </c>
      <c r="S514">
        <f>HYPERLINK("https://klasma.github.io/Logging_0330/artfynd/A 22467-2022 artfynd.xlsx", "A 22467-2022")</f>
        <v/>
      </c>
      <c r="T514">
        <f>HYPERLINK("https://klasma.github.io/Logging_0330/kartor/A 22467-2022 karta.png", "A 22467-2022")</f>
        <v/>
      </c>
      <c r="V514">
        <f>HYPERLINK("https://klasma.github.io/Logging_0330/klagomål/A 22467-2022 FSC-klagomål.docx", "A 22467-2022")</f>
        <v/>
      </c>
      <c r="W514">
        <f>HYPERLINK("https://klasma.github.io/Logging_0330/klagomålsmail/A 22467-2022 FSC-klagomål mail.docx", "A 22467-2022")</f>
        <v/>
      </c>
      <c r="X514">
        <f>HYPERLINK("https://klasma.github.io/Logging_0330/tillsyn/A 22467-2022 tillsynsbegäran.docx", "A 22467-2022")</f>
        <v/>
      </c>
      <c r="Y514">
        <f>HYPERLINK("https://klasma.github.io/Logging_0330/tillsynsmail/A 22467-2022 tillsynsbegäran mail.docx", "A 22467-2022")</f>
        <v/>
      </c>
    </row>
    <row r="515" ht="15" customHeight="1">
      <c r="A515" t="inlineStr">
        <is>
          <t>A 23141-2022</t>
        </is>
      </c>
      <c r="B515" s="1" t="n">
        <v>44719</v>
      </c>
      <c r="C515" s="1" t="n">
        <v>45705</v>
      </c>
      <c r="D515" t="inlineStr">
        <is>
          <t>UPPSALA LÄN</t>
        </is>
      </c>
      <c r="E515" t="inlineStr">
        <is>
          <t>UPPSALA</t>
        </is>
      </c>
      <c r="G515" t="n">
        <v>3.1</v>
      </c>
      <c r="H515" t="n">
        <v>1</v>
      </c>
      <c r="I515" t="n">
        <v>0</v>
      </c>
      <c r="J515" t="n">
        <v>0</v>
      </c>
      <c r="K515" t="n">
        <v>0</v>
      </c>
      <c r="L515" t="n">
        <v>0</v>
      </c>
      <c r="M515" t="n">
        <v>0</v>
      </c>
      <c r="N515" t="n">
        <v>0</v>
      </c>
      <c r="O515" t="n">
        <v>0</v>
      </c>
      <c r="P515" t="n">
        <v>0</v>
      </c>
      <c r="Q515" t="n">
        <v>1</v>
      </c>
      <c r="R515" s="2" t="inlineStr">
        <is>
          <t>Enkelbeckasin</t>
        </is>
      </c>
      <c r="S515">
        <f>HYPERLINK("https://klasma.github.io/Logging_0380/artfynd/A 23141-2022 artfynd.xlsx", "A 23141-2022")</f>
        <v/>
      </c>
      <c r="T515">
        <f>HYPERLINK("https://klasma.github.io/Logging_0380/kartor/A 23141-2022 karta.png", "A 23141-2022")</f>
        <v/>
      </c>
      <c r="V515">
        <f>HYPERLINK("https://klasma.github.io/Logging_0380/klagomål/A 23141-2022 FSC-klagomål.docx", "A 23141-2022")</f>
        <v/>
      </c>
      <c r="W515">
        <f>HYPERLINK("https://klasma.github.io/Logging_0380/klagomålsmail/A 23141-2022 FSC-klagomål mail.docx", "A 23141-2022")</f>
        <v/>
      </c>
      <c r="X515">
        <f>HYPERLINK("https://klasma.github.io/Logging_0380/tillsyn/A 23141-2022 tillsynsbegäran.docx", "A 23141-2022")</f>
        <v/>
      </c>
      <c r="Y515">
        <f>HYPERLINK("https://klasma.github.io/Logging_0380/tillsynsmail/A 23141-2022 tillsynsbegäran mail.docx", "A 23141-2022")</f>
        <v/>
      </c>
      <c r="Z515">
        <f>HYPERLINK("https://klasma.github.io/Logging_0380/fåglar/A 23141-2022 prioriterade fågelarter.docx", "A 23141-2022")</f>
        <v/>
      </c>
    </row>
    <row r="516" ht="15" customHeight="1">
      <c r="A516" t="inlineStr">
        <is>
          <t>A 23961-2022</t>
        </is>
      </c>
      <c r="B516" s="1" t="n">
        <v>44722</v>
      </c>
      <c r="C516" s="1" t="n">
        <v>45705</v>
      </c>
      <c r="D516" t="inlineStr">
        <is>
          <t>UPPSALA LÄN</t>
        </is>
      </c>
      <c r="E516" t="inlineStr">
        <is>
          <t>ENKÖPING</t>
        </is>
      </c>
      <c r="G516" t="n">
        <v>1.4</v>
      </c>
      <c r="H516" t="n">
        <v>1</v>
      </c>
      <c r="I516" t="n">
        <v>0</v>
      </c>
      <c r="J516" t="n">
        <v>0</v>
      </c>
      <c r="K516" t="n">
        <v>0</v>
      </c>
      <c r="L516" t="n">
        <v>0</v>
      </c>
      <c r="M516" t="n">
        <v>0</v>
      </c>
      <c r="N516" t="n">
        <v>0</v>
      </c>
      <c r="O516" t="n">
        <v>0</v>
      </c>
      <c r="P516" t="n">
        <v>0</v>
      </c>
      <c r="Q516" t="n">
        <v>1</v>
      </c>
      <c r="R516" s="2" t="inlineStr">
        <is>
          <t>Blåsippa</t>
        </is>
      </c>
      <c r="S516">
        <f>HYPERLINK("https://klasma.github.io/Logging_0381/artfynd/A 23961-2022 artfynd.xlsx", "A 23961-2022")</f>
        <v/>
      </c>
      <c r="T516">
        <f>HYPERLINK("https://klasma.github.io/Logging_0381/kartor/A 23961-2022 karta.png", "A 23961-2022")</f>
        <v/>
      </c>
      <c r="V516">
        <f>HYPERLINK("https://klasma.github.io/Logging_0381/klagomål/A 23961-2022 FSC-klagomål.docx", "A 23961-2022")</f>
        <v/>
      </c>
      <c r="W516">
        <f>HYPERLINK("https://klasma.github.io/Logging_0381/klagomålsmail/A 23961-2022 FSC-klagomål mail.docx", "A 23961-2022")</f>
        <v/>
      </c>
      <c r="X516">
        <f>HYPERLINK("https://klasma.github.io/Logging_0381/tillsyn/A 23961-2022 tillsynsbegäran.docx", "A 23961-2022")</f>
        <v/>
      </c>
      <c r="Y516">
        <f>HYPERLINK("https://klasma.github.io/Logging_0381/tillsynsmail/A 23961-2022 tillsynsbegäran mail.docx", "A 23961-2022")</f>
        <v/>
      </c>
    </row>
    <row r="517" ht="15" customHeight="1">
      <c r="A517" t="inlineStr">
        <is>
          <t>A 24797-2022</t>
        </is>
      </c>
      <c r="B517" s="1" t="n">
        <v>44728</v>
      </c>
      <c r="C517" s="1" t="n">
        <v>45705</v>
      </c>
      <c r="D517" t="inlineStr">
        <is>
          <t>UPPSALA LÄN</t>
        </is>
      </c>
      <c r="E517" t="inlineStr">
        <is>
          <t>ÖSTHAMMAR</t>
        </is>
      </c>
      <c r="F517" t="inlineStr">
        <is>
          <t>Sveaskog</t>
        </is>
      </c>
      <c r="G517" t="n">
        <v>1.7</v>
      </c>
      <c r="H517" t="n">
        <v>1</v>
      </c>
      <c r="I517" t="n">
        <v>0</v>
      </c>
      <c r="J517" t="n">
        <v>1</v>
      </c>
      <c r="K517" t="n">
        <v>0</v>
      </c>
      <c r="L517" t="n">
        <v>0</v>
      </c>
      <c r="M517" t="n">
        <v>0</v>
      </c>
      <c r="N517" t="n">
        <v>0</v>
      </c>
      <c r="O517" t="n">
        <v>1</v>
      </c>
      <c r="P517" t="n">
        <v>0</v>
      </c>
      <c r="Q517" t="n">
        <v>1</v>
      </c>
      <c r="R517" s="2" t="inlineStr">
        <is>
          <t>Gulsparv</t>
        </is>
      </c>
      <c r="S517">
        <f>HYPERLINK("https://klasma.github.io/Logging_0382/artfynd/A 24797-2022 artfynd.xlsx", "A 24797-2022")</f>
        <v/>
      </c>
      <c r="T517">
        <f>HYPERLINK("https://klasma.github.io/Logging_0382/kartor/A 24797-2022 karta.png", "A 24797-2022")</f>
        <v/>
      </c>
      <c r="V517">
        <f>HYPERLINK("https://klasma.github.io/Logging_0382/klagomål/A 24797-2022 FSC-klagomål.docx", "A 24797-2022")</f>
        <v/>
      </c>
      <c r="W517">
        <f>HYPERLINK("https://klasma.github.io/Logging_0382/klagomålsmail/A 24797-2022 FSC-klagomål mail.docx", "A 24797-2022")</f>
        <v/>
      </c>
      <c r="X517">
        <f>HYPERLINK("https://klasma.github.io/Logging_0382/tillsyn/A 24797-2022 tillsynsbegäran.docx", "A 24797-2022")</f>
        <v/>
      </c>
      <c r="Y517">
        <f>HYPERLINK("https://klasma.github.io/Logging_0382/tillsynsmail/A 24797-2022 tillsynsbegäran mail.docx", "A 24797-2022")</f>
        <v/>
      </c>
      <c r="Z517">
        <f>HYPERLINK("https://klasma.github.io/Logging_0382/fåglar/A 24797-2022 prioriterade fågelarter.docx", "A 24797-2022")</f>
        <v/>
      </c>
    </row>
    <row r="518" ht="15" customHeight="1">
      <c r="A518" t="inlineStr">
        <is>
          <t>A 25119-2022</t>
        </is>
      </c>
      <c r="B518" s="1" t="n">
        <v>44729</v>
      </c>
      <c r="C518" s="1" t="n">
        <v>45705</v>
      </c>
      <c r="D518" t="inlineStr">
        <is>
          <t>UPPSALA LÄN</t>
        </is>
      </c>
      <c r="E518" t="inlineStr">
        <is>
          <t>UPPSALA</t>
        </is>
      </c>
      <c r="F518" t="inlineStr">
        <is>
          <t>Kommuner</t>
        </is>
      </c>
      <c r="G518" t="n">
        <v>0.9</v>
      </c>
      <c r="H518" t="n">
        <v>0</v>
      </c>
      <c r="I518" t="n">
        <v>1</v>
      </c>
      <c r="J518" t="n">
        <v>0</v>
      </c>
      <c r="K518" t="n">
        <v>0</v>
      </c>
      <c r="L518" t="n">
        <v>0</v>
      </c>
      <c r="M518" t="n">
        <v>0</v>
      </c>
      <c r="N518" t="n">
        <v>0</v>
      </c>
      <c r="O518" t="n">
        <v>0</v>
      </c>
      <c r="P518" t="n">
        <v>0</v>
      </c>
      <c r="Q518" t="n">
        <v>1</v>
      </c>
      <c r="R518" s="2" t="inlineStr">
        <is>
          <t>Stor aspticka</t>
        </is>
      </c>
      <c r="S518">
        <f>HYPERLINK("https://klasma.github.io/Logging_0380/artfynd/A 25119-2022 artfynd.xlsx", "A 25119-2022")</f>
        <v/>
      </c>
      <c r="T518">
        <f>HYPERLINK("https://klasma.github.io/Logging_0380/kartor/A 25119-2022 karta.png", "A 25119-2022")</f>
        <v/>
      </c>
      <c r="V518">
        <f>HYPERLINK("https://klasma.github.io/Logging_0380/klagomål/A 25119-2022 FSC-klagomål.docx", "A 25119-2022")</f>
        <v/>
      </c>
      <c r="W518">
        <f>HYPERLINK("https://klasma.github.io/Logging_0380/klagomålsmail/A 25119-2022 FSC-klagomål mail.docx", "A 25119-2022")</f>
        <v/>
      </c>
      <c r="X518">
        <f>HYPERLINK("https://klasma.github.io/Logging_0380/tillsyn/A 25119-2022 tillsynsbegäran.docx", "A 25119-2022")</f>
        <v/>
      </c>
      <c r="Y518">
        <f>HYPERLINK("https://klasma.github.io/Logging_0380/tillsynsmail/A 25119-2022 tillsynsbegäran mail.docx", "A 25119-2022")</f>
        <v/>
      </c>
    </row>
    <row r="519" ht="15" customHeight="1">
      <c r="A519" t="inlineStr">
        <is>
          <t>A 27451-2022</t>
        </is>
      </c>
      <c r="B519" s="1" t="n">
        <v>44742</v>
      </c>
      <c r="C519" s="1" t="n">
        <v>45705</v>
      </c>
      <c r="D519" t="inlineStr">
        <is>
          <t>UPPSALA LÄN</t>
        </is>
      </c>
      <c r="E519" t="inlineStr">
        <is>
          <t>ÖSTHAMMAR</t>
        </is>
      </c>
      <c r="G519" t="n">
        <v>6.4</v>
      </c>
      <c r="H519" t="n">
        <v>0</v>
      </c>
      <c r="I519" t="n">
        <v>0</v>
      </c>
      <c r="J519" t="n">
        <v>1</v>
      </c>
      <c r="K519" t="n">
        <v>0</v>
      </c>
      <c r="L519" t="n">
        <v>0</v>
      </c>
      <c r="M519" t="n">
        <v>0</v>
      </c>
      <c r="N519" t="n">
        <v>0</v>
      </c>
      <c r="O519" t="n">
        <v>1</v>
      </c>
      <c r="P519" t="n">
        <v>0</v>
      </c>
      <c r="Q519" t="n">
        <v>1</v>
      </c>
      <c r="R519" s="2" t="inlineStr">
        <is>
          <t>Skogsklocka</t>
        </is>
      </c>
      <c r="S519">
        <f>HYPERLINK("https://klasma.github.io/Logging_0382/artfynd/A 27451-2022 artfynd.xlsx", "A 27451-2022")</f>
        <v/>
      </c>
      <c r="T519">
        <f>HYPERLINK("https://klasma.github.io/Logging_0382/kartor/A 27451-2022 karta.png", "A 27451-2022")</f>
        <v/>
      </c>
      <c r="V519">
        <f>HYPERLINK("https://klasma.github.io/Logging_0382/klagomål/A 27451-2022 FSC-klagomål.docx", "A 27451-2022")</f>
        <v/>
      </c>
      <c r="W519">
        <f>HYPERLINK("https://klasma.github.io/Logging_0382/klagomålsmail/A 27451-2022 FSC-klagomål mail.docx", "A 27451-2022")</f>
        <v/>
      </c>
      <c r="X519">
        <f>HYPERLINK("https://klasma.github.io/Logging_0382/tillsyn/A 27451-2022 tillsynsbegäran.docx", "A 27451-2022")</f>
        <v/>
      </c>
      <c r="Y519">
        <f>HYPERLINK("https://klasma.github.io/Logging_0382/tillsynsmail/A 27451-2022 tillsynsbegäran mail.docx", "A 27451-2022")</f>
        <v/>
      </c>
    </row>
    <row r="520" ht="15" customHeight="1">
      <c r="A520" t="inlineStr">
        <is>
          <t>A 29748-2022</t>
        </is>
      </c>
      <c r="B520" s="1" t="n">
        <v>44755</v>
      </c>
      <c r="C520" s="1" t="n">
        <v>45705</v>
      </c>
      <c r="D520" t="inlineStr">
        <is>
          <t>UPPSALA LÄN</t>
        </is>
      </c>
      <c r="E520" t="inlineStr">
        <is>
          <t>ÄLVKARLEBY</t>
        </is>
      </c>
      <c r="F520" t="inlineStr">
        <is>
          <t>Bergvik skog väst AB</t>
        </is>
      </c>
      <c r="G520" t="n">
        <v>2</v>
      </c>
      <c r="H520" t="n">
        <v>0</v>
      </c>
      <c r="I520" t="n">
        <v>0</v>
      </c>
      <c r="J520" t="n">
        <v>0</v>
      </c>
      <c r="K520" t="n">
        <v>0</v>
      </c>
      <c r="L520" t="n">
        <v>1</v>
      </c>
      <c r="M520" t="n">
        <v>0</v>
      </c>
      <c r="N520" t="n">
        <v>0</v>
      </c>
      <c r="O520" t="n">
        <v>1</v>
      </c>
      <c r="P520" t="n">
        <v>1</v>
      </c>
      <c r="Q520" t="n">
        <v>1</v>
      </c>
      <c r="R520" s="2" t="inlineStr">
        <is>
          <t>Stor bockrot</t>
        </is>
      </c>
      <c r="S520">
        <f>HYPERLINK("https://klasma.github.io/Logging_0319/artfynd/A 29748-2022 artfynd.xlsx", "A 29748-2022")</f>
        <v/>
      </c>
      <c r="T520">
        <f>HYPERLINK("https://klasma.github.io/Logging_0319/kartor/A 29748-2022 karta.png", "A 29748-2022")</f>
        <v/>
      </c>
      <c r="V520">
        <f>HYPERLINK("https://klasma.github.io/Logging_0319/klagomål/A 29748-2022 FSC-klagomål.docx", "A 29748-2022")</f>
        <v/>
      </c>
      <c r="W520">
        <f>HYPERLINK("https://klasma.github.io/Logging_0319/klagomålsmail/A 29748-2022 FSC-klagomål mail.docx", "A 29748-2022")</f>
        <v/>
      </c>
      <c r="X520">
        <f>HYPERLINK("https://klasma.github.io/Logging_0319/tillsyn/A 29748-2022 tillsynsbegäran.docx", "A 29748-2022")</f>
        <v/>
      </c>
      <c r="Y520">
        <f>HYPERLINK("https://klasma.github.io/Logging_0319/tillsynsmail/A 29748-2022 tillsynsbegäran mail.docx", "A 29748-2022")</f>
        <v/>
      </c>
    </row>
    <row r="521" ht="15" customHeight="1">
      <c r="A521" t="inlineStr">
        <is>
          <t>A 33375-2022</t>
        </is>
      </c>
      <c r="B521" s="1" t="n">
        <v>44788</v>
      </c>
      <c r="C521" s="1" t="n">
        <v>45705</v>
      </c>
      <c r="D521" t="inlineStr">
        <is>
          <t>UPPSALA LÄN</t>
        </is>
      </c>
      <c r="E521" t="inlineStr">
        <is>
          <t>TIERP</t>
        </is>
      </c>
      <c r="G521" t="n">
        <v>4.7</v>
      </c>
      <c r="H521" t="n">
        <v>0</v>
      </c>
      <c r="I521" t="n">
        <v>0</v>
      </c>
      <c r="J521" t="n">
        <v>0</v>
      </c>
      <c r="K521" t="n">
        <v>0</v>
      </c>
      <c r="L521" t="n">
        <v>1</v>
      </c>
      <c r="M521" t="n">
        <v>0</v>
      </c>
      <c r="N521" t="n">
        <v>0</v>
      </c>
      <c r="O521" t="n">
        <v>1</v>
      </c>
      <c r="P521" t="n">
        <v>1</v>
      </c>
      <c r="Q521" t="n">
        <v>1</v>
      </c>
      <c r="R521" s="2" t="inlineStr">
        <is>
          <t>Fältgentiana</t>
        </is>
      </c>
      <c r="S521">
        <f>HYPERLINK("https://klasma.github.io/Logging_0360/artfynd/A 33375-2022 artfynd.xlsx", "A 33375-2022")</f>
        <v/>
      </c>
      <c r="T521">
        <f>HYPERLINK("https://klasma.github.io/Logging_0360/kartor/A 33375-2022 karta.png", "A 33375-2022")</f>
        <v/>
      </c>
      <c r="V521">
        <f>HYPERLINK("https://klasma.github.io/Logging_0360/klagomål/A 33375-2022 FSC-klagomål.docx", "A 33375-2022")</f>
        <v/>
      </c>
      <c r="W521">
        <f>HYPERLINK("https://klasma.github.io/Logging_0360/klagomålsmail/A 33375-2022 FSC-klagomål mail.docx", "A 33375-2022")</f>
        <v/>
      </c>
      <c r="X521">
        <f>HYPERLINK("https://klasma.github.io/Logging_0360/tillsyn/A 33375-2022 tillsynsbegäran.docx", "A 33375-2022")</f>
        <v/>
      </c>
      <c r="Y521">
        <f>HYPERLINK("https://klasma.github.io/Logging_0360/tillsynsmail/A 33375-2022 tillsynsbegäran mail.docx", "A 33375-2022")</f>
        <v/>
      </c>
    </row>
    <row r="522" ht="15" customHeight="1">
      <c r="A522" t="inlineStr">
        <is>
          <t>A 34974-2022</t>
        </is>
      </c>
      <c r="B522" s="1" t="n">
        <v>44796</v>
      </c>
      <c r="C522" s="1" t="n">
        <v>45705</v>
      </c>
      <c r="D522" t="inlineStr">
        <is>
          <t>UPPSALA LÄN</t>
        </is>
      </c>
      <c r="E522" t="inlineStr">
        <is>
          <t>ÖSTHAMMAR</t>
        </is>
      </c>
      <c r="F522" t="inlineStr">
        <is>
          <t>Bergvik skog öst AB</t>
        </is>
      </c>
      <c r="G522" t="n">
        <v>19.4</v>
      </c>
      <c r="H522" t="n">
        <v>1</v>
      </c>
      <c r="I522" t="n">
        <v>0</v>
      </c>
      <c r="J522" t="n">
        <v>0</v>
      </c>
      <c r="K522" t="n">
        <v>0</v>
      </c>
      <c r="L522" t="n">
        <v>0</v>
      </c>
      <c r="M522" t="n">
        <v>0</v>
      </c>
      <c r="N522" t="n">
        <v>0</v>
      </c>
      <c r="O522" t="n">
        <v>0</v>
      </c>
      <c r="P522" t="n">
        <v>0</v>
      </c>
      <c r="Q522" t="n">
        <v>1</v>
      </c>
      <c r="R522" s="2" t="inlineStr">
        <is>
          <t>Kopparödla</t>
        </is>
      </c>
      <c r="S522">
        <f>HYPERLINK("https://klasma.github.io/Logging_0382/artfynd/A 34974-2022 artfynd.xlsx", "A 34974-2022")</f>
        <v/>
      </c>
      <c r="T522">
        <f>HYPERLINK("https://klasma.github.io/Logging_0382/kartor/A 34974-2022 karta.png", "A 34974-2022")</f>
        <v/>
      </c>
      <c r="V522">
        <f>HYPERLINK("https://klasma.github.io/Logging_0382/klagomål/A 34974-2022 FSC-klagomål.docx", "A 34974-2022")</f>
        <v/>
      </c>
      <c r="W522">
        <f>HYPERLINK("https://klasma.github.io/Logging_0382/klagomålsmail/A 34974-2022 FSC-klagomål mail.docx", "A 34974-2022")</f>
        <v/>
      </c>
      <c r="X522">
        <f>HYPERLINK("https://klasma.github.io/Logging_0382/tillsyn/A 34974-2022 tillsynsbegäran.docx", "A 34974-2022")</f>
        <v/>
      </c>
      <c r="Y522">
        <f>HYPERLINK("https://klasma.github.io/Logging_0382/tillsynsmail/A 34974-2022 tillsynsbegäran mail.docx", "A 34974-2022")</f>
        <v/>
      </c>
    </row>
    <row r="523" ht="15" customHeight="1">
      <c r="A523" t="inlineStr">
        <is>
          <t>A 36849-2022</t>
        </is>
      </c>
      <c r="B523" s="1" t="n">
        <v>44805</v>
      </c>
      <c r="C523" s="1" t="n">
        <v>45705</v>
      </c>
      <c r="D523" t="inlineStr">
        <is>
          <t>UPPSALA LÄN</t>
        </is>
      </c>
      <c r="E523" t="inlineStr">
        <is>
          <t>HEBY</t>
        </is>
      </c>
      <c r="G523" t="n">
        <v>3.5</v>
      </c>
      <c r="H523" t="n">
        <v>0</v>
      </c>
      <c r="I523" t="n">
        <v>1</v>
      </c>
      <c r="J523" t="n">
        <v>0</v>
      </c>
      <c r="K523" t="n">
        <v>0</v>
      </c>
      <c r="L523" t="n">
        <v>0</v>
      </c>
      <c r="M523" t="n">
        <v>0</v>
      </c>
      <c r="N523" t="n">
        <v>0</v>
      </c>
      <c r="O523" t="n">
        <v>0</v>
      </c>
      <c r="P523" t="n">
        <v>0</v>
      </c>
      <c r="Q523" t="n">
        <v>1</v>
      </c>
      <c r="R523" s="2" t="inlineStr">
        <is>
          <t>Granbarkgnagare</t>
        </is>
      </c>
      <c r="S523">
        <f>HYPERLINK("https://klasma.github.io/Logging_0331/artfynd/A 36849-2022 artfynd.xlsx", "A 36849-2022")</f>
        <v/>
      </c>
      <c r="T523">
        <f>HYPERLINK("https://klasma.github.io/Logging_0331/kartor/A 36849-2022 karta.png", "A 36849-2022")</f>
        <v/>
      </c>
      <c r="V523">
        <f>HYPERLINK("https://klasma.github.io/Logging_0331/klagomål/A 36849-2022 FSC-klagomål.docx", "A 36849-2022")</f>
        <v/>
      </c>
      <c r="W523">
        <f>HYPERLINK("https://klasma.github.io/Logging_0331/klagomålsmail/A 36849-2022 FSC-klagomål mail.docx", "A 36849-2022")</f>
        <v/>
      </c>
      <c r="X523">
        <f>HYPERLINK("https://klasma.github.io/Logging_0331/tillsyn/A 36849-2022 tillsynsbegäran.docx", "A 36849-2022")</f>
        <v/>
      </c>
      <c r="Y523">
        <f>HYPERLINK("https://klasma.github.io/Logging_0331/tillsynsmail/A 36849-2022 tillsynsbegäran mail.docx", "A 36849-2022")</f>
        <v/>
      </c>
    </row>
    <row r="524" ht="15" customHeight="1">
      <c r="A524" t="inlineStr">
        <is>
          <t>A 38442-2022</t>
        </is>
      </c>
      <c r="B524" s="1" t="n">
        <v>44813</v>
      </c>
      <c r="C524" s="1" t="n">
        <v>45705</v>
      </c>
      <c r="D524" t="inlineStr">
        <is>
          <t>UPPSALA LÄN</t>
        </is>
      </c>
      <c r="E524" t="inlineStr">
        <is>
          <t>ÖSTHAMMAR</t>
        </is>
      </c>
      <c r="F524" t="inlineStr">
        <is>
          <t>Kyrkan</t>
        </is>
      </c>
      <c r="G524" t="n">
        <v>2.9</v>
      </c>
      <c r="H524" t="n">
        <v>0</v>
      </c>
      <c r="I524" t="n">
        <v>0</v>
      </c>
      <c r="J524" t="n">
        <v>1</v>
      </c>
      <c r="K524" t="n">
        <v>0</v>
      </c>
      <c r="L524" t="n">
        <v>0</v>
      </c>
      <c r="M524" t="n">
        <v>0</v>
      </c>
      <c r="N524" t="n">
        <v>0</v>
      </c>
      <c r="O524" t="n">
        <v>1</v>
      </c>
      <c r="P524" t="n">
        <v>0</v>
      </c>
      <c r="Q524" t="n">
        <v>1</v>
      </c>
      <c r="R524" s="2" t="inlineStr">
        <is>
          <t>Slåtterfibbla</t>
        </is>
      </c>
      <c r="S524">
        <f>HYPERLINK("https://klasma.github.io/Logging_0382/artfynd/A 38442-2022 artfynd.xlsx", "A 38442-2022")</f>
        <v/>
      </c>
      <c r="T524">
        <f>HYPERLINK("https://klasma.github.io/Logging_0382/kartor/A 38442-2022 karta.png", "A 38442-2022")</f>
        <v/>
      </c>
      <c r="V524">
        <f>HYPERLINK("https://klasma.github.io/Logging_0382/klagomål/A 38442-2022 FSC-klagomål.docx", "A 38442-2022")</f>
        <v/>
      </c>
      <c r="W524">
        <f>HYPERLINK("https://klasma.github.io/Logging_0382/klagomålsmail/A 38442-2022 FSC-klagomål mail.docx", "A 38442-2022")</f>
        <v/>
      </c>
      <c r="X524">
        <f>HYPERLINK("https://klasma.github.io/Logging_0382/tillsyn/A 38442-2022 tillsynsbegäran.docx", "A 38442-2022")</f>
        <v/>
      </c>
      <c r="Y524">
        <f>HYPERLINK("https://klasma.github.io/Logging_0382/tillsynsmail/A 38442-2022 tillsynsbegäran mail.docx", "A 38442-2022")</f>
        <v/>
      </c>
    </row>
    <row r="525" ht="15" customHeight="1">
      <c r="A525" t="inlineStr">
        <is>
          <t>A 40362-2022</t>
        </is>
      </c>
      <c r="B525" s="1" t="n">
        <v>44823</v>
      </c>
      <c r="C525" s="1" t="n">
        <v>45705</v>
      </c>
      <c r="D525" t="inlineStr">
        <is>
          <t>UPPSALA LÄN</t>
        </is>
      </c>
      <c r="E525" t="inlineStr">
        <is>
          <t>TIERP</t>
        </is>
      </c>
      <c r="F525" t="inlineStr">
        <is>
          <t>Bergvik skog väst AB</t>
        </is>
      </c>
      <c r="G525" t="n">
        <v>18.5</v>
      </c>
      <c r="H525" t="n">
        <v>1</v>
      </c>
      <c r="I525" t="n">
        <v>0</v>
      </c>
      <c r="J525" t="n">
        <v>0</v>
      </c>
      <c r="K525" t="n">
        <v>0</v>
      </c>
      <c r="L525" t="n">
        <v>0</v>
      </c>
      <c r="M525" t="n">
        <v>0</v>
      </c>
      <c r="N525" t="n">
        <v>0</v>
      </c>
      <c r="O525" t="n">
        <v>0</v>
      </c>
      <c r="P525" t="n">
        <v>0</v>
      </c>
      <c r="Q525" t="n">
        <v>1</v>
      </c>
      <c r="R525" s="2" t="inlineStr">
        <is>
          <t>Fläcknycklar</t>
        </is>
      </c>
      <c r="S525">
        <f>HYPERLINK("https://klasma.github.io/Logging_0360/artfynd/A 40362-2022 artfynd.xlsx", "A 40362-2022")</f>
        <v/>
      </c>
      <c r="T525">
        <f>HYPERLINK("https://klasma.github.io/Logging_0360/kartor/A 40362-2022 karta.png", "A 40362-2022")</f>
        <v/>
      </c>
      <c r="V525">
        <f>HYPERLINK("https://klasma.github.io/Logging_0360/klagomål/A 40362-2022 FSC-klagomål.docx", "A 40362-2022")</f>
        <v/>
      </c>
      <c r="W525">
        <f>HYPERLINK("https://klasma.github.io/Logging_0360/klagomålsmail/A 40362-2022 FSC-klagomål mail.docx", "A 40362-2022")</f>
        <v/>
      </c>
      <c r="X525">
        <f>HYPERLINK("https://klasma.github.io/Logging_0360/tillsyn/A 40362-2022 tillsynsbegäran.docx", "A 40362-2022")</f>
        <v/>
      </c>
      <c r="Y525">
        <f>HYPERLINK("https://klasma.github.io/Logging_0360/tillsynsmail/A 40362-2022 tillsynsbegäran mail.docx", "A 40362-2022")</f>
        <v/>
      </c>
    </row>
    <row r="526" ht="15" customHeight="1">
      <c r="A526" t="inlineStr">
        <is>
          <t>A 45536-2022</t>
        </is>
      </c>
      <c r="B526" s="1" t="n">
        <v>44845</v>
      </c>
      <c r="C526" s="1" t="n">
        <v>45705</v>
      </c>
      <c r="D526" t="inlineStr">
        <is>
          <t>UPPSALA LÄN</t>
        </is>
      </c>
      <c r="E526" t="inlineStr">
        <is>
          <t>TIERP</t>
        </is>
      </c>
      <c r="F526" t="inlineStr">
        <is>
          <t>Bergvik skog öst AB</t>
        </is>
      </c>
      <c r="G526" t="n">
        <v>0.5</v>
      </c>
      <c r="H526" t="n">
        <v>0</v>
      </c>
      <c r="I526" t="n">
        <v>1</v>
      </c>
      <c r="J526" t="n">
        <v>0</v>
      </c>
      <c r="K526" t="n">
        <v>0</v>
      </c>
      <c r="L526" t="n">
        <v>0</v>
      </c>
      <c r="M526" t="n">
        <v>0</v>
      </c>
      <c r="N526" t="n">
        <v>0</v>
      </c>
      <c r="O526" t="n">
        <v>0</v>
      </c>
      <c r="P526" t="n">
        <v>0</v>
      </c>
      <c r="Q526" t="n">
        <v>1</v>
      </c>
      <c r="R526" s="2" t="inlineStr">
        <is>
          <t>Ögonpyrola</t>
        </is>
      </c>
      <c r="S526">
        <f>HYPERLINK("https://klasma.github.io/Logging_0360/artfynd/A 45536-2022 artfynd.xlsx", "A 45536-2022")</f>
        <v/>
      </c>
      <c r="T526">
        <f>HYPERLINK("https://klasma.github.io/Logging_0360/kartor/A 45536-2022 karta.png", "A 45536-2022")</f>
        <v/>
      </c>
      <c r="V526">
        <f>HYPERLINK("https://klasma.github.io/Logging_0360/klagomål/A 45536-2022 FSC-klagomål.docx", "A 45536-2022")</f>
        <v/>
      </c>
      <c r="W526">
        <f>HYPERLINK("https://klasma.github.io/Logging_0360/klagomålsmail/A 45536-2022 FSC-klagomål mail.docx", "A 45536-2022")</f>
        <v/>
      </c>
      <c r="X526">
        <f>HYPERLINK("https://klasma.github.io/Logging_0360/tillsyn/A 45536-2022 tillsynsbegäran.docx", "A 45536-2022")</f>
        <v/>
      </c>
      <c r="Y526">
        <f>HYPERLINK("https://klasma.github.io/Logging_0360/tillsynsmail/A 45536-2022 tillsynsbegäran mail.docx", "A 45536-2022")</f>
        <v/>
      </c>
    </row>
    <row r="527" ht="15" customHeight="1">
      <c r="A527" t="inlineStr">
        <is>
          <t>A 46086-2022</t>
        </is>
      </c>
      <c r="B527" s="1" t="n">
        <v>44847</v>
      </c>
      <c r="C527" s="1" t="n">
        <v>45705</v>
      </c>
      <c r="D527" t="inlineStr">
        <is>
          <t>UPPSALA LÄN</t>
        </is>
      </c>
      <c r="E527" t="inlineStr">
        <is>
          <t>HEBY</t>
        </is>
      </c>
      <c r="G527" t="n">
        <v>3.3</v>
      </c>
      <c r="H527" t="n">
        <v>0</v>
      </c>
      <c r="I527" t="n">
        <v>0</v>
      </c>
      <c r="J527" t="n">
        <v>1</v>
      </c>
      <c r="K527" t="n">
        <v>0</v>
      </c>
      <c r="L527" t="n">
        <v>0</v>
      </c>
      <c r="M527" t="n">
        <v>0</v>
      </c>
      <c r="N527" t="n">
        <v>0</v>
      </c>
      <c r="O527" t="n">
        <v>1</v>
      </c>
      <c r="P527" t="n">
        <v>0</v>
      </c>
      <c r="Q527" t="n">
        <v>1</v>
      </c>
      <c r="R527" s="2" t="inlineStr">
        <is>
          <t>Garnlav</t>
        </is>
      </c>
      <c r="S527">
        <f>HYPERLINK("https://klasma.github.io/Logging_0331/artfynd/A 46086-2022 artfynd.xlsx", "A 46086-2022")</f>
        <v/>
      </c>
      <c r="T527">
        <f>HYPERLINK("https://klasma.github.io/Logging_0331/kartor/A 46086-2022 karta.png", "A 46086-2022")</f>
        <v/>
      </c>
      <c r="U527">
        <f>HYPERLINK("https://klasma.github.io/Logging_0331/knärot/A 46086-2022 karta knärot.png", "A 46086-2022")</f>
        <v/>
      </c>
      <c r="V527">
        <f>HYPERLINK("https://klasma.github.io/Logging_0331/klagomål/A 46086-2022 FSC-klagomål.docx", "A 46086-2022")</f>
        <v/>
      </c>
      <c r="W527">
        <f>HYPERLINK("https://klasma.github.io/Logging_0331/klagomålsmail/A 46086-2022 FSC-klagomål mail.docx", "A 46086-2022")</f>
        <v/>
      </c>
      <c r="X527">
        <f>HYPERLINK("https://klasma.github.io/Logging_0331/tillsyn/A 46086-2022 tillsynsbegäran.docx", "A 46086-2022")</f>
        <v/>
      </c>
      <c r="Y527">
        <f>HYPERLINK("https://klasma.github.io/Logging_0331/tillsynsmail/A 46086-2022 tillsynsbegäran mail.docx", "A 46086-2022")</f>
        <v/>
      </c>
    </row>
    <row r="528" ht="15" customHeight="1">
      <c r="A528" t="inlineStr">
        <is>
          <t>A 46634-2022</t>
        </is>
      </c>
      <c r="B528" s="1" t="n">
        <v>44849</v>
      </c>
      <c r="C528" s="1" t="n">
        <v>45705</v>
      </c>
      <c r="D528" t="inlineStr">
        <is>
          <t>UPPSALA LÄN</t>
        </is>
      </c>
      <c r="E528" t="inlineStr">
        <is>
          <t>UPPSALA</t>
        </is>
      </c>
      <c r="G528" t="n">
        <v>2.9</v>
      </c>
      <c r="H528" t="n">
        <v>0</v>
      </c>
      <c r="I528" t="n">
        <v>1</v>
      </c>
      <c r="J528" t="n">
        <v>0</v>
      </c>
      <c r="K528" t="n">
        <v>0</v>
      </c>
      <c r="L528" t="n">
        <v>0</v>
      </c>
      <c r="M528" t="n">
        <v>0</v>
      </c>
      <c r="N528" t="n">
        <v>0</v>
      </c>
      <c r="O528" t="n">
        <v>0</v>
      </c>
      <c r="P528" t="n">
        <v>0</v>
      </c>
      <c r="Q528" t="n">
        <v>1</v>
      </c>
      <c r="R528" s="2" t="inlineStr">
        <is>
          <t>Fjällig taggsvamp s.str.</t>
        </is>
      </c>
      <c r="S528">
        <f>HYPERLINK("https://klasma.github.io/Logging_0380/artfynd/A 46634-2022 artfynd.xlsx", "A 46634-2022")</f>
        <v/>
      </c>
      <c r="T528">
        <f>HYPERLINK("https://klasma.github.io/Logging_0380/kartor/A 46634-2022 karta.png", "A 46634-2022")</f>
        <v/>
      </c>
      <c r="V528">
        <f>HYPERLINK("https://klasma.github.io/Logging_0380/klagomål/A 46634-2022 FSC-klagomål.docx", "A 46634-2022")</f>
        <v/>
      </c>
      <c r="W528">
        <f>HYPERLINK("https://klasma.github.io/Logging_0380/klagomålsmail/A 46634-2022 FSC-klagomål mail.docx", "A 46634-2022")</f>
        <v/>
      </c>
      <c r="X528">
        <f>HYPERLINK("https://klasma.github.io/Logging_0380/tillsyn/A 46634-2022 tillsynsbegäran.docx", "A 46634-2022")</f>
        <v/>
      </c>
      <c r="Y528">
        <f>HYPERLINK("https://klasma.github.io/Logging_0380/tillsynsmail/A 46634-2022 tillsynsbegäran mail.docx", "A 46634-2022")</f>
        <v/>
      </c>
    </row>
    <row r="529" ht="15" customHeight="1">
      <c r="A529" t="inlineStr">
        <is>
          <t>A 47425-2022</t>
        </is>
      </c>
      <c r="B529" s="1" t="n">
        <v>44851</v>
      </c>
      <c r="C529" s="1" t="n">
        <v>45705</v>
      </c>
      <c r="D529" t="inlineStr">
        <is>
          <t>UPPSALA LÄN</t>
        </is>
      </c>
      <c r="E529" t="inlineStr">
        <is>
          <t>HÅBO</t>
        </is>
      </c>
      <c r="G529" t="n">
        <v>1.7</v>
      </c>
      <c r="H529" t="n">
        <v>0</v>
      </c>
      <c r="I529" t="n">
        <v>1</v>
      </c>
      <c r="J529" t="n">
        <v>0</v>
      </c>
      <c r="K529" t="n">
        <v>0</v>
      </c>
      <c r="L529" t="n">
        <v>0</v>
      </c>
      <c r="M529" t="n">
        <v>0</v>
      </c>
      <c r="N529" t="n">
        <v>0</v>
      </c>
      <c r="O529" t="n">
        <v>0</v>
      </c>
      <c r="P529" t="n">
        <v>0</v>
      </c>
      <c r="Q529" t="n">
        <v>1</v>
      </c>
      <c r="R529" s="2" t="inlineStr">
        <is>
          <t>Strimspindling</t>
        </is>
      </c>
      <c r="S529">
        <f>HYPERLINK("https://klasma.github.io/Logging_0305/artfynd/A 47425-2022 artfynd.xlsx", "A 47425-2022")</f>
        <v/>
      </c>
      <c r="T529">
        <f>HYPERLINK("https://klasma.github.io/Logging_0305/kartor/A 47425-2022 karta.png", "A 47425-2022")</f>
        <v/>
      </c>
      <c r="V529">
        <f>HYPERLINK("https://klasma.github.io/Logging_0305/klagomål/A 47425-2022 FSC-klagomål.docx", "A 47425-2022")</f>
        <v/>
      </c>
      <c r="W529">
        <f>HYPERLINK("https://klasma.github.io/Logging_0305/klagomålsmail/A 47425-2022 FSC-klagomål mail.docx", "A 47425-2022")</f>
        <v/>
      </c>
      <c r="X529">
        <f>HYPERLINK("https://klasma.github.io/Logging_0305/tillsyn/A 47425-2022 tillsynsbegäran.docx", "A 47425-2022")</f>
        <v/>
      </c>
      <c r="Y529">
        <f>HYPERLINK("https://klasma.github.io/Logging_0305/tillsynsmail/A 47425-2022 tillsynsbegäran mail.docx", "A 47425-2022")</f>
        <v/>
      </c>
    </row>
    <row r="530" ht="15" customHeight="1">
      <c r="A530" t="inlineStr">
        <is>
          <t>A 47227-2022</t>
        </is>
      </c>
      <c r="B530" s="1" t="n">
        <v>44852</v>
      </c>
      <c r="C530" s="1" t="n">
        <v>45705</v>
      </c>
      <c r="D530" t="inlineStr">
        <is>
          <t>UPPSALA LÄN</t>
        </is>
      </c>
      <c r="E530" t="inlineStr">
        <is>
          <t>TIERP</t>
        </is>
      </c>
      <c r="G530" t="n">
        <v>5.9</v>
      </c>
      <c r="H530" t="n">
        <v>1</v>
      </c>
      <c r="I530" t="n">
        <v>1</v>
      </c>
      <c r="J530" t="n">
        <v>0</v>
      </c>
      <c r="K530" t="n">
        <v>0</v>
      </c>
      <c r="L530" t="n">
        <v>0</v>
      </c>
      <c r="M530" t="n">
        <v>0</v>
      </c>
      <c r="N530" t="n">
        <v>0</v>
      </c>
      <c r="O530" t="n">
        <v>0</v>
      </c>
      <c r="P530" t="n">
        <v>0</v>
      </c>
      <c r="Q530" t="n">
        <v>1</v>
      </c>
      <c r="R530" s="2" t="inlineStr">
        <is>
          <t>Nästrot</t>
        </is>
      </c>
      <c r="S530">
        <f>HYPERLINK("https://klasma.github.io/Logging_0360/artfynd/A 47227-2022 artfynd.xlsx", "A 47227-2022")</f>
        <v/>
      </c>
      <c r="T530">
        <f>HYPERLINK("https://klasma.github.io/Logging_0360/kartor/A 47227-2022 karta.png", "A 47227-2022")</f>
        <v/>
      </c>
      <c r="V530">
        <f>HYPERLINK("https://klasma.github.io/Logging_0360/klagomål/A 47227-2022 FSC-klagomål.docx", "A 47227-2022")</f>
        <v/>
      </c>
      <c r="W530">
        <f>HYPERLINK("https://klasma.github.io/Logging_0360/klagomålsmail/A 47227-2022 FSC-klagomål mail.docx", "A 47227-2022")</f>
        <v/>
      </c>
      <c r="X530">
        <f>HYPERLINK("https://klasma.github.io/Logging_0360/tillsyn/A 47227-2022 tillsynsbegäran.docx", "A 47227-2022")</f>
        <v/>
      </c>
      <c r="Y530">
        <f>HYPERLINK("https://klasma.github.io/Logging_0360/tillsynsmail/A 47227-2022 tillsynsbegäran mail.docx", "A 47227-2022")</f>
        <v/>
      </c>
    </row>
    <row r="531" ht="15" customHeight="1">
      <c r="A531" t="inlineStr">
        <is>
          <t>A 49015-2022</t>
        </is>
      </c>
      <c r="B531" s="1" t="n">
        <v>44855</v>
      </c>
      <c r="C531" s="1" t="n">
        <v>45705</v>
      </c>
      <c r="D531" t="inlineStr">
        <is>
          <t>UPPSALA LÄN</t>
        </is>
      </c>
      <c r="E531" t="inlineStr">
        <is>
          <t>UPPSALA</t>
        </is>
      </c>
      <c r="F531" t="inlineStr">
        <is>
          <t>Kommuner</t>
        </is>
      </c>
      <c r="G531" t="n">
        <v>4.5</v>
      </c>
      <c r="H531" t="n">
        <v>0</v>
      </c>
      <c r="I531" t="n">
        <v>0</v>
      </c>
      <c r="J531" t="n">
        <v>1</v>
      </c>
      <c r="K531" t="n">
        <v>0</v>
      </c>
      <c r="L531" t="n">
        <v>0</v>
      </c>
      <c r="M531" t="n">
        <v>0</v>
      </c>
      <c r="N531" t="n">
        <v>0</v>
      </c>
      <c r="O531" t="n">
        <v>1</v>
      </c>
      <c r="P531" t="n">
        <v>0</v>
      </c>
      <c r="Q531" t="n">
        <v>1</v>
      </c>
      <c r="R531" s="2" t="inlineStr">
        <is>
          <t>Harticka</t>
        </is>
      </c>
      <c r="S531">
        <f>HYPERLINK("https://klasma.github.io/Logging_0380/artfynd/A 49015-2022 artfynd.xlsx", "A 49015-2022")</f>
        <v/>
      </c>
      <c r="T531">
        <f>HYPERLINK("https://klasma.github.io/Logging_0380/kartor/A 49015-2022 karta.png", "A 49015-2022")</f>
        <v/>
      </c>
      <c r="V531">
        <f>HYPERLINK("https://klasma.github.io/Logging_0380/klagomål/A 49015-2022 FSC-klagomål.docx", "A 49015-2022")</f>
        <v/>
      </c>
      <c r="W531">
        <f>HYPERLINK("https://klasma.github.io/Logging_0380/klagomålsmail/A 49015-2022 FSC-klagomål mail.docx", "A 49015-2022")</f>
        <v/>
      </c>
      <c r="X531">
        <f>HYPERLINK("https://klasma.github.io/Logging_0380/tillsyn/A 49015-2022 tillsynsbegäran.docx", "A 49015-2022")</f>
        <v/>
      </c>
      <c r="Y531">
        <f>HYPERLINK("https://klasma.github.io/Logging_0380/tillsynsmail/A 49015-2022 tillsynsbegäran mail.docx", "A 49015-2022")</f>
        <v/>
      </c>
    </row>
    <row r="532" ht="15" customHeight="1">
      <c r="A532" t="inlineStr">
        <is>
          <t>A 52648-2022</t>
        </is>
      </c>
      <c r="B532" s="1" t="n">
        <v>44874</v>
      </c>
      <c r="C532" s="1" t="n">
        <v>45705</v>
      </c>
      <c r="D532" t="inlineStr">
        <is>
          <t>UPPSALA LÄN</t>
        </is>
      </c>
      <c r="E532" t="inlineStr">
        <is>
          <t>ÖSTHAMMAR</t>
        </is>
      </c>
      <c r="F532" t="inlineStr">
        <is>
          <t>Bergvik skog öst AB</t>
        </is>
      </c>
      <c r="G532" t="n">
        <v>2.3</v>
      </c>
      <c r="H532" t="n">
        <v>1</v>
      </c>
      <c r="I532" t="n">
        <v>0</v>
      </c>
      <c r="J532" t="n">
        <v>1</v>
      </c>
      <c r="K532" t="n">
        <v>0</v>
      </c>
      <c r="L532" t="n">
        <v>0</v>
      </c>
      <c r="M532" t="n">
        <v>0</v>
      </c>
      <c r="N532" t="n">
        <v>0</v>
      </c>
      <c r="O532" t="n">
        <v>1</v>
      </c>
      <c r="P532" t="n">
        <v>0</v>
      </c>
      <c r="Q532" t="n">
        <v>1</v>
      </c>
      <c r="R532" s="2" t="inlineStr">
        <is>
          <t>Buskskvätta</t>
        </is>
      </c>
      <c r="S532">
        <f>HYPERLINK("https://klasma.github.io/Logging_0382/artfynd/A 52648-2022 artfynd.xlsx", "A 52648-2022")</f>
        <v/>
      </c>
      <c r="T532">
        <f>HYPERLINK("https://klasma.github.io/Logging_0382/kartor/A 52648-2022 karta.png", "A 52648-2022")</f>
        <v/>
      </c>
      <c r="V532">
        <f>HYPERLINK("https://klasma.github.io/Logging_0382/klagomål/A 52648-2022 FSC-klagomål.docx", "A 52648-2022")</f>
        <v/>
      </c>
      <c r="W532">
        <f>HYPERLINK("https://klasma.github.io/Logging_0382/klagomålsmail/A 52648-2022 FSC-klagomål mail.docx", "A 52648-2022")</f>
        <v/>
      </c>
      <c r="X532">
        <f>HYPERLINK("https://klasma.github.io/Logging_0382/tillsyn/A 52648-2022 tillsynsbegäran.docx", "A 52648-2022")</f>
        <v/>
      </c>
      <c r="Y532">
        <f>HYPERLINK("https://klasma.github.io/Logging_0382/tillsynsmail/A 52648-2022 tillsynsbegäran mail.docx", "A 52648-2022")</f>
        <v/>
      </c>
      <c r="Z532">
        <f>HYPERLINK("https://klasma.github.io/Logging_0382/fåglar/A 52648-2022 prioriterade fågelarter.docx", "A 52648-2022")</f>
        <v/>
      </c>
    </row>
    <row r="533" ht="15" customHeight="1">
      <c r="A533" t="inlineStr">
        <is>
          <t>A 52651-2022</t>
        </is>
      </c>
      <c r="B533" s="1" t="n">
        <v>44874</v>
      </c>
      <c r="C533" s="1" t="n">
        <v>45705</v>
      </c>
      <c r="D533" t="inlineStr">
        <is>
          <t>UPPSALA LÄN</t>
        </is>
      </c>
      <c r="E533" t="inlineStr">
        <is>
          <t>ÖSTHAMMAR</t>
        </is>
      </c>
      <c r="F533" t="inlineStr">
        <is>
          <t>Bergvik skog öst AB</t>
        </is>
      </c>
      <c r="G533" t="n">
        <v>0.6</v>
      </c>
      <c r="H533" t="n">
        <v>1</v>
      </c>
      <c r="I533" t="n">
        <v>0</v>
      </c>
      <c r="J533" t="n">
        <v>1</v>
      </c>
      <c r="K533" t="n">
        <v>0</v>
      </c>
      <c r="L533" t="n">
        <v>0</v>
      </c>
      <c r="M533" t="n">
        <v>0</v>
      </c>
      <c r="N533" t="n">
        <v>0</v>
      </c>
      <c r="O533" t="n">
        <v>1</v>
      </c>
      <c r="P533" t="n">
        <v>0</v>
      </c>
      <c r="Q533" t="n">
        <v>1</v>
      </c>
      <c r="R533" s="2" t="inlineStr">
        <is>
          <t>Svartvit flugsnappare</t>
        </is>
      </c>
      <c r="S533">
        <f>HYPERLINK("https://klasma.github.io/Logging_0382/artfynd/A 52651-2022 artfynd.xlsx", "A 52651-2022")</f>
        <v/>
      </c>
      <c r="T533">
        <f>HYPERLINK("https://klasma.github.io/Logging_0382/kartor/A 52651-2022 karta.png", "A 52651-2022")</f>
        <v/>
      </c>
      <c r="V533">
        <f>HYPERLINK("https://klasma.github.io/Logging_0382/klagomål/A 52651-2022 FSC-klagomål.docx", "A 52651-2022")</f>
        <v/>
      </c>
      <c r="W533">
        <f>HYPERLINK("https://klasma.github.io/Logging_0382/klagomålsmail/A 52651-2022 FSC-klagomål mail.docx", "A 52651-2022")</f>
        <v/>
      </c>
      <c r="X533">
        <f>HYPERLINK("https://klasma.github.io/Logging_0382/tillsyn/A 52651-2022 tillsynsbegäran.docx", "A 52651-2022")</f>
        <v/>
      </c>
      <c r="Y533">
        <f>HYPERLINK("https://klasma.github.io/Logging_0382/tillsynsmail/A 52651-2022 tillsynsbegäran mail.docx", "A 52651-2022")</f>
        <v/>
      </c>
      <c r="Z533">
        <f>HYPERLINK("https://klasma.github.io/Logging_0382/fåglar/A 52651-2022 prioriterade fågelarter.docx", "A 52651-2022")</f>
        <v/>
      </c>
    </row>
    <row r="534" ht="15" customHeight="1">
      <c r="A534" t="inlineStr">
        <is>
          <t>A 52818-2022</t>
        </is>
      </c>
      <c r="B534" s="1" t="n">
        <v>44875</v>
      </c>
      <c r="C534" s="1" t="n">
        <v>45705</v>
      </c>
      <c r="D534" t="inlineStr">
        <is>
          <t>UPPSALA LÄN</t>
        </is>
      </c>
      <c r="E534" t="inlineStr">
        <is>
          <t>ÖSTHAMMAR</t>
        </is>
      </c>
      <c r="G534" t="n">
        <v>0.9</v>
      </c>
      <c r="H534" t="n">
        <v>1</v>
      </c>
      <c r="I534" t="n">
        <v>1</v>
      </c>
      <c r="J534" t="n">
        <v>0</v>
      </c>
      <c r="K534" t="n">
        <v>0</v>
      </c>
      <c r="L534" t="n">
        <v>0</v>
      </c>
      <c r="M534" t="n">
        <v>0</v>
      </c>
      <c r="N534" t="n">
        <v>0</v>
      </c>
      <c r="O534" t="n">
        <v>0</v>
      </c>
      <c r="P534" t="n">
        <v>0</v>
      </c>
      <c r="Q534" t="n">
        <v>1</v>
      </c>
      <c r="R534" s="2" t="inlineStr">
        <is>
          <t>Guckusko</t>
        </is>
      </c>
      <c r="S534">
        <f>HYPERLINK("https://klasma.github.io/Logging_0382/artfynd/A 52818-2022 artfynd.xlsx", "A 52818-2022")</f>
        <v/>
      </c>
      <c r="T534">
        <f>HYPERLINK("https://klasma.github.io/Logging_0382/kartor/A 52818-2022 karta.png", "A 52818-2022")</f>
        <v/>
      </c>
      <c r="V534">
        <f>HYPERLINK("https://klasma.github.io/Logging_0382/klagomål/A 52818-2022 FSC-klagomål.docx", "A 52818-2022")</f>
        <v/>
      </c>
      <c r="W534">
        <f>HYPERLINK("https://klasma.github.io/Logging_0382/klagomålsmail/A 52818-2022 FSC-klagomål mail.docx", "A 52818-2022")</f>
        <v/>
      </c>
      <c r="X534">
        <f>HYPERLINK("https://klasma.github.io/Logging_0382/tillsyn/A 52818-2022 tillsynsbegäran.docx", "A 52818-2022")</f>
        <v/>
      </c>
      <c r="Y534">
        <f>HYPERLINK("https://klasma.github.io/Logging_0382/tillsynsmail/A 52818-2022 tillsynsbegäran mail.docx", "A 52818-2022")</f>
        <v/>
      </c>
    </row>
    <row r="535" ht="15" customHeight="1">
      <c r="A535" t="inlineStr">
        <is>
          <t>A 56968-2022</t>
        </is>
      </c>
      <c r="B535" s="1" t="n">
        <v>44894</v>
      </c>
      <c r="C535" s="1" t="n">
        <v>45705</v>
      </c>
      <c r="D535" t="inlineStr">
        <is>
          <t>UPPSALA LÄN</t>
        </is>
      </c>
      <c r="E535" t="inlineStr">
        <is>
          <t>TIERP</t>
        </is>
      </c>
      <c r="G535" t="n">
        <v>2.8</v>
      </c>
      <c r="H535" t="n">
        <v>0</v>
      </c>
      <c r="I535" t="n">
        <v>1</v>
      </c>
      <c r="J535" t="n">
        <v>0</v>
      </c>
      <c r="K535" t="n">
        <v>0</v>
      </c>
      <c r="L535" t="n">
        <v>0</v>
      </c>
      <c r="M535" t="n">
        <v>0</v>
      </c>
      <c r="N535" t="n">
        <v>0</v>
      </c>
      <c r="O535" t="n">
        <v>0</v>
      </c>
      <c r="P535" t="n">
        <v>0</v>
      </c>
      <c r="Q535" t="n">
        <v>1</v>
      </c>
      <c r="R535" s="2" t="inlineStr">
        <is>
          <t>Olivspindling</t>
        </is>
      </c>
      <c r="S535">
        <f>HYPERLINK("https://klasma.github.io/Logging_0360/artfynd/A 56968-2022 artfynd.xlsx", "A 56968-2022")</f>
        <v/>
      </c>
      <c r="T535">
        <f>HYPERLINK("https://klasma.github.io/Logging_0360/kartor/A 56968-2022 karta.png", "A 56968-2022")</f>
        <v/>
      </c>
      <c r="V535">
        <f>HYPERLINK("https://klasma.github.io/Logging_0360/klagomål/A 56968-2022 FSC-klagomål.docx", "A 56968-2022")</f>
        <v/>
      </c>
      <c r="W535">
        <f>HYPERLINK("https://klasma.github.io/Logging_0360/klagomålsmail/A 56968-2022 FSC-klagomål mail.docx", "A 56968-2022")</f>
        <v/>
      </c>
      <c r="X535">
        <f>HYPERLINK("https://klasma.github.io/Logging_0360/tillsyn/A 56968-2022 tillsynsbegäran.docx", "A 56968-2022")</f>
        <v/>
      </c>
      <c r="Y535">
        <f>HYPERLINK("https://klasma.github.io/Logging_0360/tillsynsmail/A 56968-2022 tillsynsbegäran mail.docx", "A 56968-2022")</f>
        <v/>
      </c>
    </row>
    <row r="536" ht="15" customHeight="1">
      <c r="A536" t="inlineStr">
        <is>
          <t>A 57793-2022</t>
        </is>
      </c>
      <c r="B536" s="1" t="n">
        <v>44897</v>
      </c>
      <c r="C536" s="1" t="n">
        <v>45705</v>
      </c>
      <c r="D536" t="inlineStr">
        <is>
          <t>UPPSALA LÄN</t>
        </is>
      </c>
      <c r="E536" t="inlineStr">
        <is>
          <t>UPPSALA</t>
        </is>
      </c>
      <c r="G536" t="n">
        <v>2.9</v>
      </c>
      <c r="H536" t="n">
        <v>1</v>
      </c>
      <c r="I536" t="n">
        <v>0</v>
      </c>
      <c r="J536" t="n">
        <v>1</v>
      </c>
      <c r="K536" t="n">
        <v>0</v>
      </c>
      <c r="L536" t="n">
        <v>0</v>
      </c>
      <c r="M536" t="n">
        <v>0</v>
      </c>
      <c r="N536" t="n">
        <v>0</v>
      </c>
      <c r="O536" t="n">
        <v>1</v>
      </c>
      <c r="P536" t="n">
        <v>0</v>
      </c>
      <c r="Q536" t="n">
        <v>1</v>
      </c>
      <c r="R536" s="2" t="inlineStr">
        <is>
          <t>Talltita</t>
        </is>
      </c>
      <c r="S536">
        <f>HYPERLINK("https://klasma.github.io/Logging_0380/artfynd/A 57793-2022 artfynd.xlsx", "A 57793-2022")</f>
        <v/>
      </c>
      <c r="T536">
        <f>HYPERLINK("https://klasma.github.io/Logging_0380/kartor/A 57793-2022 karta.png", "A 57793-2022")</f>
        <v/>
      </c>
      <c r="V536">
        <f>HYPERLINK("https://klasma.github.io/Logging_0380/klagomål/A 57793-2022 FSC-klagomål.docx", "A 57793-2022")</f>
        <v/>
      </c>
      <c r="W536">
        <f>HYPERLINK("https://klasma.github.io/Logging_0380/klagomålsmail/A 57793-2022 FSC-klagomål mail.docx", "A 57793-2022")</f>
        <v/>
      </c>
      <c r="X536">
        <f>HYPERLINK("https://klasma.github.io/Logging_0380/tillsyn/A 57793-2022 tillsynsbegäran.docx", "A 57793-2022")</f>
        <v/>
      </c>
      <c r="Y536">
        <f>HYPERLINK("https://klasma.github.io/Logging_0380/tillsynsmail/A 57793-2022 tillsynsbegäran mail.docx", "A 57793-2022")</f>
        <v/>
      </c>
      <c r="Z536">
        <f>HYPERLINK("https://klasma.github.io/Logging_0380/fåglar/A 57793-2022 prioriterade fågelarter.docx", "A 57793-2022")</f>
        <v/>
      </c>
    </row>
    <row r="537" ht="15" customHeight="1">
      <c r="A537" t="inlineStr">
        <is>
          <t>A 60055-2022</t>
        </is>
      </c>
      <c r="B537" s="1" t="n">
        <v>44909</v>
      </c>
      <c r="C537" s="1" t="n">
        <v>45705</v>
      </c>
      <c r="D537" t="inlineStr">
        <is>
          <t>UPPSALA LÄN</t>
        </is>
      </c>
      <c r="E537" t="inlineStr">
        <is>
          <t>UPPSALA</t>
        </is>
      </c>
      <c r="G537" t="n">
        <v>11.4</v>
      </c>
      <c r="H537" t="n">
        <v>1</v>
      </c>
      <c r="I537" t="n">
        <v>0</v>
      </c>
      <c r="J537" t="n">
        <v>0</v>
      </c>
      <c r="K537" t="n">
        <v>0</v>
      </c>
      <c r="L537" t="n">
        <v>0</v>
      </c>
      <c r="M537" t="n">
        <v>0</v>
      </c>
      <c r="N537" t="n">
        <v>0</v>
      </c>
      <c r="O537" t="n">
        <v>0</v>
      </c>
      <c r="P537" t="n">
        <v>0</v>
      </c>
      <c r="Q537" t="n">
        <v>1</v>
      </c>
      <c r="R537" s="2" t="inlineStr">
        <is>
          <t>Tjäder</t>
        </is>
      </c>
      <c r="S537">
        <f>HYPERLINK("https://klasma.github.io/Logging_0380/artfynd/A 60055-2022 artfynd.xlsx", "A 60055-2022")</f>
        <v/>
      </c>
      <c r="T537">
        <f>HYPERLINK("https://klasma.github.io/Logging_0380/kartor/A 60055-2022 karta.png", "A 60055-2022")</f>
        <v/>
      </c>
      <c r="V537">
        <f>HYPERLINK("https://klasma.github.io/Logging_0380/klagomål/A 60055-2022 FSC-klagomål.docx", "A 60055-2022")</f>
        <v/>
      </c>
      <c r="W537">
        <f>HYPERLINK("https://klasma.github.io/Logging_0380/klagomålsmail/A 60055-2022 FSC-klagomål mail.docx", "A 60055-2022")</f>
        <v/>
      </c>
      <c r="X537">
        <f>HYPERLINK("https://klasma.github.io/Logging_0380/tillsyn/A 60055-2022 tillsynsbegäran.docx", "A 60055-2022")</f>
        <v/>
      </c>
      <c r="Y537">
        <f>HYPERLINK("https://klasma.github.io/Logging_0380/tillsynsmail/A 60055-2022 tillsynsbegäran mail.docx", "A 60055-2022")</f>
        <v/>
      </c>
      <c r="Z537">
        <f>HYPERLINK("https://klasma.github.io/Logging_0380/fåglar/A 60055-2022 prioriterade fågelarter.docx", "A 60055-2022")</f>
        <v/>
      </c>
    </row>
    <row r="538" ht="15" customHeight="1">
      <c r="A538" t="inlineStr">
        <is>
          <t>A 60555-2022</t>
        </is>
      </c>
      <c r="B538" s="1" t="n">
        <v>44911</v>
      </c>
      <c r="C538" s="1" t="n">
        <v>45705</v>
      </c>
      <c r="D538" t="inlineStr">
        <is>
          <t>UPPSALA LÄN</t>
        </is>
      </c>
      <c r="E538" t="inlineStr">
        <is>
          <t>TIERP</t>
        </is>
      </c>
      <c r="F538" t="inlineStr">
        <is>
          <t>Bergvik skog väst AB</t>
        </is>
      </c>
      <c r="G538" t="n">
        <v>4.5</v>
      </c>
      <c r="H538" t="n">
        <v>0</v>
      </c>
      <c r="I538" t="n">
        <v>0</v>
      </c>
      <c r="J538" t="n">
        <v>1</v>
      </c>
      <c r="K538" t="n">
        <v>0</v>
      </c>
      <c r="L538" t="n">
        <v>0</v>
      </c>
      <c r="M538" t="n">
        <v>0</v>
      </c>
      <c r="N538" t="n">
        <v>0</v>
      </c>
      <c r="O538" t="n">
        <v>1</v>
      </c>
      <c r="P538" t="n">
        <v>0</v>
      </c>
      <c r="Q538" t="n">
        <v>1</v>
      </c>
      <c r="R538" s="2" t="inlineStr">
        <is>
          <t>Skogsklocka</t>
        </is>
      </c>
      <c r="S538">
        <f>HYPERLINK("https://klasma.github.io/Logging_0360/artfynd/A 60555-2022 artfynd.xlsx", "A 60555-2022")</f>
        <v/>
      </c>
      <c r="T538">
        <f>HYPERLINK("https://klasma.github.io/Logging_0360/kartor/A 60555-2022 karta.png", "A 60555-2022")</f>
        <v/>
      </c>
      <c r="V538">
        <f>HYPERLINK("https://klasma.github.io/Logging_0360/klagomål/A 60555-2022 FSC-klagomål.docx", "A 60555-2022")</f>
        <v/>
      </c>
      <c r="W538">
        <f>HYPERLINK("https://klasma.github.io/Logging_0360/klagomålsmail/A 60555-2022 FSC-klagomål mail.docx", "A 60555-2022")</f>
        <v/>
      </c>
      <c r="X538">
        <f>HYPERLINK("https://klasma.github.io/Logging_0360/tillsyn/A 60555-2022 tillsynsbegäran.docx", "A 60555-2022")</f>
        <v/>
      </c>
      <c r="Y538">
        <f>HYPERLINK("https://klasma.github.io/Logging_0360/tillsynsmail/A 60555-2022 tillsynsbegäran mail.docx", "A 60555-2022")</f>
        <v/>
      </c>
    </row>
    <row r="539" ht="15" customHeight="1">
      <c r="A539" t="inlineStr">
        <is>
          <t>A 61818-2022</t>
        </is>
      </c>
      <c r="B539" s="1" t="n">
        <v>44917</v>
      </c>
      <c r="C539" s="1" t="n">
        <v>45705</v>
      </c>
      <c r="D539" t="inlineStr">
        <is>
          <t>UPPSALA LÄN</t>
        </is>
      </c>
      <c r="E539" t="inlineStr">
        <is>
          <t>UPPSALA</t>
        </is>
      </c>
      <c r="F539" t="inlineStr">
        <is>
          <t>Holmen skog AB</t>
        </is>
      </c>
      <c r="G539" t="n">
        <v>0.8</v>
      </c>
      <c r="H539" t="n">
        <v>0</v>
      </c>
      <c r="I539" t="n">
        <v>0</v>
      </c>
      <c r="J539" t="n">
        <v>1</v>
      </c>
      <c r="K539" t="n">
        <v>0</v>
      </c>
      <c r="L539" t="n">
        <v>0</v>
      </c>
      <c r="M539" t="n">
        <v>0</v>
      </c>
      <c r="N539" t="n">
        <v>0</v>
      </c>
      <c r="O539" t="n">
        <v>1</v>
      </c>
      <c r="P539" t="n">
        <v>0</v>
      </c>
      <c r="Q539" t="n">
        <v>1</v>
      </c>
      <c r="R539" s="2" t="inlineStr">
        <is>
          <t>Blekticka</t>
        </is>
      </c>
      <c r="S539">
        <f>HYPERLINK("https://klasma.github.io/Logging_0380/artfynd/A 61818-2022 artfynd.xlsx", "A 61818-2022")</f>
        <v/>
      </c>
      <c r="T539">
        <f>HYPERLINK("https://klasma.github.io/Logging_0380/kartor/A 61818-2022 karta.png", "A 61818-2022")</f>
        <v/>
      </c>
      <c r="V539">
        <f>HYPERLINK("https://klasma.github.io/Logging_0380/klagomål/A 61818-2022 FSC-klagomål.docx", "A 61818-2022")</f>
        <v/>
      </c>
      <c r="W539">
        <f>HYPERLINK("https://klasma.github.io/Logging_0380/klagomålsmail/A 61818-2022 FSC-klagomål mail.docx", "A 61818-2022")</f>
        <v/>
      </c>
      <c r="X539">
        <f>HYPERLINK("https://klasma.github.io/Logging_0380/tillsyn/A 61818-2022 tillsynsbegäran.docx", "A 61818-2022")</f>
        <v/>
      </c>
      <c r="Y539">
        <f>HYPERLINK("https://klasma.github.io/Logging_0380/tillsynsmail/A 61818-2022 tillsynsbegäran mail.docx", "A 61818-2022")</f>
        <v/>
      </c>
    </row>
    <row r="540" ht="15" customHeight="1">
      <c r="A540" t="inlineStr">
        <is>
          <t>A 61830-2022</t>
        </is>
      </c>
      <c r="B540" s="1" t="n">
        <v>44917</v>
      </c>
      <c r="C540" s="1" t="n">
        <v>45705</v>
      </c>
      <c r="D540" t="inlineStr">
        <is>
          <t>UPPSALA LÄN</t>
        </is>
      </c>
      <c r="E540" t="inlineStr">
        <is>
          <t>UPPSALA</t>
        </is>
      </c>
      <c r="F540" t="inlineStr">
        <is>
          <t>Holmen skog AB</t>
        </is>
      </c>
      <c r="G540" t="n">
        <v>1.1</v>
      </c>
      <c r="H540" t="n">
        <v>0</v>
      </c>
      <c r="I540" t="n">
        <v>0</v>
      </c>
      <c r="J540" t="n">
        <v>1</v>
      </c>
      <c r="K540" t="n">
        <v>0</v>
      </c>
      <c r="L540" t="n">
        <v>0</v>
      </c>
      <c r="M540" t="n">
        <v>0</v>
      </c>
      <c r="N540" t="n">
        <v>0</v>
      </c>
      <c r="O540" t="n">
        <v>1</v>
      </c>
      <c r="P540" t="n">
        <v>0</v>
      </c>
      <c r="Q540" t="n">
        <v>1</v>
      </c>
      <c r="R540" s="2" t="inlineStr">
        <is>
          <t>Rödbrun blekspik</t>
        </is>
      </c>
      <c r="S540">
        <f>HYPERLINK("https://klasma.github.io/Logging_0380/artfynd/A 61830-2022 artfynd.xlsx", "A 61830-2022")</f>
        <v/>
      </c>
      <c r="T540">
        <f>HYPERLINK("https://klasma.github.io/Logging_0380/kartor/A 61830-2022 karta.png", "A 61830-2022")</f>
        <v/>
      </c>
      <c r="V540">
        <f>HYPERLINK("https://klasma.github.io/Logging_0380/klagomål/A 61830-2022 FSC-klagomål.docx", "A 61830-2022")</f>
        <v/>
      </c>
      <c r="W540">
        <f>HYPERLINK("https://klasma.github.io/Logging_0380/klagomålsmail/A 61830-2022 FSC-klagomål mail.docx", "A 61830-2022")</f>
        <v/>
      </c>
      <c r="X540">
        <f>HYPERLINK("https://klasma.github.io/Logging_0380/tillsyn/A 61830-2022 tillsynsbegäran.docx", "A 61830-2022")</f>
        <v/>
      </c>
      <c r="Y540">
        <f>HYPERLINK("https://klasma.github.io/Logging_0380/tillsynsmail/A 61830-2022 tillsynsbegäran mail.docx", "A 61830-2022")</f>
        <v/>
      </c>
    </row>
    <row r="541" ht="15" customHeight="1">
      <c r="A541" t="inlineStr">
        <is>
          <t>A 1524-2023</t>
        </is>
      </c>
      <c r="B541" s="1" t="n">
        <v>44935</v>
      </c>
      <c r="C541" s="1" t="n">
        <v>45705</v>
      </c>
      <c r="D541" t="inlineStr">
        <is>
          <t>UPPSALA LÄN</t>
        </is>
      </c>
      <c r="E541" t="inlineStr">
        <is>
          <t>ENKÖPING</t>
        </is>
      </c>
      <c r="G541" t="n">
        <v>1.4</v>
      </c>
      <c r="H541" t="n">
        <v>1</v>
      </c>
      <c r="I541" t="n">
        <v>0</v>
      </c>
      <c r="J541" t="n">
        <v>0</v>
      </c>
      <c r="K541" t="n">
        <v>0</v>
      </c>
      <c r="L541" t="n">
        <v>0</v>
      </c>
      <c r="M541" t="n">
        <v>0</v>
      </c>
      <c r="N541" t="n">
        <v>0</v>
      </c>
      <c r="O541" t="n">
        <v>0</v>
      </c>
      <c r="P541" t="n">
        <v>0</v>
      </c>
      <c r="Q541" t="n">
        <v>1</v>
      </c>
      <c r="R541" s="2" t="inlineStr">
        <is>
          <t>Skogsduva</t>
        </is>
      </c>
      <c r="S541">
        <f>HYPERLINK("https://klasma.github.io/Logging_0381/artfynd/A 1524-2023 artfynd.xlsx", "A 1524-2023")</f>
        <v/>
      </c>
      <c r="T541">
        <f>HYPERLINK("https://klasma.github.io/Logging_0381/kartor/A 1524-2023 karta.png", "A 1524-2023")</f>
        <v/>
      </c>
      <c r="V541">
        <f>HYPERLINK("https://klasma.github.io/Logging_0381/klagomål/A 1524-2023 FSC-klagomål.docx", "A 1524-2023")</f>
        <v/>
      </c>
      <c r="W541">
        <f>HYPERLINK("https://klasma.github.io/Logging_0381/klagomålsmail/A 1524-2023 FSC-klagomål mail.docx", "A 1524-2023")</f>
        <v/>
      </c>
      <c r="X541">
        <f>HYPERLINK("https://klasma.github.io/Logging_0381/tillsyn/A 1524-2023 tillsynsbegäran.docx", "A 1524-2023")</f>
        <v/>
      </c>
      <c r="Y541">
        <f>HYPERLINK("https://klasma.github.io/Logging_0381/tillsynsmail/A 1524-2023 tillsynsbegäran mail.docx", "A 1524-2023")</f>
        <v/>
      </c>
      <c r="Z541">
        <f>HYPERLINK("https://klasma.github.io/Logging_0381/fåglar/A 1524-2023 prioriterade fågelarter.docx", "A 1524-2023")</f>
        <v/>
      </c>
    </row>
    <row r="542" ht="15" customHeight="1">
      <c r="A542" t="inlineStr">
        <is>
          <t>A 1390-2023</t>
        </is>
      </c>
      <c r="B542" s="1" t="n">
        <v>44936</v>
      </c>
      <c r="C542" s="1" t="n">
        <v>45705</v>
      </c>
      <c r="D542" t="inlineStr">
        <is>
          <t>UPPSALA LÄN</t>
        </is>
      </c>
      <c r="E542" t="inlineStr">
        <is>
          <t>ÖSTHAMMAR</t>
        </is>
      </c>
      <c r="G542" t="n">
        <v>1.9</v>
      </c>
      <c r="H542" t="n">
        <v>1</v>
      </c>
      <c r="I542" t="n">
        <v>0</v>
      </c>
      <c r="J542" t="n">
        <v>0</v>
      </c>
      <c r="K542" t="n">
        <v>1</v>
      </c>
      <c r="L542" t="n">
        <v>0</v>
      </c>
      <c r="M542" t="n">
        <v>0</v>
      </c>
      <c r="N542" t="n">
        <v>0</v>
      </c>
      <c r="O542" t="n">
        <v>1</v>
      </c>
      <c r="P542" t="n">
        <v>1</v>
      </c>
      <c r="Q542" t="n">
        <v>1</v>
      </c>
      <c r="R542" s="2" t="inlineStr">
        <is>
          <t>Tallbit</t>
        </is>
      </c>
      <c r="S542">
        <f>HYPERLINK("https://klasma.github.io/Logging_0382/artfynd/A 1390-2023 artfynd.xlsx", "A 1390-2023")</f>
        <v/>
      </c>
      <c r="T542">
        <f>HYPERLINK("https://klasma.github.io/Logging_0382/kartor/A 1390-2023 karta.png", "A 1390-2023")</f>
        <v/>
      </c>
      <c r="V542">
        <f>HYPERLINK("https://klasma.github.io/Logging_0382/klagomål/A 1390-2023 FSC-klagomål.docx", "A 1390-2023")</f>
        <v/>
      </c>
      <c r="W542">
        <f>HYPERLINK("https://klasma.github.io/Logging_0382/klagomålsmail/A 1390-2023 FSC-klagomål mail.docx", "A 1390-2023")</f>
        <v/>
      </c>
      <c r="X542">
        <f>HYPERLINK("https://klasma.github.io/Logging_0382/tillsyn/A 1390-2023 tillsynsbegäran.docx", "A 1390-2023")</f>
        <v/>
      </c>
      <c r="Y542">
        <f>HYPERLINK("https://klasma.github.io/Logging_0382/tillsynsmail/A 1390-2023 tillsynsbegäran mail.docx", "A 1390-2023")</f>
        <v/>
      </c>
      <c r="Z542">
        <f>HYPERLINK("https://klasma.github.io/Logging_0382/fåglar/A 1390-2023 prioriterade fågelarter.docx", "A 1390-2023")</f>
        <v/>
      </c>
    </row>
    <row r="543" ht="15" customHeight="1">
      <c r="A543" t="inlineStr">
        <is>
          <t>A 4544-2023</t>
        </is>
      </c>
      <c r="B543" s="1" t="n">
        <v>44956</v>
      </c>
      <c r="C543" s="1" t="n">
        <v>45705</v>
      </c>
      <c r="D543" t="inlineStr">
        <is>
          <t>UPPSALA LÄN</t>
        </is>
      </c>
      <c r="E543" t="inlineStr">
        <is>
          <t>TIERP</t>
        </is>
      </c>
      <c r="F543" t="inlineStr">
        <is>
          <t>Bergvik skog öst AB</t>
        </is>
      </c>
      <c r="G543" t="n">
        <v>11.5</v>
      </c>
      <c r="H543" t="n">
        <v>1</v>
      </c>
      <c r="I543" t="n">
        <v>0</v>
      </c>
      <c r="J543" t="n">
        <v>0</v>
      </c>
      <c r="K543" t="n">
        <v>0</v>
      </c>
      <c r="L543" t="n">
        <v>0</v>
      </c>
      <c r="M543" t="n">
        <v>0</v>
      </c>
      <c r="N543" t="n">
        <v>0</v>
      </c>
      <c r="O543" t="n">
        <v>0</v>
      </c>
      <c r="P543" t="n">
        <v>0</v>
      </c>
      <c r="Q543" t="n">
        <v>1</v>
      </c>
      <c r="R543" s="2" t="inlineStr">
        <is>
          <t>Blåsippa</t>
        </is>
      </c>
      <c r="S543">
        <f>HYPERLINK("https://klasma.github.io/Logging_0360/artfynd/A 4544-2023 artfynd.xlsx", "A 4544-2023")</f>
        <v/>
      </c>
      <c r="T543">
        <f>HYPERLINK("https://klasma.github.io/Logging_0360/kartor/A 4544-2023 karta.png", "A 4544-2023")</f>
        <v/>
      </c>
      <c r="V543">
        <f>HYPERLINK("https://klasma.github.io/Logging_0360/klagomål/A 4544-2023 FSC-klagomål.docx", "A 4544-2023")</f>
        <v/>
      </c>
      <c r="W543">
        <f>HYPERLINK("https://klasma.github.io/Logging_0360/klagomålsmail/A 4544-2023 FSC-klagomål mail.docx", "A 4544-2023")</f>
        <v/>
      </c>
      <c r="X543">
        <f>HYPERLINK("https://klasma.github.io/Logging_0360/tillsyn/A 4544-2023 tillsynsbegäran.docx", "A 4544-2023")</f>
        <v/>
      </c>
      <c r="Y543">
        <f>HYPERLINK("https://klasma.github.io/Logging_0360/tillsynsmail/A 4544-2023 tillsynsbegäran mail.docx", "A 4544-2023")</f>
        <v/>
      </c>
    </row>
    <row r="544" ht="15" customHeight="1">
      <c r="A544" t="inlineStr">
        <is>
          <t>A 5009-2023</t>
        </is>
      </c>
      <c r="B544" s="1" t="n">
        <v>44958</v>
      </c>
      <c r="C544" s="1" t="n">
        <v>45705</v>
      </c>
      <c r="D544" t="inlineStr">
        <is>
          <t>UPPSALA LÄN</t>
        </is>
      </c>
      <c r="E544" t="inlineStr">
        <is>
          <t>UPPSALA</t>
        </is>
      </c>
      <c r="G544" t="n">
        <v>4.7</v>
      </c>
      <c r="H544" t="n">
        <v>1</v>
      </c>
      <c r="I544" t="n">
        <v>0</v>
      </c>
      <c r="J544" t="n">
        <v>0</v>
      </c>
      <c r="K544" t="n">
        <v>0</v>
      </c>
      <c r="L544" t="n">
        <v>0</v>
      </c>
      <c r="M544" t="n">
        <v>0</v>
      </c>
      <c r="N544" t="n">
        <v>0</v>
      </c>
      <c r="O544" t="n">
        <v>0</v>
      </c>
      <c r="P544" t="n">
        <v>0</v>
      </c>
      <c r="Q544" t="n">
        <v>1</v>
      </c>
      <c r="R544" s="2" t="inlineStr">
        <is>
          <t>Blåsippa</t>
        </is>
      </c>
      <c r="S544">
        <f>HYPERLINK("https://klasma.github.io/Logging_0380/artfynd/A 5009-2023 artfynd.xlsx", "A 5009-2023")</f>
        <v/>
      </c>
      <c r="T544">
        <f>HYPERLINK("https://klasma.github.io/Logging_0380/kartor/A 5009-2023 karta.png", "A 5009-2023")</f>
        <v/>
      </c>
      <c r="V544">
        <f>HYPERLINK("https://klasma.github.io/Logging_0380/klagomål/A 5009-2023 FSC-klagomål.docx", "A 5009-2023")</f>
        <v/>
      </c>
      <c r="W544">
        <f>HYPERLINK("https://klasma.github.io/Logging_0380/klagomålsmail/A 5009-2023 FSC-klagomål mail.docx", "A 5009-2023")</f>
        <v/>
      </c>
      <c r="X544">
        <f>HYPERLINK("https://klasma.github.io/Logging_0380/tillsyn/A 5009-2023 tillsynsbegäran.docx", "A 5009-2023")</f>
        <v/>
      </c>
      <c r="Y544">
        <f>HYPERLINK("https://klasma.github.io/Logging_0380/tillsynsmail/A 5009-2023 tillsynsbegäran mail.docx", "A 5009-2023")</f>
        <v/>
      </c>
    </row>
    <row r="545" ht="15" customHeight="1">
      <c r="A545" t="inlineStr">
        <is>
          <t>A 5472-2023</t>
        </is>
      </c>
      <c r="B545" s="1" t="n">
        <v>44960</v>
      </c>
      <c r="C545" s="1" t="n">
        <v>45705</v>
      </c>
      <c r="D545" t="inlineStr">
        <is>
          <t>UPPSALA LÄN</t>
        </is>
      </c>
      <c r="E545" t="inlineStr">
        <is>
          <t>TIERP</t>
        </is>
      </c>
      <c r="F545" t="inlineStr">
        <is>
          <t>Bergvik skog öst AB</t>
        </is>
      </c>
      <c r="G545" t="n">
        <v>7.8</v>
      </c>
      <c r="H545" t="n">
        <v>1</v>
      </c>
      <c r="I545" t="n">
        <v>0</v>
      </c>
      <c r="J545" t="n">
        <v>0</v>
      </c>
      <c r="K545" t="n">
        <v>0</v>
      </c>
      <c r="L545" t="n">
        <v>0</v>
      </c>
      <c r="M545" t="n">
        <v>0</v>
      </c>
      <c r="N545" t="n">
        <v>0</v>
      </c>
      <c r="O545" t="n">
        <v>0</v>
      </c>
      <c r="P545" t="n">
        <v>0</v>
      </c>
      <c r="Q545" t="n">
        <v>1</v>
      </c>
      <c r="R545" s="2" t="inlineStr">
        <is>
          <t>Blåsippa</t>
        </is>
      </c>
      <c r="S545">
        <f>HYPERLINK("https://klasma.github.io/Logging_0360/artfynd/A 5472-2023 artfynd.xlsx", "A 5472-2023")</f>
        <v/>
      </c>
      <c r="T545">
        <f>HYPERLINK("https://klasma.github.io/Logging_0360/kartor/A 5472-2023 karta.png", "A 5472-2023")</f>
        <v/>
      </c>
      <c r="V545">
        <f>HYPERLINK("https://klasma.github.io/Logging_0360/klagomål/A 5472-2023 FSC-klagomål.docx", "A 5472-2023")</f>
        <v/>
      </c>
      <c r="W545">
        <f>HYPERLINK("https://klasma.github.io/Logging_0360/klagomålsmail/A 5472-2023 FSC-klagomål mail.docx", "A 5472-2023")</f>
        <v/>
      </c>
      <c r="X545">
        <f>HYPERLINK("https://klasma.github.io/Logging_0360/tillsyn/A 5472-2023 tillsynsbegäran.docx", "A 5472-2023")</f>
        <v/>
      </c>
      <c r="Y545">
        <f>HYPERLINK("https://klasma.github.io/Logging_0360/tillsynsmail/A 5472-2023 tillsynsbegäran mail.docx", "A 5472-2023")</f>
        <v/>
      </c>
    </row>
    <row r="546" ht="15" customHeight="1">
      <c r="A546" t="inlineStr">
        <is>
          <t>A 5750-2023</t>
        </is>
      </c>
      <c r="B546" s="1" t="n">
        <v>44963</v>
      </c>
      <c r="C546" s="1" t="n">
        <v>45705</v>
      </c>
      <c r="D546" t="inlineStr">
        <is>
          <t>UPPSALA LÄN</t>
        </is>
      </c>
      <c r="E546" t="inlineStr">
        <is>
          <t>UPPSALA</t>
        </is>
      </c>
      <c r="G546" t="n">
        <v>13.8</v>
      </c>
      <c r="H546" t="n">
        <v>0</v>
      </c>
      <c r="I546" t="n">
        <v>0</v>
      </c>
      <c r="J546" t="n">
        <v>0</v>
      </c>
      <c r="K546" t="n">
        <v>1</v>
      </c>
      <c r="L546" t="n">
        <v>0</v>
      </c>
      <c r="M546" t="n">
        <v>0</v>
      </c>
      <c r="N546" t="n">
        <v>0</v>
      </c>
      <c r="O546" t="n">
        <v>1</v>
      </c>
      <c r="P546" t="n">
        <v>1</v>
      </c>
      <c r="Q546" t="n">
        <v>1</v>
      </c>
      <c r="R546" s="2" t="inlineStr">
        <is>
          <t>Raggbock</t>
        </is>
      </c>
      <c r="S546">
        <f>HYPERLINK("https://klasma.github.io/Logging_0380/artfynd/A 5750-2023 artfynd.xlsx", "A 5750-2023")</f>
        <v/>
      </c>
      <c r="T546">
        <f>HYPERLINK("https://klasma.github.io/Logging_0380/kartor/A 5750-2023 karta.png", "A 5750-2023")</f>
        <v/>
      </c>
      <c r="V546">
        <f>HYPERLINK("https://klasma.github.io/Logging_0380/klagomål/A 5750-2023 FSC-klagomål.docx", "A 5750-2023")</f>
        <v/>
      </c>
      <c r="W546">
        <f>HYPERLINK("https://klasma.github.io/Logging_0380/klagomålsmail/A 5750-2023 FSC-klagomål mail.docx", "A 5750-2023")</f>
        <v/>
      </c>
      <c r="X546">
        <f>HYPERLINK("https://klasma.github.io/Logging_0380/tillsyn/A 5750-2023 tillsynsbegäran.docx", "A 5750-2023")</f>
        <v/>
      </c>
      <c r="Y546">
        <f>HYPERLINK("https://klasma.github.io/Logging_0380/tillsynsmail/A 5750-2023 tillsynsbegäran mail.docx", "A 5750-2023")</f>
        <v/>
      </c>
    </row>
    <row r="547" ht="15" customHeight="1">
      <c r="A547" t="inlineStr">
        <is>
          <t>A 9264-2023</t>
        </is>
      </c>
      <c r="B547" s="1" t="n">
        <v>44980</v>
      </c>
      <c r="C547" s="1" t="n">
        <v>45705</v>
      </c>
      <c r="D547" t="inlineStr">
        <is>
          <t>UPPSALA LÄN</t>
        </is>
      </c>
      <c r="E547" t="inlineStr">
        <is>
          <t>ÖSTHAMMAR</t>
        </is>
      </c>
      <c r="F547" t="inlineStr">
        <is>
          <t>Övriga Aktiebolag</t>
        </is>
      </c>
      <c r="G547" t="n">
        <v>2.1</v>
      </c>
      <c r="H547" t="n">
        <v>1</v>
      </c>
      <c r="I547" t="n">
        <v>0</v>
      </c>
      <c r="J547" t="n">
        <v>0</v>
      </c>
      <c r="K547" t="n">
        <v>0</v>
      </c>
      <c r="L547" t="n">
        <v>1</v>
      </c>
      <c r="M547" t="n">
        <v>0</v>
      </c>
      <c r="N547" t="n">
        <v>0</v>
      </c>
      <c r="O547" t="n">
        <v>1</v>
      </c>
      <c r="P547" t="n">
        <v>1</v>
      </c>
      <c r="Q547" t="n">
        <v>1</v>
      </c>
      <c r="R547" s="2" t="inlineStr">
        <is>
          <t>Asknätfjäril</t>
        </is>
      </c>
      <c r="S547">
        <f>HYPERLINK("https://klasma.github.io/Logging_0382/artfynd/A 9264-2023 artfynd.xlsx", "A 9264-2023")</f>
        <v/>
      </c>
      <c r="T547">
        <f>HYPERLINK("https://klasma.github.io/Logging_0382/kartor/A 9264-2023 karta.png", "A 9264-2023")</f>
        <v/>
      </c>
      <c r="V547">
        <f>HYPERLINK("https://klasma.github.io/Logging_0382/klagomål/A 9264-2023 FSC-klagomål.docx", "A 9264-2023")</f>
        <v/>
      </c>
      <c r="W547">
        <f>HYPERLINK("https://klasma.github.io/Logging_0382/klagomålsmail/A 9264-2023 FSC-klagomål mail.docx", "A 9264-2023")</f>
        <v/>
      </c>
      <c r="X547">
        <f>HYPERLINK("https://klasma.github.io/Logging_0382/tillsyn/A 9264-2023 tillsynsbegäran.docx", "A 9264-2023")</f>
        <v/>
      </c>
      <c r="Y547">
        <f>HYPERLINK("https://klasma.github.io/Logging_0382/tillsynsmail/A 9264-2023 tillsynsbegäran mail.docx", "A 9264-2023")</f>
        <v/>
      </c>
    </row>
    <row r="548" ht="15" customHeight="1">
      <c r="A548" t="inlineStr">
        <is>
          <t>A 10034-2023</t>
        </is>
      </c>
      <c r="B548" s="1" t="n">
        <v>44985</v>
      </c>
      <c r="C548" s="1" t="n">
        <v>45705</v>
      </c>
      <c r="D548" t="inlineStr">
        <is>
          <t>UPPSALA LÄN</t>
        </is>
      </c>
      <c r="E548" t="inlineStr">
        <is>
          <t>ÖSTHAMMAR</t>
        </is>
      </c>
      <c r="G548" t="n">
        <v>2.1</v>
      </c>
      <c r="H548" t="n">
        <v>1</v>
      </c>
      <c r="I548" t="n">
        <v>0</v>
      </c>
      <c r="J548" t="n">
        <v>0</v>
      </c>
      <c r="K548" t="n">
        <v>0</v>
      </c>
      <c r="L548" t="n">
        <v>0</v>
      </c>
      <c r="M548" t="n">
        <v>0</v>
      </c>
      <c r="N548" t="n">
        <v>0</v>
      </c>
      <c r="O548" t="n">
        <v>0</v>
      </c>
      <c r="P548" t="n">
        <v>0</v>
      </c>
      <c r="Q548" t="n">
        <v>1</v>
      </c>
      <c r="R548" s="2" t="inlineStr">
        <is>
          <t>Blåsippa</t>
        </is>
      </c>
      <c r="S548">
        <f>HYPERLINK("https://klasma.github.io/Logging_0382/artfynd/A 10034-2023 artfynd.xlsx", "A 10034-2023")</f>
        <v/>
      </c>
      <c r="T548">
        <f>HYPERLINK("https://klasma.github.io/Logging_0382/kartor/A 10034-2023 karta.png", "A 10034-2023")</f>
        <v/>
      </c>
      <c r="V548">
        <f>HYPERLINK("https://klasma.github.io/Logging_0382/klagomål/A 10034-2023 FSC-klagomål.docx", "A 10034-2023")</f>
        <v/>
      </c>
      <c r="W548">
        <f>HYPERLINK("https://klasma.github.io/Logging_0382/klagomålsmail/A 10034-2023 FSC-klagomål mail.docx", "A 10034-2023")</f>
        <v/>
      </c>
      <c r="X548">
        <f>HYPERLINK("https://klasma.github.io/Logging_0382/tillsyn/A 10034-2023 tillsynsbegäran.docx", "A 10034-2023")</f>
        <v/>
      </c>
      <c r="Y548">
        <f>HYPERLINK("https://klasma.github.io/Logging_0382/tillsynsmail/A 10034-2023 tillsynsbegäran mail.docx", "A 10034-2023")</f>
        <v/>
      </c>
    </row>
    <row r="549" ht="15" customHeight="1">
      <c r="A549" t="inlineStr">
        <is>
          <t>A 10973-2023</t>
        </is>
      </c>
      <c r="B549" s="1" t="n">
        <v>44991</v>
      </c>
      <c r="C549" s="1" t="n">
        <v>45705</v>
      </c>
      <c r="D549" t="inlineStr">
        <is>
          <t>UPPSALA LÄN</t>
        </is>
      </c>
      <c r="E549" t="inlineStr">
        <is>
          <t>KNIVSTA</t>
        </is>
      </c>
      <c r="F549" t="inlineStr">
        <is>
          <t>Holmen skog AB</t>
        </is>
      </c>
      <c r="G549" t="n">
        <v>3.2</v>
      </c>
      <c r="H549" t="n">
        <v>1</v>
      </c>
      <c r="I549" t="n">
        <v>0</v>
      </c>
      <c r="J549" t="n">
        <v>0</v>
      </c>
      <c r="K549" t="n">
        <v>0</v>
      </c>
      <c r="L549" t="n">
        <v>0</v>
      </c>
      <c r="M549" t="n">
        <v>0</v>
      </c>
      <c r="N549" t="n">
        <v>0</v>
      </c>
      <c r="O549" t="n">
        <v>0</v>
      </c>
      <c r="P549" t="n">
        <v>0</v>
      </c>
      <c r="Q549" t="n">
        <v>1</v>
      </c>
      <c r="R549" s="2" t="inlineStr">
        <is>
          <t>Blåsippa</t>
        </is>
      </c>
      <c r="S549">
        <f>HYPERLINK("https://klasma.github.io/Logging_0330/artfynd/A 10973-2023 artfynd.xlsx", "A 10973-2023")</f>
        <v/>
      </c>
      <c r="T549">
        <f>HYPERLINK("https://klasma.github.io/Logging_0330/kartor/A 10973-2023 karta.png", "A 10973-2023")</f>
        <v/>
      </c>
      <c r="V549">
        <f>HYPERLINK("https://klasma.github.io/Logging_0330/klagomål/A 10973-2023 FSC-klagomål.docx", "A 10973-2023")</f>
        <v/>
      </c>
      <c r="W549">
        <f>HYPERLINK("https://klasma.github.io/Logging_0330/klagomålsmail/A 10973-2023 FSC-klagomål mail.docx", "A 10973-2023")</f>
        <v/>
      </c>
      <c r="X549">
        <f>HYPERLINK("https://klasma.github.io/Logging_0330/tillsyn/A 10973-2023 tillsynsbegäran.docx", "A 10973-2023")</f>
        <v/>
      </c>
      <c r="Y549">
        <f>HYPERLINK("https://klasma.github.io/Logging_0330/tillsynsmail/A 10973-2023 tillsynsbegäran mail.docx", "A 10973-2023")</f>
        <v/>
      </c>
    </row>
    <row r="550" ht="15" customHeight="1">
      <c r="A550" t="inlineStr">
        <is>
          <t>A 12415-2023</t>
        </is>
      </c>
      <c r="B550" s="1" t="n">
        <v>44999</v>
      </c>
      <c r="C550" s="1" t="n">
        <v>45705</v>
      </c>
      <c r="D550" t="inlineStr">
        <is>
          <t>UPPSALA LÄN</t>
        </is>
      </c>
      <c r="E550" t="inlineStr">
        <is>
          <t>ÄLVKARLEBY</t>
        </is>
      </c>
      <c r="F550" t="inlineStr">
        <is>
          <t>Bergvik skog väst AB</t>
        </is>
      </c>
      <c r="G550" t="n">
        <v>7.2</v>
      </c>
      <c r="H550" t="n">
        <v>0</v>
      </c>
      <c r="I550" t="n">
        <v>1</v>
      </c>
      <c r="J550" t="n">
        <v>0</v>
      </c>
      <c r="K550" t="n">
        <v>0</v>
      </c>
      <c r="L550" t="n">
        <v>0</v>
      </c>
      <c r="M550" t="n">
        <v>0</v>
      </c>
      <c r="N550" t="n">
        <v>0</v>
      </c>
      <c r="O550" t="n">
        <v>0</v>
      </c>
      <c r="P550" t="n">
        <v>0</v>
      </c>
      <c r="Q550" t="n">
        <v>1</v>
      </c>
      <c r="R550" s="2" t="inlineStr">
        <is>
          <t>Sårläka</t>
        </is>
      </c>
      <c r="S550">
        <f>HYPERLINK("https://klasma.github.io/Logging_0319/artfynd/A 12415-2023 artfynd.xlsx", "A 12415-2023")</f>
        <v/>
      </c>
      <c r="T550">
        <f>HYPERLINK("https://klasma.github.io/Logging_0319/kartor/A 12415-2023 karta.png", "A 12415-2023")</f>
        <v/>
      </c>
      <c r="V550">
        <f>HYPERLINK("https://klasma.github.io/Logging_0319/klagomål/A 12415-2023 FSC-klagomål.docx", "A 12415-2023")</f>
        <v/>
      </c>
      <c r="W550">
        <f>HYPERLINK("https://klasma.github.io/Logging_0319/klagomålsmail/A 12415-2023 FSC-klagomål mail.docx", "A 12415-2023")</f>
        <v/>
      </c>
      <c r="X550">
        <f>HYPERLINK("https://klasma.github.io/Logging_0319/tillsyn/A 12415-2023 tillsynsbegäran.docx", "A 12415-2023")</f>
        <v/>
      </c>
      <c r="Y550">
        <f>HYPERLINK("https://klasma.github.io/Logging_0319/tillsynsmail/A 12415-2023 tillsynsbegäran mail.docx", "A 12415-2023")</f>
        <v/>
      </c>
    </row>
    <row r="551" ht="15" customHeight="1">
      <c r="A551" t="inlineStr">
        <is>
          <t>A 13154-2023</t>
        </is>
      </c>
      <c r="B551" s="1" t="n">
        <v>45002</v>
      </c>
      <c r="C551" s="1" t="n">
        <v>45705</v>
      </c>
      <c r="D551" t="inlineStr">
        <is>
          <t>UPPSALA LÄN</t>
        </is>
      </c>
      <c r="E551" t="inlineStr">
        <is>
          <t>UPPSALA</t>
        </is>
      </c>
      <c r="F551" t="inlineStr">
        <is>
          <t>Holmen skog AB</t>
        </is>
      </c>
      <c r="G551" t="n">
        <v>2.6</v>
      </c>
      <c r="H551" t="n">
        <v>0</v>
      </c>
      <c r="I551" t="n">
        <v>1</v>
      </c>
      <c r="J551" t="n">
        <v>0</v>
      </c>
      <c r="K551" t="n">
        <v>0</v>
      </c>
      <c r="L551" t="n">
        <v>0</v>
      </c>
      <c r="M551" t="n">
        <v>0</v>
      </c>
      <c r="N551" t="n">
        <v>0</v>
      </c>
      <c r="O551" t="n">
        <v>0</v>
      </c>
      <c r="P551" t="n">
        <v>0</v>
      </c>
      <c r="Q551" t="n">
        <v>1</v>
      </c>
      <c r="R551" s="2" t="inlineStr">
        <is>
          <t>Korallblylav</t>
        </is>
      </c>
      <c r="S551">
        <f>HYPERLINK("https://klasma.github.io/Logging_0380/artfynd/A 13154-2023 artfynd.xlsx", "A 13154-2023")</f>
        <v/>
      </c>
      <c r="T551">
        <f>HYPERLINK("https://klasma.github.io/Logging_0380/kartor/A 13154-2023 karta.png", "A 13154-2023")</f>
        <v/>
      </c>
      <c r="V551">
        <f>HYPERLINK("https://klasma.github.io/Logging_0380/klagomål/A 13154-2023 FSC-klagomål.docx", "A 13154-2023")</f>
        <v/>
      </c>
      <c r="W551">
        <f>HYPERLINK("https://klasma.github.io/Logging_0380/klagomålsmail/A 13154-2023 FSC-klagomål mail.docx", "A 13154-2023")</f>
        <v/>
      </c>
      <c r="X551">
        <f>HYPERLINK("https://klasma.github.io/Logging_0380/tillsyn/A 13154-2023 tillsynsbegäran.docx", "A 13154-2023")</f>
        <v/>
      </c>
      <c r="Y551">
        <f>HYPERLINK("https://klasma.github.io/Logging_0380/tillsynsmail/A 13154-2023 tillsynsbegäran mail.docx", "A 13154-2023")</f>
        <v/>
      </c>
    </row>
    <row r="552" ht="15" customHeight="1">
      <c r="A552" t="inlineStr">
        <is>
          <t>A 13433-2023</t>
        </is>
      </c>
      <c r="B552" s="1" t="n">
        <v>45005</v>
      </c>
      <c r="C552" s="1" t="n">
        <v>45705</v>
      </c>
      <c r="D552" t="inlineStr">
        <is>
          <t>UPPSALA LÄN</t>
        </is>
      </c>
      <c r="E552" t="inlineStr">
        <is>
          <t>TIERP</t>
        </is>
      </c>
      <c r="F552" t="inlineStr">
        <is>
          <t>Bergvik skog väst AB</t>
        </is>
      </c>
      <c r="G552" t="n">
        <v>2.6</v>
      </c>
      <c r="H552" t="n">
        <v>1</v>
      </c>
      <c r="I552" t="n">
        <v>1</v>
      </c>
      <c r="J552" t="n">
        <v>0</v>
      </c>
      <c r="K552" t="n">
        <v>0</v>
      </c>
      <c r="L552" t="n">
        <v>0</v>
      </c>
      <c r="M552" t="n">
        <v>0</v>
      </c>
      <c r="N552" t="n">
        <v>0</v>
      </c>
      <c r="O552" t="n">
        <v>0</v>
      </c>
      <c r="P552" t="n">
        <v>0</v>
      </c>
      <c r="Q552" t="n">
        <v>1</v>
      </c>
      <c r="R552" s="2" t="inlineStr">
        <is>
          <t>Skogsknipprot</t>
        </is>
      </c>
      <c r="S552">
        <f>HYPERLINK("https://klasma.github.io/Logging_0360/artfynd/A 13433-2023 artfynd.xlsx", "A 13433-2023")</f>
        <v/>
      </c>
      <c r="T552">
        <f>HYPERLINK("https://klasma.github.io/Logging_0360/kartor/A 13433-2023 karta.png", "A 13433-2023")</f>
        <v/>
      </c>
      <c r="V552">
        <f>HYPERLINK("https://klasma.github.io/Logging_0360/klagomål/A 13433-2023 FSC-klagomål.docx", "A 13433-2023")</f>
        <v/>
      </c>
      <c r="W552">
        <f>HYPERLINK("https://klasma.github.io/Logging_0360/klagomålsmail/A 13433-2023 FSC-klagomål mail.docx", "A 13433-2023")</f>
        <v/>
      </c>
      <c r="X552">
        <f>HYPERLINK("https://klasma.github.io/Logging_0360/tillsyn/A 13433-2023 tillsynsbegäran.docx", "A 13433-2023")</f>
        <v/>
      </c>
      <c r="Y552">
        <f>HYPERLINK("https://klasma.github.io/Logging_0360/tillsynsmail/A 13433-2023 tillsynsbegäran mail.docx", "A 13433-2023")</f>
        <v/>
      </c>
    </row>
    <row r="553" ht="15" customHeight="1">
      <c r="A553" t="inlineStr">
        <is>
          <t>A 14706-2023</t>
        </is>
      </c>
      <c r="B553" s="1" t="n">
        <v>45013</v>
      </c>
      <c r="C553" s="1" t="n">
        <v>45705</v>
      </c>
      <c r="D553" t="inlineStr">
        <is>
          <t>UPPSALA LÄN</t>
        </is>
      </c>
      <c r="E553" t="inlineStr">
        <is>
          <t>ÖSTHAMMAR</t>
        </is>
      </c>
      <c r="G553" t="n">
        <v>0.9</v>
      </c>
      <c r="H553" t="n">
        <v>0</v>
      </c>
      <c r="I553" t="n">
        <v>1</v>
      </c>
      <c r="J553" t="n">
        <v>0</v>
      </c>
      <c r="K553" t="n">
        <v>0</v>
      </c>
      <c r="L553" t="n">
        <v>0</v>
      </c>
      <c r="M553" t="n">
        <v>0</v>
      </c>
      <c r="N553" t="n">
        <v>0</v>
      </c>
      <c r="O553" t="n">
        <v>0</v>
      </c>
      <c r="P553" t="n">
        <v>0</v>
      </c>
      <c r="Q553" t="n">
        <v>1</v>
      </c>
      <c r="R553" s="2" t="inlineStr">
        <is>
          <t>Olivspindling</t>
        </is>
      </c>
      <c r="S553">
        <f>HYPERLINK("https://klasma.github.io/Logging_0382/artfynd/A 14706-2023 artfynd.xlsx", "A 14706-2023")</f>
        <v/>
      </c>
      <c r="T553">
        <f>HYPERLINK("https://klasma.github.io/Logging_0382/kartor/A 14706-2023 karta.png", "A 14706-2023")</f>
        <v/>
      </c>
      <c r="V553">
        <f>HYPERLINK("https://klasma.github.io/Logging_0382/klagomål/A 14706-2023 FSC-klagomål.docx", "A 14706-2023")</f>
        <v/>
      </c>
      <c r="W553">
        <f>HYPERLINK("https://klasma.github.io/Logging_0382/klagomålsmail/A 14706-2023 FSC-klagomål mail.docx", "A 14706-2023")</f>
        <v/>
      </c>
      <c r="X553">
        <f>HYPERLINK("https://klasma.github.io/Logging_0382/tillsyn/A 14706-2023 tillsynsbegäran.docx", "A 14706-2023")</f>
        <v/>
      </c>
      <c r="Y553">
        <f>HYPERLINK("https://klasma.github.io/Logging_0382/tillsynsmail/A 14706-2023 tillsynsbegäran mail.docx", "A 14706-2023")</f>
        <v/>
      </c>
    </row>
    <row r="554" ht="15" customHeight="1">
      <c r="A554" t="inlineStr">
        <is>
          <t>A 15610-2023</t>
        </is>
      </c>
      <c r="B554" s="1" t="n">
        <v>45020</v>
      </c>
      <c r="C554" s="1" t="n">
        <v>45705</v>
      </c>
      <c r="D554" t="inlineStr">
        <is>
          <t>UPPSALA LÄN</t>
        </is>
      </c>
      <c r="E554" t="inlineStr">
        <is>
          <t>HEBY</t>
        </is>
      </c>
      <c r="G554" t="n">
        <v>4.5</v>
      </c>
      <c r="H554" t="n">
        <v>1</v>
      </c>
      <c r="I554" t="n">
        <v>0</v>
      </c>
      <c r="J554" t="n">
        <v>0</v>
      </c>
      <c r="K554" t="n">
        <v>1</v>
      </c>
      <c r="L554" t="n">
        <v>0</v>
      </c>
      <c r="M554" t="n">
        <v>0</v>
      </c>
      <c r="N554" t="n">
        <v>0</v>
      </c>
      <c r="O554" t="n">
        <v>1</v>
      </c>
      <c r="P554" t="n">
        <v>1</v>
      </c>
      <c r="Q554" t="n">
        <v>1</v>
      </c>
      <c r="R554" s="2" t="inlineStr">
        <is>
          <t>Knärot</t>
        </is>
      </c>
      <c r="S554">
        <f>HYPERLINK("https://klasma.github.io/Logging_0331/artfynd/A 15610-2023 artfynd.xlsx", "A 15610-2023")</f>
        <v/>
      </c>
      <c r="T554">
        <f>HYPERLINK("https://klasma.github.io/Logging_0331/kartor/A 15610-2023 karta.png", "A 15610-2023")</f>
        <v/>
      </c>
      <c r="U554">
        <f>HYPERLINK("https://klasma.github.io/Logging_0331/knärot/A 15610-2023 karta knärot.png", "A 15610-2023")</f>
        <v/>
      </c>
      <c r="V554">
        <f>HYPERLINK("https://klasma.github.io/Logging_0331/klagomål/A 15610-2023 FSC-klagomål.docx", "A 15610-2023")</f>
        <v/>
      </c>
      <c r="W554">
        <f>HYPERLINK("https://klasma.github.io/Logging_0331/klagomålsmail/A 15610-2023 FSC-klagomål mail.docx", "A 15610-2023")</f>
        <v/>
      </c>
      <c r="X554">
        <f>HYPERLINK("https://klasma.github.io/Logging_0331/tillsyn/A 15610-2023 tillsynsbegäran.docx", "A 15610-2023")</f>
        <v/>
      </c>
      <c r="Y554">
        <f>HYPERLINK("https://klasma.github.io/Logging_0331/tillsynsmail/A 15610-2023 tillsynsbegäran mail.docx", "A 15610-2023")</f>
        <v/>
      </c>
    </row>
    <row r="555" ht="15" customHeight="1">
      <c r="A555" t="inlineStr">
        <is>
          <t>A 15628-2023</t>
        </is>
      </c>
      <c r="B555" s="1" t="n">
        <v>45021</v>
      </c>
      <c r="C555" s="1" t="n">
        <v>45705</v>
      </c>
      <c r="D555" t="inlineStr">
        <is>
          <t>UPPSALA LÄN</t>
        </is>
      </c>
      <c r="E555" t="inlineStr">
        <is>
          <t>ÖSTHAMMAR</t>
        </is>
      </c>
      <c r="F555" t="inlineStr">
        <is>
          <t>Övriga Aktiebolag</t>
        </is>
      </c>
      <c r="G555" t="n">
        <v>14.8</v>
      </c>
      <c r="H555" t="n">
        <v>1</v>
      </c>
      <c r="I555" t="n">
        <v>0</v>
      </c>
      <c r="J555" t="n">
        <v>0</v>
      </c>
      <c r="K555" t="n">
        <v>1</v>
      </c>
      <c r="L555" t="n">
        <v>0</v>
      </c>
      <c r="M555" t="n">
        <v>0</v>
      </c>
      <c r="N555" t="n">
        <v>0</v>
      </c>
      <c r="O555" t="n">
        <v>1</v>
      </c>
      <c r="P555" t="n">
        <v>1</v>
      </c>
      <c r="Q555" t="n">
        <v>1</v>
      </c>
      <c r="R555" s="2" t="inlineStr">
        <is>
          <t>Knärot</t>
        </is>
      </c>
      <c r="S555">
        <f>HYPERLINK("https://klasma.github.io/Logging_0382/artfynd/A 15628-2023 artfynd.xlsx", "A 15628-2023")</f>
        <v/>
      </c>
      <c r="T555">
        <f>HYPERLINK("https://klasma.github.io/Logging_0382/kartor/A 15628-2023 karta.png", "A 15628-2023")</f>
        <v/>
      </c>
      <c r="U555">
        <f>HYPERLINK("https://klasma.github.io/Logging_0382/knärot/A 15628-2023 karta knärot.png", "A 15628-2023")</f>
        <v/>
      </c>
      <c r="V555">
        <f>HYPERLINK("https://klasma.github.io/Logging_0382/klagomål/A 15628-2023 FSC-klagomål.docx", "A 15628-2023")</f>
        <v/>
      </c>
      <c r="W555">
        <f>HYPERLINK("https://klasma.github.io/Logging_0382/klagomålsmail/A 15628-2023 FSC-klagomål mail.docx", "A 15628-2023")</f>
        <v/>
      </c>
      <c r="X555">
        <f>HYPERLINK("https://klasma.github.io/Logging_0382/tillsyn/A 15628-2023 tillsynsbegäran.docx", "A 15628-2023")</f>
        <v/>
      </c>
      <c r="Y555">
        <f>HYPERLINK("https://klasma.github.io/Logging_0382/tillsynsmail/A 15628-2023 tillsynsbegäran mail.docx", "A 15628-2023")</f>
        <v/>
      </c>
    </row>
    <row r="556" ht="15" customHeight="1">
      <c r="A556" t="inlineStr">
        <is>
          <t>A 15722-2023</t>
        </is>
      </c>
      <c r="B556" s="1" t="n">
        <v>45021</v>
      </c>
      <c r="C556" s="1" t="n">
        <v>45705</v>
      </c>
      <c r="D556" t="inlineStr">
        <is>
          <t>UPPSALA LÄN</t>
        </is>
      </c>
      <c r="E556" t="inlineStr">
        <is>
          <t>UPPSALA</t>
        </is>
      </c>
      <c r="G556" t="n">
        <v>15.2</v>
      </c>
      <c r="H556" t="n">
        <v>0</v>
      </c>
      <c r="I556" t="n">
        <v>1</v>
      </c>
      <c r="J556" t="n">
        <v>0</v>
      </c>
      <c r="K556" t="n">
        <v>0</v>
      </c>
      <c r="L556" t="n">
        <v>0</v>
      </c>
      <c r="M556" t="n">
        <v>0</v>
      </c>
      <c r="N556" t="n">
        <v>0</v>
      </c>
      <c r="O556" t="n">
        <v>0</v>
      </c>
      <c r="P556" t="n">
        <v>0</v>
      </c>
      <c r="Q556" t="n">
        <v>1</v>
      </c>
      <c r="R556" s="2" t="inlineStr">
        <is>
          <t>Tibast</t>
        </is>
      </c>
      <c r="S556">
        <f>HYPERLINK("https://klasma.github.io/Logging_0380/artfynd/A 15722-2023 artfynd.xlsx", "A 15722-2023")</f>
        <v/>
      </c>
      <c r="T556">
        <f>HYPERLINK("https://klasma.github.io/Logging_0380/kartor/A 15722-2023 karta.png", "A 15722-2023")</f>
        <v/>
      </c>
      <c r="V556">
        <f>HYPERLINK("https://klasma.github.io/Logging_0380/klagomål/A 15722-2023 FSC-klagomål.docx", "A 15722-2023")</f>
        <v/>
      </c>
      <c r="W556">
        <f>HYPERLINK("https://klasma.github.io/Logging_0380/klagomålsmail/A 15722-2023 FSC-klagomål mail.docx", "A 15722-2023")</f>
        <v/>
      </c>
      <c r="X556">
        <f>HYPERLINK("https://klasma.github.io/Logging_0380/tillsyn/A 15722-2023 tillsynsbegäran.docx", "A 15722-2023")</f>
        <v/>
      </c>
      <c r="Y556">
        <f>HYPERLINK("https://klasma.github.io/Logging_0380/tillsynsmail/A 15722-2023 tillsynsbegäran mail.docx", "A 15722-2023")</f>
        <v/>
      </c>
    </row>
    <row r="557" ht="15" customHeight="1">
      <c r="A557" t="inlineStr">
        <is>
          <t>A 15919-2023</t>
        </is>
      </c>
      <c r="B557" s="1" t="n">
        <v>45022</v>
      </c>
      <c r="C557" s="1" t="n">
        <v>45705</v>
      </c>
      <c r="D557" t="inlineStr">
        <is>
          <t>UPPSALA LÄN</t>
        </is>
      </c>
      <c r="E557" t="inlineStr">
        <is>
          <t>UPPSALA</t>
        </is>
      </c>
      <c r="F557" t="inlineStr">
        <is>
          <t>Holmen skog AB</t>
        </is>
      </c>
      <c r="G557" t="n">
        <v>10</v>
      </c>
      <c r="H557" t="n">
        <v>1</v>
      </c>
      <c r="I557" t="n">
        <v>0</v>
      </c>
      <c r="J557" t="n">
        <v>0</v>
      </c>
      <c r="K557" t="n">
        <v>0</v>
      </c>
      <c r="L557" t="n">
        <v>0</v>
      </c>
      <c r="M557" t="n">
        <v>0</v>
      </c>
      <c r="N557" t="n">
        <v>0</v>
      </c>
      <c r="O557" t="n">
        <v>0</v>
      </c>
      <c r="P557" t="n">
        <v>0</v>
      </c>
      <c r="Q557" t="n">
        <v>1</v>
      </c>
      <c r="R557" s="2" t="inlineStr">
        <is>
          <t>Blåsippa</t>
        </is>
      </c>
      <c r="S557">
        <f>HYPERLINK("https://klasma.github.io/Logging_0380/artfynd/A 15919-2023 artfynd.xlsx", "A 15919-2023")</f>
        <v/>
      </c>
      <c r="T557">
        <f>HYPERLINK("https://klasma.github.io/Logging_0380/kartor/A 15919-2023 karta.png", "A 15919-2023")</f>
        <v/>
      </c>
      <c r="V557">
        <f>HYPERLINK("https://klasma.github.io/Logging_0380/klagomål/A 15919-2023 FSC-klagomål.docx", "A 15919-2023")</f>
        <v/>
      </c>
      <c r="W557">
        <f>HYPERLINK("https://klasma.github.io/Logging_0380/klagomålsmail/A 15919-2023 FSC-klagomål mail.docx", "A 15919-2023")</f>
        <v/>
      </c>
      <c r="X557">
        <f>HYPERLINK("https://klasma.github.io/Logging_0380/tillsyn/A 15919-2023 tillsynsbegäran.docx", "A 15919-2023")</f>
        <v/>
      </c>
      <c r="Y557">
        <f>HYPERLINK("https://klasma.github.io/Logging_0380/tillsynsmail/A 15919-2023 tillsynsbegäran mail.docx", "A 15919-2023")</f>
        <v/>
      </c>
    </row>
    <row r="558" ht="15" customHeight="1">
      <c r="A558" t="inlineStr">
        <is>
          <t>A 15918-2023</t>
        </is>
      </c>
      <c r="B558" s="1" t="n">
        <v>45022</v>
      </c>
      <c r="C558" s="1" t="n">
        <v>45705</v>
      </c>
      <c r="D558" t="inlineStr">
        <is>
          <t>UPPSALA LÄN</t>
        </is>
      </c>
      <c r="E558" t="inlineStr">
        <is>
          <t>UPPSALA</t>
        </is>
      </c>
      <c r="F558" t="inlineStr">
        <is>
          <t>Holmen skog AB</t>
        </is>
      </c>
      <c r="G558" t="n">
        <v>3.2</v>
      </c>
      <c r="H558" t="n">
        <v>1</v>
      </c>
      <c r="I558" t="n">
        <v>0</v>
      </c>
      <c r="J558" t="n">
        <v>0</v>
      </c>
      <c r="K558" t="n">
        <v>0</v>
      </c>
      <c r="L558" t="n">
        <v>0</v>
      </c>
      <c r="M558" t="n">
        <v>0</v>
      </c>
      <c r="N558" t="n">
        <v>0</v>
      </c>
      <c r="O558" t="n">
        <v>0</v>
      </c>
      <c r="P558" t="n">
        <v>0</v>
      </c>
      <c r="Q558" t="n">
        <v>1</v>
      </c>
      <c r="R558" s="2" t="inlineStr">
        <is>
          <t>Blåsippa</t>
        </is>
      </c>
      <c r="S558">
        <f>HYPERLINK("https://klasma.github.io/Logging_0380/artfynd/A 15918-2023 artfynd.xlsx", "A 15918-2023")</f>
        <v/>
      </c>
      <c r="T558">
        <f>HYPERLINK("https://klasma.github.io/Logging_0380/kartor/A 15918-2023 karta.png", "A 15918-2023")</f>
        <v/>
      </c>
      <c r="V558">
        <f>HYPERLINK("https://klasma.github.io/Logging_0380/klagomål/A 15918-2023 FSC-klagomål.docx", "A 15918-2023")</f>
        <v/>
      </c>
      <c r="W558">
        <f>HYPERLINK("https://klasma.github.io/Logging_0380/klagomålsmail/A 15918-2023 FSC-klagomål mail.docx", "A 15918-2023")</f>
        <v/>
      </c>
      <c r="X558">
        <f>HYPERLINK("https://klasma.github.io/Logging_0380/tillsyn/A 15918-2023 tillsynsbegäran.docx", "A 15918-2023")</f>
        <v/>
      </c>
      <c r="Y558">
        <f>HYPERLINK("https://klasma.github.io/Logging_0380/tillsynsmail/A 15918-2023 tillsynsbegäran mail.docx", "A 15918-2023")</f>
        <v/>
      </c>
    </row>
    <row r="559" ht="15" customHeight="1">
      <c r="A559" t="inlineStr">
        <is>
          <t>A 17389-2023</t>
        </is>
      </c>
      <c r="B559" s="1" t="n">
        <v>45035</v>
      </c>
      <c r="C559" s="1" t="n">
        <v>45705</v>
      </c>
      <c r="D559" t="inlineStr">
        <is>
          <t>UPPSALA LÄN</t>
        </is>
      </c>
      <c r="E559" t="inlineStr">
        <is>
          <t>HEBY</t>
        </is>
      </c>
      <c r="G559" t="n">
        <v>3.9</v>
      </c>
      <c r="H559" t="n">
        <v>0</v>
      </c>
      <c r="I559" t="n">
        <v>0</v>
      </c>
      <c r="J559" t="n">
        <v>1</v>
      </c>
      <c r="K559" t="n">
        <v>0</v>
      </c>
      <c r="L559" t="n">
        <v>0</v>
      </c>
      <c r="M559" t="n">
        <v>0</v>
      </c>
      <c r="N559" t="n">
        <v>0</v>
      </c>
      <c r="O559" t="n">
        <v>1</v>
      </c>
      <c r="P559" t="n">
        <v>0</v>
      </c>
      <c r="Q559" t="n">
        <v>1</v>
      </c>
      <c r="R559" s="2" t="inlineStr">
        <is>
          <t>Gullklöver</t>
        </is>
      </c>
      <c r="S559">
        <f>HYPERLINK("https://klasma.github.io/Logging_0331/artfynd/A 17389-2023 artfynd.xlsx", "A 17389-2023")</f>
        <v/>
      </c>
      <c r="T559">
        <f>HYPERLINK("https://klasma.github.io/Logging_0331/kartor/A 17389-2023 karta.png", "A 17389-2023")</f>
        <v/>
      </c>
      <c r="V559">
        <f>HYPERLINK("https://klasma.github.io/Logging_0331/klagomål/A 17389-2023 FSC-klagomål.docx", "A 17389-2023")</f>
        <v/>
      </c>
      <c r="W559">
        <f>HYPERLINK("https://klasma.github.io/Logging_0331/klagomålsmail/A 17389-2023 FSC-klagomål mail.docx", "A 17389-2023")</f>
        <v/>
      </c>
      <c r="X559">
        <f>HYPERLINK("https://klasma.github.io/Logging_0331/tillsyn/A 17389-2023 tillsynsbegäran.docx", "A 17389-2023")</f>
        <v/>
      </c>
      <c r="Y559">
        <f>HYPERLINK("https://klasma.github.io/Logging_0331/tillsynsmail/A 17389-2023 tillsynsbegäran mail.docx", "A 17389-2023")</f>
        <v/>
      </c>
    </row>
    <row r="560" ht="15" customHeight="1">
      <c r="A560" t="inlineStr">
        <is>
          <t>A 17790-2023</t>
        </is>
      </c>
      <c r="B560" s="1" t="n">
        <v>45037</v>
      </c>
      <c r="C560" s="1" t="n">
        <v>45705</v>
      </c>
      <c r="D560" t="inlineStr">
        <is>
          <t>UPPSALA LÄN</t>
        </is>
      </c>
      <c r="E560" t="inlineStr">
        <is>
          <t>HEBY</t>
        </is>
      </c>
      <c r="G560" t="n">
        <v>1.1</v>
      </c>
      <c r="H560" t="n">
        <v>1</v>
      </c>
      <c r="I560" t="n">
        <v>0</v>
      </c>
      <c r="J560" t="n">
        <v>0</v>
      </c>
      <c r="K560" t="n">
        <v>0</v>
      </c>
      <c r="L560" t="n">
        <v>0</v>
      </c>
      <c r="M560" t="n">
        <v>0</v>
      </c>
      <c r="N560" t="n">
        <v>0</v>
      </c>
      <c r="O560" t="n">
        <v>0</v>
      </c>
      <c r="P560" t="n">
        <v>0</v>
      </c>
      <c r="Q560" t="n">
        <v>1</v>
      </c>
      <c r="R560" s="2" t="inlineStr">
        <is>
          <t>Mindre vattensalamander</t>
        </is>
      </c>
      <c r="S560">
        <f>HYPERLINK("https://klasma.github.io/Logging_0331/artfynd/A 17790-2023 artfynd.xlsx", "A 17790-2023")</f>
        <v/>
      </c>
      <c r="T560">
        <f>HYPERLINK("https://klasma.github.io/Logging_0331/kartor/A 17790-2023 karta.png", "A 17790-2023")</f>
        <v/>
      </c>
      <c r="V560">
        <f>HYPERLINK("https://klasma.github.io/Logging_0331/klagomål/A 17790-2023 FSC-klagomål.docx", "A 17790-2023")</f>
        <v/>
      </c>
      <c r="W560">
        <f>HYPERLINK("https://klasma.github.io/Logging_0331/klagomålsmail/A 17790-2023 FSC-klagomål mail.docx", "A 17790-2023")</f>
        <v/>
      </c>
      <c r="X560">
        <f>HYPERLINK("https://klasma.github.io/Logging_0331/tillsyn/A 17790-2023 tillsynsbegäran.docx", "A 17790-2023")</f>
        <v/>
      </c>
      <c r="Y560">
        <f>HYPERLINK("https://klasma.github.io/Logging_0331/tillsynsmail/A 17790-2023 tillsynsbegäran mail.docx", "A 17790-2023")</f>
        <v/>
      </c>
    </row>
    <row r="561" ht="15" customHeight="1">
      <c r="A561" t="inlineStr">
        <is>
          <t>A 19100-2023</t>
        </is>
      </c>
      <c r="B561" s="1" t="n">
        <v>45048</v>
      </c>
      <c r="C561" s="1" t="n">
        <v>45705</v>
      </c>
      <c r="D561" t="inlineStr">
        <is>
          <t>UPPSALA LÄN</t>
        </is>
      </c>
      <c r="E561" t="inlineStr">
        <is>
          <t>ÖSTHAMMAR</t>
        </is>
      </c>
      <c r="F561" t="inlineStr">
        <is>
          <t>Bergvik skog öst AB</t>
        </is>
      </c>
      <c r="G561" t="n">
        <v>2.1</v>
      </c>
      <c r="H561" t="n">
        <v>1</v>
      </c>
      <c r="I561" t="n">
        <v>0</v>
      </c>
      <c r="J561" t="n">
        <v>0</v>
      </c>
      <c r="K561" t="n">
        <v>0</v>
      </c>
      <c r="L561" t="n">
        <v>0</v>
      </c>
      <c r="M561" t="n">
        <v>0</v>
      </c>
      <c r="N561" t="n">
        <v>0</v>
      </c>
      <c r="O561" t="n">
        <v>0</v>
      </c>
      <c r="P561" t="n">
        <v>0</v>
      </c>
      <c r="Q561" t="n">
        <v>1</v>
      </c>
      <c r="R561" s="2" t="inlineStr">
        <is>
          <t>Blåsippa</t>
        </is>
      </c>
      <c r="S561">
        <f>HYPERLINK("https://klasma.github.io/Logging_0382/artfynd/A 19100-2023 artfynd.xlsx", "A 19100-2023")</f>
        <v/>
      </c>
      <c r="T561">
        <f>HYPERLINK("https://klasma.github.io/Logging_0382/kartor/A 19100-2023 karta.png", "A 19100-2023")</f>
        <v/>
      </c>
      <c r="V561">
        <f>HYPERLINK("https://klasma.github.io/Logging_0382/klagomål/A 19100-2023 FSC-klagomål.docx", "A 19100-2023")</f>
        <v/>
      </c>
      <c r="W561">
        <f>HYPERLINK("https://klasma.github.io/Logging_0382/klagomålsmail/A 19100-2023 FSC-klagomål mail.docx", "A 19100-2023")</f>
        <v/>
      </c>
      <c r="X561">
        <f>HYPERLINK("https://klasma.github.io/Logging_0382/tillsyn/A 19100-2023 tillsynsbegäran.docx", "A 19100-2023")</f>
        <v/>
      </c>
      <c r="Y561">
        <f>HYPERLINK("https://klasma.github.io/Logging_0382/tillsynsmail/A 19100-2023 tillsynsbegäran mail.docx", "A 19100-2023")</f>
        <v/>
      </c>
    </row>
    <row r="562" ht="15" customHeight="1">
      <c r="A562" t="inlineStr">
        <is>
          <t>A 20172-2023</t>
        </is>
      </c>
      <c r="B562" s="1" t="n">
        <v>45055</v>
      </c>
      <c r="C562" s="1" t="n">
        <v>45705</v>
      </c>
      <c r="D562" t="inlineStr">
        <is>
          <t>UPPSALA LÄN</t>
        </is>
      </c>
      <c r="E562" t="inlineStr">
        <is>
          <t>UPPSALA</t>
        </is>
      </c>
      <c r="G562" t="n">
        <v>3.2</v>
      </c>
      <c r="H562" t="n">
        <v>0</v>
      </c>
      <c r="I562" t="n">
        <v>1</v>
      </c>
      <c r="J562" t="n">
        <v>0</v>
      </c>
      <c r="K562" t="n">
        <v>0</v>
      </c>
      <c r="L562" t="n">
        <v>0</v>
      </c>
      <c r="M562" t="n">
        <v>0</v>
      </c>
      <c r="N562" t="n">
        <v>0</v>
      </c>
      <c r="O562" t="n">
        <v>0</v>
      </c>
      <c r="P562" t="n">
        <v>0</v>
      </c>
      <c r="Q562" t="n">
        <v>1</v>
      </c>
      <c r="R562" s="2" t="inlineStr">
        <is>
          <t>Mörk husmossa</t>
        </is>
      </c>
      <c r="S562">
        <f>HYPERLINK("https://klasma.github.io/Logging_0380/artfynd/A 20172-2023 artfynd.xlsx", "A 20172-2023")</f>
        <v/>
      </c>
      <c r="T562">
        <f>HYPERLINK("https://klasma.github.io/Logging_0380/kartor/A 20172-2023 karta.png", "A 20172-2023")</f>
        <v/>
      </c>
      <c r="V562">
        <f>HYPERLINK("https://klasma.github.io/Logging_0380/klagomål/A 20172-2023 FSC-klagomål.docx", "A 20172-2023")</f>
        <v/>
      </c>
      <c r="W562">
        <f>HYPERLINK("https://klasma.github.io/Logging_0380/klagomålsmail/A 20172-2023 FSC-klagomål mail.docx", "A 20172-2023")</f>
        <v/>
      </c>
      <c r="X562">
        <f>HYPERLINK("https://klasma.github.io/Logging_0380/tillsyn/A 20172-2023 tillsynsbegäran.docx", "A 20172-2023")</f>
        <v/>
      </c>
      <c r="Y562">
        <f>HYPERLINK("https://klasma.github.io/Logging_0380/tillsynsmail/A 20172-2023 tillsynsbegäran mail.docx", "A 20172-2023")</f>
        <v/>
      </c>
    </row>
    <row r="563" ht="15" customHeight="1">
      <c r="A563" t="inlineStr">
        <is>
          <t>A 20930-2023</t>
        </is>
      </c>
      <c r="B563" s="1" t="n">
        <v>45061</v>
      </c>
      <c r="C563" s="1" t="n">
        <v>45705</v>
      </c>
      <c r="D563" t="inlineStr">
        <is>
          <t>UPPSALA LÄN</t>
        </is>
      </c>
      <c r="E563" t="inlineStr">
        <is>
          <t>UPPSALA</t>
        </is>
      </c>
      <c r="G563" t="n">
        <v>5.1</v>
      </c>
      <c r="H563" t="n">
        <v>0</v>
      </c>
      <c r="I563" t="n">
        <v>1</v>
      </c>
      <c r="J563" t="n">
        <v>0</v>
      </c>
      <c r="K563" t="n">
        <v>0</v>
      </c>
      <c r="L563" t="n">
        <v>0</v>
      </c>
      <c r="M563" t="n">
        <v>0</v>
      </c>
      <c r="N563" t="n">
        <v>0</v>
      </c>
      <c r="O563" t="n">
        <v>0</v>
      </c>
      <c r="P563" t="n">
        <v>0</v>
      </c>
      <c r="Q563" t="n">
        <v>1</v>
      </c>
      <c r="R563" s="2" t="inlineStr">
        <is>
          <t>Grönpyrola</t>
        </is>
      </c>
      <c r="S563">
        <f>HYPERLINK("https://klasma.github.io/Logging_0380/artfynd/A 20930-2023 artfynd.xlsx", "A 20930-2023")</f>
        <v/>
      </c>
      <c r="T563">
        <f>HYPERLINK("https://klasma.github.io/Logging_0380/kartor/A 20930-2023 karta.png", "A 20930-2023")</f>
        <v/>
      </c>
      <c r="V563">
        <f>HYPERLINK("https://klasma.github.io/Logging_0380/klagomål/A 20930-2023 FSC-klagomål.docx", "A 20930-2023")</f>
        <v/>
      </c>
      <c r="W563">
        <f>HYPERLINK("https://klasma.github.io/Logging_0380/klagomålsmail/A 20930-2023 FSC-klagomål mail.docx", "A 20930-2023")</f>
        <v/>
      </c>
      <c r="X563">
        <f>HYPERLINK("https://klasma.github.io/Logging_0380/tillsyn/A 20930-2023 tillsynsbegäran.docx", "A 20930-2023")</f>
        <v/>
      </c>
      <c r="Y563">
        <f>HYPERLINK("https://klasma.github.io/Logging_0380/tillsynsmail/A 20930-2023 tillsynsbegäran mail.docx", "A 20930-2023")</f>
        <v/>
      </c>
    </row>
    <row r="564" ht="15" customHeight="1">
      <c r="A564" t="inlineStr">
        <is>
          <t>A 20923-2023</t>
        </is>
      </c>
      <c r="B564" s="1" t="n">
        <v>45061</v>
      </c>
      <c r="C564" s="1" t="n">
        <v>45705</v>
      </c>
      <c r="D564" t="inlineStr">
        <is>
          <t>UPPSALA LÄN</t>
        </is>
      </c>
      <c r="E564" t="inlineStr">
        <is>
          <t>UPPSALA</t>
        </is>
      </c>
      <c r="G564" t="n">
        <v>1.1</v>
      </c>
      <c r="H564" t="n">
        <v>0</v>
      </c>
      <c r="I564" t="n">
        <v>1</v>
      </c>
      <c r="J564" t="n">
        <v>0</v>
      </c>
      <c r="K564" t="n">
        <v>0</v>
      </c>
      <c r="L564" t="n">
        <v>0</v>
      </c>
      <c r="M564" t="n">
        <v>0</v>
      </c>
      <c r="N564" t="n">
        <v>0</v>
      </c>
      <c r="O564" t="n">
        <v>0</v>
      </c>
      <c r="P564" t="n">
        <v>0</v>
      </c>
      <c r="Q564" t="n">
        <v>1</v>
      </c>
      <c r="R564" s="2" t="inlineStr">
        <is>
          <t>Dvärghäxört</t>
        </is>
      </c>
      <c r="S564">
        <f>HYPERLINK("https://klasma.github.io/Logging_0380/artfynd/A 20923-2023 artfynd.xlsx", "A 20923-2023")</f>
        <v/>
      </c>
      <c r="T564">
        <f>HYPERLINK("https://klasma.github.io/Logging_0380/kartor/A 20923-2023 karta.png", "A 20923-2023")</f>
        <v/>
      </c>
      <c r="V564">
        <f>HYPERLINK("https://klasma.github.io/Logging_0380/klagomål/A 20923-2023 FSC-klagomål.docx", "A 20923-2023")</f>
        <v/>
      </c>
      <c r="W564">
        <f>HYPERLINK("https://klasma.github.io/Logging_0380/klagomålsmail/A 20923-2023 FSC-klagomål mail.docx", "A 20923-2023")</f>
        <v/>
      </c>
      <c r="X564">
        <f>HYPERLINK("https://klasma.github.io/Logging_0380/tillsyn/A 20923-2023 tillsynsbegäran.docx", "A 20923-2023")</f>
        <v/>
      </c>
      <c r="Y564">
        <f>HYPERLINK("https://klasma.github.io/Logging_0380/tillsynsmail/A 20923-2023 tillsynsbegäran mail.docx", "A 20923-2023")</f>
        <v/>
      </c>
    </row>
    <row r="565" ht="15" customHeight="1">
      <c r="A565" t="inlineStr">
        <is>
          <t>A 21628-2023</t>
        </is>
      </c>
      <c r="B565" s="1" t="n">
        <v>45063</v>
      </c>
      <c r="C565" s="1" t="n">
        <v>45705</v>
      </c>
      <c r="D565" t="inlineStr">
        <is>
          <t>UPPSALA LÄN</t>
        </is>
      </c>
      <c r="E565" t="inlineStr">
        <is>
          <t>ÖSTHAMMAR</t>
        </is>
      </c>
      <c r="F565" t="inlineStr">
        <is>
          <t>Sveaskog</t>
        </is>
      </c>
      <c r="G565" t="n">
        <v>4.9</v>
      </c>
      <c r="H565" t="n">
        <v>1</v>
      </c>
      <c r="I565" t="n">
        <v>0</v>
      </c>
      <c r="J565" t="n">
        <v>1</v>
      </c>
      <c r="K565" t="n">
        <v>0</v>
      </c>
      <c r="L565" t="n">
        <v>0</v>
      </c>
      <c r="M565" t="n">
        <v>0</v>
      </c>
      <c r="N565" t="n">
        <v>0</v>
      </c>
      <c r="O565" t="n">
        <v>1</v>
      </c>
      <c r="P565" t="n">
        <v>0</v>
      </c>
      <c r="Q565" t="n">
        <v>1</v>
      </c>
      <c r="R565" s="2" t="inlineStr">
        <is>
          <t>Slaguggla</t>
        </is>
      </c>
      <c r="S565">
        <f>HYPERLINK("https://klasma.github.io/Logging_0382/artfynd/A 21628-2023 artfynd.xlsx", "A 21628-2023")</f>
        <v/>
      </c>
      <c r="T565">
        <f>HYPERLINK("https://klasma.github.io/Logging_0382/kartor/A 21628-2023 karta.png", "A 21628-2023")</f>
        <v/>
      </c>
      <c r="V565">
        <f>HYPERLINK("https://klasma.github.io/Logging_0382/klagomål/A 21628-2023 FSC-klagomål.docx", "A 21628-2023")</f>
        <v/>
      </c>
      <c r="W565">
        <f>HYPERLINK("https://klasma.github.io/Logging_0382/klagomålsmail/A 21628-2023 FSC-klagomål mail.docx", "A 21628-2023")</f>
        <v/>
      </c>
      <c r="X565">
        <f>HYPERLINK("https://klasma.github.io/Logging_0382/tillsyn/A 21628-2023 tillsynsbegäran.docx", "A 21628-2023")</f>
        <v/>
      </c>
      <c r="Y565">
        <f>HYPERLINK("https://klasma.github.io/Logging_0382/tillsynsmail/A 21628-2023 tillsynsbegäran mail.docx", "A 21628-2023")</f>
        <v/>
      </c>
      <c r="Z565">
        <f>HYPERLINK("https://klasma.github.io/Logging_0382/fåglar/A 21628-2023 prioriterade fågelarter.docx", "A 21628-2023")</f>
        <v/>
      </c>
    </row>
    <row r="566" ht="15" customHeight="1">
      <c r="A566" t="inlineStr">
        <is>
          <t>A 22307-2023</t>
        </is>
      </c>
      <c r="B566" s="1" t="n">
        <v>45070</v>
      </c>
      <c r="C566" s="1" t="n">
        <v>45705</v>
      </c>
      <c r="D566" t="inlineStr">
        <is>
          <t>UPPSALA LÄN</t>
        </is>
      </c>
      <c r="E566" t="inlineStr">
        <is>
          <t>ÖSTHAMMAR</t>
        </is>
      </c>
      <c r="F566" t="inlineStr">
        <is>
          <t>Bergvik skog öst AB</t>
        </is>
      </c>
      <c r="G566" t="n">
        <v>13.9</v>
      </c>
      <c r="H566" t="n">
        <v>0</v>
      </c>
      <c r="I566" t="n">
        <v>1</v>
      </c>
      <c r="J566" t="n">
        <v>0</v>
      </c>
      <c r="K566" t="n">
        <v>0</v>
      </c>
      <c r="L566" t="n">
        <v>0</v>
      </c>
      <c r="M566" t="n">
        <v>0</v>
      </c>
      <c r="N566" t="n">
        <v>0</v>
      </c>
      <c r="O566" t="n">
        <v>0</v>
      </c>
      <c r="P566" t="n">
        <v>0</v>
      </c>
      <c r="Q566" t="n">
        <v>1</v>
      </c>
      <c r="R566" s="2" t="inlineStr">
        <is>
          <t>Myskmadra</t>
        </is>
      </c>
      <c r="S566">
        <f>HYPERLINK("https://klasma.github.io/Logging_0382/artfynd/A 22307-2023 artfynd.xlsx", "A 22307-2023")</f>
        <v/>
      </c>
      <c r="T566">
        <f>HYPERLINK("https://klasma.github.io/Logging_0382/kartor/A 22307-2023 karta.png", "A 22307-2023")</f>
        <v/>
      </c>
      <c r="V566">
        <f>HYPERLINK("https://klasma.github.io/Logging_0382/klagomål/A 22307-2023 FSC-klagomål.docx", "A 22307-2023")</f>
        <v/>
      </c>
      <c r="W566">
        <f>HYPERLINK("https://klasma.github.io/Logging_0382/klagomålsmail/A 22307-2023 FSC-klagomål mail.docx", "A 22307-2023")</f>
        <v/>
      </c>
      <c r="X566">
        <f>HYPERLINK("https://klasma.github.io/Logging_0382/tillsyn/A 22307-2023 tillsynsbegäran.docx", "A 22307-2023")</f>
        <v/>
      </c>
      <c r="Y566">
        <f>HYPERLINK("https://klasma.github.io/Logging_0382/tillsynsmail/A 22307-2023 tillsynsbegäran mail.docx", "A 22307-2023")</f>
        <v/>
      </c>
    </row>
    <row r="567" ht="15" customHeight="1">
      <c r="A567" t="inlineStr">
        <is>
          <t>A 22287-2023</t>
        </is>
      </c>
      <c r="B567" s="1" t="n">
        <v>45070</v>
      </c>
      <c r="C567" s="1" t="n">
        <v>45705</v>
      </c>
      <c r="D567" t="inlineStr">
        <is>
          <t>UPPSALA LÄN</t>
        </is>
      </c>
      <c r="E567" t="inlineStr">
        <is>
          <t>ÖSTHAMMAR</t>
        </is>
      </c>
      <c r="G567" t="n">
        <v>6.3</v>
      </c>
      <c r="H567" t="n">
        <v>1</v>
      </c>
      <c r="I567" t="n">
        <v>1</v>
      </c>
      <c r="J567" t="n">
        <v>0</v>
      </c>
      <c r="K567" t="n">
        <v>0</v>
      </c>
      <c r="L567" t="n">
        <v>0</v>
      </c>
      <c r="M567" t="n">
        <v>0</v>
      </c>
      <c r="N567" t="n">
        <v>0</v>
      </c>
      <c r="O567" t="n">
        <v>0</v>
      </c>
      <c r="P567" t="n">
        <v>0</v>
      </c>
      <c r="Q567" t="n">
        <v>1</v>
      </c>
      <c r="R567" s="2" t="inlineStr">
        <is>
          <t>Guckusko</t>
        </is>
      </c>
      <c r="S567">
        <f>HYPERLINK("https://klasma.github.io/Logging_0382/artfynd/A 22287-2023 artfynd.xlsx", "A 22287-2023")</f>
        <v/>
      </c>
      <c r="T567">
        <f>HYPERLINK("https://klasma.github.io/Logging_0382/kartor/A 22287-2023 karta.png", "A 22287-2023")</f>
        <v/>
      </c>
      <c r="V567">
        <f>HYPERLINK("https://klasma.github.io/Logging_0382/klagomål/A 22287-2023 FSC-klagomål.docx", "A 22287-2023")</f>
        <v/>
      </c>
      <c r="W567">
        <f>HYPERLINK("https://klasma.github.io/Logging_0382/klagomålsmail/A 22287-2023 FSC-klagomål mail.docx", "A 22287-2023")</f>
        <v/>
      </c>
      <c r="X567">
        <f>HYPERLINK("https://klasma.github.io/Logging_0382/tillsyn/A 22287-2023 tillsynsbegäran.docx", "A 22287-2023")</f>
        <v/>
      </c>
      <c r="Y567">
        <f>HYPERLINK("https://klasma.github.io/Logging_0382/tillsynsmail/A 22287-2023 tillsynsbegäran mail.docx", "A 22287-2023")</f>
        <v/>
      </c>
    </row>
    <row r="568" ht="15" customHeight="1">
      <c r="A568" t="inlineStr">
        <is>
          <t>A 22688-2023</t>
        </is>
      </c>
      <c r="B568" s="1" t="n">
        <v>45071</v>
      </c>
      <c r="C568" s="1" t="n">
        <v>45705</v>
      </c>
      <c r="D568" t="inlineStr">
        <is>
          <t>UPPSALA LÄN</t>
        </is>
      </c>
      <c r="E568" t="inlineStr">
        <is>
          <t>ÖSTHAMMAR</t>
        </is>
      </c>
      <c r="G568" t="n">
        <v>3</v>
      </c>
      <c r="H568" t="n">
        <v>1</v>
      </c>
      <c r="I568" t="n">
        <v>1</v>
      </c>
      <c r="J568" t="n">
        <v>0</v>
      </c>
      <c r="K568" t="n">
        <v>0</v>
      </c>
      <c r="L568" t="n">
        <v>0</v>
      </c>
      <c r="M568" t="n">
        <v>0</v>
      </c>
      <c r="N568" t="n">
        <v>0</v>
      </c>
      <c r="O568" t="n">
        <v>0</v>
      </c>
      <c r="P568" t="n">
        <v>0</v>
      </c>
      <c r="Q568" t="n">
        <v>1</v>
      </c>
      <c r="R568" s="2" t="inlineStr">
        <is>
          <t>Nästrot</t>
        </is>
      </c>
      <c r="S568">
        <f>HYPERLINK("https://klasma.github.io/Logging_0382/artfynd/A 22688-2023 artfynd.xlsx", "A 22688-2023")</f>
        <v/>
      </c>
      <c r="T568">
        <f>HYPERLINK("https://klasma.github.io/Logging_0382/kartor/A 22688-2023 karta.png", "A 22688-2023")</f>
        <v/>
      </c>
      <c r="V568">
        <f>HYPERLINK("https://klasma.github.io/Logging_0382/klagomål/A 22688-2023 FSC-klagomål.docx", "A 22688-2023")</f>
        <v/>
      </c>
      <c r="W568">
        <f>HYPERLINK("https://klasma.github.io/Logging_0382/klagomålsmail/A 22688-2023 FSC-klagomål mail.docx", "A 22688-2023")</f>
        <v/>
      </c>
      <c r="X568">
        <f>HYPERLINK("https://klasma.github.io/Logging_0382/tillsyn/A 22688-2023 tillsynsbegäran.docx", "A 22688-2023")</f>
        <v/>
      </c>
      <c r="Y568">
        <f>HYPERLINK("https://klasma.github.io/Logging_0382/tillsynsmail/A 22688-2023 tillsynsbegäran mail.docx", "A 22688-2023")</f>
        <v/>
      </c>
    </row>
    <row r="569" ht="15" customHeight="1">
      <c r="A569" t="inlineStr">
        <is>
          <t>A 22958-2023</t>
        </is>
      </c>
      <c r="B569" s="1" t="n">
        <v>45072</v>
      </c>
      <c r="C569" s="1" t="n">
        <v>45705</v>
      </c>
      <c r="D569" t="inlineStr">
        <is>
          <t>UPPSALA LÄN</t>
        </is>
      </c>
      <c r="E569" t="inlineStr">
        <is>
          <t>UPPSALA</t>
        </is>
      </c>
      <c r="F569" t="inlineStr">
        <is>
          <t>Holmen skog AB</t>
        </is>
      </c>
      <c r="G569" t="n">
        <v>6.4</v>
      </c>
      <c r="H569" t="n">
        <v>0</v>
      </c>
      <c r="I569" t="n">
        <v>0</v>
      </c>
      <c r="J569" t="n">
        <v>1</v>
      </c>
      <c r="K569" t="n">
        <v>0</v>
      </c>
      <c r="L569" t="n">
        <v>0</v>
      </c>
      <c r="M569" t="n">
        <v>0</v>
      </c>
      <c r="N569" t="n">
        <v>0</v>
      </c>
      <c r="O569" t="n">
        <v>1</v>
      </c>
      <c r="P569" t="n">
        <v>0</v>
      </c>
      <c r="Q569" t="n">
        <v>1</v>
      </c>
      <c r="R569" s="2" t="inlineStr">
        <is>
          <t>Krusfrö</t>
        </is>
      </c>
      <c r="S569">
        <f>HYPERLINK("https://klasma.github.io/Logging_0380/artfynd/A 22958-2023 artfynd.xlsx", "A 22958-2023")</f>
        <v/>
      </c>
      <c r="T569">
        <f>HYPERLINK("https://klasma.github.io/Logging_0380/kartor/A 22958-2023 karta.png", "A 22958-2023")</f>
        <v/>
      </c>
      <c r="V569">
        <f>HYPERLINK("https://klasma.github.io/Logging_0380/klagomål/A 22958-2023 FSC-klagomål.docx", "A 22958-2023")</f>
        <v/>
      </c>
      <c r="W569">
        <f>HYPERLINK("https://klasma.github.io/Logging_0380/klagomålsmail/A 22958-2023 FSC-klagomål mail.docx", "A 22958-2023")</f>
        <v/>
      </c>
      <c r="X569">
        <f>HYPERLINK("https://klasma.github.io/Logging_0380/tillsyn/A 22958-2023 tillsynsbegäran.docx", "A 22958-2023")</f>
        <v/>
      </c>
      <c r="Y569">
        <f>HYPERLINK("https://klasma.github.io/Logging_0380/tillsynsmail/A 22958-2023 tillsynsbegäran mail.docx", "A 22958-2023")</f>
        <v/>
      </c>
    </row>
    <row r="570" ht="15" customHeight="1">
      <c r="A570" t="inlineStr">
        <is>
          <t>A 23128-2023</t>
        </is>
      </c>
      <c r="B570" s="1" t="n">
        <v>45075</v>
      </c>
      <c r="C570" s="1" t="n">
        <v>45705</v>
      </c>
      <c r="D570" t="inlineStr">
        <is>
          <t>UPPSALA LÄN</t>
        </is>
      </c>
      <c r="E570" t="inlineStr">
        <is>
          <t>ÖSTHAMMAR</t>
        </is>
      </c>
      <c r="G570" t="n">
        <v>6</v>
      </c>
      <c r="H570" t="n">
        <v>0</v>
      </c>
      <c r="I570" t="n">
        <v>0</v>
      </c>
      <c r="J570" t="n">
        <v>1</v>
      </c>
      <c r="K570" t="n">
        <v>0</v>
      </c>
      <c r="L570" t="n">
        <v>0</v>
      </c>
      <c r="M570" t="n">
        <v>0</v>
      </c>
      <c r="N570" t="n">
        <v>0</v>
      </c>
      <c r="O570" t="n">
        <v>1</v>
      </c>
      <c r="P570" t="n">
        <v>0</v>
      </c>
      <c r="Q570" t="n">
        <v>1</v>
      </c>
      <c r="R570" s="2" t="inlineStr">
        <is>
          <t>Grönhjon</t>
        </is>
      </c>
      <c r="S570">
        <f>HYPERLINK("https://klasma.github.io/Logging_0382/artfynd/A 23128-2023 artfynd.xlsx", "A 23128-2023")</f>
        <v/>
      </c>
      <c r="T570">
        <f>HYPERLINK("https://klasma.github.io/Logging_0382/kartor/A 23128-2023 karta.png", "A 23128-2023")</f>
        <v/>
      </c>
      <c r="V570">
        <f>HYPERLINK("https://klasma.github.io/Logging_0382/klagomål/A 23128-2023 FSC-klagomål.docx", "A 23128-2023")</f>
        <v/>
      </c>
      <c r="W570">
        <f>HYPERLINK("https://klasma.github.io/Logging_0382/klagomålsmail/A 23128-2023 FSC-klagomål mail.docx", "A 23128-2023")</f>
        <v/>
      </c>
      <c r="X570">
        <f>HYPERLINK("https://klasma.github.io/Logging_0382/tillsyn/A 23128-2023 tillsynsbegäran.docx", "A 23128-2023")</f>
        <v/>
      </c>
      <c r="Y570">
        <f>HYPERLINK("https://klasma.github.io/Logging_0382/tillsynsmail/A 23128-2023 tillsynsbegäran mail.docx", "A 23128-2023")</f>
        <v/>
      </c>
    </row>
    <row r="571" ht="15" customHeight="1">
      <c r="A571" t="inlineStr">
        <is>
          <t>A 25179-2023</t>
        </is>
      </c>
      <c r="B571" s="1" t="n">
        <v>45078</v>
      </c>
      <c r="C571" s="1" t="n">
        <v>45705</v>
      </c>
      <c r="D571" t="inlineStr">
        <is>
          <t>UPPSALA LÄN</t>
        </is>
      </c>
      <c r="E571" t="inlineStr">
        <is>
          <t>ÖSTHAMMAR</t>
        </is>
      </c>
      <c r="G571" t="n">
        <v>3.2</v>
      </c>
      <c r="H571" t="n">
        <v>0</v>
      </c>
      <c r="I571" t="n">
        <v>0</v>
      </c>
      <c r="J571" t="n">
        <v>1</v>
      </c>
      <c r="K571" t="n">
        <v>0</v>
      </c>
      <c r="L571" t="n">
        <v>0</v>
      </c>
      <c r="M571" t="n">
        <v>0</v>
      </c>
      <c r="N571" t="n">
        <v>0</v>
      </c>
      <c r="O571" t="n">
        <v>1</v>
      </c>
      <c r="P571" t="n">
        <v>0</v>
      </c>
      <c r="Q571" t="n">
        <v>1</v>
      </c>
      <c r="R571" s="2" t="inlineStr">
        <is>
          <t>Grantaggsvamp</t>
        </is>
      </c>
      <c r="S571">
        <f>HYPERLINK("https://klasma.github.io/Logging_0382/artfynd/A 25179-2023 artfynd.xlsx", "A 25179-2023")</f>
        <v/>
      </c>
      <c r="T571">
        <f>HYPERLINK("https://klasma.github.io/Logging_0382/kartor/A 25179-2023 karta.png", "A 25179-2023")</f>
        <v/>
      </c>
      <c r="V571">
        <f>HYPERLINK("https://klasma.github.io/Logging_0382/klagomål/A 25179-2023 FSC-klagomål.docx", "A 25179-2023")</f>
        <v/>
      </c>
      <c r="W571">
        <f>HYPERLINK("https://klasma.github.io/Logging_0382/klagomålsmail/A 25179-2023 FSC-klagomål mail.docx", "A 25179-2023")</f>
        <v/>
      </c>
      <c r="X571">
        <f>HYPERLINK("https://klasma.github.io/Logging_0382/tillsyn/A 25179-2023 tillsynsbegäran.docx", "A 25179-2023")</f>
        <v/>
      </c>
      <c r="Y571">
        <f>HYPERLINK("https://klasma.github.io/Logging_0382/tillsynsmail/A 25179-2023 tillsynsbegäran mail.docx", "A 25179-2023")</f>
        <v/>
      </c>
    </row>
    <row r="572" ht="15" customHeight="1">
      <c r="A572" t="inlineStr">
        <is>
          <t>A 26896-2023</t>
        </is>
      </c>
      <c r="B572" s="1" t="n">
        <v>45093</v>
      </c>
      <c r="C572" s="1" t="n">
        <v>45705</v>
      </c>
      <c r="D572" t="inlineStr">
        <is>
          <t>UPPSALA LÄN</t>
        </is>
      </c>
      <c r="E572" t="inlineStr">
        <is>
          <t>ÖSTHAMMAR</t>
        </is>
      </c>
      <c r="G572" t="n">
        <v>3.2</v>
      </c>
      <c r="H572" t="n">
        <v>0</v>
      </c>
      <c r="I572" t="n">
        <v>1</v>
      </c>
      <c r="J572" t="n">
        <v>0</v>
      </c>
      <c r="K572" t="n">
        <v>0</v>
      </c>
      <c r="L572" t="n">
        <v>0</v>
      </c>
      <c r="M572" t="n">
        <v>0</v>
      </c>
      <c r="N572" t="n">
        <v>0</v>
      </c>
      <c r="O572" t="n">
        <v>0</v>
      </c>
      <c r="P572" t="n">
        <v>0</v>
      </c>
      <c r="Q572" t="n">
        <v>1</v>
      </c>
      <c r="R572" s="2" t="inlineStr">
        <is>
          <t>Mörk husmossa</t>
        </is>
      </c>
      <c r="S572">
        <f>HYPERLINK("https://klasma.github.io/Logging_0382/artfynd/A 26896-2023 artfynd.xlsx", "A 26896-2023")</f>
        <v/>
      </c>
      <c r="T572">
        <f>HYPERLINK("https://klasma.github.io/Logging_0382/kartor/A 26896-2023 karta.png", "A 26896-2023")</f>
        <v/>
      </c>
      <c r="V572">
        <f>HYPERLINK("https://klasma.github.io/Logging_0382/klagomål/A 26896-2023 FSC-klagomål.docx", "A 26896-2023")</f>
        <v/>
      </c>
      <c r="W572">
        <f>HYPERLINK("https://klasma.github.io/Logging_0382/klagomålsmail/A 26896-2023 FSC-klagomål mail.docx", "A 26896-2023")</f>
        <v/>
      </c>
      <c r="X572">
        <f>HYPERLINK("https://klasma.github.io/Logging_0382/tillsyn/A 26896-2023 tillsynsbegäran.docx", "A 26896-2023")</f>
        <v/>
      </c>
      <c r="Y572">
        <f>HYPERLINK("https://klasma.github.io/Logging_0382/tillsynsmail/A 26896-2023 tillsynsbegäran mail.docx", "A 26896-2023")</f>
        <v/>
      </c>
    </row>
    <row r="573" ht="15" customHeight="1">
      <c r="A573" t="inlineStr">
        <is>
          <t>A 26932-2023</t>
        </is>
      </c>
      <c r="B573" s="1" t="n">
        <v>45093</v>
      </c>
      <c r="C573" s="1" t="n">
        <v>45705</v>
      </c>
      <c r="D573" t="inlineStr">
        <is>
          <t>UPPSALA LÄN</t>
        </is>
      </c>
      <c r="E573" t="inlineStr">
        <is>
          <t>HEBY</t>
        </is>
      </c>
      <c r="G573" t="n">
        <v>12.3</v>
      </c>
      <c r="H573" t="n">
        <v>1</v>
      </c>
      <c r="I573" t="n">
        <v>0</v>
      </c>
      <c r="J573" t="n">
        <v>1</v>
      </c>
      <c r="K573" t="n">
        <v>0</v>
      </c>
      <c r="L573" t="n">
        <v>0</v>
      </c>
      <c r="M573" t="n">
        <v>0</v>
      </c>
      <c r="N573" t="n">
        <v>0</v>
      </c>
      <c r="O573" t="n">
        <v>1</v>
      </c>
      <c r="P573" t="n">
        <v>0</v>
      </c>
      <c r="Q573" t="n">
        <v>1</v>
      </c>
      <c r="R573" s="2" t="inlineStr">
        <is>
          <t>Tretåig hackspett</t>
        </is>
      </c>
      <c r="S573">
        <f>HYPERLINK("https://klasma.github.io/Logging_0331/artfynd/A 26932-2023 artfynd.xlsx", "A 26932-2023")</f>
        <v/>
      </c>
      <c r="T573">
        <f>HYPERLINK("https://klasma.github.io/Logging_0331/kartor/A 26932-2023 karta.png", "A 26932-2023")</f>
        <v/>
      </c>
      <c r="V573">
        <f>HYPERLINK("https://klasma.github.io/Logging_0331/klagomål/A 26932-2023 FSC-klagomål.docx", "A 26932-2023")</f>
        <v/>
      </c>
      <c r="W573">
        <f>HYPERLINK("https://klasma.github.io/Logging_0331/klagomålsmail/A 26932-2023 FSC-klagomål mail.docx", "A 26932-2023")</f>
        <v/>
      </c>
      <c r="X573">
        <f>HYPERLINK("https://klasma.github.io/Logging_0331/tillsyn/A 26932-2023 tillsynsbegäran.docx", "A 26932-2023")</f>
        <v/>
      </c>
      <c r="Y573">
        <f>HYPERLINK("https://klasma.github.io/Logging_0331/tillsynsmail/A 26932-2023 tillsynsbegäran mail.docx", "A 26932-2023")</f>
        <v/>
      </c>
      <c r="Z573">
        <f>HYPERLINK("https://klasma.github.io/Logging_0331/fåglar/A 26932-2023 prioriterade fågelarter.docx", "A 26932-2023")</f>
        <v/>
      </c>
    </row>
    <row r="574" ht="15" customHeight="1">
      <c r="A574" t="inlineStr">
        <is>
          <t>A 27848-2023</t>
        </is>
      </c>
      <c r="B574" s="1" t="n">
        <v>45098</v>
      </c>
      <c r="C574" s="1" t="n">
        <v>45705</v>
      </c>
      <c r="D574" t="inlineStr">
        <is>
          <t>UPPSALA LÄN</t>
        </is>
      </c>
      <c r="E574" t="inlineStr">
        <is>
          <t>UPPSALA</t>
        </is>
      </c>
      <c r="G574" t="n">
        <v>14.3</v>
      </c>
      <c r="H574" t="n">
        <v>0</v>
      </c>
      <c r="I574" t="n">
        <v>1</v>
      </c>
      <c r="J574" t="n">
        <v>0</v>
      </c>
      <c r="K574" t="n">
        <v>0</v>
      </c>
      <c r="L574" t="n">
        <v>0</v>
      </c>
      <c r="M574" t="n">
        <v>0</v>
      </c>
      <c r="N574" t="n">
        <v>0</v>
      </c>
      <c r="O574" t="n">
        <v>0</v>
      </c>
      <c r="P574" t="n">
        <v>0</v>
      </c>
      <c r="Q574" t="n">
        <v>1</v>
      </c>
      <c r="R574" s="2" t="inlineStr">
        <is>
          <t>Blåmossa</t>
        </is>
      </c>
      <c r="S574">
        <f>HYPERLINK("https://klasma.github.io/Logging_0380/artfynd/A 27848-2023 artfynd.xlsx", "A 27848-2023")</f>
        <v/>
      </c>
      <c r="T574">
        <f>HYPERLINK("https://klasma.github.io/Logging_0380/kartor/A 27848-2023 karta.png", "A 27848-2023")</f>
        <v/>
      </c>
      <c r="V574">
        <f>HYPERLINK("https://klasma.github.io/Logging_0380/klagomål/A 27848-2023 FSC-klagomål.docx", "A 27848-2023")</f>
        <v/>
      </c>
      <c r="W574">
        <f>HYPERLINK("https://klasma.github.io/Logging_0380/klagomålsmail/A 27848-2023 FSC-klagomål mail.docx", "A 27848-2023")</f>
        <v/>
      </c>
      <c r="X574">
        <f>HYPERLINK("https://klasma.github.io/Logging_0380/tillsyn/A 27848-2023 tillsynsbegäran.docx", "A 27848-2023")</f>
        <v/>
      </c>
      <c r="Y574">
        <f>HYPERLINK("https://klasma.github.io/Logging_0380/tillsynsmail/A 27848-2023 tillsynsbegäran mail.docx", "A 27848-2023")</f>
        <v/>
      </c>
    </row>
    <row r="575" ht="15" customHeight="1">
      <c r="A575" t="inlineStr">
        <is>
          <t>A 27871-2023</t>
        </is>
      </c>
      <c r="B575" s="1" t="n">
        <v>45098</v>
      </c>
      <c r="C575" s="1" t="n">
        <v>45705</v>
      </c>
      <c r="D575" t="inlineStr">
        <is>
          <t>UPPSALA LÄN</t>
        </is>
      </c>
      <c r="E575" t="inlineStr">
        <is>
          <t>HEBY</t>
        </is>
      </c>
      <c r="G575" t="n">
        <v>1</v>
      </c>
      <c r="H575" t="n">
        <v>0</v>
      </c>
      <c r="I575" t="n">
        <v>0</v>
      </c>
      <c r="J575" t="n">
        <v>1</v>
      </c>
      <c r="K575" t="n">
        <v>0</v>
      </c>
      <c r="L575" t="n">
        <v>0</v>
      </c>
      <c r="M575" t="n">
        <v>0</v>
      </c>
      <c r="N575" t="n">
        <v>0</v>
      </c>
      <c r="O575" t="n">
        <v>1</v>
      </c>
      <c r="P575" t="n">
        <v>0</v>
      </c>
      <c r="Q575" t="n">
        <v>1</v>
      </c>
      <c r="R575" s="2" t="inlineStr">
        <is>
          <t>Tallticka</t>
        </is>
      </c>
      <c r="S575">
        <f>HYPERLINK("https://klasma.github.io/Logging_0331/artfynd/A 27871-2023 artfynd.xlsx", "A 27871-2023")</f>
        <v/>
      </c>
      <c r="T575">
        <f>HYPERLINK("https://klasma.github.io/Logging_0331/kartor/A 27871-2023 karta.png", "A 27871-2023")</f>
        <v/>
      </c>
      <c r="V575">
        <f>HYPERLINK("https://klasma.github.io/Logging_0331/klagomål/A 27871-2023 FSC-klagomål.docx", "A 27871-2023")</f>
        <v/>
      </c>
      <c r="W575">
        <f>HYPERLINK("https://klasma.github.io/Logging_0331/klagomålsmail/A 27871-2023 FSC-klagomål mail.docx", "A 27871-2023")</f>
        <v/>
      </c>
      <c r="X575">
        <f>HYPERLINK("https://klasma.github.io/Logging_0331/tillsyn/A 27871-2023 tillsynsbegäran.docx", "A 27871-2023")</f>
        <v/>
      </c>
      <c r="Y575">
        <f>HYPERLINK("https://klasma.github.io/Logging_0331/tillsynsmail/A 27871-2023 tillsynsbegäran mail.docx", "A 27871-2023")</f>
        <v/>
      </c>
    </row>
    <row r="576" ht="15" customHeight="1">
      <c r="A576" t="inlineStr">
        <is>
          <t>A 28951-2023</t>
        </is>
      </c>
      <c r="B576" s="1" t="n">
        <v>45104</v>
      </c>
      <c r="C576" s="1" t="n">
        <v>45705</v>
      </c>
      <c r="D576" t="inlineStr">
        <is>
          <t>UPPSALA LÄN</t>
        </is>
      </c>
      <c r="E576" t="inlineStr">
        <is>
          <t>UPPSALA</t>
        </is>
      </c>
      <c r="G576" t="n">
        <v>3.7</v>
      </c>
      <c r="H576" t="n">
        <v>0</v>
      </c>
      <c r="I576" t="n">
        <v>1</v>
      </c>
      <c r="J576" t="n">
        <v>0</v>
      </c>
      <c r="K576" t="n">
        <v>0</v>
      </c>
      <c r="L576" t="n">
        <v>0</v>
      </c>
      <c r="M576" t="n">
        <v>0</v>
      </c>
      <c r="N576" t="n">
        <v>0</v>
      </c>
      <c r="O576" t="n">
        <v>0</v>
      </c>
      <c r="P576" t="n">
        <v>0</v>
      </c>
      <c r="Q576" t="n">
        <v>1</v>
      </c>
      <c r="R576" s="2" t="inlineStr">
        <is>
          <t>Grönpyrola</t>
        </is>
      </c>
      <c r="S576">
        <f>HYPERLINK("https://klasma.github.io/Logging_0380/artfynd/A 28951-2023 artfynd.xlsx", "A 28951-2023")</f>
        <v/>
      </c>
      <c r="T576">
        <f>HYPERLINK("https://klasma.github.io/Logging_0380/kartor/A 28951-2023 karta.png", "A 28951-2023")</f>
        <v/>
      </c>
      <c r="V576">
        <f>HYPERLINK("https://klasma.github.io/Logging_0380/klagomål/A 28951-2023 FSC-klagomål.docx", "A 28951-2023")</f>
        <v/>
      </c>
      <c r="W576">
        <f>HYPERLINK("https://klasma.github.io/Logging_0380/klagomålsmail/A 28951-2023 FSC-klagomål mail.docx", "A 28951-2023")</f>
        <v/>
      </c>
      <c r="X576">
        <f>HYPERLINK("https://klasma.github.io/Logging_0380/tillsyn/A 28951-2023 tillsynsbegäran.docx", "A 28951-2023")</f>
        <v/>
      </c>
      <c r="Y576">
        <f>HYPERLINK("https://klasma.github.io/Logging_0380/tillsynsmail/A 28951-2023 tillsynsbegäran mail.docx", "A 28951-2023")</f>
        <v/>
      </c>
    </row>
    <row r="577" ht="15" customHeight="1">
      <c r="A577" t="inlineStr">
        <is>
          <t>A 29679-2023</t>
        </is>
      </c>
      <c r="B577" s="1" t="n">
        <v>45107</v>
      </c>
      <c r="C577" s="1" t="n">
        <v>45705</v>
      </c>
      <c r="D577" t="inlineStr">
        <is>
          <t>UPPSALA LÄN</t>
        </is>
      </c>
      <c r="E577" t="inlineStr">
        <is>
          <t>ÖSTHAMMAR</t>
        </is>
      </c>
      <c r="F577" t="inlineStr">
        <is>
          <t>Övriga Aktiebolag</t>
        </is>
      </c>
      <c r="G577" t="n">
        <v>7.3</v>
      </c>
      <c r="H577" t="n">
        <v>0</v>
      </c>
      <c r="I577" t="n">
        <v>0</v>
      </c>
      <c r="J577" t="n">
        <v>1</v>
      </c>
      <c r="K577" t="n">
        <v>0</v>
      </c>
      <c r="L577" t="n">
        <v>0</v>
      </c>
      <c r="M577" t="n">
        <v>0</v>
      </c>
      <c r="N577" t="n">
        <v>0</v>
      </c>
      <c r="O577" t="n">
        <v>1</v>
      </c>
      <c r="P577" t="n">
        <v>0</v>
      </c>
      <c r="Q577" t="n">
        <v>1</v>
      </c>
      <c r="R577" s="2" t="inlineStr">
        <is>
          <t>Vintertagging</t>
        </is>
      </c>
      <c r="S577">
        <f>HYPERLINK("https://klasma.github.io/Logging_0382/artfynd/A 29679-2023 artfynd.xlsx", "A 29679-2023")</f>
        <v/>
      </c>
      <c r="T577">
        <f>HYPERLINK("https://klasma.github.io/Logging_0382/kartor/A 29679-2023 karta.png", "A 29679-2023")</f>
        <v/>
      </c>
      <c r="V577">
        <f>HYPERLINK("https://klasma.github.io/Logging_0382/klagomål/A 29679-2023 FSC-klagomål.docx", "A 29679-2023")</f>
        <v/>
      </c>
      <c r="W577">
        <f>HYPERLINK("https://klasma.github.io/Logging_0382/klagomålsmail/A 29679-2023 FSC-klagomål mail.docx", "A 29679-2023")</f>
        <v/>
      </c>
      <c r="X577">
        <f>HYPERLINK("https://klasma.github.io/Logging_0382/tillsyn/A 29679-2023 tillsynsbegäran.docx", "A 29679-2023")</f>
        <v/>
      </c>
      <c r="Y577">
        <f>HYPERLINK("https://klasma.github.io/Logging_0382/tillsynsmail/A 29679-2023 tillsynsbegäran mail.docx", "A 29679-2023")</f>
        <v/>
      </c>
    </row>
    <row r="578" ht="15" customHeight="1">
      <c r="A578" t="inlineStr">
        <is>
          <t>A 29906-2023</t>
        </is>
      </c>
      <c r="B578" s="1" t="n">
        <v>45107</v>
      </c>
      <c r="C578" s="1" t="n">
        <v>45705</v>
      </c>
      <c r="D578" t="inlineStr">
        <is>
          <t>UPPSALA LÄN</t>
        </is>
      </c>
      <c r="E578" t="inlineStr">
        <is>
          <t>UPPSALA</t>
        </is>
      </c>
      <c r="F578" t="inlineStr">
        <is>
          <t>Kyrkan</t>
        </is>
      </c>
      <c r="G578" t="n">
        <v>0.5</v>
      </c>
      <c r="H578" t="n">
        <v>0</v>
      </c>
      <c r="I578" t="n">
        <v>1</v>
      </c>
      <c r="J578" t="n">
        <v>0</v>
      </c>
      <c r="K578" t="n">
        <v>0</v>
      </c>
      <c r="L578" t="n">
        <v>0</v>
      </c>
      <c r="M578" t="n">
        <v>0</v>
      </c>
      <c r="N578" t="n">
        <v>0</v>
      </c>
      <c r="O578" t="n">
        <v>0</v>
      </c>
      <c r="P578" t="n">
        <v>0</v>
      </c>
      <c r="Q578" t="n">
        <v>1</v>
      </c>
      <c r="R578" s="2" t="inlineStr">
        <is>
          <t>Sotriska</t>
        </is>
      </c>
      <c r="S578">
        <f>HYPERLINK("https://klasma.github.io/Logging_0380/artfynd/A 29906-2023 artfynd.xlsx", "A 29906-2023")</f>
        <v/>
      </c>
      <c r="T578">
        <f>HYPERLINK("https://klasma.github.io/Logging_0380/kartor/A 29906-2023 karta.png", "A 29906-2023")</f>
        <v/>
      </c>
      <c r="V578">
        <f>HYPERLINK("https://klasma.github.io/Logging_0380/klagomål/A 29906-2023 FSC-klagomål.docx", "A 29906-2023")</f>
        <v/>
      </c>
      <c r="W578">
        <f>HYPERLINK("https://klasma.github.io/Logging_0380/klagomålsmail/A 29906-2023 FSC-klagomål mail.docx", "A 29906-2023")</f>
        <v/>
      </c>
      <c r="X578">
        <f>HYPERLINK("https://klasma.github.io/Logging_0380/tillsyn/A 29906-2023 tillsynsbegäran.docx", "A 29906-2023")</f>
        <v/>
      </c>
      <c r="Y578">
        <f>HYPERLINK("https://klasma.github.io/Logging_0380/tillsynsmail/A 29906-2023 tillsynsbegäran mail.docx", "A 29906-2023")</f>
        <v/>
      </c>
    </row>
    <row r="579" ht="15" customHeight="1">
      <c r="A579" t="inlineStr">
        <is>
          <t>A 30526-2023</t>
        </is>
      </c>
      <c r="B579" s="1" t="n">
        <v>45111</v>
      </c>
      <c r="C579" s="1" t="n">
        <v>45705</v>
      </c>
      <c r="D579" t="inlineStr">
        <is>
          <t>UPPSALA LÄN</t>
        </is>
      </c>
      <c r="E579" t="inlineStr">
        <is>
          <t>HEBY</t>
        </is>
      </c>
      <c r="G579" t="n">
        <v>1.9</v>
      </c>
      <c r="H579" t="n">
        <v>1</v>
      </c>
      <c r="I579" t="n">
        <v>0</v>
      </c>
      <c r="J579" t="n">
        <v>1</v>
      </c>
      <c r="K579" t="n">
        <v>0</v>
      </c>
      <c r="L579" t="n">
        <v>0</v>
      </c>
      <c r="M579" t="n">
        <v>0</v>
      </c>
      <c r="N579" t="n">
        <v>0</v>
      </c>
      <c r="O579" t="n">
        <v>1</v>
      </c>
      <c r="P579" t="n">
        <v>0</v>
      </c>
      <c r="Q579" t="n">
        <v>1</v>
      </c>
      <c r="R579" s="2" t="inlineStr">
        <is>
          <t>Järpe</t>
        </is>
      </c>
      <c r="S579">
        <f>HYPERLINK("https://klasma.github.io/Logging_0331/artfynd/A 30526-2023 artfynd.xlsx", "A 30526-2023")</f>
        <v/>
      </c>
      <c r="T579">
        <f>HYPERLINK("https://klasma.github.io/Logging_0331/kartor/A 30526-2023 karta.png", "A 30526-2023")</f>
        <v/>
      </c>
      <c r="V579">
        <f>HYPERLINK("https://klasma.github.io/Logging_0331/klagomål/A 30526-2023 FSC-klagomål.docx", "A 30526-2023")</f>
        <v/>
      </c>
      <c r="W579">
        <f>HYPERLINK("https://klasma.github.io/Logging_0331/klagomålsmail/A 30526-2023 FSC-klagomål mail.docx", "A 30526-2023")</f>
        <v/>
      </c>
      <c r="X579">
        <f>HYPERLINK("https://klasma.github.io/Logging_0331/tillsyn/A 30526-2023 tillsynsbegäran.docx", "A 30526-2023")</f>
        <v/>
      </c>
      <c r="Y579">
        <f>HYPERLINK("https://klasma.github.io/Logging_0331/tillsynsmail/A 30526-2023 tillsynsbegäran mail.docx", "A 30526-2023")</f>
        <v/>
      </c>
      <c r="Z579">
        <f>HYPERLINK("https://klasma.github.io/Logging_0331/fåglar/A 30526-2023 prioriterade fågelarter.docx", "A 30526-2023")</f>
        <v/>
      </c>
    </row>
    <row r="580" ht="15" customHeight="1">
      <c r="A580" t="inlineStr">
        <is>
          <t>A 32292-2023</t>
        </is>
      </c>
      <c r="B580" s="1" t="n">
        <v>45120</v>
      </c>
      <c r="C580" s="1" t="n">
        <v>45705</v>
      </c>
      <c r="D580" t="inlineStr">
        <is>
          <t>UPPSALA LÄN</t>
        </is>
      </c>
      <c r="E580" t="inlineStr">
        <is>
          <t>HEBY</t>
        </is>
      </c>
      <c r="G580" t="n">
        <v>4.2</v>
      </c>
      <c r="H580" t="n">
        <v>0</v>
      </c>
      <c r="I580" t="n">
        <v>1</v>
      </c>
      <c r="J580" t="n">
        <v>0</v>
      </c>
      <c r="K580" t="n">
        <v>0</v>
      </c>
      <c r="L580" t="n">
        <v>0</v>
      </c>
      <c r="M580" t="n">
        <v>0</v>
      </c>
      <c r="N580" t="n">
        <v>0</v>
      </c>
      <c r="O580" t="n">
        <v>0</v>
      </c>
      <c r="P580" t="n">
        <v>0</v>
      </c>
      <c r="Q580" t="n">
        <v>1</v>
      </c>
      <c r="R580" s="2" t="inlineStr">
        <is>
          <t>Vedticka</t>
        </is>
      </c>
      <c r="S580">
        <f>HYPERLINK("https://klasma.github.io/Logging_0331/artfynd/A 32292-2023 artfynd.xlsx", "A 32292-2023")</f>
        <v/>
      </c>
      <c r="T580">
        <f>HYPERLINK("https://klasma.github.io/Logging_0331/kartor/A 32292-2023 karta.png", "A 32292-2023")</f>
        <v/>
      </c>
      <c r="V580">
        <f>HYPERLINK("https://klasma.github.io/Logging_0331/klagomål/A 32292-2023 FSC-klagomål.docx", "A 32292-2023")</f>
        <v/>
      </c>
      <c r="W580">
        <f>HYPERLINK("https://klasma.github.io/Logging_0331/klagomålsmail/A 32292-2023 FSC-klagomål mail.docx", "A 32292-2023")</f>
        <v/>
      </c>
      <c r="X580">
        <f>HYPERLINK("https://klasma.github.io/Logging_0331/tillsyn/A 32292-2023 tillsynsbegäran.docx", "A 32292-2023")</f>
        <v/>
      </c>
      <c r="Y580">
        <f>HYPERLINK("https://klasma.github.io/Logging_0331/tillsynsmail/A 32292-2023 tillsynsbegäran mail.docx", "A 32292-2023")</f>
        <v/>
      </c>
    </row>
    <row r="581" ht="15" customHeight="1">
      <c r="A581" t="inlineStr">
        <is>
          <t>A 32299-2023</t>
        </is>
      </c>
      <c r="B581" s="1" t="n">
        <v>45120</v>
      </c>
      <c r="C581" s="1" t="n">
        <v>45705</v>
      </c>
      <c r="D581" t="inlineStr">
        <is>
          <t>UPPSALA LÄN</t>
        </is>
      </c>
      <c r="E581" t="inlineStr">
        <is>
          <t>HEBY</t>
        </is>
      </c>
      <c r="G581" t="n">
        <v>2.1</v>
      </c>
      <c r="H581" t="n">
        <v>1</v>
      </c>
      <c r="I581" t="n">
        <v>0</v>
      </c>
      <c r="J581" t="n">
        <v>0</v>
      </c>
      <c r="K581" t="n">
        <v>0</v>
      </c>
      <c r="L581" t="n">
        <v>0</v>
      </c>
      <c r="M581" t="n">
        <v>0</v>
      </c>
      <c r="N581" t="n">
        <v>0</v>
      </c>
      <c r="O581" t="n">
        <v>0</v>
      </c>
      <c r="P581" t="n">
        <v>0</v>
      </c>
      <c r="Q581" t="n">
        <v>1</v>
      </c>
      <c r="R581" s="2" t="inlineStr">
        <is>
          <t>Revlummer</t>
        </is>
      </c>
      <c r="S581">
        <f>HYPERLINK("https://klasma.github.io/Logging_0331/artfynd/A 32299-2023 artfynd.xlsx", "A 32299-2023")</f>
        <v/>
      </c>
      <c r="T581">
        <f>HYPERLINK("https://klasma.github.io/Logging_0331/kartor/A 32299-2023 karta.png", "A 32299-2023")</f>
        <v/>
      </c>
      <c r="V581">
        <f>HYPERLINK("https://klasma.github.io/Logging_0331/klagomål/A 32299-2023 FSC-klagomål.docx", "A 32299-2023")</f>
        <v/>
      </c>
      <c r="W581">
        <f>HYPERLINK("https://klasma.github.io/Logging_0331/klagomålsmail/A 32299-2023 FSC-klagomål mail.docx", "A 32299-2023")</f>
        <v/>
      </c>
      <c r="X581">
        <f>HYPERLINK("https://klasma.github.io/Logging_0331/tillsyn/A 32299-2023 tillsynsbegäran.docx", "A 32299-2023")</f>
        <v/>
      </c>
      <c r="Y581">
        <f>HYPERLINK("https://klasma.github.io/Logging_0331/tillsynsmail/A 32299-2023 tillsynsbegäran mail.docx", "A 32299-2023")</f>
        <v/>
      </c>
    </row>
    <row r="582" ht="15" customHeight="1">
      <c r="A582" t="inlineStr">
        <is>
          <t>A 32302-2023</t>
        </is>
      </c>
      <c r="B582" s="1" t="n">
        <v>45120</v>
      </c>
      <c r="C582" s="1" t="n">
        <v>45705</v>
      </c>
      <c r="D582" t="inlineStr">
        <is>
          <t>UPPSALA LÄN</t>
        </is>
      </c>
      <c r="E582" t="inlineStr">
        <is>
          <t>HEBY</t>
        </is>
      </c>
      <c r="G582" t="n">
        <v>3.9</v>
      </c>
      <c r="H582" t="n">
        <v>1</v>
      </c>
      <c r="I582" t="n">
        <v>0</v>
      </c>
      <c r="J582" t="n">
        <v>1</v>
      </c>
      <c r="K582" t="n">
        <v>0</v>
      </c>
      <c r="L582" t="n">
        <v>0</v>
      </c>
      <c r="M582" t="n">
        <v>0</v>
      </c>
      <c r="N582" t="n">
        <v>0</v>
      </c>
      <c r="O582" t="n">
        <v>1</v>
      </c>
      <c r="P582" t="n">
        <v>0</v>
      </c>
      <c r="Q582" t="n">
        <v>1</v>
      </c>
      <c r="R582" s="2" t="inlineStr">
        <is>
          <t>Spillkråka</t>
        </is>
      </c>
      <c r="S582">
        <f>HYPERLINK("https://klasma.github.io/Logging_0331/artfynd/A 32302-2023 artfynd.xlsx", "A 32302-2023")</f>
        <v/>
      </c>
      <c r="T582">
        <f>HYPERLINK("https://klasma.github.io/Logging_0331/kartor/A 32302-2023 karta.png", "A 32302-2023")</f>
        <v/>
      </c>
      <c r="V582">
        <f>HYPERLINK("https://klasma.github.io/Logging_0331/klagomål/A 32302-2023 FSC-klagomål.docx", "A 32302-2023")</f>
        <v/>
      </c>
      <c r="W582">
        <f>HYPERLINK("https://klasma.github.io/Logging_0331/klagomålsmail/A 32302-2023 FSC-klagomål mail.docx", "A 32302-2023")</f>
        <v/>
      </c>
      <c r="X582">
        <f>HYPERLINK("https://klasma.github.io/Logging_0331/tillsyn/A 32302-2023 tillsynsbegäran.docx", "A 32302-2023")</f>
        <v/>
      </c>
      <c r="Y582">
        <f>HYPERLINK("https://klasma.github.io/Logging_0331/tillsynsmail/A 32302-2023 tillsynsbegäran mail.docx", "A 32302-2023")</f>
        <v/>
      </c>
      <c r="Z582">
        <f>HYPERLINK("https://klasma.github.io/Logging_0331/fåglar/A 32302-2023 prioriterade fågelarter.docx", "A 32302-2023")</f>
        <v/>
      </c>
    </row>
    <row r="583" ht="15" customHeight="1">
      <c r="A583" t="inlineStr">
        <is>
          <t>A 32518-2023</t>
        </is>
      </c>
      <c r="B583" s="1" t="n">
        <v>45121</v>
      </c>
      <c r="C583" s="1" t="n">
        <v>45705</v>
      </c>
      <c r="D583" t="inlineStr">
        <is>
          <t>UPPSALA LÄN</t>
        </is>
      </c>
      <c r="E583" t="inlineStr">
        <is>
          <t>ÖSTHAMMAR</t>
        </is>
      </c>
      <c r="G583" t="n">
        <v>11.1</v>
      </c>
      <c r="H583" t="n">
        <v>0</v>
      </c>
      <c r="I583" t="n">
        <v>1</v>
      </c>
      <c r="J583" t="n">
        <v>0</v>
      </c>
      <c r="K583" t="n">
        <v>0</v>
      </c>
      <c r="L583" t="n">
        <v>0</v>
      </c>
      <c r="M583" t="n">
        <v>0</v>
      </c>
      <c r="N583" t="n">
        <v>0</v>
      </c>
      <c r="O583" t="n">
        <v>0</v>
      </c>
      <c r="P583" t="n">
        <v>0</v>
      </c>
      <c r="Q583" t="n">
        <v>1</v>
      </c>
      <c r="R583" s="2" t="inlineStr">
        <is>
          <t>Olivspindling</t>
        </is>
      </c>
      <c r="S583">
        <f>HYPERLINK("https://klasma.github.io/Logging_0382/artfynd/A 32518-2023 artfynd.xlsx", "A 32518-2023")</f>
        <v/>
      </c>
      <c r="T583">
        <f>HYPERLINK("https://klasma.github.io/Logging_0382/kartor/A 32518-2023 karta.png", "A 32518-2023")</f>
        <v/>
      </c>
      <c r="V583">
        <f>HYPERLINK("https://klasma.github.io/Logging_0382/klagomål/A 32518-2023 FSC-klagomål.docx", "A 32518-2023")</f>
        <v/>
      </c>
      <c r="W583">
        <f>HYPERLINK("https://klasma.github.io/Logging_0382/klagomålsmail/A 32518-2023 FSC-klagomål mail.docx", "A 32518-2023")</f>
        <v/>
      </c>
      <c r="X583">
        <f>HYPERLINK("https://klasma.github.io/Logging_0382/tillsyn/A 32518-2023 tillsynsbegäran.docx", "A 32518-2023")</f>
        <v/>
      </c>
      <c r="Y583">
        <f>HYPERLINK("https://klasma.github.io/Logging_0382/tillsynsmail/A 32518-2023 tillsynsbegäran mail.docx", "A 32518-2023")</f>
        <v/>
      </c>
    </row>
    <row r="584" ht="15" customHeight="1">
      <c r="A584" t="inlineStr">
        <is>
          <t>A 32668-2023</t>
        </is>
      </c>
      <c r="B584" s="1" t="n">
        <v>45121</v>
      </c>
      <c r="C584" s="1" t="n">
        <v>45705</v>
      </c>
      <c r="D584" t="inlineStr">
        <is>
          <t>UPPSALA LÄN</t>
        </is>
      </c>
      <c r="E584" t="inlineStr">
        <is>
          <t>UPPSALA</t>
        </is>
      </c>
      <c r="F584" t="inlineStr">
        <is>
          <t>Holmen skog AB</t>
        </is>
      </c>
      <c r="G584" t="n">
        <v>6.3</v>
      </c>
      <c r="H584" t="n">
        <v>1</v>
      </c>
      <c r="I584" t="n">
        <v>0</v>
      </c>
      <c r="J584" t="n">
        <v>0</v>
      </c>
      <c r="K584" t="n">
        <v>0</v>
      </c>
      <c r="L584" t="n">
        <v>0</v>
      </c>
      <c r="M584" t="n">
        <v>0</v>
      </c>
      <c r="N584" t="n">
        <v>0</v>
      </c>
      <c r="O584" t="n">
        <v>0</v>
      </c>
      <c r="P584" t="n">
        <v>0</v>
      </c>
      <c r="Q584" t="n">
        <v>1</v>
      </c>
      <c r="R584" s="2" t="inlineStr">
        <is>
          <t>Blåsippa</t>
        </is>
      </c>
      <c r="S584">
        <f>HYPERLINK("https://klasma.github.io/Logging_0380/artfynd/A 32668-2023 artfynd.xlsx", "A 32668-2023")</f>
        <v/>
      </c>
      <c r="T584">
        <f>HYPERLINK("https://klasma.github.io/Logging_0380/kartor/A 32668-2023 karta.png", "A 32668-2023")</f>
        <v/>
      </c>
      <c r="V584">
        <f>HYPERLINK("https://klasma.github.io/Logging_0380/klagomål/A 32668-2023 FSC-klagomål.docx", "A 32668-2023")</f>
        <v/>
      </c>
      <c r="W584">
        <f>HYPERLINK("https://klasma.github.io/Logging_0380/klagomålsmail/A 32668-2023 FSC-klagomål mail.docx", "A 32668-2023")</f>
        <v/>
      </c>
      <c r="X584">
        <f>HYPERLINK("https://klasma.github.io/Logging_0380/tillsyn/A 32668-2023 tillsynsbegäran.docx", "A 32668-2023")</f>
        <v/>
      </c>
      <c r="Y584">
        <f>HYPERLINK("https://klasma.github.io/Logging_0380/tillsynsmail/A 32668-2023 tillsynsbegäran mail.docx", "A 32668-2023")</f>
        <v/>
      </c>
    </row>
    <row r="585" ht="15" customHeight="1">
      <c r="A585" t="inlineStr">
        <is>
          <t>A 32755-2023</t>
        </is>
      </c>
      <c r="B585" s="1" t="n">
        <v>45123</v>
      </c>
      <c r="C585" s="1" t="n">
        <v>45705</v>
      </c>
      <c r="D585" t="inlineStr">
        <is>
          <t>UPPSALA LÄN</t>
        </is>
      </c>
      <c r="E585" t="inlineStr">
        <is>
          <t>UPPSALA</t>
        </is>
      </c>
      <c r="G585" t="n">
        <v>5.7</v>
      </c>
      <c r="H585" t="n">
        <v>1</v>
      </c>
      <c r="I585" t="n">
        <v>0</v>
      </c>
      <c r="J585" t="n">
        <v>1</v>
      </c>
      <c r="K585" t="n">
        <v>0</v>
      </c>
      <c r="L585" t="n">
        <v>0</v>
      </c>
      <c r="M585" t="n">
        <v>0</v>
      </c>
      <c r="N585" t="n">
        <v>0</v>
      </c>
      <c r="O585" t="n">
        <v>1</v>
      </c>
      <c r="P585" t="n">
        <v>0</v>
      </c>
      <c r="Q585" t="n">
        <v>1</v>
      </c>
      <c r="R585" s="2" t="inlineStr">
        <is>
          <t>Spillkråka</t>
        </is>
      </c>
      <c r="S585">
        <f>HYPERLINK("https://klasma.github.io/Logging_0380/artfynd/A 32755-2023 artfynd.xlsx", "A 32755-2023")</f>
        <v/>
      </c>
      <c r="T585">
        <f>HYPERLINK("https://klasma.github.io/Logging_0380/kartor/A 32755-2023 karta.png", "A 32755-2023")</f>
        <v/>
      </c>
      <c r="V585">
        <f>HYPERLINK("https://klasma.github.io/Logging_0380/klagomål/A 32755-2023 FSC-klagomål.docx", "A 32755-2023")</f>
        <v/>
      </c>
      <c r="W585">
        <f>HYPERLINK("https://klasma.github.io/Logging_0380/klagomålsmail/A 32755-2023 FSC-klagomål mail.docx", "A 32755-2023")</f>
        <v/>
      </c>
      <c r="X585">
        <f>HYPERLINK("https://klasma.github.io/Logging_0380/tillsyn/A 32755-2023 tillsynsbegäran.docx", "A 32755-2023")</f>
        <v/>
      </c>
      <c r="Y585">
        <f>HYPERLINK("https://klasma.github.io/Logging_0380/tillsynsmail/A 32755-2023 tillsynsbegäran mail.docx", "A 32755-2023")</f>
        <v/>
      </c>
      <c r="Z585">
        <f>HYPERLINK("https://klasma.github.io/Logging_0380/fåglar/A 32755-2023 prioriterade fågelarter.docx", "A 32755-2023")</f>
        <v/>
      </c>
    </row>
    <row r="586" ht="15" customHeight="1">
      <c r="A586" t="inlineStr">
        <is>
          <t>A 33770-2023</t>
        </is>
      </c>
      <c r="B586" s="1" t="n">
        <v>45133</v>
      </c>
      <c r="C586" s="1" t="n">
        <v>45705</v>
      </c>
      <c r="D586" t="inlineStr">
        <is>
          <t>UPPSALA LÄN</t>
        </is>
      </c>
      <c r="E586" t="inlineStr">
        <is>
          <t>KNIVSTA</t>
        </is>
      </c>
      <c r="F586" t="inlineStr">
        <is>
          <t>Holmen skog AB</t>
        </is>
      </c>
      <c r="G586" t="n">
        <v>4</v>
      </c>
      <c r="H586" t="n">
        <v>1</v>
      </c>
      <c r="I586" t="n">
        <v>0</v>
      </c>
      <c r="J586" t="n">
        <v>1</v>
      </c>
      <c r="K586" t="n">
        <v>0</v>
      </c>
      <c r="L586" t="n">
        <v>0</v>
      </c>
      <c r="M586" t="n">
        <v>0</v>
      </c>
      <c r="N586" t="n">
        <v>0</v>
      </c>
      <c r="O586" t="n">
        <v>1</v>
      </c>
      <c r="P586" t="n">
        <v>0</v>
      </c>
      <c r="Q586" t="n">
        <v>1</v>
      </c>
      <c r="R586" s="2" t="inlineStr">
        <is>
          <t>Slaguggla</t>
        </is>
      </c>
      <c r="S586">
        <f>HYPERLINK("https://klasma.github.io/Logging_0330/artfynd/A 33770-2023 artfynd.xlsx", "A 33770-2023")</f>
        <v/>
      </c>
      <c r="T586">
        <f>HYPERLINK("https://klasma.github.io/Logging_0330/kartor/A 33770-2023 karta.png", "A 33770-2023")</f>
        <v/>
      </c>
      <c r="V586">
        <f>HYPERLINK("https://klasma.github.io/Logging_0330/klagomål/A 33770-2023 FSC-klagomål.docx", "A 33770-2023")</f>
        <v/>
      </c>
      <c r="W586">
        <f>HYPERLINK("https://klasma.github.io/Logging_0330/klagomålsmail/A 33770-2023 FSC-klagomål mail.docx", "A 33770-2023")</f>
        <v/>
      </c>
      <c r="X586">
        <f>HYPERLINK("https://klasma.github.io/Logging_0330/tillsyn/A 33770-2023 tillsynsbegäran.docx", "A 33770-2023")</f>
        <v/>
      </c>
      <c r="Y586">
        <f>HYPERLINK("https://klasma.github.io/Logging_0330/tillsynsmail/A 33770-2023 tillsynsbegäran mail.docx", "A 33770-2023")</f>
        <v/>
      </c>
      <c r="Z586">
        <f>HYPERLINK("https://klasma.github.io/Logging_0330/fåglar/A 33770-2023 prioriterade fågelarter.docx", "A 33770-2023")</f>
        <v/>
      </c>
    </row>
    <row r="587" ht="15" customHeight="1">
      <c r="A587" t="inlineStr">
        <is>
          <t>A 33858-2023</t>
        </is>
      </c>
      <c r="B587" s="1" t="n">
        <v>45133</v>
      </c>
      <c r="C587" s="1" t="n">
        <v>45705</v>
      </c>
      <c r="D587" t="inlineStr">
        <is>
          <t>UPPSALA LÄN</t>
        </is>
      </c>
      <c r="E587" t="inlineStr">
        <is>
          <t>HEBY</t>
        </is>
      </c>
      <c r="G587" t="n">
        <v>1</v>
      </c>
      <c r="H587" t="n">
        <v>0</v>
      </c>
      <c r="I587" t="n">
        <v>1</v>
      </c>
      <c r="J587" t="n">
        <v>0</v>
      </c>
      <c r="K587" t="n">
        <v>0</v>
      </c>
      <c r="L587" t="n">
        <v>0</v>
      </c>
      <c r="M587" t="n">
        <v>0</v>
      </c>
      <c r="N587" t="n">
        <v>0</v>
      </c>
      <c r="O587" t="n">
        <v>0</v>
      </c>
      <c r="P587" t="n">
        <v>0</v>
      </c>
      <c r="Q587" t="n">
        <v>1</v>
      </c>
      <c r="R587" s="2" t="inlineStr">
        <is>
          <t>Myskbock</t>
        </is>
      </c>
      <c r="S587">
        <f>HYPERLINK("https://klasma.github.io/Logging_0331/artfynd/A 33858-2023 artfynd.xlsx", "A 33858-2023")</f>
        <v/>
      </c>
      <c r="T587">
        <f>HYPERLINK("https://klasma.github.io/Logging_0331/kartor/A 33858-2023 karta.png", "A 33858-2023")</f>
        <v/>
      </c>
      <c r="V587">
        <f>HYPERLINK("https://klasma.github.io/Logging_0331/klagomål/A 33858-2023 FSC-klagomål.docx", "A 33858-2023")</f>
        <v/>
      </c>
      <c r="W587">
        <f>HYPERLINK("https://klasma.github.io/Logging_0331/klagomålsmail/A 33858-2023 FSC-klagomål mail.docx", "A 33858-2023")</f>
        <v/>
      </c>
      <c r="X587">
        <f>HYPERLINK("https://klasma.github.io/Logging_0331/tillsyn/A 33858-2023 tillsynsbegäran.docx", "A 33858-2023")</f>
        <v/>
      </c>
      <c r="Y587">
        <f>HYPERLINK("https://klasma.github.io/Logging_0331/tillsynsmail/A 33858-2023 tillsynsbegäran mail.docx", "A 33858-2023")</f>
        <v/>
      </c>
    </row>
    <row r="588" ht="15" customHeight="1">
      <c r="A588" t="inlineStr">
        <is>
          <t>A 34090-2023</t>
        </is>
      </c>
      <c r="B588" s="1" t="n">
        <v>45135</v>
      </c>
      <c r="C588" s="1" t="n">
        <v>45705</v>
      </c>
      <c r="D588" t="inlineStr">
        <is>
          <t>UPPSALA LÄN</t>
        </is>
      </c>
      <c r="E588" t="inlineStr">
        <is>
          <t>ÖSTHAMMAR</t>
        </is>
      </c>
      <c r="F588" t="inlineStr">
        <is>
          <t>Bergvik skog öst AB</t>
        </is>
      </c>
      <c r="G588" t="n">
        <v>5.7</v>
      </c>
      <c r="H588" t="n">
        <v>1</v>
      </c>
      <c r="I588" t="n">
        <v>0</v>
      </c>
      <c r="J588" t="n">
        <v>1</v>
      </c>
      <c r="K588" t="n">
        <v>0</v>
      </c>
      <c r="L588" t="n">
        <v>0</v>
      </c>
      <c r="M588" t="n">
        <v>0</v>
      </c>
      <c r="N588" t="n">
        <v>0</v>
      </c>
      <c r="O588" t="n">
        <v>1</v>
      </c>
      <c r="P588" t="n">
        <v>0</v>
      </c>
      <c r="Q588" t="n">
        <v>1</v>
      </c>
      <c r="R588" s="2" t="inlineStr">
        <is>
          <t>Spillkråka</t>
        </is>
      </c>
      <c r="S588">
        <f>HYPERLINK("https://klasma.github.io/Logging_0382/artfynd/A 34090-2023 artfynd.xlsx", "A 34090-2023")</f>
        <v/>
      </c>
      <c r="T588">
        <f>HYPERLINK("https://klasma.github.io/Logging_0382/kartor/A 34090-2023 karta.png", "A 34090-2023")</f>
        <v/>
      </c>
      <c r="V588">
        <f>HYPERLINK("https://klasma.github.io/Logging_0382/klagomål/A 34090-2023 FSC-klagomål.docx", "A 34090-2023")</f>
        <v/>
      </c>
      <c r="W588">
        <f>HYPERLINK("https://klasma.github.io/Logging_0382/klagomålsmail/A 34090-2023 FSC-klagomål mail.docx", "A 34090-2023")</f>
        <v/>
      </c>
      <c r="X588">
        <f>HYPERLINK("https://klasma.github.io/Logging_0382/tillsyn/A 34090-2023 tillsynsbegäran.docx", "A 34090-2023")</f>
        <v/>
      </c>
      <c r="Y588">
        <f>HYPERLINK("https://klasma.github.io/Logging_0382/tillsynsmail/A 34090-2023 tillsynsbegäran mail.docx", "A 34090-2023")</f>
        <v/>
      </c>
      <c r="Z588">
        <f>HYPERLINK("https://klasma.github.io/Logging_0382/fåglar/A 34090-2023 prioriterade fågelarter.docx", "A 34090-2023")</f>
        <v/>
      </c>
    </row>
    <row r="589" ht="15" customHeight="1">
      <c r="A589" t="inlineStr">
        <is>
          <t>A 34732-2023</t>
        </is>
      </c>
      <c r="B589" s="1" t="n">
        <v>45139</v>
      </c>
      <c r="C589" s="1" t="n">
        <v>45705</v>
      </c>
      <c r="D589" t="inlineStr">
        <is>
          <t>UPPSALA LÄN</t>
        </is>
      </c>
      <c r="E589" t="inlineStr">
        <is>
          <t>UPPSALA</t>
        </is>
      </c>
      <c r="G589" t="n">
        <v>8.1</v>
      </c>
      <c r="H589" t="n">
        <v>1</v>
      </c>
      <c r="I589" t="n">
        <v>1</v>
      </c>
      <c r="J589" t="n">
        <v>0</v>
      </c>
      <c r="K589" t="n">
        <v>0</v>
      </c>
      <c r="L589" t="n">
        <v>0</v>
      </c>
      <c r="M589" t="n">
        <v>0</v>
      </c>
      <c r="N589" t="n">
        <v>0</v>
      </c>
      <c r="O589" t="n">
        <v>0</v>
      </c>
      <c r="P589" t="n">
        <v>0</v>
      </c>
      <c r="Q589" t="n">
        <v>1</v>
      </c>
      <c r="R589" s="2" t="inlineStr">
        <is>
          <t>Grön sköldmossa</t>
        </is>
      </c>
      <c r="S589">
        <f>HYPERLINK("https://klasma.github.io/Logging_0380/artfynd/A 34732-2023 artfynd.xlsx", "A 34732-2023")</f>
        <v/>
      </c>
      <c r="T589">
        <f>HYPERLINK("https://klasma.github.io/Logging_0380/kartor/A 34732-2023 karta.png", "A 34732-2023")</f>
        <v/>
      </c>
      <c r="V589">
        <f>HYPERLINK("https://klasma.github.io/Logging_0380/klagomål/A 34732-2023 FSC-klagomål.docx", "A 34732-2023")</f>
        <v/>
      </c>
      <c r="W589">
        <f>HYPERLINK("https://klasma.github.io/Logging_0380/klagomålsmail/A 34732-2023 FSC-klagomål mail.docx", "A 34732-2023")</f>
        <v/>
      </c>
      <c r="X589">
        <f>HYPERLINK("https://klasma.github.io/Logging_0380/tillsyn/A 34732-2023 tillsynsbegäran.docx", "A 34732-2023")</f>
        <v/>
      </c>
      <c r="Y589">
        <f>HYPERLINK("https://klasma.github.io/Logging_0380/tillsynsmail/A 34732-2023 tillsynsbegäran mail.docx", "A 34732-2023")</f>
        <v/>
      </c>
    </row>
    <row r="590" ht="15" customHeight="1">
      <c r="A590" t="inlineStr">
        <is>
          <t>A 36864-2023</t>
        </is>
      </c>
      <c r="B590" s="1" t="n">
        <v>45154</v>
      </c>
      <c r="C590" s="1" t="n">
        <v>45705</v>
      </c>
      <c r="D590" t="inlineStr">
        <is>
          <t>UPPSALA LÄN</t>
        </is>
      </c>
      <c r="E590" t="inlineStr">
        <is>
          <t>ÖSTHAMMAR</t>
        </is>
      </c>
      <c r="G590" t="n">
        <v>3.1</v>
      </c>
      <c r="H590" t="n">
        <v>0</v>
      </c>
      <c r="I590" t="n">
        <v>1</v>
      </c>
      <c r="J590" t="n">
        <v>0</v>
      </c>
      <c r="K590" t="n">
        <v>0</v>
      </c>
      <c r="L590" t="n">
        <v>0</v>
      </c>
      <c r="M590" t="n">
        <v>0</v>
      </c>
      <c r="N590" t="n">
        <v>0</v>
      </c>
      <c r="O590" t="n">
        <v>0</v>
      </c>
      <c r="P590" t="n">
        <v>0</v>
      </c>
      <c r="Q590" t="n">
        <v>1</v>
      </c>
      <c r="R590" s="2" t="inlineStr">
        <is>
          <t>Bronshjon</t>
        </is>
      </c>
      <c r="S590">
        <f>HYPERLINK("https://klasma.github.io/Logging_0382/artfynd/A 36864-2023 artfynd.xlsx", "A 36864-2023")</f>
        <v/>
      </c>
      <c r="T590">
        <f>HYPERLINK("https://klasma.github.io/Logging_0382/kartor/A 36864-2023 karta.png", "A 36864-2023")</f>
        <v/>
      </c>
      <c r="V590">
        <f>HYPERLINK("https://klasma.github.io/Logging_0382/klagomål/A 36864-2023 FSC-klagomål.docx", "A 36864-2023")</f>
        <v/>
      </c>
      <c r="W590">
        <f>HYPERLINK("https://klasma.github.io/Logging_0382/klagomålsmail/A 36864-2023 FSC-klagomål mail.docx", "A 36864-2023")</f>
        <v/>
      </c>
      <c r="X590">
        <f>HYPERLINK("https://klasma.github.io/Logging_0382/tillsyn/A 36864-2023 tillsynsbegäran.docx", "A 36864-2023")</f>
        <v/>
      </c>
      <c r="Y590">
        <f>HYPERLINK("https://klasma.github.io/Logging_0382/tillsynsmail/A 36864-2023 tillsynsbegäran mail.docx", "A 36864-2023")</f>
        <v/>
      </c>
    </row>
    <row r="591" ht="15" customHeight="1">
      <c r="A591" t="inlineStr">
        <is>
          <t>A 38151-2023</t>
        </is>
      </c>
      <c r="B591" s="1" t="n">
        <v>45160</v>
      </c>
      <c r="C591" s="1" t="n">
        <v>45705</v>
      </c>
      <c r="D591" t="inlineStr">
        <is>
          <t>UPPSALA LÄN</t>
        </is>
      </c>
      <c r="E591" t="inlineStr">
        <is>
          <t>TIERP</t>
        </is>
      </c>
      <c r="G591" t="n">
        <v>1.4</v>
      </c>
      <c r="H591" t="n">
        <v>1</v>
      </c>
      <c r="I591" t="n">
        <v>0</v>
      </c>
      <c r="J591" t="n">
        <v>0</v>
      </c>
      <c r="K591" t="n">
        <v>0</v>
      </c>
      <c r="L591" t="n">
        <v>1</v>
      </c>
      <c r="M591" t="n">
        <v>0</v>
      </c>
      <c r="N591" t="n">
        <v>0</v>
      </c>
      <c r="O591" t="n">
        <v>1</v>
      </c>
      <c r="P591" t="n">
        <v>1</v>
      </c>
      <c r="Q591" t="n">
        <v>1</v>
      </c>
      <c r="R591" s="2" t="inlineStr">
        <is>
          <t>Tornseglare</t>
        </is>
      </c>
      <c r="S591">
        <f>HYPERLINK("https://klasma.github.io/Logging_0360/artfynd/A 38151-2023 artfynd.xlsx", "A 38151-2023")</f>
        <v/>
      </c>
      <c r="T591">
        <f>HYPERLINK("https://klasma.github.io/Logging_0360/kartor/A 38151-2023 karta.png", "A 38151-2023")</f>
        <v/>
      </c>
      <c r="V591">
        <f>HYPERLINK("https://klasma.github.io/Logging_0360/klagomål/A 38151-2023 FSC-klagomål.docx", "A 38151-2023")</f>
        <v/>
      </c>
      <c r="W591">
        <f>HYPERLINK("https://klasma.github.io/Logging_0360/klagomålsmail/A 38151-2023 FSC-klagomål mail.docx", "A 38151-2023")</f>
        <v/>
      </c>
      <c r="X591">
        <f>HYPERLINK("https://klasma.github.io/Logging_0360/tillsyn/A 38151-2023 tillsynsbegäran.docx", "A 38151-2023")</f>
        <v/>
      </c>
      <c r="Y591">
        <f>HYPERLINK("https://klasma.github.io/Logging_0360/tillsynsmail/A 38151-2023 tillsynsbegäran mail.docx", "A 38151-2023")</f>
        <v/>
      </c>
      <c r="Z591">
        <f>HYPERLINK("https://klasma.github.io/Logging_0360/fåglar/A 38151-2023 prioriterade fågelarter.docx", "A 38151-2023")</f>
        <v/>
      </c>
    </row>
    <row r="592" ht="15" customHeight="1">
      <c r="A592" t="inlineStr">
        <is>
          <t>A 38821-2023</t>
        </is>
      </c>
      <c r="B592" s="1" t="n">
        <v>45163</v>
      </c>
      <c r="C592" s="1" t="n">
        <v>45705</v>
      </c>
      <c r="D592" t="inlineStr">
        <is>
          <t>UPPSALA LÄN</t>
        </is>
      </c>
      <c r="E592" t="inlineStr">
        <is>
          <t>TIERP</t>
        </is>
      </c>
      <c r="G592" t="n">
        <v>20.3</v>
      </c>
      <c r="H592" t="n">
        <v>1</v>
      </c>
      <c r="I592" t="n">
        <v>0</v>
      </c>
      <c r="J592" t="n">
        <v>0</v>
      </c>
      <c r="K592" t="n">
        <v>0</v>
      </c>
      <c r="L592" t="n">
        <v>0</v>
      </c>
      <c r="M592" t="n">
        <v>0</v>
      </c>
      <c r="N592" t="n">
        <v>0</v>
      </c>
      <c r="O592" t="n">
        <v>0</v>
      </c>
      <c r="P592" t="n">
        <v>0</v>
      </c>
      <c r="Q592" t="n">
        <v>1</v>
      </c>
      <c r="R592" s="2" t="inlineStr">
        <is>
          <t>Revlummer</t>
        </is>
      </c>
      <c r="S592">
        <f>HYPERLINK("https://klasma.github.io/Logging_0360/artfynd/A 38821-2023 artfynd.xlsx", "A 38821-2023")</f>
        <v/>
      </c>
      <c r="T592">
        <f>HYPERLINK("https://klasma.github.io/Logging_0360/kartor/A 38821-2023 karta.png", "A 38821-2023")</f>
        <v/>
      </c>
      <c r="V592">
        <f>HYPERLINK("https://klasma.github.io/Logging_0360/klagomål/A 38821-2023 FSC-klagomål.docx", "A 38821-2023")</f>
        <v/>
      </c>
      <c r="W592">
        <f>HYPERLINK("https://klasma.github.io/Logging_0360/klagomålsmail/A 38821-2023 FSC-klagomål mail.docx", "A 38821-2023")</f>
        <v/>
      </c>
      <c r="X592">
        <f>HYPERLINK("https://klasma.github.io/Logging_0360/tillsyn/A 38821-2023 tillsynsbegäran.docx", "A 38821-2023")</f>
        <v/>
      </c>
      <c r="Y592">
        <f>HYPERLINK("https://klasma.github.io/Logging_0360/tillsynsmail/A 38821-2023 tillsynsbegäran mail.docx", "A 38821-2023")</f>
        <v/>
      </c>
    </row>
    <row r="593" ht="15" customHeight="1">
      <c r="A593" t="inlineStr">
        <is>
          <t>A 39623-2023</t>
        </is>
      </c>
      <c r="B593" s="1" t="n">
        <v>45164</v>
      </c>
      <c r="C593" s="1" t="n">
        <v>45705</v>
      </c>
      <c r="D593" t="inlineStr">
        <is>
          <t>UPPSALA LÄN</t>
        </is>
      </c>
      <c r="E593" t="inlineStr">
        <is>
          <t>ENKÖPING</t>
        </is>
      </c>
      <c r="G593" t="n">
        <v>7.6</v>
      </c>
      <c r="H593" t="n">
        <v>0</v>
      </c>
      <c r="I593" t="n">
        <v>1</v>
      </c>
      <c r="J593" t="n">
        <v>0</v>
      </c>
      <c r="K593" t="n">
        <v>0</v>
      </c>
      <c r="L593" t="n">
        <v>0</v>
      </c>
      <c r="M593" t="n">
        <v>0</v>
      </c>
      <c r="N593" t="n">
        <v>0</v>
      </c>
      <c r="O593" t="n">
        <v>0</v>
      </c>
      <c r="P593" t="n">
        <v>0</v>
      </c>
      <c r="Q593" t="n">
        <v>1</v>
      </c>
      <c r="R593" s="2" t="inlineStr">
        <is>
          <t>Strimspindling</t>
        </is>
      </c>
      <c r="S593">
        <f>HYPERLINK("https://klasma.github.io/Logging_0381/artfynd/A 39623-2023 artfynd.xlsx", "A 39623-2023")</f>
        <v/>
      </c>
      <c r="T593">
        <f>HYPERLINK("https://klasma.github.io/Logging_0381/kartor/A 39623-2023 karta.png", "A 39623-2023")</f>
        <v/>
      </c>
      <c r="V593">
        <f>HYPERLINK("https://klasma.github.io/Logging_0381/klagomål/A 39623-2023 FSC-klagomål.docx", "A 39623-2023")</f>
        <v/>
      </c>
      <c r="W593">
        <f>HYPERLINK("https://klasma.github.io/Logging_0381/klagomålsmail/A 39623-2023 FSC-klagomål mail.docx", "A 39623-2023")</f>
        <v/>
      </c>
      <c r="X593">
        <f>HYPERLINK("https://klasma.github.io/Logging_0381/tillsyn/A 39623-2023 tillsynsbegäran.docx", "A 39623-2023")</f>
        <v/>
      </c>
      <c r="Y593">
        <f>HYPERLINK("https://klasma.github.io/Logging_0381/tillsynsmail/A 39623-2023 tillsynsbegäran mail.docx", "A 39623-2023")</f>
        <v/>
      </c>
    </row>
    <row r="594" ht="15" customHeight="1">
      <c r="A594" t="inlineStr">
        <is>
          <t>A 39741-2023</t>
        </is>
      </c>
      <c r="B594" s="1" t="n">
        <v>45167</v>
      </c>
      <c r="C594" s="1" t="n">
        <v>45705</v>
      </c>
      <c r="D594" t="inlineStr">
        <is>
          <t>UPPSALA LÄN</t>
        </is>
      </c>
      <c r="E594" t="inlineStr">
        <is>
          <t>UPPSALA</t>
        </is>
      </c>
      <c r="G594" t="n">
        <v>5.6</v>
      </c>
      <c r="H594" t="n">
        <v>1</v>
      </c>
      <c r="I594" t="n">
        <v>0</v>
      </c>
      <c r="J594" t="n">
        <v>1</v>
      </c>
      <c r="K594" t="n">
        <v>0</v>
      </c>
      <c r="L594" t="n">
        <v>0</v>
      </c>
      <c r="M594" t="n">
        <v>0</v>
      </c>
      <c r="N594" t="n">
        <v>0</v>
      </c>
      <c r="O594" t="n">
        <v>1</v>
      </c>
      <c r="P594" t="n">
        <v>0</v>
      </c>
      <c r="Q594" t="n">
        <v>1</v>
      </c>
      <c r="R594" s="2" t="inlineStr">
        <is>
          <t>Entita</t>
        </is>
      </c>
      <c r="S594">
        <f>HYPERLINK("https://klasma.github.io/Logging_0380/artfynd/A 39741-2023 artfynd.xlsx", "A 39741-2023")</f>
        <v/>
      </c>
      <c r="T594">
        <f>HYPERLINK("https://klasma.github.io/Logging_0380/kartor/A 39741-2023 karta.png", "A 39741-2023")</f>
        <v/>
      </c>
      <c r="V594">
        <f>HYPERLINK("https://klasma.github.io/Logging_0380/klagomål/A 39741-2023 FSC-klagomål.docx", "A 39741-2023")</f>
        <v/>
      </c>
      <c r="W594">
        <f>HYPERLINK("https://klasma.github.io/Logging_0380/klagomålsmail/A 39741-2023 FSC-klagomål mail.docx", "A 39741-2023")</f>
        <v/>
      </c>
      <c r="X594">
        <f>HYPERLINK("https://klasma.github.io/Logging_0380/tillsyn/A 39741-2023 tillsynsbegäran.docx", "A 39741-2023")</f>
        <v/>
      </c>
      <c r="Y594">
        <f>HYPERLINK("https://klasma.github.io/Logging_0380/tillsynsmail/A 39741-2023 tillsynsbegäran mail.docx", "A 39741-2023")</f>
        <v/>
      </c>
      <c r="Z594">
        <f>HYPERLINK("https://klasma.github.io/Logging_0380/fåglar/A 39741-2023 prioriterade fågelarter.docx", "A 39741-2023")</f>
        <v/>
      </c>
    </row>
    <row r="595" ht="15" customHeight="1">
      <c r="A595" t="inlineStr">
        <is>
          <t>A 40349-2023</t>
        </is>
      </c>
      <c r="B595" s="1" t="n">
        <v>45169</v>
      </c>
      <c r="C595" s="1" t="n">
        <v>45705</v>
      </c>
      <c r="D595" t="inlineStr">
        <is>
          <t>UPPSALA LÄN</t>
        </is>
      </c>
      <c r="E595" t="inlineStr">
        <is>
          <t>HEBY</t>
        </is>
      </c>
      <c r="F595" t="inlineStr">
        <is>
          <t>Kyrkan</t>
        </is>
      </c>
      <c r="G595" t="n">
        <v>9.1</v>
      </c>
      <c r="H595" t="n">
        <v>1</v>
      </c>
      <c r="I595" t="n">
        <v>0</v>
      </c>
      <c r="J595" t="n">
        <v>0</v>
      </c>
      <c r="K595" t="n">
        <v>0</v>
      </c>
      <c r="L595" t="n">
        <v>0</v>
      </c>
      <c r="M595" t="n">
        <v>0</v>
      </c>
      <c r="N595" t="n">
        <v>0</v>
      </c>
      <c r="O595" t="n">
        <v>0</v>
      </c>
      <c r="P595" t="n">
        <v>0</v>
      </c>
      <c r="Q595" t="n">
        <v>1</v>
      </c>
      <c r="R595" s="2" t="inlineStr">
        <is>
          <t>Blåsippa</t>
        </is>
      </c>
      <c r="S595">
        <f>HYPERLINK("https://klasma.github.io/Logging_0331/artfynd/A 40349-2023 artfynd.xlsx", "A 40349-2023")</f>
        <v/>
      </c>
      <c r="T595">
        <f>HYPERLINK("https://klasma.github.io/Logging_0331/kartor/A 40349-2023 karta.png", "A 40349-2023")</f>
        <v/>
      </c>
      <c r="V595">
        <f>HYPERLINK("https://klasma.github.io/Logging_0331/klagomål/A 40349-2023 FSC-klagomål.docx", "A 40349-2023")</f>
        <v/>
      </c>
      <c r="W595">
        <f>HYPERLINK("https://klasma.github.io/Logging_0331/klagomålsmail/A 40349-2023 FSC-klagomål mail.docx", "A 40349-2023")</f>
        <v/>
      </c>
      <c r="X595">
        <f>HYPERLINK("https://klasma.github.io/Logging_0331/tillsyn/A 40349-2023 tillsynsbegäran.docx", "A 40349-2023")</f>
        <v/>
      </c>
      <c r="Y595">
        <f>HYPERLINK("https://klasma.github.io/Logging_0331/tillsynsmail/A 40349-2023 tillsynsbegäran mail.docx", "A 40349-2023")</f>
        <v/>
      </c>
    </row>
    <row r="596" ht="15" customHeight="1">
      <c r="A596" t="inlineStr">
        <is>
          <t>A 40878-2023</t>
        </is>
      </c>
      <c r="B596" s="1" t="n">
        <v>45173</v>
      </c>
      <c r="C596" s="1" t="n">
        <v>45705</v>
      </c>
      <c r="D596" t="inlineStr">
        <is>
          <t>UPPSALA LÄN</t>
        </is>
      </c>
      <c r="E596" t="inlineStr">
        <is>
          <t>TIERP</t>
        </is>
      </c>
      <c r="F596" t="inlineStr">
        <is>
          <t>Bergvik skog väst AB</t>
        </is>
      </c>
      <c r="G596" t="n">
        <v>4.7</v>
      </c>
      <c r="H596" t="n">
        <v>1</v>
      </c>
      <c r="I596" t="n">
        <v>1</v>
      </c>
      <c r="J596" t="n">
        <v>0</v>
      </c>
      <c r="K596" t="n">
        <v>0</v>
      </c>
      <c r="L596" t="n">
        <v>0</v>
      </c>
      <c r="M596" t="n">
        <v>0</v>
      </c>
      <c r="N596" t="n">
        <v>0</v>
      </c>
      <c r="O596" t="n">
        <v>0</v>
      </c>
      <c r="P596" t="n">
        <v>0</v>
      </c>
      <c r="Q596" t="n">
        <v>1</v>
      </c>
      <c r="R596" s="2" t="inlineStr">
        <is>
          <t>Grön sköldmossa</t>
        </is>
      </c>
      <c r="S596">
        <f>HYPERLINK("https://klasma.github.io/Logging_0360/artfynd/A 40878-2023 artfynd.xlsx", "A 40878-2023")</f>
        <v/>
      </c>
      <c r="T596">
        <f>HYPERLINK("https://klasma.github.io/Logging_0360/kartor/A 40878-2023 karta.png", "A 40878-2023")</f>
        <v/>
      </c>
      <c r="V596">
        <f>HYPERLINK("https://klasma.github.io/Logging_0360/klagomål/A 40878-2023 FSC-klagomål.docx", "A 40878-2023")</f>
        <v/>
      </c>
      <c r="W596">
        <f>HYPERLINK("https://klasma.github.io/Logging_0360/klagomålsmail/A 40878-2023 FSC-klagomål mail.docx", "A 40878-2023")</f>
        <v/>
      </c>
      <c r="X596">
        <f>HYPERLINK("https://klasma.github.io/Logging_0360/tillsyn/A 40878-2023 tillsynsbegäran.docx", "A 40878-2023")</f>
        <v/>
      </c>
      <c r="Y596">
        <f>HYPERLINK("https://klasma.github.io/Logging_0360/tillsynsmail/A 40878-2023 tillsynsbegäran mail.docx", "A 40878-2023")</f>
        <v/>
      </c>
    </row>
    <row r="597" ht="15" customHeight="1">
      <c r="A597" t="inlineStr">
        <is>
          <t>A 40940-2023</t>
        </is>
      </c>
      <c r="B597" s="1" t="n">
        <v>45173</v>
      </c>
      <c r="C597" s="1" t="n">
        <v>45705</v>
      </c>
      <c r="D597" t="inlineStr">
        <is>
          <t>UPPSALA LÄN</t>
        </is>
      </c>
      <c r="E597" t="inlineStr">
        <is>
          <t>TIERP</t>
        </is>
      </c>
      <c r="F597" t="inlineStr">
        <is>
          <t>Bergvik skog väst AB</t>
        </is>
      </c>
      <c r="G597" t="n">
        <v>1.3</v>
      </c>
      <c r="H597" t="n">
        <v>1</v>
      </c>
      <c r="I597" t="n">
        <v>1</v>
      </c>
      <c r="J597" t="n">
        <v>0</v>
      </c>
      <c r="K597" t="n">
        <v>0</v>
      </c>
      <c r="L597" t="n">
        <v>0</v>
      </c>
      <c r="M597" t="n">
        <v>0</v>
      </c>
      <c r="N597" t="n">
        <v>0</v>
      </c>
      <c r="O597" t="n">
        <v>0</v>
      </c>
      <c r="P597" t="n">
        <v>0</v>
      </c>
      <c r="Q597" t="n">
        <v>1</v>
      </c>
      <c r="R597" s="2" t="inlineStr">
        <is>
          <t>Skogsknipprot</t>
        </is>
      </c>
      <c r="S597">
        <f>HYPERLINK("https://klasma.github.io/Logging_0360/artfynd/A 40940-2023 artfynd.xlsx", "A 40940-2023")</f>
        <v/>
      </c>
      <c r="T597">
        <f>HYPERLINK("https://klasma.github.io/Logging_0360/kartor/A 40940-2023 karta.png", "A 40940-2023")</f>
        <v/>
      </c>
      <c r="V597">
        <f>HYPERLINK("https://klasma.github.io/Logging_0360/klagomål/A 40940-2023 FSC-klagomål.docx", "A 40940-2023")</f>
        <v/>
      </c>
      <c r="W597">
        <f>HYPERLINK("https://klasma.github.io/Logging_0360/klagomålsmail/A 40940-2023 FSC-klagomål mail.docx", "A 40940-2023")</f>
        <v/>
      </c>
      <c r="X597">
        <f>HYPERLINK("https://klasma.github.io/Logging_0360/tillsyn/A 40940-2023 tillsynsbegäran.docx", "A 40940-2023")</f>
        <v/>
      </c>
      <c r="Y597">
        <f>HYPERLINK("https://klasma.github.io/Logging_0360/tillsynsmail/A 40940-2023 tillsynsbegäran mail.docx", "A 40940-2023")</f>
        <v/>
      </c>
    </row>
    <row r="598" ht="15" customHeight="1">
      <c r="A598" t="inlineStr">
        <is>
          <t>A 43162-2023</t>
        </is>
      </c>
      <c r="B598" s="1" t="n">
        <v>45183</v>
      </c>
      <c r="C598" s="1" t="n">
        <v>45705</v>
      </c>
      <c r="D598" t="inlineStr">
        <is>
          <t>UPPSALA LÄN</t>
        </is>
      </c>
      <c r="E598" t="inlineStr">
        <is>
          <t>TIERP</t>
        </is>
      </c>
      <c r="F598" t="inlineStr">
        <is>
          <t>Bergvik skog öst AB</t>
        </is>
      </c>
      <c r="G598" t="n">
        <v>15.7</v>
      </c>
      <c r="H598" t="n">
        <v>1</v>
      </c>
      <c r="I598" t="n">
        <v>0</v>
      </c>
      <c r="J598" t="n">
        <v>1</v>
      </c>
      <c r="K598" t="n">
        <v>0</v>
      </c>
      <c r="L598" t="n">
        <v>0</v>
      </c>
      <c r="M598" t="n">
        <v>0</v>
      </c>
      <c r="N598" t="n">
        <v>0</v>
      </c>
      <c r="O598" t="n">
        <v>1</v>
      </c>
      <c r="P598" t="n">
        <v>0</v>
      </c>
      <c r="Q598" t="n">
        <v>1</v>
      </c>
      <c r="R598" s="2" t="inlineStr">
        <is>
          <t>Gulsparv</t>
        </is>
      </c>
      <c r="S598">
        <f>HYPERLINK("https://klasma.github.io/Logging_0360/artfynd/A 43162-2023 artfynd.xlsx", "A 43162-2023")</f>
        <v/>
      </c>
      <c r="T598">
        <f>HYPERLINK("https://klasma.github.io/Logging_0360/kartor/A 43162-2023 karta.png", "A 43162-2023")</f>
        <v/>
      </c>
      <c r="V598">
        <f>HYPERLINK("https://klasma.github.io/Logging_0360/klagomål/A 43162-2023 FSC-klagomål.docx", "A 43162-2023")</f>
        <v/>
      </c>
      <c r="W598">
        <f>HYPERLINK("https://klasma.github.io/Logging_0360/klagomålsmail/A 43162-2023 FSC-klagomål mail.docx", "A 43162-2023")</f>
        <v/>
      </c>
      <c r="X598">
        <f>HYPERLINK("https://klasma.github.io/Logging_0360/tillsyn/A 43162-2023 tillsynsbegäran.docx", "A 43162-2023")</f>
        <v/>
      </c>
      <c r="Y598">
        <f>HYPERLINK("https://klasma.github.io/Logging_0360/tillsynsmail/A 43162-2023 tillsynsbegäran mail.docx", "A 43162-2023")</f>
        <v/>
      </c>
      <c r="Z598">
        <f>HYPERLINK("https://klasma.github.io/Logging_0360/fåglar/A 43162-2023 prioriterade fågelarter.docx", "A 43162-2023")</f>
        <v/>
      </c>
    </row>
    <row r="599" ht="15" customHeight="1">
      <c r="A599" t="inlineStr">
        <is>
          <t>A 43699-2023</t>
        </is>
      </c>
      <c r="B599" s="1" t="n">
        <v>45187</v>
      </c>
      <c r="C599" s="1" t="n">
        <v>45705</v>
      </c>
      <c r="D599" t="inlineStr">
        <is>
          <t>UPPSALA LÄN</t>
        </is>
      </c>
      <c r="E599" t="inlineStr">
        <is>
          <t>KNIVSTA</t>
        </is>
      </c>
      <c r="G599" t="n">
        <v>5.2</v>
      </c>
      <c r="H599" t="n">
        <v>1</v>
      </c>
      <c r="I599" t="n">
        <v>0</v>
      </c>
      <c r="J599" t="n">
        <v>0</v>
      </c>
      <c r="K599" t="n">
        <v>0</v>
      </c>
      <c r="L599" t="n">
        <v>0</v>
      </c>
      <c r="M599" t="n">
        <v>0</v>
      </c>
      <c r="N599" t="n">
        <v>0</v>
      </c>
      <c r="O599" t="n">
        <v>0</v>
      </c>
      <c r="P599" t="n">
        <v>0</v>
      </c>
      <c r="Q599" t="n">
        <v>1</v>
      </c>
      <c r="R599" s="2" t="inlineStr">
        <is>
          <t>Gullviva</t>
        </is>
      </c>
      <c r="S599">
        <f>HYPERLINK("https://klasma.github.io/Logging_0330/artfynd/A 43699-2023 artfynd.xlsx", "A 43699-2023")</f>
        <v/>
      </c>
      <c r="T599">
        <f>HYPERLINK("https://klasma.github.io/Logging_0330/kartor/A 43699-2023 karta.png", "A 43699-2023")</f>
        <v/>
      </c>
      <c r="V599">
        <f>HYPERLINK("https://klasma.github.io/Logging_0330/klagomål/A 43699-2023 FSC-klagomål.docx", "A 43699-2023")</f>
        <v/>
      </c>
      <c r="W599">
        <f>HYPERLINK("https://klasma.github.io/Logging_0330/klagomålsmail/A 43699-2023 FSC-klagomål mail.docx", "A 43699-2023")</f>
        <v/>
      </c>
      <c r="X599">
        <f>HYPERLINK("https://klasma.github.io/Logging_0330/tillsyn/A 43699-2023 tillsynsbegäran.docx", "A 43699-2023")</f>
        <v/>
      </c>
      <c r="Y599">
        <f>HYPERLINK("https://klasma.github.io/Logging_0330/tillsynsmail/A 43699-2023 tillsynsbegäran mail.docx", "A 43699-2023")</f>
        <v/>
      </c>
    </row>
    <row r="600" ht="15" customHeight="1">
      <c r="A600" t="inlineStr">
        <is>
          <t>A 45116-2023</t>
        </is>
      </c>
      <c r="B600" s="1" t="n">
        <v>45191</v>
      </c>
      <c r="C600" s="1" t="n">
        <v>45705</v>
      </c>
      <c r="D600" t="inlineStr">
        <is>
          <t>UPPSALA LÄN</t>
        </is>
      </c>
      <c r="E600" t="inlineStr">
        <is>
          <t>ENKÖPING</t>
        </is>
      </c>
      <c r="G600" t="n">
        <v>2</v>
      </c>
      <c r="H600" t="n">
        <v>0</v>
      </c>
      <c r="I600" t="n">
        <v>1</v>
      </c>
      <c r="J600" t="n">
        <v>0</v>
      </c>
      <c r="K600" t="n">
        <v>0</v>
      </c>
      <c r="L600" t="n">
        <v>0</v>
      </c>
      <c r="M600" t="n">
        <v>0</v>
      </c>
      <c r="N600" t="n">
        <v>0</v>
      </c>
      <c r="O600" t="n">
        <v>0</v>
      </c>
      <c r="P600" t="n">
        <v>0</v>
      </c>
      <c r="Q600" t="n">
        <v>1</v>
      </c>
      <c r="R600" s="2" t="inlineStr">
        <is>
          <t>Rävticka</t>
        </is>
      </c>
      <c r="S600">
        <f>HYPERLINK("https://klasma.github.io/Logging_0381/artfynd/A 45116-2023 artfynd.xlsx", "A 45116-2023")</f>
        <v/>
      </c>
      <c r="T600">
        <f>HYPERLINK("https://klasma.github.io/Logging_0381/kartor/A 45116-2023 karta.png", "A 45116-2023")</f>
        <v/>
      </c>
      <c r="V600">
        <f>HYPERLINK("https://klasma.github.io/Logging_0381/klagomål/A 45116-2023 FSC-klagomål.docx", "A 45116-2023")</f>
        <v/>
      </c>
      <c r="W600">
        <f>HYPERLINK("https://klasma.github.io/Logging_0381/klagomålsmail/A 45116-2023 FSC-klagomål mail.docx", "A 45116-2023")</f>
        <v/>
      </c>
      <c r="X600">
        <f>HYPERLINK("https://klasma.github.io/Logging_0381/tillsyn/A 45116-2023 tillsynsbegäran.docx", "A 45116-2023")</f>
        <v/>
      </c>
      <c r="Y600">
        <f>HYPERLINK("https://klasma.github.io/Logging_0381/tillsynsmail/A 45116-2023 tillsynsbegäran mail.docx", "A 45116-2023")</f>
        <v/>
      </c>
    </row>
    <row r="601" ht="15" customHeight="1">
      <c r="A601" t="inlineStr">
        <is>
          <t>A 45617-2023</t>
        </is>
      </c>
      <c r="B601" s="1" t="n">
        <v>45194</v>
      </c>
      <c r="C601" s="1" t="n">
        <v>45705</v>
      </c>
      <c r="D601" t="inlineStr">
        <is>
          <t>UPPSALA LÄN</t>
        </is>
      </c>
      <c r="E601" t="inlineStr">
        <is>
          <t>ENKÖPING</t>
        </is>
      </c>
      <c r="G601" t="n">
        <v>2.9</v>
      </c>
      <c r="H601" t="n">
        <v>1</v>
      </c>
      <c r="I601" t="n">
        <v>0</v>
      </c>
      <c r="J601" t="n">
        <v>0</v>
      </c>
      <c r="K601" t="n">
        <v>1</v>
      </c>
      <c r="L601" t="n">
        <v>0</v>
      </c>
      <c r="M601" t="n">
        <v>0</v>
      </c>
      <c r="N601" t="n">
        <v>0</v>
      </c>
      <c r="O601" t="n">
        <v>1</v>
      </c>
      <c r="P601" t="n">
        <v>1</v>
      </c>
      <c r="Q601" t="n">
        <v>1</v>
      </c>
      <c r="R601" s="2" t="inlineStr">
        <is>
          <t>Knärot</t>
        </is>
      </c>
      <c r="S601">
        <f>HYPERLINK("https://klasma.github.io/Logging_0381/artfynd/A 45617-2023 artfynd.xlsx", "A 45617-2023")</f>
        <v/>
      </c>
      <c r="T601">
        <f>HYPERLINK("https://klasma.github.io/Logging_0381/kartor/A 45617-2023 karta.png", "A 45617-2023")</f>
        <v/>
      </c>
      <c r="U601">
        <f>HYPERLINK("https://klasma.github.io/Logging_0381/knärot/A 45617-2023 karta knärot.png", "A 45617-2023")</f>
        <v/>
      </c>
      <c r="V601">
        <f>HYPERLINK("https://klasma.github.io/Logging_0381/klagomål/A 45617-2023 FSC-klagomål.docx", "A 45617-2023")</f>
        <v/>
      </c>
      <c r="W601">
        <f>HYPERLINK("https://klasma.github.io/Logging_0381/klagomålsmail/A 45617-2023 FSC-klagomål mail.docx", "A 45617-2023")</f>
        <v/>
      </c>
      <c r="X601">
        <f>HYPERLINK("https://klasma.github.io/Logging_0381/tillsyn/A 45617-2023 tillsynsbegäran.docx", "A 45617-2023")</f>
        <v/>
      </c>
      <c r="Y601">
        <f>HYPERLINK("https://klasma.github.io/Logging_0381/tillsynsmail/A 45617-2023 tillsynsbegäran mail.docx", "A 45617-2023")</f>
        <v/>
      </c>
    </row>
    <row r="602" ht="15" customHeight="1">
      <c r="A602" t="inlineStr">
        <is>
          <t>A 46354-2023</t>
        </is>
      </c>
      <c r="B602" s="1" t="n">
        <v>45197</v>
      </c>
      <c r="C602" s="1" t="n">
        <v>45705</v>
      </c>
      <c r="D602" t="inlineStr">
        <is>
          <t>UPPSALA LÄN</t>
        </is>
      </c>
      <c r="E602" t="inlineStr">
        <is>
          <t>ÄLVKARLEBY</t>
        </is>
      </c>
      <c r="F602" t="inlineStr">
        <is>
          <t>Bergvik skog öst AB</t>
        </is>
      </c>
      <c r="G602" t="n">
        <v>2.3</v>
      </c>
      <c r="H602" t="n">
        <v>1</v>
      </c>
      <c r="I602" t="n">
        <v>1</v>
      </c>
      <c r="J602" t="n">
        <v>0</v>
      </c>
      <c r="K602" t="n">
        <v>0</v>
      </c>
      <c r="L602" t="n">
        <v>0</v>
      </c>
      <c r="M602" t="n">
        <v>0</v>
      </c>
      <c r="N602" t="n">
        <v>0</v>
      </c>
      <c r="O602" t="n">
        <v>0</v>
      </c>
      <c r="P602" t="n">
        <v>0</v>
      </c>
      <c r="Q602" t="n">
        <v>1</v>
      </c>
      <c r="R602" s="2" t="inlineStr">
        <is>
          <t>Skogsknipprot</t>
        </is>
      </c>
      <c r="S602">
        <f>HYPERLINK("https://klasma.github.io/Logging_0319/artfynd/A 46354-2023 artfynd.xlsx", "A 46354-2023")</f>
        <v/>
      </c>
      <c r="T602">
        <f>HYPERLINK("https://klasma.github.io/Logging_0319/kartor/A 46354-2023 karta.png", "A 46354-2023")</f>
        <v/>
      </c>
      <c r="V602">
        <f>HYPERLINK("https://klasma.github.io/Logging_0319/klagomål/A 46354-2023 FSC-klagomål.docx", "A 46354-2023")</f>
        <v/>
      </c>
      <c r="W602">
        <f>HYPERLINK("https://klasma.github.io/Logging_0319/klagomålsmail/A 46354-2023 FSC-klagomål mail.docx", "A 46354-2023")</f>
        <v/>
      </c>
      <c r="X602">
        <f>HYPERLINK("https://klasma.github.io/Logging_0319/tillsyn/A 46354-2023 tillsynsbegäran.docx", "A 46354-2023")</f>
        <v/>
      </c>
      <c r="Y602">
        <f>HYPERLINK("https://klasma.github.io/Logging_0319/tillsynsmail/A 46354-2023 tillsynsbegäran mail.docx", "A 46354-2023")</f>
        <v/>
      </c>
    </row>
    <row r="603" ht="15" customHeight="1">
      <c r="A603" t="inlineStr">
        <is>
          <t>A 48687-2023</t>
        </is>
      </c>
      <c r="B603" s="1" t="n">
        <v>45208</v>
      </c>
      <c r="C603" s="1" t="n">
        <v>45705</v>
      </c>
      <c r="D603" t="inlineStr">
        <is>
          <t>UPPSALA LÄN</t>
        </is>
      </c>
      <c r="E603" t="inlineStr">
        <is>
          <t>TIERP</t>
        </is>
      </c>
      <c r="F603" t="inlineStr">
        <is>
          <t>Bergvik skog öst AB</t>
        </is>
      </c>
      <c r="G603" t="n">
        <v>2.6</v>
      </c>
      <c r="H603" t="n">
        <v>1</v>
      </c>
      <c r="I603" t="n">
        <v>0</v>
      </c>
      <c r="J603" t="n">
        <v>1</v>
      </c>
      <c r="K603" t="n">
        <v>0</v>
      </c>
      <c r="L603" t="n">
        <v>0</v>
      </c>
      <c r="M603" t="n">
        <v>0</v>
      </c>
      <c r="N603" t="n">
        <v>0</v>
      </c>
      <c r="O603" t="n">
        <v>1</v>
      </c>
      <c r="P603" t="n">
        <v>0</v>
      </c>
      <c r="Q603" t="n">
        <v>1</v>
      </c>
      <c r="R603" s="2" t="inlineStr">
        <is>
          <t>Gulsparv</t>
        </is>
      </c>
      <c r="S603">
        <f>HYPERLINK("https://klasma.github.io/Logging_0360/artfynd/A 48687-2023 artfynd.xlsx", "A 48687-2023")</f>
        <v/>
      </c>
      <c r="T603">
        <f>HYPERLINK("https://klasma.github.io/Logging_0360/kartor/A 48687-2023 karta.png", "A 48687-2023")</f>
        <v/>
      </c>
      <c r="V603">
        <f>HYPERLINK("https://klasma.github.io/Logging_0360/klagomål/A 48687-2023 FSC-klagomål.docx", "A 48687-2023")</f>
        <v/>
      </c>
      <c r="W603">
        <f>HYPERLINK("https://klasma.github.io/Logging_0360/klagomålsmail/A 48687-2023 FSC-klagomål mail.docx", "A 48687-2023")</f>
        <v/>
      </c>
      <c r="X603">
        <f>HYPERLINK("https://klasma.github.io/Logging_0360/tillsyn/A 48687-2023 tillsynsbegäran.docx", "A 48687-2023")</f>
        <v/>
      </c>
      <c r="Y603">
        <f>HYPERLINK("https://klasma.github.io/Logging_0360/tillsynsmail/A 48687-2023 tillsynsbegäran mail.docx", "A 48687-2023")</f>
        <v/>
      </c>
      <c r="Z603">
        <f>HYPERLINK("https://klasma.github.io/Logging_0360/fåglar/A 48687-2023 prioriterade fågelarter.docx", "A 48687-2023")</f>
        <v/>
      </c>
    </row>
    <row r="604" ht="15" customHeight="1">
      <c r="A604" t="inlineStr">
        <is>
          <t>A 49794-2023</t>
        </is>
      </c>
      <c r="B604" s="1" t="n">
        <v>45212</v>
      </c>
      <c r="C604" s="1" t="n">
        <v>45705</v>
      </c>
      <c r="D604" t="inlineStr">
        <is>
          <t>UPPSALA LÄN</t>
        </is>
      </c>
      <c r="E604" t="inlineStr">
        <is>
          <t>TIERP</t>
        </is>
      </c>
      <c r="F604" t="inlineStr">
        <is>
          <t>Bergvik skog öst AB</t>
        </is>
      </c>
      <c r="G604" t="n">
        <v>12</v>
      </c>
      <c r="H604" t="n">
        <v>0</v>
      </c>
      <c r="I604" t="n">
        <v>0</v>
      </c>
      <c r="J604" t="n">
        <v>1</v>
      </c>
      <c r="K604" t="n">
        <v>0</v>
      </c>
      <c r="L604" t="n">
        <v>0</v>
      </c>
      <c r="M604" t="n">
        <v>0</v>
      </c>
      <c r="N604" t="n">
        <v>0</v>
      </c>
      <c r="O604" t="n">
        <v>1</v>
      </c>
      <c r="P604" t="n">
        <v>0</v>
      </c>
      <c r="Q604" t="n">
        <v>1</v>
      </c>
      <c r="R604" s="2" t="inlineStr">
        <is>
          <t>Slåtterfibbla</t>
        </is>
      </c>
      <c r="S604">
        <f>HYPERLINK("https://klasma.github.io/Logging_0360/artfynd/A 49794-2023 artfynd.xlsx", "A 49794-2023")</f>
        <v/>
      </c>
      <c r="T604">
        <f>HYPERLINK("https://klasma.github.io/Logging_0360/kartor/A 49794-2023 karta.png", "A 49794-2023")</f>
        <v/>
      </c>
      <c r="V604">
        <f>HYPERLINK("https://klasma.github.io/Logging_0360/klagomål/A 49794-2023 FSC-klagomål.docx", "A 49794-2023")</f>
        <v/>
      </c>
      <c r="W604">
        <f>HYPERLINK("https://klasma.github.io/Logging_0360/klagomålsmail/A 49794-2023 FSC-klagomål mail.docx", "A 49794-2023")</f>
        <v/>
      </c>
      <c r="X604">
        <f>HYPERLINK("https://klasma.github.io/Logging_0360/tillsyn/A 49794-2023 tillsynsbegäran.docx", "A 49794-2023")</f>
        <v/>
      </c>
      <c r="Y604">
        <f>HYPERLINK("https://klasma.github.io/Logging_0360/tillsynsmail/A 49794-2023 tillsynsbegäran mail.docx", "A 49794-2023")</f>
        <v/>
      </c>
    </row>
    <row r="605" ht="15" customHeight="1">
      <c r="A605" t="inlineStr">
        <is>
          <t>A 51382-2023</t>
        </is>
      </c>
      <c r="B605" s="1" t="n">
        <v>45219</v>
      </c>
      <c r="C605" s="1" t="n">
        <v>45705</v>
      </c>
      <c r="D605" t="inlineStr">
        <is>
          <t>UPPSALA LÄN</t>
        </is>
      </c>
      <c r="E605" t="inlineStr">
        <is>
          <t>ENKÖPING</t>
        </is>
      </c>
      <c r="F605" t="inlineStr">
        <is>
          <t>Allmännings- och besparingsskogar</t>
        </is>
      </c>
      <c r="G605" t="n">
        <v>15.9</v>
      </c>
      <c r="H605" t="n">
        <v>0</v>
      </c>
      <c r="I605" t="n">
        <v>0</v>
      </c>
      <c r="J605" t="n">
        <v>1</v>
      </c>
      <c r="K605" t="n">
        <v>0</v>
      </c>
      <c r="L605" t="n">
        <v>0</v>
      </c>
      <c r="M605" t="n">
        <v>0</v>
      </c>
      <c r="N605" t="n">
        <v>0</v>
      </c>
      <c r="O605" t="n">
        <v>1</v>
      </c>
      <c r="P605" t="n">
        <v>0</v>
      </c>
      <c r="Q605" t="n">
        <v>1</v>
      </c>
      <c r="R605" s="2" t="inlineStr">
        <is>
          <t>Krusfrö</t>
        </is>
      </c>
      <c r="S605">
        <f>HYPERLINK("https://klasma.github.io/Logging_0381/artfynd/A 51382-2023 artfynd.xlsx", "A 51382-2023")</f>
        <v/>
      </c>
      <c r="T605">
        <f>HYPERLINK("https://klasma.github.io/Logging_0381/kartor/A 51382-2023 karta.png", "A 51382-2023")</f>
        <v/>
      </c>
      <c r="V605">
        <f>HYPERLINK("https://klasma.github.io/Logging_0381/klagomål/A 51382-2023 FSC-klagomål.docx", "A 51382-2023")</f>
        <v/>
      </c>
      <c r="W605">
        <f>HYPERLINK("https://klasma.github.io/Logging_0381/klagomålsmail/A 51382-2023 FSC-klagomål mail.docx", "A 51382-2023")</f>
        <v/>
      </c>
      <c r="X605">
        <f>HYPERLINK("https://klasma.github.io/Logging_0381/tillsyn/A 51382-2023 tillsynsbegäran.docx", "A 51382-2023")</f>
        <v/>
      </c>
      <c r="Y605">
        <f>HYPERLINK("https://klasma.github.io/Logging_0381/tillsynsmail/A 51382-2023 tillsynsbegäran mail.docx", "A 51382-2023")</f>
        <v/>
      </c>
    </row>
    <row r="606" ht="15" customHeight="1">
      <c r="A606" t="inlineStr">
        <is>
          <t>A 51540-2023</t>
        </is>
      </c>
      <c r="B606" s="1" t="n">
        <v>45222</v>
      </c>
      <c r="C606" s="1" t="n">
        <v>45705</v>
      </c>
      <c r="D606" t="inlineStr">
        <is>
          <t>UPPSALA LÄN</t>
        </is>
      </c>
      <c r="E606" t="inlineStr">
        <is>
          <t>UPPSALA</t>
        </is>
      </c>
      <c r="G606" t="n">
        <v>6.4</v>
      </c>
      <c r="H606" t="n">
        <v>0</v>
      </c>
      <c r="I606" t="n">
        <v>0</v>
      </c>
      <c r="J606" t="n">
        <v>1</v>
      </c>
      <c r="K606" t="n">
        <v>0</v>
      </c>
      <c r="L606" t="n">
        <v>0</v>
      </c>
      <c r="M606" t="n">
        <v>0</v>
      </c>
      <c r="N606" t="n">
        <v>0</v>
      </c>
      <c r="O606" t="n">
        <v>1</v>
      </c>
      <c r="P606" t="n">
        <v>0</v>
      </c>
      <c r="Q606" t="n">
        <v>1</v>
      </c>
      <c r="R606" s="2" t="inlineStr">
        <is>
          <t>Svedjenäva</t>
        </is>
      </c>
      <c r="S606">
        <f>HYPERLINK("https://klasma.github.io/Logging_0380/artfynd/A 51540-2023 artfynd.xlsx", "A 51540-2023")</f>
        <v/>
      </c>
      <c r="T606">
        <f>HYPERLINK("https://klasma.github.io/Logging_0380/kartor/A 51540-2023 karta.png", "A 51540-2023")</f>
        <v/>
      </c>
      <c r="V606">
        <f>HYPERLINK("https://klasma.github.io/Logging_0380/klagomål/A 51540-2023 FSC-klagomål.docx", "A 51540-2023")</f>
        <v/>
      </c>
      <c r="W606">
        <f>HYPERLINK("https://klasma.github.io/Logging_0380/klagomålsmail/A 51540-2023 FSC-klagomål mail.docx", "A 51540-2023")</f>
        <v/>
      </c>
      <c r="X606">
        <f>HYPERLINK("https://klasma.github.io/Logging_0380/tillsyn/A 51540-2023 tillsynsbegäran.docx", "A 51540-2023")</f>
        <v/>
      </c>
      <c r="Y606">
        <f>HYPERLINK("https://klasma.github.io/Logging_0380/tillsynsmail/A 51540-2023 tillsynsbegäran mail.docx", "A 51540-2023")</f>
        <v/>
      </c>
    </row>
    <row r="607" ht="15" customHeight="1">
      <c r="A607" t="inlineStr">
        <is>
          <t>A 53342-2023</t>
        </is>
      </c>
      <c r="B607" s="1" t="n">
        <v>45229</v>
      </c>
      <c r="C607" s="1" t="n">
        <v>45705</v>
      </c>
      <c r="D607" t="inlineStr">
        <is>
          <t>UPPSALA LÄN</t>
        </is>
      </c>
      <c r="E607" t="inlineStr">
        <is>
          <t>ENKÖPING</t>
        </is>
      </c>
      <c r="G607" t="n">
        <v>28.8</v>
      </c>
      <c r="H607" t="n">
        <v>0</v>
      </c>
      <c r="I607" t="n">
        <v>0</v>
      </c>
      <c r="J607" t="n">
        <v>1</v>
      </c>
      <c r="K607" t="n">
        <v>0</v>
      </c>
      <c r="L607" t="n">
        <v>0</v>
      </c>
      <c r="M607" t="n">
        <v>0</v>
      </c>
      <c r="N607" t="n">
        <v>0</v>
      </c>
      <c r="O607" t="n">
        <v>1</v>
      </c>
      <c r="P607" t="n">
        <v>0</v>
      </c>
      <c r="Q607" t="n">
        <v>1</v>
      </c>
      <c r="R607" s="2" t="inlineStr">
        <is>
          <t>Tallticka</t>
        </is>
      </c>
      <c r="S607">
        <f>HYPERLINK("https://klasma.github.io/Logging_0381/artfynd/A 53342-2023 artfynd.xlsx", "A 53342-2023")</f>
        <v/>
      </c>
      <c r="T607">
        <f>HYPERLINK("https://klasma.github.io/Logging_0381/kartor/A 53342-2023 karta.png", "A 53342-2023")</f>
        <v/>
      </c>
      <c r="V607">
        <f>HYPERLINK("https://klasma.github.io/Logging_0381/klagomål/A 53342-2023 FSC-klagomål.docx", "A 53342-2023")</f>
        <v/>
      </c>
      <c r="W607">
        <f>HYPERLINK("https://klasma.github.io/Logging_0381/klagomålsmail/A 53342-2023 FSC-klagomål mail.docx", "A 53342-2023")</f>
        <v/>
      </c>
      <c r="X607">
        <f>HYPERLINK("https://klasma.github.io/Logging_0381/tillsyn/A 53342-2023 tillsynsbegäran.docx", "A 53342-2023")</f>
        <v/>
      </c>
      <c r="Y607">
        <f>HYPERLINK("https://klasma.github.io/Logging_0381/tillsynsmail/A 53342-2023 tillsynsbegäran mail.docx", "A 53342-2023")</f>
        <v/>
      </c>
    </row>
    <row r="608" ht="15" customHeight="1">
      <c r="A608" t="inlineStr">
        <is>
          <t>A 53706-2023</t>
        </is>
      </c>
      <c r="B608" s="1" t="n">
        <v>45230</v>
      </c>
      <c r="C608" s="1" t="n">
        <v>45705</v>
      </c>
      <c r="D608" t="inlineStr">
        <is>
          <t>UPPSALA LÄN</t>
        </is>
      </c>
      <c r="E608" t="inlineStr">
        <is>
          <t>ÖSTHAMMAR</t>
        </is>
      </c>
      <c r="G608" t="n">
        <v>2.9</v>
      </c>
      <c r="H608" t="n">
        <v>0</v>
      </c>
      <c r="I608" t="n">
        <v>1</v>
      </c>
      <c r="J608" t="n">
        <v>0</v>
      </c>
      <c r="K608" t="n">
        <v>0</v>
      </c>
      <c r="L608" t="n">
        <v>0</v>
      </c>
      <c r="M608" t="n">
        <v>0</v>
      </c>
      <c r="N608" t="n">
        <v>0</v>
      </c>
      <c r="O608" t="n">
        <v>0</v>
      </c>
      <c r="P608" t="n">
        <v>0</v>
      </c>
      <c r="Q608" t="n">
        <v>1</v>
      </c>
      <c r="R608" s="2" t="inlineStr">
        <is>
          <t>Dofttråding</t>
        </is>
      </c>
      <c r="S608">
        <f>HYPERLINK("https://klasma.github.io/Logging_0382/artfynd/A 53706-2023 artfynd.xlsx", "A 53706-2023")</f>
        <v/>
      </c>
      <c r="T608">
        <f>HYPERLINK("https://klasma.github.io/Logging_0382/kartor/A 53706-2023 karta.png", "A 53706-2023")</f>
        <v/>
      </c>
      <c r="V608">
        <f>HYPERLINK("https://klasma.github.io/Logging_0382/klagomål/A 53706-2023 FSC-klagomål.docx", "A 53706-2023")</f>
        <v/>
      </c>
      <c r="W608">
        <f>HYPERLINK("https://klasma.github.io/Logging_0382/klagomålsmail/A 53706-2023 FSC-klagomål mail.docx", "A 53706-2023")</f>
        <v/>
      </c>
      <c r="X608">
        <f>HYPERLINK("https://klasma.github.io/Logging_0382/tillsyn/A 53706-2023 tillsynsbegäran.docx", "A 53706-2023")</f>
        <v/>
      </c>
      <c r="Y608">
        <f>HYPERLINK("https://klasma.github.io/Logging_0382/tillsynsmail/A 53706-2023 tillsynsbegäran mail.docx", "A 53706-2023")</f>
        <v/>
      </c>
    </row>
    <row r="609" ht="15" customHeight="1">
      <c r="A609" t="inlineStr">
        <is>
          <t>A 53729-2023</t>
        </is>
      </c>
      <c r="B609" s="1" t="n">
        <v>45230</v>
      </c>
      <c r="C609" s="1" t="n">
        <v>45705</v>
      </c>
      <c r="D609" t="inlineStr">
        <is>
          <t>UPPSALA LÄN</t>
        </is>
      </c>
      <c r="E609" t="inlineStr">
        <is>
          <t>ÖSTHAMMAR</t>
        </is>
      </c>
      <c r="G609" t="n">
        <v>2.6</v>
      </c>
      <c r="H609" t="n">
        <v>1</v>
      </c>
      <c r="I609" t="n">
        <v>0</v>
      </c>
      <c r="J609" t="n">
        <v>0</v>
      </c>
      <c r="K609" t="n">
        <v>0</v>
      </c>
      <c r="L609" t="n">
        <v>0</v>
      </c>
      <c r="M609" t="n">
        <v>0</v>
      </c>
      <c r="N609" t="n">
        <v>0</v>
      </c>
      <c r="O609" t="n">
        <v>0</v>
      </c>
      <c r="P609" t="n">
        <v>0</v>
      </c>
      <c r="Q609" t="n">
        <v>1</v>
      </c>
      <c r="R609" s="2" t="inlineStr">
        <is>
          <t>Gullviva</t>
        </is>
      </c>
      <c r="S609">
        <f>HYPERLINK("https://klasma.github.io/Logging_0382/artfynd/A 53729-2023 artfynd.xlsx", "A 53729-2023")</f>
        <v/>
      </c>
      <c r="T609">
        <f>HYPERLINK("https://klasma.github.io/Logging_0382/kartor/A 53729-2023 karta.png", "A 53729-2023")</f>
        <v/>
      </c>
      <c r="V609">
        <f>HYPERLINK("https://klasma.github.io/Logging_0382/klagomål/A 53729-2023 FSC-klagomål.docx", "A 53729-2023")</f>
        <v/>
      </c>
      <c r="W609">
        <f>HYPERLINK("https://klasma.github.io/Logging_0382/klagomålsmail/A 53729-2023 FSC-klagomål mail.docx", "A 53729-2023")</f>
        <v/>
      </c>
      <c r="X609">
        <f>HYPERLINK("https://klasma.github.io/Logging_0382/tillsyn/A 53729-2023 tillsynsbegäran.docx", "A 53729-2023")</f>
        <v/>
      </c>
      <c r="Y609">
        <f>HYPERLINK("https://klasma.github.io/Logging_0382/tillsynsmail/A 53729-2023 tillsynsbegäran mail.docx", "A 53729-2023")</f>
        <v/>
      </c>
    </row>
    <row r="610" ht="15" customHeight="1">
      <c r="A610" t="inlineStr">
        <is>
          <t>A 53992-2023</t>
        </is>
      </c>
      <c r="B610" s="1" t="n">
        <v>45231</v>
      </c>
      <c r="C610" s="1" t="n">
        <v>45705</v>
      </c>
      <c r="D610" t="inlineStr">
        <is>
          <t>UPPSALA LÄN</t>
        </is>
      </c>
      <c r="E610" t="inlineStr">
        <is>
          <t>HEBY</t>
        </is>
      </c>
      <c r="G610" t="n">
        <v>1.2</v>
      </c>
      <c r="H610" t="n">
        <v>0</v>
      </c>
      <c r="I610" t="n">
        <v>0</v>
      </c>
      <c r="J610" t="n">
        <v>1</v>
      </c>
      <c r="K610" t="n">
        <v>0</v>
      </c>
      <c r="L610" t="n">
        <v>0</v>
      </c>
      <c r="M610" t="n">
        <v>0</v>
      </c>
      <c r="N610" t="n">
        <v>0</v>
      </c>
      <c r="O610" t="n">
        <v>1</v>
      </c>
      <c r="P610" t="n">
        <v>0</v>
      </c>
      <c r="Q610" t="n">
        <v>1</v>
      </c>
      <c r="R610" s="2" t="inlineStr">
        <is>
          <t>Igelkott</t>
        </is>
      </c>
      <c r="S610">
        <f>HYPERLINK("https://klasma.github.io/Logging_0331/artfynd/A 53992-2023 artfynd.xlsx", "A 53992-2023")</f>
        <v/>
      </c>
      <c r="T610">
        <f>HYPERLINK("https://klasma.github.io/Logging_0331/kartor/A 53992-2023 karta.png", "A 53992-2023")</f>
        <v/>
      </c>
      <c r="V610">
        <f>HYPERLINK("https://klasma.github.io/Logging_0331/klagomål/A 53992-2023 FSC-klagomål.docx", "A 53992-2023")</f>
        <v/>
      </c>
      <c r="W610">
        <f>HYPERLINK("https://klasma.github.io/Logging_0331/klagomålsmail/A 53992-2023 FSC-klagomål mail.docx", "A 53992-2023")</f>
        <v/>
      </c>
      <c r="X610">
        <f>HYPERLINK("https://klasma.github.io/Logging_0331/tillsyn/A 53992-2023 tillsynsbegäran.docx", "A 53992-2023")</f>
        <v/>
      </c>
      <c r="Y610">
        <f>HYPERLINK("https://klasma.github.io/Logging_0331/tillsynsmail/A 53992-2023 tillsynsbegäran mail.docx", "A 53992-2023")</f>
        <v/>
      </c>
    </row>
    <row r="611" ht="15" customHeight="1">
      <c r="A611" t="inlineStr">
        <is>
          <t>A 55492-2023</t>
        </is>
      </c>
      <c r="B611" s="1" t="n">
        <v>45238</v>
      </c>
      <c r="C611" s="1" t="n">
        <v>45705</v>
      </c>
      <c r="D611" t="inlineStr">
        <is>
          <t>UPPSALA LÄN</t>
        </is>
      </c>
      <c r="E611" t="inlineStr">
        <is>
          <t>ÖSTHAMMAR</t>
        </is>
      </c>
      <c r="G611" t="n">
        <v>3.1</v>
      </c>
      <c r="H611" t="n">
        <v>0</v>
      </c>
      <c r="I611" t="n">
        <v>0</v>
      </c>
      <c r="J611" t="n">
        <v>0</v>
      </c>
      <c r="K611" t="n">
        <v>1</v>
      </c>
      <c r="L611" t="n">
        <v>0</v>
      </c>
      <c r="M611" t="n">
        <v>0</v>
      </c>
      <c r="N611" t="n">
        <v>0</v>
      </c>
      <c r="O611" t="n">
        <v>1</v>
      </c>
      <c r="P611" t="n">
        <v>1</v>
      </c>
      <c r="Q611" t="n">
        <v>1</v>
      </c>
      <c r="R611" s="2" t="inlineStr">
        <is>
          <t>Violgubbe</t>
        </is>
      </c>
      <c r="S611">
        <f>HYPERLINK("https://klasma.github.io/Logging_0382/artfynd/A 55492-2023 artfynd.xlsx", "A 55492-2023")</f>
        <v/>
      </c>
      <c r="T611">
        <f>HYPERLINK("https://klasma.github.io/Logging_0382/kartor/A 55492-2023 karta.png", "A 55492-2023")</f>
        <v/>
      </c>
      <c r="V611">
        <f>HYPERLINK("https://klasma.github.io/Logging_0382/klagomål/A 55492-2023 FSC-klagomål.docx", "A 55492-2023")</f>
        <v/>
      </c>
      <c r="W611">
        <f>HYPERLINK("https://klasma.github.io/Logging_0382/klagomålsmail/A 55492-2023 FSC-klagomål mail.docx", "A 55492-2023")</f>
        <v/>
      </c>
      <c r="X611">
        <f>HYPERLINK("https://klasma.github.io/Logging_0382/tillsyn/A 55492-2023 tillsynsbegäran.docx", "A 55492-2023")</f>
        <v/>
      </c>
      <c r="Y611">
        <f>HYPERLINK("https://klasma.github.io/Logging_0382/tillsynsmail/A 55492-2023 tillsynsbegäran mail.docx", "A 55492-2023")</f>
        <v/>
      </c>
    </row>
    <row r="612" ht="15" customHeight="1">
      <c r="A612" t="inlineStr">
        <is>
          <t>A 56376-2023</t>
        </is>
      </c>
      <c r="B612" s="1" t="n">
        <v>45243</v>
      </c>
      <c r="C612" s="1" t="n">
        <v>45705</v>
      </c>
      <c r="D612" t="inlineStr">
        <is>
          <t>UPPSALA LÄN</t>
        </is>
      </c>
      <c r="E612" t="inlineStr">
        <is>
          <t>HEBY</t>
        </is>
      </c>
      <c r="G612" t="n">
        <v>5.6</v>
      </c>
      <c r="H612" t="n">
        <v>1</v>
      </c>
      <c r="I612" t="n">
        <v>1</v>
      </c>
      <c r="J612" t="n">
        <v>0</v>
      </c>
      <c r="K612" t="n">
        <v>0</v>
      </c>
      <c r="L612" t="n">
        <v>0</v>
      </c>
      <c r="M612" t="n">
        <v>0</v>
      </c>
      <c r="N612" t="n">
        <v>0</v>
      </c>
      <c r="O612" t="n">
        <v>0</v>
      </c>
      <c r="P612" t="n">
        <v>0</v>
      </c>
      <c r="Q612" t="n">
        <v>1</v>
      </c>
      <c r="R612" s="2" t="inlineStr">
        <is>
          <t>Skogsknipprot</t>
        </is>
      </c>
      <c r="S612">
        <f>HYPERLINK("https://klasma.github.io/Logging_0331/artfynd/A 56376-2023 artfynd.xlsx", "A 56376-2023")</f>
        <v/>
      </c>
      <c r="T612">
        <f>HYPERLINK("https://klasma.github.io/Logging_0331/kartor/A 56376-2023 karta.png", "A 56376-2023")</f>
        <v/>
      </c>
      <c r="V612">
        <f>HYPERLINK("https://klasma.github.io/Logging_0331/klagomål/A 56376-2023 FSC-klagomål.docx", "A 56376-2023")</f>
        <v/>
      </c>
      <c r="W612">
        <f>HYPERLINK("https://klasma.github.io/Logging_0331/klagomålsmail/A 56376-2023 FSC-klagomål mail.docx", "A 56376-2023")</f>
        <v/>
      </c>
      <c r="X612">
        <f>HYPERLINK("https://klasma.github.io/Logging_0331/tillsyn/A 56376-2023 tillsynsbegäran.docx", "A 56376-2023")</f>
        <v/>
      </c>
      <c r="Y612">
        <f>HYPERLINK("https://klasma.github.io/Logging_0331/tillsynsmail/A 56376-2023 tillsynsbegäran mail.docx", "A 56376-2023")</f>
        <v/>
      </c>
    </row>
    <row r="613" ht="15" customHeight="1">
      <c r="A613" t="inlineStr">
        <is>
          <t>A 57332-2023</t>
        </is>
      </c>
      <c r="B613" s="1" t="n">
        <v>45245</v>
      </c>
      <c r="C613" s="1" t="n">
        <v>45705</v>
      </c>
      <c r="D613" t="inlineStr">
        <is>
          <t>UPPSALA LÄN</t>
        </is>
      </c>
      <c r="E613" t="inlineStr">
        <is>
          <t>UPPSALA</t>
        </is>
      </c>
      <c r="F613" t="inlineStr">
        <is>
          <t>Allmännings- och besparingsskogar</t>
        </is>
      </c>
      <c r="G613" t="n">
        <v>11.4</v>
      </c>
      <c r="H613" t="n">
        <v>1</v>
      </c>
      <c r="I613" t="n">
        <v>0</v>
      </c>
      <c r="J613" t="n">
        <v>0</v>
      </c>
      <c r="K613" t="n">
        <v>1</v>
      </c>
      <c r="L613" t="n">
        <v>0</v>
      </c>
      <c r="M613" t="n">
        <v>0</v>
      </c>
      <c r="N613" t="n">
        <v>0</v>
      </c>
      <c r="O613" t="n">
        <v>1</v>
      </c>
      <c r="P613" t="n">
        <v>1</v>
      </c>
      <c r="Q613" t="n">
        <v>1</v>
      </c>
      <c r="R613" s="2" t="inlineStr">
        <is>
          <t>Knärot</t>
        </is>
      </c>
      <c r="S613">
        <f>HYPERLINK("https://klasma.github.io/Logging_0380/artfynd/A 57332-2023 artfynd.xlsx", "A 57332-2023")</f>
        <v/>
      </c>
      <c r="T613">
        <f>HYPERLINK("https://klasma.github.io/Logging_0380/kartor/A 57332-2023 karta.png", "A 57332-2023")</f>
        <v/>
      </c>
      <c r="U613">
        <f>HYPERLINK("https://klasma.github.io/Logging_0380/knärot/A 57332-2023 karta knärot.png", "A 57332-2023")</f>
        <v/>
      </c>
      <c r="V613">
        <f>HYPERLINK("https://klasma.github.io/Logging_0380/klagomål/A 57332-2023 FSC-klagomål.docx", "A 57332-2023")</f>
        <v/>
      </c>
      <c r="W613">
        <f>HYPERLINK("https://klasma.github.io/Logging_0380/klagomålsmail/A 57332-2023 FSC-klagomål mail.docx", "A 57332-2023")</f>
        <v/>
      </c>
      <c r="X613">
        <f>HYPERLINK("https://klasma.github.io/Logging_0380/tillsyn/A 57332-2023 tillsynsbegäran.docx", "A 57332-2023")</f>
        <v/>
      </c>
      <c r="Y613">
        <f>HYPERLINK("https://klasma.github.io/Logging_0380/tillsynsmail/A 57332-2023 tillsynsbegäran mail.docx", "A 57332-2023")</f>
        <v/>
      </c>
    </row>
    <row r="614" ht="15" customHeight="1">
      <c r="A614" t="inlineStr">
        <is>
          <t>A 57598-2023</t>
        </is>
      </c>
      <c r="B614" s="1" t="n">
        <v>45246</v>
      </c>
      <c r="C614" s="1" t="n">
        <v>45705</v>
      </c>
      <c r="D614" t="inlineStr">
        <is>
          <t>UPPSALA LÄN</t>
        </is>
      </c>
      <c r="E614" t="inlineStr">
        <is>
          <t>ÖSTHAMMAR</t>
        </is>
      </c>
      <c r="F614" t="inlineStr">
        <is>
          <t>Bergvik skog öst AB</t>
        </is>
      </c>
      <c r="G614" t="n">
        <v>1</v>
      </c>
      <c r="H614" t="n">
        <v>1</v>
      </c>
      <c r="I614" t="n">
        <v>1</v>
      </c>
      <c r="J614" t="n">
        <v>0</v>
      </c>
      <c r="K614" t="n">
        <v>0</v>
      </c>
      <c r="L614" t="n">
        <v>0</v>
      </c>
      <c r="M614" t="n">
        <v>0</v>
      </c>
      <c r="N614" t="n">
        <v>0</v>
      </c>
      <c r="O614" t="n">
        <v>0</v>
      </c>
      <c r="P614" t="n">
        <v>0</v>
      </c>
      <c r="Q614" t="n">
        <v>1</v>
      </c>
      <c r="R614" s="2" t="inlineStr">
        <is>
          <t>Skogsknipprot</t>
        </is>
      </c>
      <c r="S614">
        <f>HYPERLINK("https://klasma.github.io/Logging_0382/artfynd/A 57598-2023 artfynd.xlsx", "A 57598-2023")</f>
        <v/>
      </c>
      <c r="T614">
        <f>HYPERLINK("https://klasma.github.io/Logging_0382/kartor/A 57598-2023 karta.png", "A 57598-2023")</f>
        <v/>
      </c>
      <c r="V614">
        <f>HYPERLINK("https://klasma.github.io/Logging_0382/klagomål/A 57598-2023 FSC-klagomål.docx", "A 57598-2023")</f>
        <v/>
      </c>
      <c r="W614">
        <f>HYPERLINK("https://klasma.github.io/Logging_0382/klagomålsmail/A 57598-2023 FSC-klagomål mail.docx", "A 57598-2023")</f>
        <v/>
      </c>
      <c r="X614">
        <f>HYPERLINK("https://klasma.github.io/Logging_0382/tillsyn/A 57598-2023 tillsynsbegäran.docx", "A 57598-2023")</f>
        <v/>
      </c>
      <c r="Y614">
        <f>HYPERLINK("https://klasma.github.io/Logging_0382/tillsynsmail/A 57598-2023 tillsynsbegäran mail.docx", "A 57598-2023")</f>
        <v/>
      </c>
    </row>
    <row r="615" ht="15" customHeight="1">
      <c r="A615" t="inlineStr">
        <is>
          <t>A 57607-2023</t>
        </is>
      </c>
      <c r="B615" s="1" t="n">
        <v>45246</v>
      </c>
      <c r="C615" s="1" t="n">
        <v>45705</v>
      </c>
      <c r="D615" t="inlineStr">
        <is>
          <t>UPPSALA LÄN</t>
        </is>
      </c>
      <c r="E615" t="inlineStr">
        <is>
          <t>ÖSTHAMMAR</t>
        </is>
      </c>
      <c r="F615" t="inlineStr">
        <is>
          <t>Bergvik skog öst AB</t>
        </is>
      </c>
      <c r="G615" t="n">
        <v>5.8</v>
      </c>
      <c r="H615" t="n">
        <v>1</v>
      </c>
      <c r="I615" t="n">
        <v>1</v>
      </c>
      <c r="J615" t="n">
        <v>0</v>
      </c>
      <c r="K615" t="n">
        <v>0</v>
      </c>
      <c r="L615" t="n">
        <v>0</v>
      </c>
      <c r="M615" t="n">
        <v>0</v>
      </c>
      <c r="N615" t="n">
        <v>0</v>
      </c>
      <c r="O615" t="n">
        <v>0</v>
      </c>
      <c r="P615" t="n">
        <v>0</v>
      </c>
      <c r="Q615" t="n">
        <v>1</v>
      </c>
      <c r="R615" s="2" t="inlineStr">
        <is>
          <t>Skogsknipprot</t>
        </is>
      </c>
      <c r="S615">
        <f>HYPERLINK("https://klasma.github.io/Logging_0382/artfynd/A 57607-2023 artfynd.xlsx", "A 57607-2023")</f>
        <v/>
      </c>
      <c r="T615">
        <f>HYPERLINK("https://klasma.github.io/Logging_0382/kartor/A 57607-2023 karta.png", "A 57607-2023")</f>
        <v/>
      </c>
      <c r="V615">
        <f>HYPERLINK("https://klasma.github.io/Logging_0382/klagomål/A 57607-2023 FSC-klagomål.docx", "A 57607-2023")</f>
        <v/>
      </c>
      <c r="W615">
        <f>HYPERLINK("https://klasma.github.io/Logging_0382/klagomålsmail/A 57607-2023 FSC-klagomål mail.docx", "A 57607-2023")</f>
        <v/>
      </c>
      <c r="X615">
        <f>HYPERLINK("https://klasma.github.io/Logging_0382/tillsyn/A 57607-2023 tillsynsbegäran.docx", "A 57607-2023")</f>
        <v/>
      </c>
      <c r="Y615">
        <f>HYPERLINK("https://klasma.github.io/Logging_0382/tillsynsmail/A 57607-2023 tillsynsbegäran mail.docx", "A 57607-2023")</f>
        <v/>
      </c>
    </row>
    <row r="616" ht="15" customHeight="1">
      <c r="A616" t="inlineStr">
        <is>
          <t>A 57640-2023</t>
        </is>
      </c>
      <c r="B616" s="1" t="n">
        <v>45246</v>
      </c>
      <c r="C616" s="1" t="n">
        <v>45705</v>
      </c>
      <c r="D616" t="inlineStr">
        <is>
          <t>UPPSALA LÄN</t>
        </is>
      </c>
      <c r="E616" t="inlineStr">
        <is>
          <t>ÖSTHAMMAR</t>
        </is>
      </c>
      <c r="F616" t="inlineStr">
        <is>
          <t>Bergvik skog öst AB</t>
        </is>
      </c>
      <c r="G616" t="n">
        <v>2.3</v>
      </c>
      <c r="H616" t="n">
        <v>0</v>
      </c>
      <c r="I616" t="n">
        <v>1</v>
      </c>
      <c r="J616" t="n">
        <v>0</v>
      </c>
      <c r="K616" t="n">
        <v>0</v>
      </c>
      <c r="L616" t="n">
        <v>0</v>
      </c>
      <c r="M616" t="n">
        <v>0</v>
      </c>
      <c r="N616" t="n">
        <v>0</v>
      </c>
      <c r="O616" t="n">
        <v>0</v>
      </c>
      <c r="P616" t="n">
        <v>0</v>
      </c>
      <c r="Q616" t="n">
        <v>1</v>
      </c>
      <c r="R616" s="2" t="inlineStr">
        <is>
          <t>Svavelriska</t>
        </is>
      </c>
      <c r="S616">
        <f>HYPERLINK("https://klasma.github.io/Logging_0382/artfynd/A 57640-2023 artfynd.xlsx", "A 57640-2023")</f>
        <v/>
      </c>
      <c r="T616">
        <f>HYPERLINK("https://klasma.github.io/Logging_0382/kartor/A 57640-2023 karta.png", "A 57640-2023")</f>
        <v/>
      </c>
      <c r="V616">
        <f>HYPERLINK("https://klasma.github.io/Logging_0382/klagomål/A 57640-2023 FSC-klagomål.docx", "A 57640-2023")</f>
        <v/>
      </c>
      <c r="W616">
        <f>HYPERLINK("https://klasma.github.io/Logging_0382/klagomålsmail/A 57640-2023 FSC-klagomål mail.docx", "A 57640-2023")</f>
        <v/>
      </c>
      <c r="X616">
        <f>HYPERLINK("https://klasma.github.io/Logging_0382/tillsyn/A 57640-2023 tillsynsbegäran.docx", "A 57640-2023")</f>
        <v/>
      </c>
      <c r="Y616">
        <f>HYPERLINK("https://klasma.github.io/Logging_0382/tillsynsmail/A 57640-2023 tillsynsbegäran mail.docx", "A 57640-2023")</f>
        <v/>
      </c>
    </row>
    <row r="617" ht="15" customHeight="1">
      <c r="A617" t="inlineStr">
        <is>
          <t>A 57638-2023</t>
        </is>
      </c>
      <c r="B617" s="1" t="n">
        <v>45246</v>
      </c>
      <c r="C617" s="1" t="n">
        <v>45705</v>
      </c>
      <c r="D617" t="inlineStr">
        <is>
          <t>UPPSALA LÄN</t>
        </is>
      </c>
      <c r="E617" t="inlineStr">
        <is>
          <t>TIERP</t>
        </is>
      </c>
      <c r="G617" t="n">
        <v>3.7</v>
      </c>
      <c r="H617" t="n">
        <v>0</v>
      </c>
      <c r="I617" t="n">
        <v>0</v>
      </c>
      <c r="J617" t="n">
        <v>1</v>
      </c>
      <c r="K617" t="n">
        <v>0</v>
      </c>
      <c r="L617" t="n">
        <v>0</v>
      </c>
      <c r="M617" t="n">
        <v>0</v>
      </c>
      <c r="N617" t="n">
        <v>0</v>
      </c>
      <c r="O617" t="n">
        <v>1</v>
      </c>
      <c r="P617" t="n">
        <v>0</v>
      </c>
      <c r="Q617" t="n">
        <v>1</v>
      </c>
      <c r="R617" s="2" t="inlineStr">
        <is>
          <t>Skogsklocka</t>
        </is>
      </c>
      <c r="S617">
        <f>HYPERLINK("https://klasma.github.io/Logging_0360/artfynd/A 57638-2023 artfynd.xlsx", "A 57638-2023")</f>
        <v/>
      </c>
      <c r="T617">
        <f>HYPERLINK("https://klasma.github.io/Logging_0360/kartor/A 57638-2023 karta.png", "A 57638-2023")</f>
        <v/>
      </c>
      <c r="V617">
        <f>HYPERLINK("https://klasma.github.io/Logging_0360/klagomål/A 57638-2023 FSC-klagomål.docx", "A 57638-2023")</f>
        <v/>
      </c>
      <c r="W617">
        <f>HYPERLINK("https://klasma.github.io/Logging_0360/klagomålsmail/A 57638-2023 FSC-klagomål mail.docx", "A 57638-2023")</f>
        <v/>
      </c>
      <c r="X617">
        <f>HYPERLINK("https://klasma.github.io/Logging_0360/tillsyn/A 57638-2023 tillsynsbegäran.docx", "A 57638-2023")</f>
        <v/>
      </c>
      <c r="Y617">
        <f>HYPERLINK("https://klasma.github.io/Logging_0360/tillsynsmail/A 57638-2023 tillsynsbegäran mail.docx", "A 57638-2023")</f>
        <v/>
      </c>
    </row>
    <row r="618" ht="15" customHeight="1">
      <c r="A618" t="inlineStr">
        <is>
          <t>A 58676-2023</t>
        </is>
      </c>
      <c r="B618" s="1" t="n">
        <v>45247</v>
      </c>
      <c r="C618" s="1" t="n">
        <v>45705</v>
      </c>
      <c r="D618" t="inlineStr">
        <is>
          <t>UPPSALA LÄN</t>
        </is>
      </c>
      <c r="E618" t="inlineStr">
        <is>
          <t>HÅBO</t>
        </is>
      </c>
      <c r="G618" t="n">
        <v>3.7</v>
      </c>
      <c r="H618" t="n">
        <v>0</v>
      </c>
      <c r="I618" t="n">
        <v>1</v>
      </c>
      <c r="J618" t="n">
        <v>0</v>
      </c>
      <c r="K618" t="n">
        <v>0</v>
      </c>
      <c r="L618" t="n">
        <v>0</v>
      </c>
      <c r="M618" t="n">
        <v>0</v>
      </c>
      <c r="N618" t="n">
        <v>0</v>
      </c>
      <c r="O618" t="n">
        <v>0</v>
      </c>
      <c r="P618" t="n">
        <v>0</v>
      </c>
      <c r="Q618" t="n">
        <v>1</v>
      </c>
      <c r="R618" s="2" t="inlineStr">
        <is>
          <t>Trådticka</t>
        </is>
      </c>
      <c r="S618">
        <f>HYPERLINK("https://klasma.github.io/Logging_0305/artfynd/A 58676-2023 artfynd.xlsx", "A 58676-2023")</f>
        <v/>
      </c>
      <c r="T618">
        <f>HYPERLINK("https://klasma.github.io/Logging_0305/kartor/A 58676-2023 karta.png", "A 58676-2023")</f>
        <v/>
      </c>
      <c r="V618">
        <f>HYPERLINK("https://klasma.github.io/Logging_0305/klagomål/A 58676-2023 FSC-klagomål.docx", "A 58676-2023")</f>
        <v/>
      </c>
      <c r="W618">
        <f>HYPERLINK("https://klasma.github.io/Logging_0305/klagomålsmail/A 58676-2023 FSC-klagomål mail.docx", "A 58676-2023")</f>
        <v/>
      </c>
      <c r="X618">
        <f>HYPERLINK("https://klasma.github.io/Logging_0305/tillsyn/A 58676-2023 tillsynsbegäran.docx", "A 58676-2023")</f>
        <v/>
      </c>
      <c r="Y618">
        <f>HYPERLINK("https://klasma.github.io/Logging_0305/tillsynsmail/A 58676-2023 tillsynsbegäran mail.docx", "A 58676-2023")</f>
        <v/>
      </c>
    </row>
    <row r="619" ht="15" customHeight="1">
      <c r="A619" t="inlineStr">
        <is>
          <t>A 59160-2023</t>
        </is>
      </c>
      <c r="B619" s="1" t="n">
        <v>45253</v>
      </c>
      <c r="C619" s="1" t="n">
        <v>45705</v>
      </c>
      <c r="D619" t="inlineStr">
        <is>
          <t>UPPSALA LÄN</t>
        </is>
      </c>
      <c r="E619" t="inlineStr">
        <is>
          <t>HÅBO</t>
        </is>
      </c>
      <c r="G619" t="n">
        <v>2.9</v>
      </c>
      <c r="H619" t="n">
        <v>0</v>
      </c>
      <c r="I619" t="n">
        <v>0</v>
      </c>
      <c r="J619" t="n">
        <v>1</v>
      </c>
      <c r="K619" t="n">
        <v>0</v>
      </c>
      <c r="L619" t="n">
        <v>0</v>
      </c>
      <c r="M619" t="n">
        <v>0</v>
      </c>
      <c r="N619" t="n">
        <v>0</v>
      </c>
      <c r="O619" t="n">
        <v>1</v>
      </c>
      <c r="P619" t="n">
        <v>0</v>
      </c>
      <c r="Q619" t="n">
        <v>1</v>
      </c>
      <c r="R619" s="2" t="inlineStr">
        <is>
          <t>Kungsspindling</t>
        </is>
      </c>
      <c r="S619">
        <f>HYPERLINK("https://klasma.github.io/Logging_0305/artfynd/A 59160-2023 artfynd.xlsx", "A 59160-2023")</f>
        <v/>
      </c>
      <c r="T619">
        <f>HYPERLINK("https://klasma.github.io/Logging_0305/kartor/A 59160-2023 karta.png", "A 59160-2023")</f>
        <v/>
      </c>
      <c r="V619">
        <f>HYPERLINK("https://klasma.github.io/Logging_0305/klagomål/A 59160-2023 FSC-klagomål.docx", "A 59160-2023")</f>
        <v/>
      </c>
      <c r="W619">
        <f>HYPERLINK("https://klasma.github.io/Logging_0305/klagomålsmail/A 59160-2023 FSC-klagomål mail.docx", "A 59160-2023")</f>
        <v/>
      </c>
      <c r="X619">
        <f>HYPERLINK("https://klasma.github.io/Logging_0305/tillsyn/A 59160-2023 tillsynsbegäran.docx", "A 59160-2023")</f>
        <v/>
      </c>
      <c r="Y619">
        <f>HYPERLINK("https://klasma.github.io/Logging_0305/tillsynsmail/A 59160-2023 tillsynsbegäran mail.docx", "A 59160-2023")</f>
        <v/>
      </c>
    </row>
    <row r="620" ht="15" customHeight="1">
      <c r="A620" t="inlineStr">
        <is>
          <t>A 59454-2023</t>
        </is>
      </c>
      <c r="B620" s="1" t="n">
        <v>45253</v>
      </c>
      <c r="C620" s="1" t="n">
        <v>45705</v>
      </c>
      <c r="D620" t="inlineStr">
        <is>
          <t>UPPSALA LÄN</t>
        </is>
      </c>
      <c r="E620" t="inlineStr">
        <is>
          <t>TIERP</t>
        </is>
      </c>
      <c r="G620" t="n">
        <v>8.800000000000001</v>
      </c>
      <c r="H620" t="n">
        <v>0</v>
      </c>
      <c r="I620" t="n">
        <v>1</v>
      </c>
      <c r="J620" t="n">
        <v>0</v>
      </c>
      <c r="K620" t="n">
        <v>0</v>
      </c>
      <c r="L620" t="n">
        <v>0</v>
      </c>
      <c r="M620" t="n">
        <v>0</v>
      </c>
      <c r="N620" t="n">
        <v>0</v>
      </c>
      <c r="O620" t="n">
        <v>0</v>
      </c>
      <c r="P620" t="n">
        <v>0</v>
      </c>
      <c r="Q620" t="n">
        <v>1</v>
      </c>
      <c r="R620" s="2" t="inlineStr">
        <is>
          <t>Jättesvampmal</t>
        </is>
      </c>
      <c r="S620">
        <f>HYPERLINK("https://klasma.github.io/Logging_0360/artfynd/A 59454-2023 artfynd.xlsx", "A 59454-2023")</f>
        <v/>
      </c>
      <c r="T620">
        <f>HYPERLINK("https://klasma.github.io/Logging_0360/kartor/A 59454-2023 karta.png", "A 59454-2023")</f>
        <v/>
      </c>
      <c r="V620">
        <f>HYPERLINK("https://klasma.github.io/Logging_0360/klagomål/A 59454-2023 FSC-klagomål.docx", "A 59454-2023")</f>
        <v/>
      </c>
      <c r="W620">
        <f>HYPERLINK("https://klasma.github.io/Logging_0360/klagomålsmail/A 59454-2023 FSC-klagomål mail.docx", "A 59454-2023")</f>
        <v/>
      </c>
      <c r="X620">
        <f>HYPERLINK("https://klasma.github.io/Logging_0360/tillsyn/A 59454-2023 tillsynsbegäran.docx", "A 59454-2023")</f>
        <v/>
      </c>
      <c r="Y620">
        <f>HYPERLINK("https://klasma.github.io/Logging_0360/tillsynsmail/A 59454-2023 tillsynsbegäran mail.docx", "A 59454-2023")</f>
        <v/>
      </c>
    </row>
    <row r="621" ht="15" customHeight="1">
      <c r="A621" t="inlineStr">
        <is>
          <t>A 59708-2023</t>
        </is>
      </c>
      <c r="B621" s="1" t="n">
        <v>45256</v>
      </c>
      <c r="C621" s="1" t="n">
        <v>45705</v>
      </c>
      <c r="D621" t="inlineStr">
        <is>
          <t>UPPSALA LÄN</t>
        </is>
      </c>
      <c r="E621" t="inlineStr">
        <is>
          <t>HEBY</t>
        </is>
      </c>
      <c r="G621" t="n">
        <v>3.1</v>
      </c>
      <c r="H621" t="n">
        <v>1</v>
      </c>
      <c r="I621" t="n">
        <v>0</v>
      </c>
      <c r="J621" t="n">
        <v>0</v>
      </c>
      <c r="K621" t="n">
        <v>0</v>
      </c>
      <c r="L621" t="n">
        <v>0</v>
      </c>
      <c r="M621" t="n">
        <v>0</v>
      </c>
      <c r="N621" t="n">
        <v>0</v>
      </c>
      <c r="O621" t="n">
        <v>0</v>
      </c>
      <c r="P621" t="n">
        <v>0</v>
      </c>
      <c r="Q621" t="n">
        <v>1</v>
      </c>
      <c r="R621" s="2" t="inlineStr">
        <is>
          <t>Mindre vattensalamander</t>
        </is>
      </c>
      <c r="S621">
        <f>HYPERLINK("https://klasma.github.io/Logging_0331/artfynd/A 59708-2023 artfynd.xlsx", "A 59708-2023")</f>
        <v/>
      </c>
      <c r="T621">
        <f>HYPERLINK("https://klasma.github.io/Logging_0331/kartor/A 59708-2023 karta.png", "A 59708-2023")</f>
        <v/>
      </c>
      <c r="V621">
        <f>HYPERLINK("https://klasma.github.io/Logging_0331/klagomål/A 59708-2023 FSC-klagomål.docx", "A 59708-2023")</f>
        <v/>
      </c>
      <c r="W621">
        <f>HYPERLINK("https://klasma.github.io/Logging_0331/klagomålsmail/A 59708-2023 FSC-klagomål mail.docx", "A 59708-2023")</f>
        <v/>
      </c>
      <c r="X621">
        <f>HYPERLINK("https://klasma.github.io/Logging_0331/tillsyn/A 59708-2023 tillsynsbegäran.docx", "A 59708-2023")</f>
        <v/>
      </c>
      <c r="Y621">
        <f>HYPERLINK("https://klasma.github.io/Logging_0331/tillsynsmail/A 59708-2023 tillsynsbegäran mail.docx", "A 59708-2023")</f>
        <v/>
      </c>
    </row>
    <row r="622" ht="15" customHeight="1">
      <c r="A622" t="inlineStr">
        <is>
          <t>A 61068-2023</t>
        </is>
      </c>
      <c r="B622" s="1" t="n">
        <v>45259</v>
      </c>
      <c r="C622" s="1" t="n">
        <v>45705</v>
      </c>
      <c r="D622" t="inlineStr">
        <is>
          <t>UPPSALA LÄN</t>
        </is>
      </c>
      <c r="E622" t="inlineStr">
        <is>
          <t>UPPSALA</t>
        </is>
      </c>
      <c r="F622" t="inlineStr">
        <is>
          <t>Övriga Aktiebolag</t>
        </is>
      </c>
      <c r="G622" t="n">
        <v>8.800000000000001</v>
      </c>
      <c r="H622" t="n">
        <v>1</v>
      </c>
      <c r="I622" t="n">
        <v>0</v>
      </c>
      <c r="J622" t="n">
        <v>0</v>
      </c>
      <c r="K622" t="n">
        <v>1</v>
      </c>
      <c r="L622" t="n">
        <v>0</v>
      </c>
      <c r="M622" t="n">
        <v>0</v>
      </c>
      <c r="N622" t="n">
        <v>0</v>
      </c>
      <c r="O622" t="n">
        <v>1</v>
      </c>
      <c r="P622" t="n">
        <v>1</v>
      </c>
      <c r="Q622" t="n">
        <v>1</v>
      </c>
      <c r="R622" s="2" t="inlineStr">
        <is>
          <t>Knärot</t>
        </is>
      </c>
      <c r="S622">
        <f>HYPERLINK("https://klasma.github.io/Logging_0380/artfynd/A 61068-2023 artfynd.xlsx", "A 61068-2023")</f>
        <v/>
      </c>
      <c r="T622">
        <f>HYPERLINK("https://klasma.github.io/Logging_0380/kartor/A 61068-2023 karta.png", "A 61068-2023")</f>
        <v/>
      </c>
      <c r="U622">
        <f>HYPERLINK("https://klasma.github.io/Logging_0380/knärot/A 61068-2023 karta knärot.png", "A 61068-2023")</f>
        <v/>
      </c>
      <c r="V622">
        <f>HYPERLINK("https://klasma.github.io/Logging_0380/klagomål/A 61068-2023 FSC-klagomål.docx", "A 61068-2023")</f>
        <v/>
      </c>
      <c r="W622">
        <f>HYPERLINK("https://klasma.github.io/Logging_0380/klagomålsmail/A 61068-2023 FSC-klagomål mail.docx", "A 61068-2023")</f>
        <v/>
      </c>
      <c r="X622">
        <f>HYPERLINK("https://klasma.github.io/Logging_0380/tillsyn/A 61068-2023 tillsynsbegäran.docx", "A 61068-2023")</f>
        <v/>
      </c>
      <c r="Y622">
        <f>HYPERLINK("https://klasma.github.io/Logging_0380/tillsynsmail/A 61068-2023 tillsynsbegäran mail.docx", "A 61068-2023")</f>
        <v/>
      </c>
    </row>
    <row r="623" ht="15" customHeight="1">
      <c r="A623" t="inlineStr">
        <is>
          <t>A 61066-2023</t>
        </is>
      </c>
      <c r="B623" s="1" t="n">
        <v>45259</v>
      </c>
      <c r="C623" s="1" t="n">
        <v>45705</v>
      </c>
      <c r="D623" t="inlineStr">
        <is>
          <t>UPPSALA LÄN</t>
        </is>
      </c>
      <c r="E623" t="inlineStr">
        <is>
          <t>UPPSALA</t>
        </is>
      </c>
      <c r="F623" t="inlineStr">
        <is>
          <t>Övriga Aktiebolag</t>
        </is>
      </c>
      <c r="G623" t="n">
        <v>4.7</v>
      </c>
      <c r="H623" t="n">
        <v>0</v>
      </c>
      <c r="I623" t="n">
        <v>0</v>
      </c>
      <c r="J623" t="n">
        <v>1</v>
      </c>
      <c r="K623" t="n">
        <v>0</v>
      </c>
      <c r="L623" t="n">
        <v>0</v>
      </c>
      <c r="M623" t="n">
        <v>0</v>
      </c>
      <c r="N623" t="n">
        <v>0</v>
      </c>
      <c r="O623" t="n">
        <v>1</v>
      </c>
      <c r="P623" t="n">
        <v>0</v>
      </c>
      <c r="Q623" t="n">
        <v>1</v>
      </c>
      <c r="R623" s="2" t="inlineStr">
        <is>
          <t>Igelkott</t>
        </is>
      </c>
      <c r="S623">
        <f>HYPERLINK("https://klasma.github.io/Logging_0380/artfynd/A 61066-2023 artfynd.xlsx", "A 61066-2023")</f>
        <v/>
      </c>
      <c r="T623">
        <f>HYPERLINK("https://klasma.github.io/Logging_0380/kartor/A 61066-2023 karta.png", "A 61066-2023")</f>
        <v/>
      </c>
      <c r="V623">
        <f>HYPERLINK("https://klasma.github.io/Logging_0380/klagomål/A 61066-2023 FSC-klagomål.docx", "A 61066-2023")</f>
        <v/>
      </c>
      <c r="W623">
        <f>HYPERLINK("https://klasma.github.io/Logging_0380/klagomålsmail/A 61066-2023 FSC-klagomål mail.docx", "A 61066-2023")</f>
        <v/>
      </c>
      <c r="X623">
        <f>HYPERLINK("https://klasma.github.io/Logging_0380/tillsyn/A 61066-2023 tillsynsbegäran.docx", "A 61066-2023")</f>
        <v/>
      </c>
      <c r="Y623">
        <f>HYPERLINK("https://klasma.github.io/Logging_0380/tillsynsmail/A 61066-2023 tillsynsbegäran mail.docx", "A 61066-2023")</f>
        <v/>
      </c>
    </row>
    <row r="624" ht="15" customHeight="1">
      <c r="A624" t="inlineStr">
        <is>
          <t>A 63172-2023</t>
        </is>
      </c>
      <c r="B624" s="1" t="n">
        <v>45273</v>
      </c>
      <c r="C624" s="1" t="n">
        <v>45705</v>
      </c>
      <c r="D624" t="inlineStr">
        <is>
          <t>UPPSALA LÄN</t>
        </is>
      </c>
      <c r="E624" t="inlineStr">
        <is>
          <t>UPPSALA</t>
        </is>
      </c>
      <c r="G624" t="n">
        <v>1.8</v>
      </c>
      <c r="H624" t="n">
        <v>0</v>
      </c>
      <c r="I624" t="n">
        <v>1</v>
      </c>
      <c r="J624" t="n">
        <v>0</v>
      </c>
      <c r="K624" t="n">
        <v>0</v>
      </c>
      <c r="L624" t="n">
        <v>0</v>
      </c>
      <c r="M624" t="n">
        <v>0</v>
      </c>
      <c r="N624" t="n">
        <v>0</v>
      </c>
      <c r="O624" t="n">
        <v>0</v>
      </c>
      <c r="P624" t="n">
        <v>0</v>
      </c>
      <c r="Q624" t="n">
        <v>1</v>
      </c>
      <c r="R624" s="2" t="inlineStr">
        <is>
          <t>Ögonpyrola</t>
        </is>
      </c>
      <c r="S624">
        <f>HYPERLINK("https://klasma.github.io/Logging_0380/artfynd/A 63172-2023 artfynd.xlsx", "A 63172-2023")</f>
        <v/>
      </c>
      <c r="T624">
        <f>HYPERLINK("https://klasma.github.io/Logging_0380/kartor/A 63172-2023 karta.png", "A 63172-2023")</f>
        <v/>
      </c>
      <c r="V624">
        <f>HYPERLINK("https://klasma.github.io/Logging_0380/klagomål/A 63172-2023 FSC-klagomål.docx", "A 63172-2023")</f>
        <v/>
      </c>
      <c r="W624">
        <f>HYPERLINK("https://klasma.github.io/Logging_0380/klagomålsmail/A 63172-2023 FSC-klagomål mail.docx", "A 63172-2023")</f>
        <v/>
      </c>
      <c r="X624">
        <f>HYPERLINK("https://klasma.github.io/Logging_0380/tillsyn/A 63172-2023 tillsynsbegäran.docx", "A 63172-2023")</f>
        <v/>
      </c>
      <c r="Y624">
        <f>HYPERLINK("https://klasma.github.io/Logging_0380/tillsynsmail/A 63172-2023 tillsynsbegäran mail.docx", "A 63172-2023")</f>
        <v/>
      </c>
    </row>
    <row r="625" ht="15" customHeight="1">
      <c r="A625" t="inlineStr">
        <is>
          <t>A 425-2024</t>
        </is>
      </c>
      <c r="B625" s="1" t="n">
        <v>45296</v>
      </c>
      <c r="C625" s="1" t="n">
        <v>45705</v>
      </c>
      <c r="D625" t="inlineStr">
        <is>
          <t>UPPSALA LÄN</t>
        </is>
      </c>
      <c r="E625" t="inlineStr">
        <is>
          <t>ENKÖPING</t>
        </is>
      </c>
      <c r="G625" t="n">
        <v>8.300000000000001</v>
      </c>
      <c r="H625" t="n">
        <v>1</v>
      </c>
      <c r="I625" t="n">
        <v>0</v>
      </c>
      <c r="J625" t="n">
        <v>0</v>
      </c>
      <c r="K625" t="n">
        <v>0</v>
      </c>
      <c r="L625" t="n">
        <v>0</v>
      </c>
      <c r="M625" t="n">
        <v>0</v>
      </c>
      <c r="N625" t="n">
        <v>0</v>
      </c>
      <c r="O625" t="n">
        <v>0</v>
      </c>
      <c r="P625" t="n">
        <v>0</v>
      </c>
      <c r="Q625" t="n">
        <v>1</v>
      </c>
      <c r="R625" s="2" t="inlineStr">
        <is>
          <t>Orre</t>
        </is>
      </c>
      <c r="S625">
        <f>HYPERLINK("https://klasma.github.io/Logging_0381/artfynd/A 425-2024 artfynd.xlsx", "A 425-2024")</f>
        <v/>
      </c>
      <c r="T625">
        <f>HYPERLINK("https://klasma.github.io/Logging_0381/kartor/A 425-2024 karta.png", "A 425-2024")</f>
        <v/>
      </c>
      <c r="V625">
        <f>HYPERLINK("https://klasma.github.io/Logging_0381/klagomål/A 425-2024 FSC-klagomål.docx", "A 425-2024")</f>
        <v/>
      </c>
      <c r="W625">
        <f>HYPERLINK("https://klasma.github.io/Logging_0381/klagomålsmail/A 425-2024 FSC-klagomål mail.docx", "A 425-2024")</f>
        <v/>
      </c>
      <c r="X625">
        <f>HYPERLINK("https://klasma.github.io/Logging_0381/tillsyn/A 425-2024 tillsynsbegäran.docx", "A 425-2024")</f>
        <v/>
      </c>
      <c r="Y625">
        <f>HYPERLINK("https://klasma.github.io/Logging_0381/tillsynsmail/A 425-2024 tillsynsbegäran mail.docx", "A 425-2024")</f>
        <v/>
      </c>
      <c r="Z625">
        <f>HYPERLINK("https://klasma.github.io/Logging_0381/fåglar/A 425-2024 prioriterade fågelarter.docx", "A 425-2024")</f>
        <v/>
      </c>
    </row>
    <row r="626" ht="15" customHeight="1">
      <c r="A626" t="inlineStr">
        <is>
          <t>A 584-2024</t>
        </is>
      </c>
      <c r="B626" s="1" t="n">
        <v>45299</v>
      </c>
      <c r="C626" s="1" t="n">
        <v>45705</v>
      </c>
      <c r="D626" t="inlineStr">
        <is>
          <t>UPPSALA LÄN</t>
        </is>
      </c>
      <c r="E626" t="inlineStr">
        <is>
          <t>UPPSALA</t>
        </is>
      </c>
      <c r="G626" t="n">
        <v>0.8</v>
      </c>
      <c r="H626" t="n">
        <v>1</v>
      </c>
      <c r="I626" t="n">
        <v>0</v>
      </c>
      <c r="J626" t="n">
        <v>0</v>
      </c>
      <c r="K626" t="n">
        <v>1</v>
      </c>
      <c r="L626" t="n">
        <v>0</v>
      </c>
      <c r="M626" t="n">
        <v>0</v>
      </c>
      <c r="N626" t="n">
        <v>0</v>
      </c>
      <c r="O626" t="n">
        <v>1</v>
      </c>
      <c r="P626" t="n">
        <v>1</v>
      </c>
      <c r="Q626" t="n">
        <v>1</v>
      </c>
      <c r="R626" s="2" t="inlineStr">
        <is>
          <t>Väddnätfjäril</t>
        </is>
      </c>
      <c r="S626">
        <f>HYPERLINK("https://klasma.github.io/Logging_0380/artfynd/A 584-2024 artfynd.xlsx", "A 584-2024")</f>
        <v/>
      </c>
      <c r="T626">
        <f>HYPERLINK("https://klasma.github.io/Logging_0380/kartor/A 584-2024 karta.png", "A 584-2024")</f>
        <v/>
      </c>
      <c r="V626">
        <f>HYPERLINK("https://klasma.github.io/Logging_0380/klagomål/A 584-2024 FSC-klagomål.docx", "A 584-2024")</f>
        <v/>
      </c>
      <c r="W626">
        <f>HYPERLINK("https://klasma.github.io/Logging_0380/klagomålsmail/A 584-2024 FSC-klagomål mail.docx", "A 584-2024")</f>
        <v/>
      </c>
      <c r="X626">
        <f>HYPERLINK("https://klasma.github.io/Logging_0380/tillsyn/A 584-2024 tillsynsbegäran.docx", "A 584-2024")</f>
        <v/>
      </c>
      <c r="Y626">
        <f>HYPERLINK("https://klasma.github.io/Logging_0380/tillsynsmail/A 584-2024 tillsynsbegäran mail.docx", "A 584-2024")</f>
        <v/>
      </c>
    </row>
    <row r="627" ht="15" customHeight="1">
      <c r="A627" t="inlineStr">
        <is>
          <t>A 2298-2024</t>
        </is>
      </c>
      <c r="B627" s="1" t="n">
        <v>45310</v>
      </c>
      <c r="C627" s="1" t="n">
        <v>45705</v>
      </c>
      <c r="D627" t="inlineStr">
        <is>
          <t>UPPSALA LÄN</t>
        </is>
      </c>
      <c r="E627" t="inlineStr">
        <is>
          <t>TIERP</t>
        </is>
      </c>
      <c r="G627" t="n">
        <v>0.7</v>
      </c>
      <c r="H627" t="n">
        <v>0</v>
      </c>
      <c r="I627" t="n">
        <v>0</v>
      </c>
      <c r="J627" t="n">
        <v>1</v>
      </c>
      <c r="K627" t="n">
        <v>0</v>
      </c>
      <c r="L627" t="n">
        <v>0</v>
      </c>
      <c r="M627" t="n">
        <v>0</v>
      </c>
      <c r="N627" t="n">
        <v>0</v>
      </c>
      <c r="O627" t="n">
        <v>1</v>
      </c>
      <c r="P627" t="n">
        <v>0</v>
      </c>
      <c r="Q627" t="n">
        <v>1</v>
      </c>
      <c r="R627" s="2" t="inlineStr">
        <is>
          <t>Fyrflikig jordstjärna</t>
        </is>
      </c>
      <c r="S627">
        <f>HYPERLINK("https://klasma.github.io/Logging_0360/artfynd/A 2298-2024 artfynd.xlsx", "A 2298-2024")</f>
        <v/>
      </c>
      <c r="T627">
        <f>HYPERLINK("https://klasma.github.io/Logging_0360/kartor/A 2298-2024 karta.png", "A 2298-2024")</f>
        <v/>
      </c>
      <c r="V627">
        <f>HYPERLINK("https://klasma.github.io/Logging_0360/klagomål/A 2298-2024 FSC-klagomål.docx", "A 2298-2024")</f>
        <v/>
      </c>
      <c r="W627">
        <f>HYPERLINK("https://klasma.github.io/Logging_0360/klagomålsmail/A 2298-2024 FSC-klagomål mail.docx", "A 2298-2024")</f>
        <v/>
      </c>
      <c r="X627">
        <f>HYPERLINK("https://klasma.github.io/Logging_0360/tillsyn/A 2298-2024 tillsynsbegäran.docx", "A 2298-2024")</f>
        <v/>
      </c>
      <c r="Y627">
        <f>HYPERLINK("https://klasma.github.io/Logging_0360/tillsynsmail/A 2298-2024 tillsynsbegäran mail.docx", "A 2298-2024")</f>
        <v/>
      </c>
    </row>
    <row r="628" ht="15" customHeight="1">
      <c r="A628" t="inlineStr">
        <is>
          <t>A 2332-2024</t>
        </is>
      </c>
      <c r="B628" s="1" t="n">
        <v>45310</v>
      </c>
      <c r="C628" s="1" t="n">
        <v>45705</v>
      </c>
      <c r="D628" t="inlineStr">
        <is>
          <t>UPPSALA LÄN</t>
        </is>
      </c>
      <c r="E628" t="inlineStr">
        <is>
          <t>TIERP</t>
        </is>
      </c>
      <c r="G628" t="n">
        <v>3.7</v>
      </c>
      <c r="H628" t="n">
        <v>1</v>
      </c>
      <c r="I628" t="n">
        <v>0</v>
      </c>
      <c r="J628" t="n">
        <v>1</v>
      </c>
      <c r="K628" t="n">
        <v>0</v>
      </c>
      <c r="L628" t="n">
        <v>0</v>
      </c>
      <c r="M628" t="n">
        <v>0</v>
      </c>
      <c r="N628" t="n">
        <v>0</v>
      </c>
      <c r="O628" t="n">
        <v>1</v>
      </c>
      <c r="P628" t="n">
        <v>0</v>
      </c>
      <c r="Q628" t="n">
        <v>1</v>
      </c>
      <c r="R628" s="2" t="inlineStr">
        <is>
          <t>Talltita</t>
        </is>
      </c>
      <c r="S628">
        <f>HYPERLINK("https://klasma.github.io/Logging_0360/artfynd/A 2332-2024 artfynd.xlsx", "A 2332-2024")</f>
        <v/>
      </c>
      <c r="T628">
        <f>HYPERLINK("https://klasma.github.io/Logging_0360/kartor/A 2332-2024 karta.png", "A 2332-2024")</f>
        <v/>
      </c>
      <c r="V628">
        <f>HYPERLINK("https://klasma.github.io/Logging_0360/klagomål/A 2332-2024 FSC-klagomål.docx", "A 2332-2024")</f>
        <v/>
      </c>
      <c r="W628">
        <f>HYPERLINK("https://klasma.github.io/Logging_0360/klagomålsmail/A 2332-2024 FSC-klagomål mail.docx", "A 2332-2024")</f>
        <v/>
      </c>
      <c r="X628">
        <f>HYPERLINK("https://klasma.github.io/Logging_0360/tillsyn/A 2332-2024 tillsynsbegäran.docx", "A 2332-2024")</f>
        <v/>
      </c>
      <c r="Y628">
        <f>HYPERLINK("https://klasma.github.io/Logging_0360/tillsynsmail/A 2332-2024 tillsynsbegäran mail.docx", "A 2332-2024")</f>
        <v/>
      </c>
      <c r="Z628">
        <f>HYPERLINK("https://klasma.github.io/Logging_0360/fåglar/A 2332-2024 prioriterade fågelarter.docx", "A 2332-2024")</f>
        <v/>
      </c>
    </row>
    <row r="629" ht="15" customHeight="1">
      <c r="A629" t="inlineStr">
        <is>
          <t>A 2729-2024</t>
        </is>
      </c>
      <c r="B629" s="1" t="n">
        <v>45314</v>
      </c>
      <c r="C629" s="1" t="n">
        <v>45705</v>
      </c>
      <c r="D629" t="inlineStr">
        <is>
          <t>UPPSALA LÄN</t>
        </is>
      </c>
      <c r="E629" t="inlineStr">
        <is>
          <t>UPPSALA</t>
        </is>
      </c>
      <c r="G629" t="n">
        <v>3.3</v>
      </c>
      <c r="H629" t="n">
        <v>1</v>
      </c>
      <c r="I629" t="n">
        <v>0</v>
      </c>
      <c r="J629" t="n">
        <v>0</v>
      </c>
      <c r="K629" t="n">
        <v>0</v>
      </c>
      <c r="L629" t="n">
        <v>0</v>
      </c>
      <c r="M629" t="n">
        <v>0</v>
      </c>
      <c r="N629" t="n">
        <v>0</v>
      </c>
      <c r="O629" t="n">
        <v>0</v>
      </c>
      <c r="P629" t="n">
        <v>0</v>
      </c>
      <c r="Q629" t="n">
        <v>1</v>
      </c>
      <c r="R629" s="2" t="inlineStr">
        <is>
          <t>Revlummer</t>
        </is>
      </c>
      <c r="S629">
        <f>HYPERLINK("https://klasma.github.io/Logging_0380/artfynd/A 2729-2024 artfynd.xlsx", "A 2729-2024")</f>
        <v/>
      </c>
      <c r="T629">
        <f>HYPERLINK("https://klasma.github.io/Logging_0380/kartor/A 2729-2024 karta.png", "A 2729-2024")</f>
        <v/>
      </c>
      <c r="V629">
        <f>HYPERLINK("https://klasma.github.io/Logging_0380/klagomål/A 2729-2024 FSC-klagomål.docx", "A 2729-2024")</f>
        <v/>
      </c>
      <c r="W629">
        <f>HYPERLINK("https://klasma.github.io/Logging_0380/klagomålsmail/A 2729-2024 FSC-klagomål mail.docx", "A 2729-2024")</f>
        <v/>
      </c>
      <c r="X629">
        <f>HYPERLINK("https://klasma.github.io/Logging_0380/tillsyn/A 2729-2024 tillsynsbegäran.docx", "A 2729-2024")</f>
        <v/>
      </c>
      <c r="Y629">
        <f>HYPERLINK("https://klasma.github.io/Logging_0380/tillsynsmail/A 2729-2024 tillsynsbegäran mail.docx", "A 2729-2024")</f>
        <v/>
      </c>
    </row>
    <row r="630" ht="15" customHeight="1">
      <c r="A630" t="inlineStr">
        <is>
          <t>A 4048-2024</t>
        </is>
      </c>
      <c r="B630" s="1" t="n">
        <v>45323</v>
      </c>
      <c r="C630" s="1" t="n">
        <v>45705</v>
      </c>
      <c r="D630" t="inlineStr">
        <is>
          <t>UPPSALA LÄN</t>
        </is>
      </c>
      <c r="E630" t="inlineStr">
        <is>
          <t>ÖSTHAMMAR</t>
        </is>
      </c>
      <c r="F630" t="inlineStr">
        <is>
          <t>Övriga Aktiebolag</t>
        </is>
      </c>
      <c r="G630" t="n">
        <v>21.2</v>
      </c>
      <c r="H630" t="n">
        <v>0</v>
      </c>
      <c r="I630" t="n">
        <v>0</v>
      </c>
      <c r="J630" t="n">
        <v>1</v>
      </c>
      <c r="K630" t="n">
        <v>0</v>
      </c>
      <c r="L630" t="n">
        <v>0</v>
      </c>
      <c r="M630" t="n">
        <v>0</v>
      </c>
      <c r="N630" t="n">
        <v>0</v>
      </c>
      <c r="O630" t="n">
        <v>1</v>
      </c>
      <c r="P630" t="n">
        <v>0</v>
      </c>
      <c r="Q630" t="n">
        <v>1</v>
      </c>
      <c r="R630" s="2" t="inlineStr">
        <is>
          <t>Slåtterfibbla</t>
        </is>
      </c>
      <c r="S630">
        <f>HYPERLINK("https://klasma.github.io/Logging_0382/artfynd/A 4048-2024 artfynd.xlsx", "A 4048-2024")</f>
        <v/>
      </c>
      <c r="T630">
        <f>HYPERLINK("https://klasma.github.io/Logging_0382/kartor/A 4048-2024 karta.png", "A 4048-2024")</f>
        <v/>
      </c>
      <c r="V630">
        <f>HYPERLINK("https://klasma.github.io/Logging_0382/klagomål/A 4048-2024 FSC-klagomål.docx", "A 4048-2024")</f>
        <v/>
      </c>
      <c r="W630">
        <f>HYPERLINK("https://klasma.github.io/Logging_0382/klagomålsmail/A 4048-2024 FSC-klagomål mail.docx", "A 4048-2024")</f>
        <v/>
      </c>
      <c r="X630">
        <f>HYPERLINK("https://klasma.github.io/Logging_0382/tillsyn/A 4048-2024 tillsynsbegäran.docx", "A 4048-2024")</f>
        <v/>
      </c>
      <c r="Y630">
        <f>HYPERLINK("https://klasma.github.io/Logging_0382/tillsynsmail/A 4048-2024 tillsynsbegäran mail.docx", "A 4048-2024")</f>
        <v/>
      </c>
    </row>
    <row r="631" ht="15" customHeight="1">
      <c r="A631" t="inlineStr">
        <is>
          <t>A 5209-2024</t>
        </is>
      </c>
      <c r="B631" s="1" t="n">
        <v>45330</v>
      </c>
      <c r="C631" s="1" t="n">
        <v>45705</v>
      </c>
      <c r="D631" t="inlineStr">
        <is>
          <t>UPPSALA LÄN</t>
        </is>
      </c>
      <c r="E631" t="inlineStr">
        <is>
          <t>ÄLVKARLEBY</t>
        </is>
      </c>
      <c r="G631" t="n">
        <v>6.3</v>
      </c>
      <c r="H631" t="n">
        <v>1</v>
      </c>
      <c r="I631" t="n">
        <v>1</v>
      </c>
      <c r="J631" t="n">
        <v>0</v>
      </c>
      <c r="K631" t="n">
        <v>0</v>
      </c>
      <c r="L631" t="n">
        <v>0</v>
      </c>
      <c r="M631" t="n">
        <v>0</v>
      </c>
      <c r="N631" t="n">
        <v>0</v>
      </c>
      <c r="O631" t="n">
        <v>0</v>
      </c>
      <c r="P631" t="n">
        <v>0</v>
      </c>
      <c r="Q631" t="n">
        <v>1</v>
      </c>
      <c r="R631" s="2" t="inlineStr">
        <is>
          <t>Guckusko</t>
        </is>
      </c>
      <c r="S631">
        <f>HYPERLINK("https://klasma.github.io/Logging_0319/artfynd/A 5209-2024 artfynd.xlsx", "A 5209-2024")</f>
        <v/>
      </c>
      <c r="T631">
        <f>HYPERLINK("https://klasma.github.io/Logging_0319/kartor/A 5209-2024 karta.png", "A 5209-2024")</f>
        <v/>
      </c>
      <c r="V631">
        <f>HYPERLINK("https://klasma.github.io/Logging_0319/klagomål/A 5209-2024 FSC-klagomål.docx", "A 5209-2024")</f>
        <v/>
      </c>
      <c r="W631">
        <f>HYPERLINK("https://klasma.github.io/Logging_0319/klagomålsmail/A 5209-2024 FSC-klagomål mail.docx", "A 5209-2024")</f>
        <v/>
      </c>
      <c r="X631">
        <f>HYPERLINK("https://klasma.github.io/Logging_0319/tillsyn/A 5209-2024 tillsynsbegäran.docx", "A 5209-2024")</f>
        <v/>
      </c>
      <c r="Y631">
        <f>HYPERLINK("https://klasma.github.io/Logging_0319/tillsynsmail/A 5209-2024 tillsynsbegäran mail.docx", "A 5209-2024")</f>
        <v/>
      </c>
    </row>
    <row r="632" ht="15" customHeight="1">
      <c r="A632" t="inlineStr">
        <is>
          <t>A 5700-2024</t>
        </is>
      </c>
      <c r="B632" s="1" t="n">
        <v>45335</v>
      </c>
      <c r="C632" s="1" t="n">
        <v>45705</v>
      </c>
      <c r="D632" t="inlineStr">
        <is>
          <t>UPPSALA LÄN</t>
        </is>
      </c>
      <c r="E632" t="inlineStr">
        <is>
          <t>TIERP</t>
        </is>
      </c>
      <c r="G632" t="n">
        <v>1.6</v>
      </c>
      <c r="H632" t="n">
        <v>0</v>
      </c>
      <c r="I632" t="n">
        <v>1</v>
      </c>
      <c r="J632" t="n">
        <v>0</v>
      </c>
      <c r="K632" t="n">
        <v>0</v>
      </c>
      <c r="L632" t="n">
        <v>0</v>
      </c>
      <c r="M632" t="n">
        <v>0</v>
      </c>
      <c r="N632" t="n">
        <v>0</v>
      </c>
      <c r="O632" t="n">
        <v>0</v>
      </c>
      <c r="P632" t="n">
        <v>0</v>
      </c>
      <c r="Q632" t="n">
        <v>1</v>
      </c>
      <c r="R632" s="2" t="inlineStr">
        <is>
          <t>Vårärt</t>
        </is>
      </c>
      <c r="S632">
        <f>HYPERLINK("https://klasma.github.io/Logging_0360/artfynd/A 5700-2024 artfynd.xlsx", "A 5700-2024")</f>
        <v/>
      </c>
      <c r="T632">
        <f>HYPERLINK("https://klasma.github.io/Logging_0360/kartor/A 5700-2024 karta.png", "A 5700-2024")</f>
        <v/>
      </c>
      <c r="V632">
        <f>HYPERLINK("https://klasma.github.io/Logging_0360/klagomål/A 5700-2024 FSC-klagomål.docx", "A 5700-2024")</f>
        <v/>
      </c>
      <c r="W632">
        <f>HYPERLINK("https://klasma.github.io/Logging_0360/klagomålsmail/A 5700-2024 FSC-klagomål mail.docx", "A 5700-2024")</f>
        <v/>
      </c>
      <c r="X632">
        <f>HYPERLINK("https://klasma.github.io/Logging_0360/tillsyn/A 5700-2024 tillsynsbegäran.docx", "A 5700-2024")</f>
        <v/>
      </c>
      <c r="Y632">
        <f>HYPERLINK("https://klasma.github.io/Logging_0360/tillsynsmail/A 5700-2024 tillsynsbegäran mail.docx", "A 5700-2024")</f>
        <v/>
      </c>
    </row>
    <row r="633" ht="15" customHeight="1">
      <c r="A633" t="inlineStr">
        <is>
          <t>A 5972-2024</t>
        </is>
      </c>
      <c r="B633" s="1" t="n">
        <v>45336</v>
      </c>
      <c r="C633" s="1" t="n">
        <v>45705</v>
      </c>
      <c r="D633" t="inlineStr">
        <is>
          <t>UPPSALA LÄN</t>
        </is>
      </c>
      <c r="E633" t="inlineStr">
        <is>
          <t>UPPSALA</t>
        </is>
      </c>
      <c r="G633" t="n">
        <v>1.6</v>
      </c>
      <c r="H633" t="n">
        <v>1</v>
      </c>
      <c r="I633" t="n">
        <v>0</v>
      </c>
      <c r="J633" t="n">
        <v>0</v>
      </c>
      <c r="K633" t="n">
        <v>0</v>
      </c>
      <c r="L633" t="n">
        <v>0</v>
      </c>
      <c r="M633" t="n">
        <v>0</v>
      </c>
      <c r="N633" t="n">
        <v>0</v>
      </c>
      <c r="O633" t="n">
        <v>0</v>
      </c>
      <c r="P633" t="n">
        <v>0</v>
      </c>
      <c r="Q633" t="n">
        <v>1</v>
      </c>
      <c r="R633" s="2" t="inlineStr">
        <is>
          <t>Sparvuggla</t>
        </is>
      </c>
      <c r="S633">
        <f>HYPERLINK("https://klasma.github.io/Logging_0380/artfynd/A 5972-2024 artfynd.xlsx", "A 5972-2024")</f>
        <v/>
      </c>
      <c r="T633">
        <f>HYPERLINK("https://klasma.github.io/Logging_0380/kartor/A 5972-2024 karta.png", "A 5972-2024")</f>
        <v/>
      </c>
      <c r="V633">
        <f>HYPERLINK("https://klasma.github.io/Logging_0380/klagomål/A 5972-2024 FSC-klagomål.docx", "A 5972-2024")</f>
        <v/>
      </c>
      <c r="W633">
        <f>HYPERLINK("https://klasma.github.io/Logging_0380/klagomålsmail/A 5972-2024 FSC-klagomål mail.docx", "A 5972-2024")</f>
        <v/>
      </c>
      <c r="X633">
        <f>HYPERLINK("https://klasma.github.io/Logging_0380/tillsyn/A 5972-2024 tillsynsbegäran.docx", "A 5972-2024")</f>
        <v/>
      </c>
      <c r="Y633">
        <f>HYPERLINK("https://klasma.github.io/Logging_0380/tillsynsmail/A 5972-2024 tillsynsbegäran mail.docx", "A 5972-2024")</f>
        <v/>
      </c>
      <c r="Z633">
        <f>HYPERLINK("https://klasma.github.io/Logging_0380/fåglar/A 5972-2024 prioriterade fågelarter.docx", "A 5972-2024")</f>
        <v/>
      </c>
    </row>
    <row r="634" ht="15" customHeight="1">
      <c r="A634" t="inlineStr">
        <is>
          <t>A 6044-2024</t>
        </is>
      </c>
      <c r="B634" s="1" t="n">
        <v>45336</v>
      </c>
      <c r="C634" s="1" t="n">
        <v>45705</v>
      </c>
      <c r="D634" t="inlineStr">
        <is>
          <t>UPPSALA LÄN</t>
        </is>
      </c>
      <c r="E634" t="inlineStr">
        <is>
          <t>UPPSALA</t>
        </is>
      </c>
      <c r="F634" t="inlineStr">
        <is>
          <t>Holmen skog AB</t>
        </is>
      </c>
      <c r="G634" t="n">
        <v>7.4</v>
      </c>
      <c r="H634" t="n">
        <v>0</v>
      </c>
      <c r="I634" t="n">
        <v>0</v>
      </c>
      <c r="J634" t="n">
        <v>1</v>
      </c>
      <c r="K634" t="n">
        <v>0</v>
      </c>
      <c r="L634" t="n">
        <v>0</v>
      </c>
      <c r="M634" t="n">
        <v>0</v>
      </c>
      <c r="N634" t="n">
        <v>0</v>
      </c>
      <c r="O634" t="n">
        <v>1</v>
      </c>
      <c r="P634" t="n">
        <v>0</v>
      </c>
      <c r="Q634" t="n">
        <v>1</v>
      </c>
      <c r="R634" s="2" t="inlineStr">
        <is>
          <t>Gul dropplav</t>
        </is>
      </c>
      <c r="S634">
        <f>HYPERLINK("https://klasma.github.io/Logging_0380/artfynd/A 6044-2024 artfynd.xlsx", "A 6044-2024")</f>
        <v/>
      </c>
      <c r="T634">
        <f>HYPERLINK("https://klasma.github.io/Logging_0380/kartor/A 6044-2024 karta.png", "A 6044-2024")</f>
        <v/>
      </c>
      <c r="V634">
        <f>HYPERLINK("https://klasma.github.io/Logging_0380/klagomål/A 6044-2024 FSC-klagomål.docx", "A 6044-2024")</f>
        <v/>
      </c>
      <c r="W634">
        <f>HYPERLINK("https://klasma.github.io/Logging_0380/klagomålsmail/A 6044-2024 FSC-klagomål mail.docx", "A 6044-2024")</f>
        <v/>
      </c>
      <c r="X634">
        <f>HYPERLINK("https://klasma.github.io/Logging_0380/tillsyn/A 6044-2024 tillsynsbegäran.docx", "A 6044-2024")</f>
        <v/>
      </c>
      <c r="Y634">
        <f>HYPERLINK("https://klasma.github.io/Logging_0380/tillsynsmail/A 6044-2024 tillsynsbegäran mail.docx", "A 6044-2024")</f>
        <v/>
      </c>
    </row>
    <row r="635" ht="15" customHeight="1">
      <c r="A635" t="inlineStr">
        <is>
          <t>A 7395-2024</t>
        </is>
      </c>
      <c r="B635" s="1" t="n">
        <v>45345</v>
      </c>
      <c r="C635" s="1" t="n">
        <v>45705</v>
      </c>
      <c r="D635" t="inlineStr">
        <is>
          <t>UPPSALA LÄN</t>
        </is>
      </c>
      <c r="E635" t="inlineStr">
        <is>
          <t>UPPSALA</t>
        </is>
      </c>
      <c r="G635" t="n">
        <v>1.3</v>
      </c>
      <c r="H635" t="n">
        <v>1</v>
      </c>
      <c r="I635" t="n">
        <v>0</v>
      </c>
      <c r="J635" t="n">
        <v>0</v>
      </c>
      <c r="K635" t="n">
        <v>1</v>
      </c>
      <c r="L635" t="n">
        <v>0</v>
      </c>
      <c r="M635" t="n">
        <v>0</v>
      </c>
      <c r="N635" t="n">
        <v>0</v>
      </c>
      <c r="O635" t="n">
        <v>1</v>
      </c>
      <c r="P635" t="n">
        <v>1</v>
      </c>
      <c r="Q635" t="n">
        <v>1</v>
      </c>
      <c r="R635" s="2" t="inlineStr">
        <is>
          <t>Knärot</t>
        </is>
      </c>
      <c r="S635">
        <f>HYPERLINK("https://klasma.github.io/Logging_0380/artfynd/A 7395-2024 artfynd.xlsx", "A 7395-2024")</f>
        <v/>
      </c>
      <c r="T635">
        <f>HYPERLINK("https://klasma.github.io/Logging_0380/kartor/A 7395-2024 karta.png", "A 7395-2024")</f>
        <v/>
      </c>
      <c r="U635">
        <f>HYPERLINK("https://klasma.github.io/Logging_0380/knärot/A 7395-2024 karta knärot.png", "A 7395-2024")</f>
        <v/>
      </c>
      <c r="V635">
        <f>HYPERLINK("https://klasma.github.io/Logging_0380/klagomål/A 7395-2024 FSC-klagomål.docx", "A 7395-2024")</f>
        <v/>
      </c>
      <c r="W635">
        <f>HYPERLINK("https://klasma.github.io/Logging_0380/klagomålsmail/A 7395-2024 FSC-klagomål mail.docx", "A 7395-2024")</f>
        <v/>
      </c>
      <c r="X635">
        <f>HYPERLINK("https://klasma.github.io/Logging_0380/tillsyn/A 7395-2024 tillsynsbegäran.docx", "A 7395-2024")</f>
        <v/>
      </c>
      <c r="Y635">
        <f>HYPERLINK("https://klasma.github.io/Logging_0380/tillsynsmail/A 7395-2024 tillsynsbegäran mail.docx", "A 7395-2024")</f>
        <v/>
      </c>
    </row>
    <row r="636" ht="15" customHeight="1">
      <c r="A636" t="inlineStr">
        <is>
          <t>A 7397-2024</t>
        </is>
      </c>
      <c r="B636" s="1" t="n">
        <v>45345</v>
      </c>
      <c r="C636" s="1" t="n">
        <v>45705</v>
      </c>
      <c r="D636" t="inlineStr">
        <is>
          <t>UPPSALA LÄN</t>
        </is>
      </c>
      <c r="E636" t="inlineStr">
        <is>
          <t>UPPSALA</t>
        </is>
      </c>
      <c r="G636" t="n">
        <v>3.4</v>
      </c>
      <c r="H636" t="n">
        <v>0</v>
      </c>
      <c r="I636" t="n">
        <v>1</v>
      </c>
      <c r="J636" t="n">
        <v>0</v>
      </c>
      <c r="K636" t="n">
        <v>0</v>
      </c>
      <c r="L636" t="n">
        <v>0</v>
      </c>
      <c r="M636" t="n">
        <v>0</v>
      </c>
      <c r="N636" t="n">
        <v>0</v>
      </c>
      <c r="O636" t="n">
        <v>0</v>
      </c>
      <c r="P636" t="n">
        <v>0</v>
      </c>
      <c r="Q636" t="n">
        <v>1</v>
      </c>
      <c r="R636" s="2" t="inlineStr">
        <is>
          <t>Svavelriska</t>
        </is>
      </c>
      <c r="S636">
        <f>HYPERLINK("https://klasma.github.io/Logging_0380/artfynd/A 7397-2024 artfynd.xlsx", "A 7397-2024")</f>
        <v/>
      </c>
      <c r="T636">
        <f>HYPERLINK("https://klasma.github.io/Logging_0380/kartor/A 7397-2024 karta.png", "A 7397-2024")</f>
        <v/>
      </c>
      <c r="U636">
        <f>HYPERLINK("https://klasma.github.io/Logging_0380/knärot/A 7397-2024 karta knärot.png", "A 7397-2024")</f>
        <v/>
      </c>
      <c r="V636">
        <f>HYPERLINK("https://klasma.github.io/Logging_0380/klagomål/A 7397-2024 FSC-klagomål.docx", "A 7397-2024")</f>
        <v/>
      </c>
      <c r="W636">
        <f>HYPERLINK("https://klasma.github.io/Logging_0380/klagomålsmail/A 7397-2024 FSC-klagomål mail.docx", "A 7397-2024")</f>
        <v/>
      </c>
      <c r="X636">
        <f>HYPERLINK("https://klasma.github.io/Logging_0380/tillsyn/A 7397-2024 tillsynsbegäran.docx", "A 7397-2024")</f>
        <v/>
      </c>
      <c r="Y636">
        <f>HYPERLINK("https://klasma.github.io/Logging_0380/tillsynsmail/A 7397-2024 tillsynsbegäran mail.docx", "A 7397-2024")</f>
        <v/>
      </c>
    </row>
    <row r="637" ht="15" customHeight="1">
      <c r="A637" t="inlineStr">
        <is>
          <t>A 8398-2024</t>
        </is>
      </c>
      <c r="B637" s="1" t="n">
        <v>45352</v>
      </c>
      <c r="C637" s="1" t="n">
        <v>45705</v>
      </c>
      <c r="D637" t="inlineStr">
        <is>
          <t>UPPSALA LÄN</t>
        </is>
      </c>
      <c r="E637" t="inlineStr">
        <is>
          <t>UPPSALA</t>
        </is>
      </c>
      <c r="G637" t="n">
        <v>6.2</v>
      </c>
      <c r="H637" t="n">
        <v>1</v>
      </c>
      <c r="I637" t="n">
        <v>0</v>
      </c>
      <c r="J637" t="n">
        <v>0</v>
      </c>
      <c r="K637" t="n">
        <v>0</v>
      </c>
      <c r="L637" t="n">
        <v>0</v>
      </c>
      <c r="M637" t="n">
        <v>0</v>
      </c>
      <c r="N637" t="n">
        <v>0</v>
      </c>
      <c r="O637" t="n">
        <v>0</v>
      </c>
      <c r="P637" t="n">
        <v>0</v>
      </c>
      <c r="Q637" t="n">
        <v>1</v>
      </c>
      <c r="R637" s="2" t="inlineStr">
        <is>
          <t>Tjäder</t>
        </is>
      </c>
      <c r="S637">
        <f>HYPERLINK("https://klasma.github.io/Logging_0380/artfynd/A 8398-2024 artfynd.xlsx", "A 8398-2024")</f>
        <v/>
      </c>
      <c r="T637">
        <f>HYPERLINK("https://klasma.github.io/Logging_0380/kartor/A 8398-2024 karta.png", "A 8398-2024")</f>
        <v/>
      </c>
      <c r="V637">
        <f>HYPERLINK("https://klasma.github.io/Logging_0380/klagomål/A 8398-2024 FSC-klagomål.docx", "A 8398-2024")</f>
        <v/>
      </c>
      <c r="W637">
        <f>HYPERLINK("https://klasma.github.io/Logging_0380/klagomålsmail/A 8398-2024 FSC-klagomål mail.docx", "A 8398-2024")</f>
        <v/>
      </c>
      <c r="X637">
        <f>HYPERLINK("https://klasma.github.io/Logging_0380/tillsyn/A 8398-2024 tillsynsbegäran.docx", "A 8398-2024")</f>
        <v/>
      </c>
      <c r="Y637">
        <f>HYPERLINK("https://klasma.github.io/Logging_0380/tillsynsmail/A 8398-2024 tillsynsbegäran mail.docx", "A 8398-2024")</f>
        <v/>
      </c>
      <c r="Z637">
        <f>HYPERLINK("https://klasma.github.io/Logging_0380/fåglar/A 8398-2024 prioriterade fågelarter.docx", "A 8398-2024")</f>
        <v/>
      </c>
    </row>
    <row r="638" ht="15" customHeight="1">
      <c r="A638" t="inlineStr">
        <is>
          <t>A 8624-2024</t>
        </is>
      </c>
      <c r="B638" s="1" t="n">
        <v>45355</v>
      </c>
      <c r="C638" s="1" t="n">
        <v>45705</v>
      </c>
      <c r="D638" t="inlineStr">
        <is>
          <t>UPPSALA LÄN</t>
        </is>
      </c>
      <c r="E638" t="inlineStr">
        <is>
          <t>HEBY</t>
        </is>
      </c>
      <c r="G638" t="n">
        <v>3.9</v>
      </c>
      <c r="H638" t="n">
        <v>0</v>
      </c>
      <c r="I638" t="n">
        <v>0</v>
      </c>
      <c r="J638" t="n">
        <v>1</v>
      </c>
      <c r="K638" t="n">
        <v>0</v>
      </c>
      <c r="L638" t="n">
        <v>0</v>
      </c>
      <c r="M638" t="n">
        <v>0</v>
      </c>
      <c r="N638" t="n">
        <v>0</v>
      </c>
      <c r="O638" t="n">
        <v>1</v>
      </c>
      <c r="P638" t="n">
        <v>0</v>
      </c>
      <c r="Q638" t="n">
        <v>1</v>
      </c>
      <c r="R638" s="2" t="inlineStr">
        <is>
          <t>Motaggsvamp</t>
        </is>
      </c>
      <c r="S638">
        <f>HYPERLINK("https://klasma.github.io/Logging_0331/artfynd/A 8624-2024 artfynd.xlsx", "A 8624-2024")</f>
        <v/>
      </c>
      <c r="T638">
        <f>HYPERLINK("https://klasma.github.io/Logging_0331/kartor/A 8624-2024 karta.png", "A 8624-2024")</f>
        <v/>
      </c>
      <c r="V638">
        <f>HYPERLINK("https://klasma.github.io/Logging_0331/klagomål/A 8624-2024 FSC-klagomål.docx", "A 8624-2024")</f>
        <v/>
      </c>
      <c r="W638">
        <f>HYPERLINK("https://klasma.github.io/Logging_0331/klagomålsmail/A 8624-2024 FSC-klagomål mail.docx", "A 8624-2024")</f>
        <v/>
      </c>
      <c r="X638">
        <f>HYPERLINK("https://klasma.github.io/Logging_0331/tillsyn/A 8624-2024 tillsynsbegäran.docx", "A 8624-2024")</f>
        <v/>
      </c>
      <c r="Y638">
        <f>HYPERLINK("https://klasma.github.io/Logging_0331/tillsynsmail/A 8624-2024 tillsynsbegäran mail.docx", "A 8624-2024")</f>
        <v/>
      </c>
    </row>
    <row r="639" ht="15" customHeight="1">
      <c r="A639" t="inlineStr">
        <is>
          <t>A 9206-2024</t>
        </is>
      </c>
      <c r="B639" s="1" t="n">
        <v>45358</v>
      </c>
      <c r="C639" s="1" t="n">
        <v>45705</v>
      </c>
      <c r="D639" t="inlineStr">
        <is>
          <t>UPPSALA LÄN</t>
        </is>
      </c>
      <c r="E639" t="inlineStr">
        <is>
          <t>UPPSALA</t>
        </is>
      </c>
      <c r="F639" t="inlineStr">
        <is>
          <t>Allmännings- och besparingsskogar</t>
        </is>
      </c>
      <c r="G639" t="n">
        <v>22.2</v>
      </c>
      <c r="H639" t="n">
        <v>1</v>
      </c>
      <c r="I639" t="n">
        <v>0</v>
      </c>
      <c r="J639" t="n">
        <v>0</v>
      </c>
      <c r="K639" t="n">
        <v>1</v>
      </c>
      <c r="L639" t="n">
        <v>0</v>
      </c>
      <c r="M639" t="n">
        <v>0</v>
      </c>
      <c r="N639" t="n">
        <v>0</v>
      </c>
      <c r="O639" t="n">
        <v>1</v>
      </c>
      <c r="P639" t="n">
        <v>1</v>
      </c>
      <c r="Q639" t="n">
        <v>1</v>
      </c>
      <c r="R639" s="2" t="inlineStr">
        <is>
          <t>Knärot</t>
        </is>
      </c>
      <c r="S639">
        <f>HYPERLINK("https://klasma.github.io/Logging_0380/artfynd/A 9206-2024 artfynd.xlsx", "A 9206-2024")</f>
        <v/>
      </c>
      <c r="T639">
        <f>HYPERLINK("https://klasma.github.io/Logging_0380/kartor/A 9206-2024 karta.png", "A 9206-2024")</f>
        <v/>
      </c>
      <c r="U639">
        <f>HYPERLINK("https://klasma.github.io/Logging_0380/knärot/A 9206-2024 karta knärot.png", "A 9206-2024")</f>
        <v/>
      </c>
      <c r="V639">
        <f>HYPERLINK("https://klasma.github.io/Logging_0380/klagomål/A 9206-2024 FSC-klagomål.docx", "A 9206-2024")</f>
        <v/>
      </c>
      <c r="W639">
        <f>HYPERLINK("https://klasma.github.io/Logging_0380/klagomålsmail/A 9206-2024 FSC-klagomål mail.docx", "A 9206-2024")</f>
        <v/>
      </c>
      <c r="X639">
        <f>HYPERLINK("https://klasma.github.io/Logging_0380/tillsyn/A 9206-2024 tillsynsbegäran.docx", "A 9206-2024")</f>
        <v/>
      </c>
      <c r="Y639">
        <f>HYPERLINK("https://klasma.github.io/Logging_0380/tillsynsmail/A 9206-2024 tillsynsbegäran mail.docx", "A 9206-2024")</f>
        <v/>
      </c>
    </row>
    <row r="640" ht="15" customHeight="1">
      <c r="A640" t="inlineStr">
        <is>
          <t>A 10210-2024</t>
        </is>
      </c>
      <c r="B640" s="1" t="n">
        <v>45364</v>
      </c>
      <c r="C640" s="1" t="n">
        <v>45705</v>
      </c>
      <c r="D640" t="inlineStr">
        <is>
          <t>UPPSALA LÄN</t>
        </is>
      </c>
      <c r="E640" t="inlineStr">
        <is>
          <t>ÖSTHAMMAR</t>
        </is>
      </c>
      <c r="F640" t="inlineStr">
        <is>
          <t>Bergvik skog öst AB</t>
        </is>
      </c>
      <c r="G640" t="n">
        <v>18</v>
      </c>
      <c r="H640" t="n">
        <v>1</v>
      </c>
      <c r="I640" t="n">
        <v>0</v>
      </c>
      <c r="J640" t="n">
        <v>0</v>
      </c>
      <c r="K640" t="n">
        <v>0</v>
      </c>
      <c r="L640" t="n">
        <v>0</v>
      </c>
      <c r="M640" t="n">
        <v>0</v>
      </c>
      <c r="N640" t="n">
        <v>0</v>
      </c>
      <c r="O640" t="n">
        <v>0</v>
      </c>
      <c r="P640" t="n">
        <v>0</v>
      </c>
      <c r="Q640" t="n">
        <v>1</v>
      </c>
      <c r="R640" s="2" t="inlineStr">
        <is>
          <t>Tjäder</t>
        </is>
      </c>
      <c r="S640">
        <f>HYPERLINK("https://klasma.github.io/Logging_0382/artfynd/A 10210-2024 artfynd.xlsx", "A 10210-2024")</f>
        <v/>
      </c>
      <c r="T640">
        <f>HYPERLINK("https://klasma.github.io/Logging_0382/kartor/A 10210-2024 karta.png", "A 10210-2024")</f>
        <v/>
      </c>
      <c r="V640">
        <f>HYPERLINK("https://klasma.github.io/Logging_0382/klagomål/A 10210-2024 FSC-klagomål.docx", "A 10210-2024")</f>
        <v/>
      </c>
      <c r="W640">
        <f>HYPERLINK("https://klasma.github.io/Logging_0382/klagomålsmail/A 10210-2024 FSC-klagomål mail.docx", "A 10210-2024")</f>
        <v/>
      </c>
      <c r="X640">
        <f>HYPERLINK("https://klasma.github.io/Logging_0382/tillsyn/A 10210-2024 tillsynsbegäran.docx", "A 10210-2024")</f>
        <v/>
      </c>
      <c r="Y640">
        <f>HYPERLINK("https://klasma.github.io/Logging_0382/tillsynsmail/A 10210-2024 tillsynsbegäran mail.docx", "A 10210-2024")</f>
        <v/>
      </c>
      <c r="Z640">
        <f>HYPERLINK("https://klasma.github.io/Logging_0382/fåglar/A 10210-2024 prioriterade fågelarter.docx", "A 10210-2024")</f>
        <v/>
      </c>
    </row>
    <row r="641" ht="15" customHeight="1">
      <c r="A641" t="inlineStr">
        <is>
          <t>A 10227-2024</t>
        </is>
      </c>
      <c r="B641" s="1" t="n">
        <v>45365</v>
      </c>
      <c r="C641" s="1" t="n">
        <v>45705</v>
      </c>
      <c r="D641" t="inlineStr">
        <is>
          <t>UPPSALA LÄN</t>
        </is>
      </c>
      <c r="E641" t="inlineStr">
        <is>
          <t>HÅBO</t>
        </is>
      </c>
      <c r="G641" t="n">
        <v>14.9</v>
      </c>
      <c r="H641" t="n">
        <v>0</v>
      </c>
      <c r="I641" t="n">
        <v>1</v>
      </c>
      <c r="J641" t="n">
        <v>0</v>
      </c>
      <c r="K641" t="n">
        <v>0</v>
      </c>
      <c r="L641" t="n">
        <v>0</v>
      </c>
      <c r="M641" t="n">
        <v>0</v>
      </c>
      <c r="N641" t="n">
        <v>0</v>
      </c>
      <c r="O641" t="n">
        <v>0</v>
      </c>
      <c r="P641" t="n">
        <v>0</v>
      </c>
      <c r="Q641" t="n">
        <v>1</v>
      </c>
      <c r="R641" s="2" t="inlineStr">
        <is>
          <t>Svavelriska</t>
        </is>
      </c>
      <c r="S641">
        <f>HYPERLINK("https://klasma.github.io/Logging_0305/artfynd/A 10227-2024 artfynd.xlsx", "A 10227-2024")</f>
        <v/>
      </c>
      <c r="T641">
        <f>HYPERLINK("https://klasma.github.io/Logging_0305/kartor/A 10227-2024 karta.png", "A 10227-2024")</f>
        <v/>
      </c>
      <c r="V641">
        <f>HYPERLINK("https://klasma.github.io/Logging_0305/klagomål/A 10227-2024 FSC-klagomål.docx", "A 10227-2024")</f>
        <v/>
      </c>
      <c r="W641">
        <f>HYPERLINK("https://klasma.github.io/Logging_0305/klagomålsmail/A 10227-2024 FSC-klagomål mail.docx", "A 10227-2024")</f>
        <v/>
      </c>
      <c r="X641">
        <f>HYPERLINK("https://klasma.github.io/Logging_0305/tillsyn/A 10227-2024 tillsynsbegäran.docx", "A 10227-2024")</f>
        <v/>
      </c>
      <c r="Y641">
        <f>HYPERLINK("https://klasma.github.io/Logging_0305/tillsynsmail/A 10227-2024 tillsynsbegäran mail.docx", "A 10227-2024")</f>
        <v/>
      </c>
    </row>
    <row r="642" ht="15" customHeight="1">
      <c r="A642" t="inlineStr">
        <is>
          <t>A 12753-2024</t>
        </is>
      </c>
      <c r="B642" s="1" t="n">
        <v>45384</v>
      </c>
      <c r="C642" s="1" t="n">
        <v>45705</v>
      </c>
      <c r="D642" t="inlineStr">
        <is>
          <t>UPPSALA LÄN</t>
        </is>
      </c>
      <c r="E642" t="inlineStr">
        <is>
          <t>ÖSTHAMMAR</t>
        </is>
      </c>
      <c r="G642" t="n">
        <v>1.7</v>
      </c>
      <c r="H642" t="n">
        <v>0</v>
      </c>
      <c r="I642" t="n">
        <v>0</v>
      </c>
      <c r="J642" t="n">
        <v>1</v>
      </c>
      <c r="K642" t="n">
        <v>0</v>
      </c>
      <c r="L642" t="n">
        <v>0</v>
      </c>
      <c r="M642" t="n">
        <v>0</v>
      </c>
      <c r="N642" t="n">
        <v>0</v>
      </c>
      <c r="O642" t="n">
        <v>1</v>
      </c>
      <c r="P642" t="n">
        <v>0</v>
      </c>
      <c r="Q642" t="n">
        <v>1</v>
      </c>
      <c r="R642" s="2" t="inlineStr">
        <is>
          <t>Flattoppad klubbsvamp</t>
        </is>
      </c>
      <c r="S642">
        <f>HYPERLINK("https://klasma.github.io/Logging_0382/artfynd/A 12753-2024 artfynd.xlsx", "A 12753-2024")</f>
        <v/>
      </c>
      <c r="T642">
        <f>HYPERLINK("https://klasma.github.io/Logging_0382/kartor/A 12753-2024 karta.png", "A 12753-2024")</f>
        <v/>
      </c>
      <c r="V642">
        <f>HYPERLINK("https://klasma.github.io/Logging_0382/klagomål/A 12753-2024 FSC-klagomål.docx", "A 12753-2024")</f>
        <v/>
      </c>
      <c r="W642">
        <f>HYPERLINK("https://klasma.github.io/Logging_0382/klagomålsmail/A 12753-2024 FSC-klagomål mail.docx", "A 12753-2024")</f>
        <v/>
      </c>
      <c r="X642">
        <f>HYPERLINK("https://klasma.github.io/Logging_0382/tillsyn/A 12753-2024 tillsynsbegäran.docx", "A 12753-2024")</f>
        <v/>
      </c>
      <c r="Y642">
        <f>HYPERLINK("https://klasma.github.io/Logging_0382/tillsynsmail/A 12753-2024 tillsynsbegäran mail.docx", "A 12753-2024")</f>
        <v/>
      </c>
    </row>
    <row r="643" ht="15" customHeight="1">
      <c r="A643" t="inlineStr">
        <is>
          <t>A 13093-2024</t>
        </is>
      </c>
      <c r="B643" s="1" t="n">
        <v>45385</v>
      </c>
      <c r="C643" s="1" t="n">
        <v>45705</v>
      </c>
      <c r="D643" t="inlineStr">
        <is>
          <t>UPPSALA LÄN</t>
        </is>
      </c>
      <c r="E643" t="inlineStr">
        <is>
          <t>UPPSALA</t>
        </is>
      </c>
      <c r="G643" t="n">
        <v>1.1</v>
      </c>
      <c r="H643" t="n">
        <v>1</v>
      </c>
      <c r="I643" t="n">
        <v>1</v>
      </c>
      <c r="J643" t="n">
        <v>0</v>
      </c>
      <c r="K643" t="n">
        <v>0</v>
      </c>
      <c r="L643" t="n">
        <v>0</v>
      </c>
      <c r="M643" t="n">
        <v>0</v>
      </c>
      <c r="N643" t="n">
        <v>0</v>
      </c>
      <c r="O643" t="n">
        <v>0</v>
      </c>
      <c r="P643" t="n">
        <v>0</v>
      </c>
      <c r="Q643" t="n">
        <v>1</v>
      </c>
      <c r="R643" s="2" t="inlineStr">
        <is>
          <t>Skogsknipprot</t>
        </is>
      </c>
      <c r="S643">
        <f>HYPERLINK("https://klasma.github.io/Logging_0380/artfynd/A 13093-2024 artfynd.xlsx", "A 13093-2024")</f>
        <v/>
      </c>
      <c r="T643">
        <f>HYPERLINK("https://klasma.github.io/Logging_0380/kartor/A 13093-2024 karta.png", "A 13093-2024")</f>
        <v/>
      </c>
      <c r="V643">
        <f>HYPERLINK("https://klasma.github.io/Logging_0380/klagomål/A 13093-2024 FSC-klagomål.docx", "A 13093-2024")</f>
        <v/>
      </c>
      <c r="W643">
        <f>HYPERLINK("https://klasma.github.io/Logging_0380/klagomålsmail/A 13093-2024 FSC-klagomål mail.docx", "A 13093-2024")</f>
        <v/>
      </c>
      <c r="X643">
        <f>HYPERLINK("https://klasma.github.io/Logging_0380/tillsyn/A 13093-2024 tillsynsbegäran.docx", "A 13093-2024")</f>
        <v/>
      </c>
      <c r="Y643">
        <f>HYPERLINK("https://klasma.github.io/Logging_0380/tillsynsmail/A 13093-2024 tillsynsbegäran mail.docx", "A 13093-2024")</f>
        <v/>
      </c>
    </row>
    <row r="644" ht="15" customHeight="1">
      <c r="A644" t="inlineStr">
        <is>
          <t>A 13255-2024</t>
        </is>
      </c>
      <c r="B644" s="1" t="n">
        <v>45386</v>
      </c>
      <c r="C644" s="1" t="n">
        <v>45705</v>
      </c>
      <c r="D644" t="inlineStr">
        <is>
          <t>UPPSALA LÄN</t>
        </is>
      </c>
      <c r="E644" t="inlineStr">
        <is>
          <t>ENKÖPING</t>
        </is>
      </c>
      <c r="G644" t="n">
        <v>3.8</v>
      </c>
      <c r="H644" t="n">
        <v>0</v>
      </c>
      <c r="I644" t="n">
        <v>1</v>
      </c>
      <c r="J644" t="n">
        <v>0</v>
      </c>
      <c r="K644" t="n">
        <v>0</v>
      </c>
      <c r="L644" t="n">
        <v>0</v>
      </c>
      <c r="M644" t="n">
        <v>0</v>
      </c>
      <c r="N644" t="n">
        <v>0</v>
      </c>
      <c r="O644" t="n">
        <v>0</v>
      </c>
      <c r="P644" t="n">
        <v>0</v>
      </c>
      <c r="Q644" t="n">
        <v>1</v>
      </c>
      <c r="R644" s="2" t="inlineStr">
        <is>
          <t>Stor aspticka</t>
        </is>
      </c>
      <c r="S644">
        <f>HYPERLINK("https://klasma.github.io/Logging_0381/artfynd/A 13255-2024 artfynd.xlsx", "A 13255-2024")</f>
        <v/>
      </c>
      <c r="T644">
        <f>HYPERLINK("https://klasma.github.io/Logging_0381/kartor/A 13255-2024 karta.png", "A 13255-2024")</f>
        <v/>
      </c>
      <c r="V644">
        <f>HYPERLINK("https://klasma.github.io/Logging_0381/klagomål/A 13255-2024 FSC-klagomål.docx", "A 13255-2024")</f>
        <v/>
      </c>
      <c r="W644">
        <f>HYPERLINK("https://klasma.github.io/Logging_0381/klagomålsmail/A 13255-2024 FSC-klagomål mail.docx", "A 13255-2024")</f>
        <v/>
      </c>
      <c r="X644">
        <f>HYPERLINK("https://klasma.github.io/Logging_0381/tillsyn/A 13255-2024 tillsynsbegäran.docx", "A 13255-2024")</f>
        <v/>
      </c>
      <c r="Y644">
        <f>HYPERLINK("https://klasma.github.io/Logging_0381/tillsynsmail/A 13255-2024 tillsynsbegäran mail.docx", "A 13255-2024")</f>
        <v/>
      </c>
    </row>
    <row r="645" ht="15" customHeight="1">
      <c r="A645" t="inlineStr">
        <is>
          <t>A 13661-2024</t>
        </is>
      </c>
      <c r="B645" s="1" t="n">
        <v>45390</v>
      </c>
      <c r="C645" s="1" t="n">
        <v>45705</v>
      </c>
      <c r="D645" t="inlineStr">
        <is>
          <t>UPPSALA LÄN</t>
        </is>
      </c>
      <c r="E645" t="inlineStr">
        <is>
          <t>UPPSALA</t>
        </is>
      </c>
      <c r="F645" t="inlineStr">
        <is>
          <t>Holmen skog AB</t>
        </is>
      </c>
      <c r="G645" t="n">
        <v>3.7</v>
      </c>
      <c r="H645" t="n">
        <v>0</v>
      </c>
      <c r="I645" t="n">
        <v>0</v>
      </c>
      <c r="J645" t="n">
        <v>1</v>
      </c>
      <c r="K645" t="n">
        <v>0</v>
      </c>
      <c r="L645" t="n">
        <v>0</v>
      </c>
      <c r="M645" t="n">
        <v>0</v>
      </c>
      <c r="N645" t="n">
        <v>0</v>
      </c>
      <c r="O645" t="n">
        <v>1</v>
      </c>
      <c r="P645" t="n">
        <v>0</v>
      </c>
      <c r="Q645" t="n">
        <v>1</v>
      </c>
      <c r="R645" s="2" t="inlineStr">
        <is>
          <t>Skogsklocka</t>
        </is>
      </c>
      <c r="S645">
        <f>HYPERLINK("https://klasma.github.io/Logging_0380/artfynd/A 13661-2024 artfynd.xlsx", "A 13661-2024")</f>
        <v/>
      </c>
      <c r="T645">
        <f>HYPERLINK("https://klasma.github.io/Logging_0380/kartor/A 13661-2024 karta.png", "A 13661-2024")</f>
        <v/>
      </c>
      <c r="V645">
        <f>HYPERLINK("https://klasma.github.io/Logging_0380/klagomål/A 13661-2024 FSC-klagomål.docx", "A 13661-2024")</f>
        <v/>
      </c>
      <c r="W645">
        <f>HYPERLINK("https://klasma.github.io/Logging_0380/klagomålsmail/A 13661-2024 FSC-klagomål mail.docx", "A 13661-2024")</f>
        <v/>
      </c>
      <c r="X645">
        <f>HYPERLINK("https://klasma.github.io/Logging_0380/tillsyn/A 13661-2024 tillsynsbegäran.docx", "A 13661-2024")</f>
        <v/>
      </c>
      <c r="Y645">
        <f>HYPERLINK("https://klasma.github.io/Logging_0380/tillsynsmail/A 13661-2024 tillsynsbegäran mail.docx", "A 13661-2024")</f>
        <v/>
      </c>
    </row>
    <row r="646" ht="15" customHeight="1">
      <c r="A646" t="inlineStr">
        <is>
          <t>A 14203-2024</t>
        </is>
      </c>
      <c r="B646" s="1" t="n">
        <v>45393</v>
      </c>
      <c r="C646" s="1" t="n">
        <v>45705</v>
      </c>
      <c r="D646" t="inlineStr">
        <is>
          <t>UPPSALA LÄN</t>
        </is>
      </c>
      <c r="E646" t="inlineStr">
        <is>
          <t>ÖSTHAMMAR</t>
        </is>
      </c>
      <c r="G646" t="n">
        <v>1.4</v>
      </c>
      <c r="H646" t="n">
        <v>0</v>
      </c>
      <c r="I646" t="n">
        <v>0</v>
      </c>
      <c r="J646" t="n">
        <v>1</v>
      </c>
      <c r="K646" t="n">
        <v>0</v>
      </c>
      <c r="L646" t="n">
        <v>0</v>
      </c>
      <c r="M646" t="n">
        <v>0</v>
      </c>
      <c r="N646" t="n">
        <v>0</v>
      </c>
      <c r="O646" t="n">
        <v>1</v>
      </c>
      <c r="P646" t="n">
        <v>0</v>
      </c>
      <c r="Q646" t="n">
        <v>1</v>
      </c>
      <c r="R646" s="2" t="inlineStr">
        <is>
          <t>Scharlakansvaxskivling</t>
        </is>
      </c>
      <c r="S646">
        <f>HYPERLINK("https://klasma.github.io/Logging_0382/artfynd/A 14203-2024 artfynd.xlsx", "A 14203-2024")</f>
        <v/>
      </c>
      <c r="T646">
        <f>HYPERLINK("https://klasma.github.io/Logging_0382/kartor/A 14203-2024 karta.png", "A 14203-2024")</f>
        <v/>
      </c>
      <c r="V646">
        <f>HYPERLINK("https://klasma.github.io/Logging_0382/klagomål/A 14203-2024 FSC-klagomål.docx", "A 14203-2024")</f>
        <v/>
      </c>
      <c r="W646">
        <f>HYPERLINK("https://klasma.github.io/Logging_0382/klagomålsmail/A 14203-2024 FSC-klagomål mail.docx", "A 14203-2024")</f>
        <v/>
      </c>
      <c r="X646">
        <f>HYPERLINK("https://klasma.github.io/Logging_0382/tillsyn/A 14203-2024 tillsynsbegäran.docx", "A 14203-2024")</f>
        <v/>
      </c>
      <c r="Y646">
        <f>HYPERLINK("https://klasma.github.io/Logging_0382/tillsynsmail/A 14203-2024 tillsynsbegäran mail.docx", "A 14203-2024")</f>
        <v/>
      </c>
    </row>
    <row r="647" ht="15" customHeight="1">
      <c r="A647" t="inlineStr">
        <is>
          <t>A 17006-2024</t>
        </is>
      </c>
      <c r="B647" s="1" t="n">
        <v>45411</v>
      </c>
      <c r="C647" s="1" t="n">
        <v>45705</v>
      </c>
      <c r="D647" t="inlineStr">
        <is>
          <t>UPPSALA LÄN</t>
        </is>
      </c>
      <c r="E647" t="inlineStr">
        <is>
          <t>HEBY</t>
        </is>
      </c>
      <c r="F647" t="inlineStr">
        <is>
          <t>Bergvik skog väst AB</t>
        </is>
      </c>
      <c r="G647" t="n">
        <v>14.6</v>
      </c>
      <c r="H647" t="n">
        <v>1</v>
      </c>
      <c r="I647" t="n">
        <v>0</v>
      </c>
      <c r="J647" t="n">
        <v>1</v>
      </c>
      <c r="K647" t="n">
        <v>0</v>
      </c>
      <c r="L647" t="n">
        <v>0</v>
      </c>
      <c r="M647" t="n">
        <v>0</v>
      </c>
      <c r="N647" t="n">
        <v>0</v>
      </c>
      <c r="O647" t="n">
        <v>1</v>
      </c>
      <c r="P647" t="n">
        <v>0</v>
      </c>
      <c r="Q647" t="n">
        <v>1</v>
      </c>
      <c r="R647" s="2" t="inlineStr">
        <is>
          <t>Järpe</t>
        </is>
      </c>
      <c r="S647">
        <f>HYPERLINK("https://klasma.github.io/Logging_0331/artfynd/A 17006-2024 artfynd.xlsx", "A 17006-2024")</f>
        <v/>
      </c>
      <c r="T647">
        <f>HYPERLINK("https://klasma.github.io/Logging_0331/kartor/A 17006-2024 karta.png", "A 17006-2024")</f>
        <v/>
      </c>
      <c r="V647">
        <f>HYPERLINK("https://klasma.github.io/Logging_0331/klagomål/A 17006-2024 FSC-klagomål.docx", "A 17006-2024")</f>
        <v/>
      </c>
      <c r="W647">
        <f>HYPERLINK("https://klasma.github.io/Logging_0331/klagomålsmail/A 17006-2024 FSC-klagomål mail.docx", "A 17006-2024")</f>
        <v/>
      </c>
      <c r="X647">
        <f>HYPERLINK("https://klasma.github.io/Logging_0331/tillsyn/A 17006-2024 tillsynsbegäran.docx", "A 17006-2024")</f>
        <v/>
      </c>
      <c r="Y647">
        <f>HYPERLINK("https://klasma.github.io/Logging_0331/tillsynsmail/A 17006-2024 tillsynsbegäran mail.docx", "A 17006-2024")</f>
        <v/>
      </c>
      <c r="Z647">
        <f>HYPERLINK("https://klasma.github.io/Logging_0331/fåglar/A 17006-2024 prioriterade fågelarter.docx", "A 17006-2024")</f>
        <v/>
      </c>
    </row>
    <row r="648" ht="15" customHeight="1">
      <c r="A648" t="inlineStr">
        <is>
          <t>A 16864-2024</t>
        </is>
      </c>
      <c r="B648" s="1" t="n">
        <v>45411</v>
      </c>
      <c r="C648" s="1" t="n">
        <v>45705</v>
      </c>
      <c r="D648" t="inlineStr">
        <is>
          <t>UPPSALA LÄN</t>
        </is>
      </c>
      <c r="E648" t="inlineStr">
        <is>
          <t>ENKÖPING</t>
        </is>
      </c>
      <c r="G648" t="n">
        <v>5.9</v>
      </c>
      <c r="H648" t="n">
        <v>1</v>
      </c>
      <c r="I648" t="n">
        <v>0</v>
      </c>
      <c r="J648" t="n">
        <v>1</v>
      </c>
      <c r="K648" t="n">
        <v>0</v>
      </c>
      <c r="L648" t="n">
        <v>0</v>
      </c>
      <c r="M648" t="n">
        <v>0</v>
      </c>
      <c r="N648" t="n">
        <v>0</v>
      </c>
      <c r="O648" t="n">
        <v>1</v>
      </c>
      <c r="P648" t="n">
        <v>0</v>
      </c>
      <c r="Q648" t="n">
        <v>1</v>
      </c>
      <c r="R648" s="2" t="inlineStr">
        <is>
          <t>Spillkråka</t>
        </is>
      </c>
      <c r="S648">
        <f>HYPERLINK("https://klasma.github.io/Logging_0381/artfynd/A 16864-2024 artfynd.xlsx", "A 16864-2024")</f>
        <v/>
      </c>
      <c r="T648">
        <f>HYPERLINK("https://klasma.github.io/Logging_0381/kartor/A 16864-2024 karta.png", "A 16864-2024")</f>
        <v/>
      </c>
      <c r="V648">
        <f>HYPERLINK("https://klasma.github.io/Logging_0381/klagomål/A 16864-2024 FSC-klagomål.docx", "A 16864-2024")</f>
        <v/>
      </c>
      <c r="W648">
        <f>HYPERLINK("https://klasma.github.io/Logging_0381/klagomålsmail/A 16864-2024 FSC-klagomål mail.docx", "A 16864-2024")</f>
        <v/>
      </c>
      <c r="X648">
        <f>HYPERLINK("https://klasma.github.io/Logging_0381/tillsyn/A 16864-2024 tillsynsbegäran.docx", "A 16864-2024")</f>
        <v/>
      </c>
      <c r="Y648">
        <f>HYPERLINK("https://klasma.github.io/Logging_0381/tillsynsmail/A 16864-2024 tillsynsbegäran mail.docx", "A 16864-2024")</f>
        <v/>
      </c>
      <c r="Z648">
        <f>HYPERLINK("https://klasma.github.io/Logging_0381/fåglar/A 16864-2024 prioriterade fågelarter.docx", "A 16864-2024")</f>
        <v/>
      </c>
    </row>
    <row r="649" ht="15" customHeight="1">
      <c r="A649" t="inlineStr">
        <is>
          <t>A 17942-2024</t>
        </is>
      </c>
      <c r="B649" s="1" t="n">
        <v>45419</v>
      </c>
      <c r="C649" s="1" t="n">
        <v>45705</v>
      </c>
      <c r="D649" t="inlineStr">
        <is>
          <t>UPPSALA LÄN</t>
        </is>
      </c>
      <c r="E649" t="inlineStr">
        <is>
          <t>ENKÖPING</t>
        </is>
      </c>
      <c r="G649" t="n">
        <v>0.8</v>
      </c>
      <c r="H649" t="n">
        <v>0</v>
      </c>
      <c r="I649" t="n">
        <v>0</v>
      </c>
      <c r="J649" t="n">
        <v>1</v>
      </c>
      <c r="K649" t="n">
        <v>0</v>
      </c>
      <c r="L649" t="n">
        <v>0</v>
      </c>
      <c r="M649" t="n">
        <v>0</v>
      </c>
      <c r="N649" t="n">
        <v>0</v>
      </c>
      <c r="O649" t="n">
        <v>1</v>
      </c>
      <c r="P649" t="n">
        <v>0</v>
      </c>
      <c r="Q649" t="n">
        <v>1</v>
      </c>
      <c r="R649" s="2" t="inlineStr">
        <is>
          <t>Ängsskära</t>
        </is>
      </c>
      <c r="S649">
        <f>HYPERLINK("https://klasma.github.io/Logging_0381/artfynd/A 17942-2024 artfynd.xlsx", "A 17942-2024")</f>
        <v/>
      </c>
      <c r="T649">
        <f>HYPERLINK("https://klasma.github.io/Logging_0381/kartor/A 17942-2024 karta.png", "A 17942-2024")</f>
        <v/>
      </c>
      <c r="V649">
        <f>HYPERLINK("https://klasma.github.io/Logging_0381/klagomål/A 17942-2024 FSC-klagomål.docx", "A 17942-2024")</f>
        <v/>
      </c>
      <c r="W649">
        <f>HYPERLINK("https://klasma.github.io/Logging_0381/klagomålsmail/A 17942-2024 FSC-klagomål mail.docx", "A 17942-2024")</f>
        <v/>
      </c>
      <c r="X649">
        <f>HYPERLINK("https://klasma.github.io/Logging_0381/tillsyn/A 17942-2024 tillsynsbegäran.docx", "A 17942-2024")</f>
        <v/>
      </c>
      <c r="Y649">
        <f>HYPERLINK("https://klasma.github.io/Logging_0381/tillsynsmail/A 17942-2024 tillsynsbegäran mail.docx", "A 17942-2024")</f>
        <v/>
      </c>
    </row>
    <row r="650" ht="15" customHeight="1">
      <c r="A650" t="inlineStr">
        <is>
          <t>A 17972-2024</t>
        </is>
      </c>
      <c r="B650" s="1" t="n">
        <v>45419</v>
      </c>
      <c r="C650" s="1" t="n">
        <v>45705</v>
      </c>
      <c r="D650" t="inlineStr">
        <is>
          <t>UPPSALA LÄN</t>
        </is>
      </c>
      <c r="E650" t="inlineStr">
        <is>
          <t>HEBY</t>
        </is>
      </c>
      <c r="F650" t="inlineStr">
        <is>
          <t>Bergvik skog väst AB</t>
        </is>
      </c>
      <c r="G650" t="n">
        <v>9.699999999999999</v>
      </c>
      <c r="H650" t="n">
        <v>0</v>
      </c>
      <c r="I650" t="n">
        <v>1</v>
      </c>
      <c r="J650" t="n">
        <v>0</v>
      </c>
      <c r="K650" t="n">
        <v>0</v>
      </c>
      <c r="L650" t="n">
        <v>0</v>
      </c>
      <c r="M650" t="n">
        <v>0</v>
      </c>
      <c r="N650" t="n">
        <v>0</v>
      </c>
      <c r="O650" t="n">
        <v>0</v>
      </c>
      <c r="P650" t="n">
        <v>0</v>
      </c>
      <c r="Q650" t="n">
        <v>1</v>
      </c>
      <c r="R650" s="2" t="inlineStr">
        <is>
          <t>Spädstarr</t>
        </is>
      </c>
      <c r="S650">
        <f>HYPERLINK("https://klasma.github.io/Logging_0331/artfynd/A 17972-2024 artfynd.xlsx", "A 17972-2024")</f>
        <v/>
      </c>
      <c r="T650">
        <f>HYPERLINK("https://klasma.github.io/Logging_0331/kartor/A 17972-2024 karta.png", "A 17972-2024")</f>
        <v/>
      </c>
      <c r="V650">
        <f>HYPERLINK("https://klasma.github.io/Logging_0331/klagomål/A 17972-2024 FSC-klagomål.docx", "A 17972-2024")</f>
        <v/>
      </c>
      <c r="W650">
        <f>HYPERLINK("https://klasma.github.io/Logging_0331/klagomålsmail/A 17972-2024 FSC-klagomål mail.docx", "A 17972-2024")</f>
        <v/>
      </c>
      <c r="X650">
        <f>HYPERLINK("https://klasma.github.io/Logging_0331/tillsyn/A 17972-2024 tillsynsbegäran.docx", "A 17972-2024")</f>
        <v/>
      </c>
      <c r="Y650">
        <f>HYPERLINK("https://klasma.github.io/Logging_0331/tillsynsmail/A 17972-2024 tillsynsbegäran mail.docx", "A 17972-2024")</f>
        <v/>
      </c>
    </row>
    <row r="651" ht="15" customHeight="1">
      <c r="A651" t="inlineStr">
        <is>
          <t>A 18348-2024</t>
        </is>
      </c>
      <c r="B651" s="1" t="n">
        <v>45422</v>
      </c>
      <c r="C651" s="1" t="n">
        <v>45705</v>
      </c>
      <c r="D651" t="inlineStr">
        <is>
          <t>UPPSALA LÄN</t>
        </is>
      </c>
      <c r="E651" t="inlineStr">
        <is>
          <t>UPPSALA</t>
        </is>
      </c>
      <c r="F651" t="inlineStr">
        <is>
          <t>Holmen skog AB</t>
        </is>
      </c>
      <c r="G651" t="n">
        <v>2.8</v>
      </c>
      <c r="H651" t="n">
        <v>0</v>
      </c>
      <c r="I651" t="n">
        <v>0</v>
      </c>
      <c r="J651" t="n">
        <v>1</v>
      </c>
      <c r="K651" t="n">
        <v>0</v>
      </c>
      <c r="L651" t="n">
        <v>0</v>
      </c>
      <c r="M651" t="n">
        <v>0</v>
      </c>
      <c r="N651" t="n">
        <v>0</v>
      </c>
      <c r="O651" t="n">
        <v>1</v>
      </c>
      <c r="P651" t="n">
        <v>0</v>
      </c>
      <c r="Q651" t="n">
        <v>1</v>
      </c>
      <c r="R651" s="2" t="inlineStr">
        <is>
          <t>Granticka</t>
        </is>
      </c>
      <c r="S651">
        <f>HYPERLINK("https://klasma.github.io/Logging_0380/artfynd/A 18348-2024 artfynd.xlsx", "A 18348-2024")</f>
        <v/>
      </c>
      <c r="T651">
        <f>HYPERLINK("https://klasma.github.io/Logging_0380/kartor/A 18348-2024 karta.png", "A 18348-2024")</f>
        <v/>
      </c>
      <c r="V651">
        <f>HYPERLINK("https://klasma.github.io/Logging_0380/klagomål/A 18348-2024 FSC-klagomål.docx", "A 18348-2024")</f>
        <v/>
      </c>
      <c r="W651">
        <f>HYPERLINK("https://klasma.github.io/Logging_0380/klagomålsmail/A 18348-2024 FSC-klagomål mail.docx", "A 18348-2024")</f>
        <v/>
      </c>
      <c r="X651">
        <f>HYPERLINK("https://klasma.github.io/Logging_0380/tillsyn/A 18348-2024 tillsynsbegäran.docx", "A 18348-2024")</f>
        <v/>
      </c>
      <c r="Y651">
        <f>HYPERLINK("https://klasma.github.io/Logging_0380/tillsynsmail/A 18348-2024 tillsynsbegäran mail.docx", "A 18348-2024")</f>
        <v/>
      </c>
    </row>
    <row r="652" ht="15" customHeight="1">
      <c r="A652" t="inlineStr">
        <is>
          <t>A 18416-2024</t>
        </is>
      </c>
      <c r="B652" s="1" t="n">
        <v>45425</v>
      </c>
      <c r="C652" s="1" t="n">
        <v>45705</v>
      </c>
      <c r="D652" t="inlineStr">
        <is>
          <t>UPPSALA LÄN</t>
        </is>
      </c>
      <c r="E652" t="inlineStr">
        <is>
          <t>ENKÖPING</t>
        </is>
      </c>
      <c r="G652" t="n">
        <v>4.5</v>
      </c>
      <c r="H652" t="n">
        <v>1</v>
      </c>
      <c r="I652" t="n">
        <v>1</v>
      </c>
      <c r="J652" t="n">
        <v>0</v>
      </c>
      <c r="K652" t="n">
        <v>0</v>
      </c>
      <c r="L652" t="n">
        <v>0</v>
      </c>
      <c r="M652" t="n">
        <v>0</v>
      </c>
      <c r="N652" t="n">
        <v>0</v>
      </c>
      <c r="O652" t="n">
        <v>0</v>
      </c>
      <c r="P652" t="n">
        <v>0</v>
      </c>
      <c r="Q652" t="n">
        <v>1</v>
      </c>
      <c r="R652" s="2" t="inlineStr">
        <is>
          <t>Grön sköldmossa</t>
        </is>
      </c>
      <c r="S652">
        <f>HYPERLINK("https://klasma.github.io/Logging_0381/artfynd/A 18416-2024 artfynd.xlsx", "A 18416-2024")</f>
        <v/>
      </c>
      <c r="T652">
        <f>HYPERLINK("https://klasma.github.io/Logging_0381/kartor/A 18416-2024 karta.png", "A 18416-2024")</f>
        <v/>
      </c>
      <c r="V652">
        <f>HYPERLINK("https://klasma.github.io/Logging_0381/klagomål/A 18416-2024 FSC-klagomål.docx", "A 18416-2024")</f>
        <v/>
      </c>
      <c r="W652">
        <f>HYPERLINK("https://klasma.github.io/Logging_0381/klagomålsmail/A 18416-2024 FSC-klagomål mail.docx", "A 18416-2024")</f>
        <v/>
      </c>
      <c r="X652">
        <f>HYPERLINK("https://klasma.github.io/Logging_0381/tillsyn/A 18416-2024 tillsynsbegäran.docx", "A 18416-2024")</f>
        <v/>
      </c>
      <c r="Y652">
        <f>HYPERLINK("https://klasma.github.io/Logging_0381/tillsynsmail/A 18416-2024 tillsynsbegäran mail.docx", "A 18416-2024")</f>
        <v/>
      </c>
    </row>
    <row r="653" ht="15" customHeight="1">
      <c r="A653" t="inlineStr">
        <is>
          <t>A 18509-2024</t>
        </is>
      </c>
      <c r="B653" s="1" t="n">
        <v>45425</v>
      </c>
      <c r="C653" s="1" t="n">
        <v>45705</v>
      </c>
      <c r="D653" t="inlineStr">
        <is>
          <t>UPPSALA LÄN</t>
        </is>
      </c>
      <c r="E653" t="inlineStr">
        <is>
          <t>UPPSALA</t>
        </is>
      </c>
      <c r="G653" t="n">
        <v>4</v>
      </c>
      <c r="H653" t="n">
        <v>0</v>
      </c>
      <c r="I653" t="n">
        <v>1</v>
      </c>
      <c r="J653" t="n">
        <v>0</v>
      </c>
      <c r="K653" t="n">
        <v>0</v>
      </c>
      <c r="L653" t="n">
        <v>0</v>
      </c>
      <c r="M653" t="n">
        <v>0</v>
      </c>
      <c r="N653" t="n">
        <v>0</v>
      </c>
      <c r="O653" t="n">
        <v>0</v>
      </c>
      <c r="P653" t="n">
        <v>0</v>
      </c>
      <c r="Q653" t="n">
        <v>1</v>
      </c>
      <c r="R653" s="2" t="inlineStr">
        <is>
          <t>Fällmossa</t>
        </is>
      </c>
      <c r="S653">
        <f>HYPERLINK("https://klasma.github.io/Logging_0380/artfynd/A 18509-2024 artfynd.xlsx", "A 18509-2024")</f>
        <v/>
      </c>
      <c r="T653">
        <f>HYPERLINK("https://klasma.github.io/Logging_0380/kartor/A 18509-2024 karta.png", "A 18509-2024")</f>
        <v/>
      </c>
      <c r="V653">
        <f>HYPERLINK("https://klasma.github.io/Logging_0380/klagomål/A 18509-2024 FSC-klagomål.docx", "A 18509-2024")</f>
        <v/>
      </c>
      <c r="W653">
        <f>HYPERLINK("https://klasma.github.io/Logging_0380/klagomålsmail/A 18509-2024 FSC-klagomål mail.docx", "A 18509-2024")</f>
        <v/>
      </c>
      <c r="X653">
        <f>HYPERLINK("https://klasma.github.io/Logging_0380/tillsyn/A 18509-2024 tillsynsbegäran.docx", "A 18509-2024")</f>
        <v/>
      </c>
      <c r="Y653">
        <f>HYPERLINK("https://klasma.github.io/Logging_0380/tillsynsmail/A 18509-2024 tillsynsbegäran mail.docx", "A 18509-2024")</f>
        <v/>
      </c>
    </row>
    <row r="654" ht="15" customHeight="1">
      <c r="A654" t="inlineStr">
        <is>
          <t>A 19139-2024</t>
        </is>
      </c>
      <c r="B654" s="1" t="n">
        <v>45428</v>
      </c>
      <c r="C654" s="1" t="n">
        <v>45705</v>
      </c>
      <c r="D654" t="inlineStr">
        <is>
          <t>UPPSALA LÄN</t>
        </is>
      </c>
      <c r="E654" t="inlineStr">
        <is>
          <t>HEBY</t>
        </is>
      </c>
      <c r="G654" t="n">
        <v>11.8</v>
      </c>
      <c r="H654" t="n">
        <v>0</v>
      </c>
      <c r="I654" t="n">
        <v>1</v>
      </c>
      <c r="J654" t="n">
        <v>0</v>
      </c>
      <c r="K654" t="n">
        <v>0</v>
      </c>
      <c r="L654" t="n">
        <v>0</v>
      </c>
      <c r="M654" t="n">
        <v>0</v>
      </c>
      <c r="N654" t="n">
        <v>0</v>
      </c>
      <c r="O654" t="n">
        <v>0</v>
      </c>
      <c r="P654" t="n">
        <v>0</v>
      </c>
      <c r="Q654" t="n">
        <v>1</v>
      </c>
      <c r="R654" s="2" t="inlineStr">
        <is>
          <t>Ögonpyrola</t>
        </is>
      </c>
      <c r="S654">
        <f>HYPERLINK("https://klasma.github.io/Logging_0331/artfynd/A 19139-2024 artfynd.xlsx", "A 19139-2024")</f>
        <v/>
      </c>
      <c r="T654">
        <f>HYPERLINK("https://klasma.github.io/Logging_0331/kartor/A 19139-2024 karta.png", "A 19139-2024")</f>
        <v/>
      </c>
      <c r="V654">
        <f>HYPERLINK("https://klasma.github.io/Logging_0331/klagomål/A 19139-2024 FSC-klagomål.docx", "A 19139-2024")</f>
        <v/>
      </c>
      <c r="W654">
        <f>HYPERLINK("https://klasma.github.io/Logging_0331/klagomålsmail/A 19139-2024 FSC-klagomål mail.docx", "A 19139-2024")</f>
        <v/>
      </c>
      <c r="X654">
        <f>HYPERLINK("https://klasma.github.io/Logging_0331/tillsyn/A 19139-2024 tillsynsbegäran.docx", "A 19139-2024")</f>
        <v/>
      </c>
      <c r="Y654">
        <f>HYPERLINK("https://klasma.github.io/Logging_0331/tillsynsmail/A 19139-2024 tillsynsbegäran mail.docx", "A 19139-2024")</f>
        <v/>
      </c>
    </row>
    <row r="655" ht="15" customHeight="1">
      <c r="A655" t="inlineStr">
        <is>
          <t>A 19300-2024</t>
        </is>
      </c>
      <c r="B655" s="1" t="n">
        <v>45428</v>
      </c>
      <c r="C655" s="1" t="n">
        <v>45705</v>
      </c>
      <c r="D655" t="inlineStr">
        <is>
          <t>UPPSALA LÄN</t>
        </is>
      </c>
      <c r="E655" t="inlineStr">
        <is>
          <t>ÄLVKARLEBY</t>
        </is>
      </c>
      <c r="G655" t="n">
        <v>0.9</v>
      </c>
      <c r="H655" t="n">
        <v>1</v>
      </c>
      <c r="I655" t="n">
        <v>0</v>
      </c>
      <c r="J655" t="n">
        <v>0</v>
      </c>
      <c r="K655" t="n">
        <v>1</v>
      </c>
      <c r="L655" t="n">
        <v>0</v>
      </c>
      <c r="M655" t="n">
        <v>0</v>
      </c>
      <c r="N655" t="n">
        <v>0</v>
      </c>
      <c r="O655" t="n">
        <v>1</v>
      </c>
      <c r="P655" t="n">
        <v>1</v>
      </c>
      <c r="Q655" t="n">
        <v>1</v>
      </c>
      <c r="R655" s="2" t="inlineStr">
        <is>
          <t>Kricka</t>
        </is>
      </c>
      <c r="S655">
        <f>HYPERLINK("https://klasma.github.io/Logging_0319/artfynd/A 19300-2024 artfynd.xlsx", "A 19300-2024")</f>
        <v/>
      </c>
      <c r="T655">
        <f>HYPERLINK("https://klasma.github.io/Logging_0319/kartor/A 19300-2024 karta.png", "A 19300-2024")</f>
        <v/>
      </c>
      <c r="V655">
        <f>HYPERLINK("https://klasma.github.io/Logging_0319/klagomål/A 19300-2024 FSC-klagomål.docx", "A 19300-2024")</f>
        <v/>
      </c>
      <c r="W655">
        <f>HYPERLINK("https://klasma.github.io/Logging_0319/klagomålsmail/A 19300-2024 FSC-klagomål mail.docx", "A 19300-2024")</f>
        <v/>
      </c>
      <c r="X655">
        <f>HYPERLINK("https://klasma.github.io/Logging_0319/tillsyn/A 19300-2024 tillsynsbegäran.docx", "A 19300-2024")</f>
        <v/>
      </c>
      <c r="Y655">
        <f>HYPERLINK("https://klasma.github.io/Logging_0319/tillsynsmail/A 19300-2024 tillsynsbegäran mail.docx", "A 19300-2024")</f>
        <v/>
      </c>
      <c r="Z655">
        <f>HYPERLINK("https://klasma.github.io/Logging_0319/fåglar/A 19300-2024 prioriterade fågelarter.docx", "A 19300-2024")</f>
        <v/>
      </c>
    </row>
    <row r="656" ht="15" customHeight="1">
      <c r="A656" t="inlineStr">
        <is>
          <t>A 19481-2024</t>
        </is>
      </c>
      <c r="B656" s="1" t="n">
        <v>45429</v>
      </c>
      <c r="C656" s="1" t="n">
        <v>45705</v>
      </c>
      <c r="D656" t="inlineStr">
        <is>
          <t>UPPSALA LÄN</t>
        </is>
      </c>
      <c r="E656" t="inlineStr">
        <is>
          <t>HEBY</t>
        </is>
      </c>
      <c r="G656" t="n">
        <v>15.7</v>
      </c>
      <c r="H656" t="n">
        <v>0</v>
      </c>
      <c r="I656" t="n">
        <v>0</v>
      </c>
      <c r="J656" t="n">
        <v>1</v>
      </c>
      <c r="K656" t="n">
        <v>0</v>
      </c>
      <c r="L656" t="n">
        <v>0</v>
      </c>
      <c r="M656" t="n">
        <v>0</v>
      </c>
      <c r="N656" t="n">
        <v>0</v>
      </c>
      <c r="O656" t="n">
        <v>1</v>
      </c>
      <c r="P656" t="n">
        <v>0</v>
      </c>
      <c r="Q656" t="n">
        <v>1</v>
      </c>
      <c r="R656" s="2" t="inlineStr">
        <is>
          <t>Ullticka</t>
        </is>
      </c>
      <c r="S656">
        <f>HYPERLINK("https://klasma.github.io/Logging_0331/artfynd/A 19481-2024 artfynd.xlsx", "A 19481-2024")</f>
        <v/>
      </c>
      <c r="T656">
        <f>HYPERLINK("https://klasma.github.io/Logging_0331/kartor/A 19481-2024 karta.png", "A 19481-2024")</f>
        <v/>
      </c>
      <c r="V656">
        <f>HYPERLINK("https://klasma.github.io/Logging_0331/klagomål/A 19481-2024 FSC-klagomål.docx", "A 19481-2024")</f>
        <v/>
      </c>
      <c r="W656">
        <f>HYPERLINK("https://klasma.github.io/Logging_0331/klagomålsmail/A 19481-2024 FSC-klagomål mail.docx", "A 19481-2024")</f>
        <v/>
      </c>
      <c r="X656">
        <f>HYPERLINK("https://klasma.github.io/Logging_0331/tillsyn/A 19481-2024 tillsynsbegäran.docx", "A 19481-2024")</f>
        <v/>
      </c>
      <c r="Y656">
        <f>HYPERLINK("https://klasma.github.io/Logging_0331/tillsynsmail/A 19481-2024 tillsynsbegäran mail.docx", "A 19481-2024")</f>
        <v/>
      </c>
    </row>
    <row r="657" ht="15" customHeight="1">
      <c r="A657" t="inlineStr">
        <is>
          <t>A 21671-2024</t>
        </is>
      </c>
      <c r="B657" s="1" t="n">
        <v>45442</v>
      </c>
      <c r="C657" s="1" t="n">
        <v>45705</v>
      </c>
      <c r="D657" t="inlineStr">
        <is>
          <t>UPPSALA LÄN</t>
        </is>
      </c>
      <c r="E657" t="inlineStr">
        <is>
          <t>UPPSALA</t>
        </is>
      </c>
      <c r="G657" t="n">
        <v>3.7</v>
      </c>
      <c r="H657" t="n">
        <v>1</v>
      </c>
      <c r="I657" t="n">
        <v>0</v>
      </c>
      <c r="J657" t="n">
        <v>0</v>
      </c>
      <c r="K657" t="n">
        <v>1</v>
      </c>
      <c r="L657" t="n">
        <v>0</v>
      </c>
      <c r="M657" t="n">
        <v>0</v>
      </c>
      <c r="N657" t="n">
        <v>0</v>
      </c>
      <c r="O657" t="n">
        <v>1</v>
      </c>
      <c r="P657" t="n">
        <v>1</v>
      </c>
      <c r="Q657" t="n">
        <v>1</v>
      </c>
      <c r="R657" s="2" t="inlineStr">
        <is>
          <t>Knärot</t>
        </is>
      </c>
      <c r="S657">
        <f>HYPERLINK("https://klasma.github.io/Logging_0380/artfynd/A 21671-2024 artfynd.xlsx", "A 21671-2024")</f>
        <v/>
      </c>
      <c r="T657">
        <f>HYPERLINK("https://klasma.github.io/Logging_0380/kartor/A 21671-2024 karta.png", "A 21671-2024")</f>
        <v/>
      </c>
      <c r="U657">
        <f>HYPERLINK("https://klasma.github.io/Logging_0380/knärot/A 21671-2024 karta knärot.png", "A 21671-2024")</f>
        <v/>
      </c>
      <c r="V657">
        <f>HYPERLINK("https://klasma.github.io/Logging_0380/klagomål/A 21671-2024 FSC-klagomål.docx", "A 21671-2024")</f>
        <v/>
      </c>
      <c r="W657">
        <f>HYPERLINK("https://klasma.github.io/Logging_0380/klagomålsmail/A 21671-2024 FSC-klagomål mail.docx", "A 21671-2024")</f>
        <v/>
      </c>
      <c r="X657">
        <f>HYPERLINK("https://klasma.github.io/Logging_0380/tillsyn/A 21671-2024 tillsynsbegäran.docx", "A 21671-2024")</f>
        <v/>
      </c>
      <c r="Y657">
        <f>HYPERLINK("https://klasma.github.io/Logging_0380/tillsynsmail/A 21671-2024 tillsynsbegäran mail.docx", "A 21671-2024")</f>
        <v/>
      </c>
    </row>
    <row r="658" ht="15" customHeight="1">
      <c r="A658" t="inlineStr">
        <is>
          <t>A 21700-2024</t>
        </is>
      </c>
      <c r="B658" s="1" t="n">
        <v>45442</v>
      </c>
      <c r="C658" s="1" t="n">
        <v>45705</v>
      </c>
      <c r="D658" t="inlineStr">
        <is>
          <t>UPPSALA LÄN</t>
        </is>
      </c>
      <c r="E658" t="inlineStr">
        <is>
          <t>ÄLVKARLEBY</t>
        </is>
      </c>
      <c r="F658" t="inlineStr">
        <is>
          <t>Bergvik skog väst AB</t>
        </is>
      </c>
      <c r="G658" t="n">
        <v>1.1</v>
      </c>
      <c r="H658" t="n">
        <v>0</v>
      </c>
      <c r="I658" t="n">
        <v>0</v>
      </c>
      <c r="J658" t="n">
        <v>0</v>
      </c>
      <c r="K658" t="n">
        <v>1</v>
      </c>
      <c r="L658" t="n">
        <v>0</v>
      </c>
      <c r="M658" t="n">
        <v>0</v>
      </c>
      <c r="N658" t="n">
        <v>0</v>
      </c>
      <c r="O658" t="n">
        <v>1</v>
      </c>
      <c r="P658" t="n">
        <v>1</v>
      </c>
      <c r="Q658" t="n">
        <v>1</v>
      </c>
      <c r="R658" s="2" t="inlineStr">
        <is>
          <t>Töcknig trymal</t>
        </is>
      </c>
      <c r="S658">
        <f>HYPERLINK("https://klasma.github.io/Logging_0319/artfynd/A 21700-2024 artfynd.xlsx", "A 21700-2024")</f>
        <v/>
      </c>
      <c r="T658">
        <f>HYPERLINK("https://klasma.github.io/Logging_0319/kartor/A 21700-2024 karta.png", "A 21700-2024")</f>
        <v/>
      </c>
      <c r="V658">
        <f>HYPERLINK("https://klasma.github.io/Logging_0319/klagomål/A 21700-2024 FSC-klagomål.docx", "A 21700-2024")</f>
        <v/>
      </c>
      <c r="W658">
        <f>HYPERLINK("https://klasma.github.io/Logging_0319/klagomålsmail/A 21700-2024 FSC-klagomål mail.docx", "A 21700-2024")</f>
        <v/>
      </c>
      <c r="X658">
        <f>HYPERLINK("https://klasma.github.io/Logging_0319/tillsyn/A 21700-2024 tillsynsbegäran.docx", "A 21700-2024")</f>
        <v/>
      </c>
      <c r="Y658">
        <f>HYPERLINK("https://klasma.github.io/Logging_0319/tillsynsmail/A 21700-2024 tillsynsbegäran mail.docx", "A 21700-2024")</f>
        <v/>
      </c>
    </row>
    <row r="659" ht="15" customHeight="1">
      <c r="A659" t="inlineStr">
        <is>
          <t>A 21831-2024</t>
        </is>
      </c>
      <c r="B659" s="1" t="n">
        <v>45442</v>
      </c>
      <c r="C659" s="1" t="n">
        <v>45705</v>
      </c>
      <c r="D659" t="inlineStr">
        <is>
          <t>UPPSALA LÄN</t>
        </is>
      </c>
      <c r="E659" t="inlineStr">
        <is>
          <t>KNIVSTA</t>
        </is>
      </c>
      <c r="G659" t="n">
        <v>4.5</v>
      </c>
      <c r="H659" t="n">
        <v>1</v>
      </c>
      <c r="I659" t="n">
        <v>0</v>
      </c>
      <c r="J659" t="n">
        <v>0</v>
      </c>
      <c r="K659" t="n">
        <v>0</v>
      </c>
      <c r="L659" t="n">
        <v>0</v>
      </c>
      <c r="M659" t="n">
        <v>0</v>
      </c>
      <c r="N659" t="n">
        <v>0</v>
      </c>
      <c r="O659" t="n">
        <v>0</v>
      </c>
      <c r="P659" t="n">
        <v>0</v>
      </c>
      <c r="Q659" t="n">
        <v>1</v>
      </c>
      <c r="R659" s="2" t="inlineStr">
        <is>
          <t>Blåsippa</t>
        </is>
      </c>
      <c r="S659">
        <f>HYPERLINK("https://klasma.github.io/Logging_0330/artfynd/A 21831-2024 artfynd.xlsx", "A 21831-2024")</f>
        <v/>
      </c>
      <c r="T659">
        <f>HYPERLINK("https://klasma.github.io/Logging_0330/kartor/A 21831-2024 karta.png", "A 21831-2024")</f>
        <v/>
      </c>
      <c r="V659">
        <f>HYPERLINK("https://klasma.github.io/Logging_0330/klagomål/A 21831-2024 FSC-klagomål.docx", "A 21831-2024")</f>
        <v/>
      </c>
      <c r="W659">
        <f>HYPERLINK("https://klasma.github.io/Logging_0330/klagomålsmail/A 21831-2024 FSC-klagomål mail.docx", "A 21831-2024")</f>
        <v/>
      </c>
      <c r="X659">
        <f>HYPERLINK("https://klasma.github.io/Logging_0330/tillsyn/A 21831-2024 tillsynsbegäran.docx", "A 21831-2024")</f>
        <v/>
      </c>
      <c r="Y659">
        <f>HYPERLINK("https://klasma.github.io/Logging_0330/tillsynsmail/A 21831-2024 tillsynsbegäran mail.docx", "A 21831-2024")</f>
        <v/>
      </c>
    </row>
    <row r="660" ht="15" customHeight="1">
      <c r="A660" t="inlineStr">
        <is>
          <t>A 22375-2024</t>
        </is>
      </c>
      <c r="B660" s="1" t="n">
        <v>45446</v>
      </c>
      <c r="C660" s="1" t="n">
        <v>45705</v>
      </c>
      <c r="D660" t="inlineStr">
        <is>
          <t>UPPSALA LÄN</t>
        </is>
      </c>
      <c r="E660" t="inlineStr">
        <is>
          <t>ÖSTHAMMAR</t>
        </is>
      </c>
      <c r="F660" t="inlineStr">
        <is>
          <t>Bergvik skog öst AB</t>
        </is>
      </c>
      <c r="G660" t="n">
        <v>2.2</v>
      </c>
      <c r="H660" t="n">
        <v>0</v>
      </c>
      <c r="I660" t="n">
        <v>0</v>
      </c>
      <c r="J660" t="n">
        <v>1</v>
      </c>
      <c r="K660" t="n">
        <v>0</v>
      </c>
      <c r="L660" t="n">
        <v>0</v>
      </c>
      <c r="M660" t="n">
        <v>0</v>
      </c>
      <c r="N660" t="n">
        <v>0</v>
      </c>
      <c r="O660" t="n">
        <v>1</v>
      </c>
      <c r="P660" t="n">
        <v>0</v>
      </c>
      <c r="Q660" t="n">
        <v>1</v>
      </c>
      <c r="R660" s="2" t="inlineStr">
        <is>
          <t>Slåtterfibbla</t>
        </is>
      </c>
      <c r="S660">
        <f>HYPERLINK("https://klasma.github.io/Logging_0382/artfynd/A 22375-2024 artfynd.xlsx", "A 22375-2024")</f>
        <v/>
      </c>
      <c r="T660">
        <f>HYPERLINK("https://klasma.github.io/Logging_0382/kartor/A 22375-2024 karta.png", "A 22375-2024")</f>
        <v/>
      </c>
      <c r="V660">
        <f>HYPERLINK("https://klasma.github.io/Logging_0382/klagomål/A 22375-2024 FSC-klagomål.docx", "A 22375-2024")</f>
        <v/>
      </c>
      <c r="W660">
        <f>HYPERLINK("https://klasma.github.io/Logging_0382/klagomålsmail/A 22375-2024 FSC-klagomål mail.docx", "A 22375-2024")</f>
        <v/>
      </c>
      <c r="X660">
        <f>HYPERLINK("https://klasma.github.io/Logging_0382/tillsyn/A 22375-2024 tillsynsbegäran.docx", "A 22375-2024")</f>
        <v/>
      </c>
      <c r="Y660">
        <f>HYPERLINK("https://klasma.github.io/Logging_0382/tillsynsmail/A 22375-2024 tillsynsbegäran mail.docx", "A 22375-2024")</f>
        <v/>
      </c>
    </row>
    <row r="661" ht="15" customHeight="1">
      <c r="A661" t="inlineStr">
        <is>
          <t>A 23321-2024</t>
        </is>
      </c>
      <c r="B661" s="1" t="n">
        <v>45453</v>
      </c>
      <c r="C661" s="1" t="n">
        <v>45705</v>
      </c>
      <c r="D661" t="inlineStr">
        <is>
          <t>UPPSALA LÄN</t>
        </is>
      </c>
      <c r="E661" t="inlineStr">
        <is>
          <t>UPPSALA</t>
        </is>
      </c>
      <c r="G661" t="n">
        <v>11.8</v>
      </c>
      <c r="H661" t="n">
        <v>1</v>
      </c>
      <c r="I661" t="n">
        <v>0</v>
      </c>
      <c r="J661" t="n">
        <v>1</v>
      </c>
      <c r="K661" t="n">
        <v>0</v>
      </c>
      <c r="L661" t="n">
        <v>0</v>
      </c>
      <c r="M661" t="n">
        <v>0</v>
      </c>
      <c r="N661" t="n">
        <v>0</v>
      </c>
      <c r="O661" t="n">
        <v>1</v>
      </c>
      <c r="P661" t="n">
        <v>0</v>
      </c>
      <c r="Q661" t="n">
        <v>1</v>
      </c>
      <c r="R661" s="2" t="inlineStr">
        <is>
          <t>Talltita</t>
        </is>
      </c>
      <c r="S661">
        <f>HYPERLINK("https://klasma.github.io/Logging_0380/artfynd/A 23321-2024 artfynd.xlsx", "A 23321-2024")</f>
        <v/>
      </c>
      <c r="T661">
        <f>HYPERLINK("https://klasma.github.io/Logging_0380/kartor/A 23321-2024 karta.png", "A 23321-2024")</f>
        <v/>
      </c>
      <c r="U661">
        <f>HYPERLINK("https://klasma.github.io/Logging_0380/knärot/A 23321-2024 karta knärot.png", "A 23321-2024")</f>
        <v/>
      </c>
      <c r="V661">
        <f>HYPERLINK("https://klasma.github.io/Logging_0380/klagomål/A 23321-2024 FSC-klagomål.docx", "A 23321-2024")</f>
        <v/>
      </c>
      <c r="W661">
        <f>HYPERLINK("https://klasma.github.io/Logging_0380/klagomålsmail/A 23321-2024 FSC-klagomål mail.docx", "A 23321-2024")</f>
        <v/>
      </c>
      <c r="X661">
        <f>HYPERLINK("https://klasma.github.io/Logging_0380/tillsyn/A 23321-2024 tillsynsbegäran.docx", "A 23321-2024")</f>
        <v/>
      </c>
      <c r="Y661">
        <f>HYPERLINK("https://klasma.github.io/Logging_0380/tillsynsmail/A 23321-2024 tillsynsbegäran mail.docx", "A 23321-2024")</f>
        <v/>
      </c>
      <c r="Z661">
        <f>HYPERLINK("https://klasma.github.io/Logging_0380/fåglar/A 23321-2024 prioriterade fågelarter.docx", "A 23321-2024")</f>
        <v/>
      </c>
    </row>
    <row r="662" ht="15" customHeight="1">
      <c r="A662" t="inlineStr">
        <is>
          <t>A 23384-2024</t>
        </is>
      </c>
      <c r="B662" s="1" t="n">
        <v>45453</v>
      </c>
      <c r="C662" s="1" t="n">
        <v>45705</v>
      </c>
      <c r="D662" t="inlineStr">
        <is>
          <t>UPPSALA LÄN</t>
        </is>
      </c>
      <c r="E662" t="inlineStr">
        <is>
          <t>HEBY</t>
        </is>
      </c>
      <c r="F662" t="inlineStr">
        <is>
          <t>Bergvik skog väst AB</t>
        </is>
      </c>
      <c r="G662" t="n">
        <v>30.3</v>
      </c>
      <c r="H662" t="n">
        <v>0</v>
      </c>
      <c r="I662" t="n">
        <v>1</v>
      </c>
      <c r="J662" t="n">
        <v>0</v>
      </c>
      <c r="K662" t="n">
        <v>0</v>
      </c>
      <c r="L662" t="n">
        <v>0</v>
      </c>
      <c r="M662" t="n">
        <v>0</v>
      </c>
      <c r="N662" t="n">
        <v>0</v>
      </c>
      <c r="O662" t="n">
        <v>0</v>
      </c>
      <c r="P662" t="n">
        <v>0</v>
      </c>
      <c r="Q662" t="n">
        <v>1</v>
      </c>
      <c r="R662" s="2" t="inlineStr">
        <is>
          <t>Grönpyrola</t>
        </is>
      </c>
      <c r="S662">
        <f>HYPERLINK("https://klasma.github.io/Logging_0331/artfynd/A 23384-2024 artfynd.xlsx", "A 23384-2024")</f>
        <v/>
      </c>
      <c r="T662">
        <f>HYPERLINK("https://klasma.github.io/Logging_0331/kartor/A 23384-2024 karta.png", "A 23384-2024")</f>
        <v/>
      </c>
      <c r="V662">
        <f>HYPERLINK("https://klasma.github.io/Logging_0331/klagomål/A 23384-2024 FSC-klagomål.docx", "A 23384-2024")</f>
        <v/>
      </c>
      <c r="W662">
        <f>HYPERLINK("https://klasma.github.io/Logging_0331/klagomålsmail/A 23384-2024 FSC-klagomål mail.docx", "A 23384-2024")</f>
        <v/>
      </c>
      <c r="X662">
        <f>HYPERLINK("https://klasma.github.io/Logging_0331/tillsyn/A 23384-2024 tillsynsbegäran.docx", "A 23384-2024")</f>
        <v/>
      </c>
      <c r="Y662">
        <f>HYPERLINK("https://klasma.github.io/Logging_0331/tillsynsmail/A 23384-2024 tillsynsbegäran mail.docx", "A 23384-2024")</f>
        <v/>
      </c>
    </row>
    <row r="663" ht="15" customHeight="1">
      <c r="A663" t="inlineStr">
        <is>
          <t>A 24221-2024</t>
        </is>
      </c>
      <c r="B663" s="1" t="n">
        <v>45457</v>
      </c>
      <c r="C663" s="1" t="n">
        <v>45705</v>
      </c>
      <c r="D663" t="inlineStr">
        <is>
          <t>UPPSALA LÄN</t>
        </is>
      </c>
      <c r="E663" t="inlineStr">
        <is>
          <t>TIERP</t>
        </is>
      </c>
      <c r="G663" t="n">
        <v>7.9</v>
      </c>
      <c r="H663" t="n">
        <v>1</v>
      </c>
      <c r="I663" t="n">
        <v>1</v>
      </c>
      <c r="J663" t="n">
        <v>0</v>
      </c>
      <c r="K663" t="n">
        <v>0</v>
      </c>
      <c r="L663" t="n">
        <v>0</v>
      </c>
      <c r="M663" t="n">
        <v>0</v>
      </c>
      <c r="N663" t="n">
        <v>0</v>
      </c>
      <c r="O663" t="n">
        <v>0</v>
      </c>
      <c r="P663" t="n">
        <v>0</v>
      </c>
      <c r="Q663" t="n">
        <v>1</v>
      </c>
      <c r="R663" s="2" t="inlineStr">
        <is>
          <t>Skogsknipprot</t>
        </is>
      </c>
      <c r="S663">
        <f>HYPERLINK("https://klasma.github.io/Logging_0360/artfynd/A 24221-2024 artfynd.xlsx", "A 24221-2024")</f>
        <v/>
      </c>
      <c r="T663">
        <f>HYPERLINK("https://klasma.github.io/Logging_0360/kartor/A 24221-2024 karta.png", "A 24221-2024")</f>
        <v/>
      </c>
      <c r="V663">
        <f>HYPERLINK("https://klasma.github.io/Logging_0360/klagomål/A 24221-2024 FSC-klagomål.docx", "A 24221-2024")</f>
        <v/>
      </c>
      <c r="W663">
        <f>HYPERLINK("https://klasma.github.io/Logging_0360/klagomålsmail/A 24221-2024 FSC-klagomål mail.docx", "A 24221-2024")</f>
        <v/>
      </c>
      <c r="X663">
        <f>HYPERLINK("https://klasma.github.io/Logging_0360/tillsyn/A 24221-2024 tillsynsbegäran.docx", "A 24221-2024")</f>
        <v/>
      </c>
      <c r="Y663">
        <f>HYPERLINK("https://klasma.github.io/Logging_0360/tillsynsmail/A 24221-2024 tillsynsbegäran mail.docx", "A 24221-2024")</f>
        <v/>
      </c>
    </row>
    <row r="664" ht="15" customHeight="1">
      <c r="A664" t="inlineStr">
        <is>
          <t>A 25482-2024</t>
        </is>
      </c>
      <c r="B664" s="1" t="n">
        <v>45463</v>
      </c>
      <c r="C664" s="1" t="n">
        <v>45705</v>
      </c>
      <c r="D664" t="inlineStr">
        <is>
          <t>UPPSALA LÄN</t>
        </is>
      </c>
      <c r="E664" t="inlineStr">
        <is>
          <t>UPPSALA</t>
        </is>
      </c>
      <c r="F664" t="inlineStr">
        <is>
          <t>Övriga Aktiebolag</t>
        </is>
      </c>
      <c r="G664" t="n">
        <v>1</v>
      </c>
      <c r="H664" t="n">
        <v>0</v>
      </c>
      <c r="I664" t="n">
        <v>1</v>
      </c>
      <c r="J664" t="n">
        <v>0</v>
      </c>
      <c r="K664" t="n">
        <v>0</v>
      </c>
      <c r="L664" t="n">
        <v>0</v>
      </c>
      <c r="M664" t="n">
        <v>0</v>
      </c>
      <c r="N664" t="n">
        <v>0</v>
      </c>
      <c r="O664" t="n">
        <v>0</v>
      </c>
      <c r="P664" t="n">
        <v>0</v>
      </c>
      <c r="Q664" t="n">
        <v>1</v>
      </c>
      <c r="R664" s="2" t="inlineStr">
        <is>
          <t>Stor aspticka</t>
        </is>
      </c>
      <c r="S664">
        <f>HYPERLINK("https://klasma.github.io/Logging_0380/artfynd/A 25482-2024 artfynd.xlsx", "A 25482-2024")</f>
        <v/>
      </c>
      <c r="T664">
        <f>HYPERLINK("https://klasma.github.io/Logging_0380/kartor/A 25482-2024 karta.png", "A 25482-2024")</f>
        <v/>
      </c>
      <c r="V664">
        <f>HYPERLINK("https://klasma.github.io/Logging_0380/klagomål/A 25482-2024 FSC-klagomål.docx", "A 25482-2024")</f>
        <v/>
      </c>
      <c r="W664">
        <f>HYPERLINK("https://klasma.github.io/Logging_0380/klagomålsmail/A 25482-2024 FSC-klagomål mail.docx", "A 25482-2024")</f>
        <v/>
      </c>
      <c r="X664">
        <f>HYPERLINK("https://klasma.github.io/Logging_0380/tillsyn/A 25482-2024 tillsynsbegäran.docx", "A 25482-2024")</f>
        <v/>
      </c>
      <c r="Y664">
        <f>HYPERLINK("https://klasma.github.io/Logging_0380/tillsynsmail/A 25482-2024 tillsynsbegäran mail.docx", "A 25482-2024")</f>
        <v/>
      </c>
    </row>
    <row r="665" ht="15" customHeight="1">
      <c r="A665" t="inlineStr">
        <is>
          <t>A 25729-2024</t>
        </is>
      </c>
      <c r="B665" s="1" t="n">
        <v>45464</v>
      </c>
      <c r="C665" s="1" t="n">
        <v>45705</v>
      </c>
      <c r="D665" t="inlineStr">
        <is>
          <t>UPPSALA LÄN</t>
        </is>
      </c>
      <c r="E665" t="inlineStr">
        <is>
          <t>UPPSALA</t>
        </is>
      </c>
      <c r="G665" t="n">
        <v>22.3</v>
      </c>
      <c r="H665" t="n">
        <v>0</v>
      </c>
      <c r="I665" t="n">
        <v>0</v>
      </c>
      <c r="J665" t="n">
        <v>1</v>
      </c>
      <c r="K665" t="n">
        <v>0</v>
      </c>
      <c r="L665" t="n">
        <v>0</v>
      </c>
      <c r="M665" t="n">
        <v>0</v>
      </c>
      <c r="N665" t="n">
        <v>0</v>
      </c>
      <c r="O665" t="n">
        <v>1</v>
      </c>
      <c r="P665" t="n">
        <v>0</v>
      </c>
      <c r="Q665" t="n">
        <v>1</v>
      </c>
      <c r="R665" s="2" t="inlineStr">
        <is>
          <t>Ullticka</t>
        </is>
      </c>
      <c r="S665">
        <f>HYPERLINK("https://klasma.github.io/Logging_0380/artfynd/A 25729-2024 artfynd.xlsx", "A 25729-2024")</f>
        <v/>
      </c>
      <c r="T665">
        <f>HYPERLINK("https://klasma.github.io/Logging_0380/kartor/A 25729-2024 karta.png", "A 25729-2024")</f>
        <v/>
      </c>
      <c r="V665">
        <f>HYPERLINK("https://klasma.github.io/Logging_0380/klagomål/A 25729-2024 FSC-klagomål.docx", "A 25729-2024")</f>
        <v/>
      </c>
      <c r="W665">
        <f>HYPERLINK("https://klasma.github.io/Logging_0380/klagomålsmail/A 25729-2024 FSC-klagomål mail.docx", "A 25729-2024")</f>
        <v/>
      </c>
      <c r="X665">
        <f>HYPERLINK("https://klasma.github.io/Logging_0380/tillsyn/A 25729-2024 tillsynsbegäran.docx", "A 25729-2024")</f>
        <v/>
      </c>
      <c r="Y665">
        <f>HYPERLINK("https://klasma.github.io/Logging_0380/tillsynsmail/A 25729-2024 tillsynsbegäran mail.docx", "A 25729-2024")</f>
        <v/>
      </c>
    </row>
    <row r="666" ht="15" customHeight="1">
      <c r="A666" t="inlineStr">
        <is>
          <t>A 26598-2024</t>
        </is>
      </c>
      <c r="B666" s="1" t="n">
        <v>45469</v>
      </c>
      <c r="C666" s="1" t="n">
        <v>45705</v>
      </c>
      <c r="D666" t="inlineStr">
        <is>
          <t>UPPSALA LÄN</t>
        </is>
      </c>
      <c r="E666" t="inlineStr">
        <is>
          <t>HEBY</t>
        </is>
      </c>
      <c r="G666" t="n">
        <v>3.5</v>
      </c>
      <c r="H666" t="n">
        <v>0</v>
      </c>
      <c r="I666" t="n">
        <v>0</v>
      </c>
      <c r="J666" t="n">
        <v>1</v>
      </c>
      <c r="K666" t="n">
        <v>0</v>
      </c>
      <c r="L666" t="n">
        <v>0</v>
      </c>
      <c r="M666" t="n">
        <v>0</v>
      </c>
      <c r="N666" t="n">
        <v>0</v>
      </c>
      <c r="O666" t="n">
        <v>1</v>
      </c>
      <c r="P666" t="n">
        <v>0</v>
      </c>
      <c r="Q666" t="n">
        <v>1</v>
      </c>
      <c r="R666" s="2" t="inlineStr">
        <is>
          <t>Motaggsvamp</t>
        </is>
      </c>
      <c r="S666">
        <f>HYPERLINK("https://klasma.github.io/Logging_0331/artfynd/A 26598-2024 artfynd.xlsx", "A 26598-2024")</f>
        <v/>
      </c>
      <c r="T666">
        <f>HYPERLINK("https://klasma.github.io/Logging_0331/kartor/A 26598-2024 karta.png", "A 26598-2024")</f>
        <v/>
      </c>
      <c r="V666">
        <f>HYPERLINK("https://klasma.github.io/Logging_0331/klagomål/A 26598-2024 FSC-klagomål.docx", "A 26598-2024")</f>
        <v/>
      </c>
      <c r="W666">
        <f>HYPERLINK("https://klasma.github.io/Logging_0331/klagomålsmail/A 26598-2024 FSC-klagomål mail.docx", "A 26598-2024")</f>
        <v/>
      </c>
      <c r="X666">
        <f>HYPERLINK("https://klasma.github.io/Logging_0331/tillsyn/A 26598-2024 tillsynsbegäran.docx", "A 26598-2024")</f>
        <v/>
      </c>
      <c r="Y666">
        <f>HYPERLINK("https://klasma.github.io/Logging_0331/tillsynsmail/A 26598-2024 tillsynsbegäran mail.docx", "A 26598-2024")</f>
        <v/>
      </c>
    </row>
    <row r="667" ht="15" customHeight="1">
      <c r="A667" t="inlineStr">
        <is>
          <t>A 26591-2024</t>
        </is>
      </c>
      <c r="B667" s="1" t="n">
        <v>45469</v>
      </c>
      <c r="C667" s="1" t="n">
        <v>45705</v>
      </c>
      <c r="D667" t="inlineStr">
        <is>
          <t>UPPSALA LÄN</t>
        </is>
      </c>
      <c r="E667" t="inlineStr">
        <is>
          <t>HEBY</t>
        </is>
      </c>
      <c r="G667" t="n">
        <v>3.7</v>
      </c>
      <c r="H667" t="n">
        <v>0</v>
      </c>
      <c r="I667" t="n">
        <v>0</v>
      </c>
      <c r="J667" t="n">
        <v>1</v>
      </c>
      <c r="K667" t="n">
        <v>0</v>
      </c>
      <c r="L667" t="n">
        <v>0</v>
      </c>
      <c r="M667" t="n">
        <v>0</v>
      </c>
      <c r="N667" t="n">
        <v>0</v>
      </c>
      <c r="O667" t="n">
        <v>1</v>
      </c>
      <c r="P667" t="n">
        <v>0</v>
      </c>
      <c r="Q667" t="n">
        <v>1</v>
      </c>
      <c r="R667" s="2" t="inlineStr">
        <is>
          <t>Motaggsvamp</t>
        </is>
      </c>
      <c r="S667">
        <f>HYPERLINK("https://klasma.github.io/Logging_0331/artfynd/A 26591-2024 artfynd.xlsx", "A 26591-2024")</f>
        <v/>
      </c>
      <c r="T667">
        <f>HYPERLINK("https://klasma.github.io/Logging_0331/kartor/A 26591-2024 karta.png", "A 26591-2024")</f>
        <v/>
      </c>
      <c r="V667">
        <f>HYPERLINK("https://klasma.github.io/Logging_0331/klagomål/A 26591-2024 FSC-klagomål.docx", "A 26591-2024")</f>
        <v/>
      </c>
      <c r="W667">
        <f>HYPERLINK("https://klasma.github.io/Logging_0331/klagomålsmail/A 26591-2024 FSC-klagomål mail.docx", "A 26591-2024")</f>
        <v/>
      </c>
      <c r="X667">
        <f>HYPERLINK("https://klasma.github.io/Logging_0331/tillsyn/A 26591-2024 tillsynsbegäran.docx", "A 26591-2024")</f>
        <v/>
      </c>
      <c r="Y667">
        <f>HYPERLINK("https://klasma.github.io/Logging_0331/tillsynsmail/A 26591-2024 tillsynsbegäran mail.docx", "A 26591-2024")</f>
        <v/>
      </c>
    </row>
    <row r="668" ht="15" customHeight="1">
      <c r="A668" t="inlineStr">
        <is>
          <t>A 26471-2024</t>
        </is>
      </c>
      <c r="B668" s="1" t="n">
        <v>45469</v>
      </c>
      <c r="C668" s="1" t="n">
        <v>45705</v>
      </c>
      <c r="D668" t="inlineStr">
        <is>
          <t>UPPSALA LÄN</t>
        </is>
      </c>
      <c r="E668" t="inlineStr">
        <is>
          <t>ÄLVKARLEBY</t>
        </is>
      </c>
      <c r="F668" t="inlineStr">
        <is>
          <t>Bergvik skog väst AB</t>
        </is>
      </c>
      <c r="G668" t="n">
        <v>5.3</v>
      </c>
      <c r="H668" t="n">
        <v>1</v>
      </c>
      <c r="I668" t="n">
        <v>0</v>
      </c>
      <c r="J668" t="n">
        <v>1</v>
      </c>
      <c r="K668" t="n">
        <v>0</v>
      </c>
      <c r="L668" t="n">
        <v>0</v>
      </c>
      <c r="M668" t="n">
        <v>0</v>
      </c>
      <c r="N668" t="n">
        <v>0</v>
      </c>
      <c r="O668" t="n">
        <v>1</v>
      </c>
      <c r="P668" t="n">
        <v>0</v>
      </c>
      <c r="Q668" t="n">
        <v>1</v>
      </c>
      <c r="R668" s="2" t="inlineStr">
        <is>
          <t>Slaguggla</t>
        </is>
      </c>
      <c r="S668">
        <f>HYPERLINK("https://klasma.github.io/Logging_0319/artfynd/A 26471-2024 artfynd.xlsx", "A 26471-2024")</f>
        <v/>
      </c>
      <c r="T668">
        <f>HYPERLINK("https://klasma.github.io/Logging_0319/kartor/A 26471-2024 karta.png", "A 26471-2024")</f>
        <v/>
      </c>
      <c r="V668">
        <f>HYPERLINK("https://klasma.github.io/Logging_0319/klagomål/A 26471-2024 FSC-klagomål.docx", "A 26471-2024")</f>
        <v/>
      </c>
      <c r="W668">
        <f>HYPERLINK("https://klasma.github.io/Logging_0319/klagomålsmail/A 26471-2024 FSC-klagomål mail.docx", "A 26471-2024")</f>
        <v/>
      </c>
      <c r="X668">
        <f>HYPERLINK("https://klasma.github.io/Logging_0319/tillsyn/A 26471-2024 tillsynsbegäran.docx", "A 26471-2024")</f>
        <v/>
      </c>
      <c r="Y668">
        <f>HYPERLINK("https://klasma.github.io/Logging_0319/tillsynsmail/A 26471-2024 tillsynsbegäran mail.docx", "A 26471-2024")</f>
        <v/>
      </c>
      <c r="Z668">
        <f>HYPERLINK("https://klasma.github.io/Logging_0319/fåglar/A 26471-2024 prioriterade fågelarter.docx", "A 26471-2024")</f>
        <v/>
      </c>
    </row>
    <row r="669" ht="15" customHeight="1">
      <c r="A669" t="inlineStr">
        <is>
          <t>A 28847-2024</t>
        </is>
      </c>
      <c r="B669" s="1" t="n">
        <v>45478</v>
      </c>
      <c r="C669" s="1" t="n">
        <v>45705</v>
      </c>
      <c r="D669" t="inlineStr">
        <is>
          <t>UPPSALA LÄN</t>
        </is>
      </c>
      <c r="E669" t="inlineStr">
        <is>
          <t>ENKÖPING</t>
        </is>
      </c>
      <c r="G669" t="n">
        <v>3</v>
      </c>
      <c r="H669" t="n">
        <v>1</v>
      </c>
      <c r="I669" t="n">
        <v>0</v>
      </c>
      <c r="J669" t="n">
        <v>0</v>
      </c>
      <c r="K669" t="n">
        <v>0</v>
      </c>
      <c r="L669" t="n">
        <v>0</v>
      </c>
      <c r="M669" t="n">
        <v>0</v>
      </c>
      <c r="N669" t="n">
        <v>0</v>
      </c>
      <c r="O669" t="n">
        <v>0</v>
      </c>
      <c r="P669" t="n">
        <v>0</v>
      </c>
      <c r="Q669" t="n">
        <v>1</v>
      </c>
      <c r="R669" s="2" t="inlineStr">
        <is>
          <t>Revlummer</t>
        </is>
      </c>
      <c r="S669">
        <f>HYPERLINK("https://klasma.github.io/Logging_0381/artfynd/A 28847-2024 artfynd.xlsx", "A 28847-2024")</f>
        <v/>
      </c>
      <c r="T669">
        <f>HYPERLINK("https://klasma.github.io/Logging_0381/kartor/A 28847-2024 karta.png", "A 28847-2024")</f>
        <v/>
      </c>
      <c r="V669">
        <f>HYPERLINK("https://klasma.github.io/Logging_0381/klagomål/A 28847-2024 FSC-klagomål.docx", "A 28847-2024")</f>
        <v/>
      </c>
      <c r="W669">
        <f>HYPERLINK("https://klasma.github.io/Logging_0381/klagomålsmail/A 28847-2024 FSC-klagomål mail.docx", "A 28847-2024")</f>
        <v/>
      </c>
      <c r="X669">
        <f>HYPERLINK("https://klasma.github.io/Logging_0381/tillsyn/A 28847-2024 tillsynsbegäran.docx", "A 28847-2024")</f>
        <v/>
      </c>
      <c r="Y669">
        <f>HYPERLINK("https://klasma.github.io/Logging_0381/tillsynsmail/A 28847-2024 tillsynsbegäran mail.docx", "A 28847-2024")</f>
        <v/>
      </c>
    </row>
    <row r="670" ht="15" customHeight="1">
      <c r="A670" t="inlineStr">
        <is>
          <t>A 28900-2024</t>
        </is>
      </c>
      <c r="B670" s="1" t="n">
        <v>45480</v>
      </c>
      <c r="C670" s="1" t="n">
        <v>45705</v>
      </c>
      <c r="D670" t="inlineStr">
        <is>
          <t>UPPSALA LÄN</t>
        </is>
      </c>
      <c r="E670" t="inlineStr">
        <is>
          <t>ENKÖPING</t>
        </is>
      </c>
      <c r="G670" t="n">
        <v>8.6</v>
      </c>
      <c r="H670" t="n">
        <v>1</v>
      </c>
      <c r="I670" t="n">
        <v>0</v>
      </c>
      <c r="J670" t="n">
        <v>0</v>
      </c>
      <c r="K670" t="n">
        <v>0</v>
      </c>
      <c r="L670" t="n">
        <v>0</v>
      </c>
      <c r="M670" t="n">
        <v>0</v>
      </c>
      <c r="N670" t="n">
        <v>0</v>
      </c>
      <c r="O670" t="n">
        <v>0</v>
      </c>
      <c r="P670" t="n">
        <v>0</v>
      </c>
      <c r="Q670" t="n">
        <v>1</v>
      </c>
      <c r="R670" s="2" t="inlineStr">
        <is>
          <t>Blåsippa</t>
        </is>
      </c>
      <c r="S670">
        <f>HYPERLINK("https://klasma.github.io/Logging_0381/artfynd/A 28900-2024 artfynd.xlsx", "A 28900-2024")</f>
        <v/>
      </c>
      <c r="T670">
        <f>HYPERLINK("https://klasma.github.io/Logging_0381/kartor/A 28900-2024 karta.png", "A 28900-2024")</f>
        <v/>
      </c>
      <c r="V670">
        <f>HYPERLINK("https://klasma.github.io/Logging_0381/klagomål/A 28900-2024 FSC-klagomål.docx", "A 28900-2024")</f>
        <v/>
      </c>
      <c r="W670">
        <f>HYPERLINK("https://klasma.github.io/Logging_0381/klagomålsmail/A 28900-2024 FSC-klagomål mail.docx", "A 28900-2024")</f>
        <v/>
      </c>
      <c r="X670">
        <f>HYPERLINK("https://klasma.github.io/Logging_0381/tillsyn/A 28900-2024 tillsynsbegäran.docx", "A 28900-2024")</f>
        <v/>
      </c>
      <c r="Y670">
        <f>HYPERLINK("https://klasma.github.io/Logging_0381/tillsynsmail/A 28900-2024 tillsynsbegäran mail.docx", "A 28900-2024")</f>
        <v/>
      </c>
    </row>
    <row r="671" ht="15" customHeight="1">
      <c r="A671" t="inlineStr">
        <is>
          <t>A 29139-2024</t>
        </is>
      </c>
      <c r="B671" s="1" t="n">
        <v>45482</v>
      </c>
      <c r="C671" s="1" t="n">
        <v>45705</v>
      </c>
      <c r="D671" t="inlineStr">
        <is>
          <t>UPPSALA LÄN</t>
        </is>
      </c>
      <c r="E671" t="inlineStr">
        <is>
          <t>UPPSALA</t>
        </is>
      </c>
      <c r="F671" t="inlineStr">
        <is>
          <t>Allmännings- och besparingsskogar</t>
        </is>
      </c>
      <c r="G671" t="n">
        <v>26.4</v>
      </c>
      <c r="H671" t="n">
        <v>0</v>
      </c>
      <c r="I671" t="n">
        <v>0</v>
      </c>
      <c r="J671" t="n">
        <v>1</v>
      </c>
      <c r="K671" t="n">
        <v>0</v>
      </c>
      <c r="L671" t="n">
        <v>0</v>
      </c>
      <c r="M671" t="n">
        <v>0</v>
      </c>
      <c r="N671" t="n">
        <v>0</v>
      </c>
      <c r="O671" t="n">
        <v>1</v>
      </c>
      <c r="P671" t="n">
        <v>0</v>
      </c>
      <c r="Q671" t="n">
        <v>1</v>
      </c>
      <c r="R671" s="2" t="inlineStr">
        <is>
          <t>Granskugglöpare</t>
        </is>
      </c>
      <c r="S671">
        <f>HYPERLINK("https://klasma.github.io/Logging_0380/artfynd/A 29139-2024 artfynd.xlsx", "A 29139-2024")</f>
        <v/>
      </c>
      <c r="T671">
        <f>HYPERLINK("https://klasma.github.io/Logging_0380/kartor/A 29139-2024 karta.png", "A 29139-2024")</f>
        <v/>
      </c>
      <c r="V671">
        <f>HYPERLINK("https://klasma.github.io/Logging_0380/klagomål/A 29139-2024 FSC-klagomål.docx", "A 29139-2024")</f>
        <v/>
      </c>
      <c r="W671">
        <f>HYPERLINK("https://klasma.github.io/Logging_0380/klagomålsmail/A 29139-2024 FSC-klagomål mail.docx", "A 29139-2024")</f>
        <v/>
      </c>
      <c r="X671">
        <f>HYPERLINK("https://klasma.github.io/Logging_0380/tillsyn/A 29139-2024 tillsynsbegäran.docx", "A 29139-2024")</f>
        <v/>
      </c>
      <c r="Y671">
        <f>HYPERLINK("https://klasma.github.io/Logging_0380/tillsynsmail/A 29139-2024 tillsynsbegäran mail.docx", "A 29139-2024")</f>
        <v/>
      </c>
    </row>
    <row r="672" ht="15" customHeight="1">
      <c r="A672" t="inlineStr">
        <is>
          <t>A 30122-2024</t>
        </is>
      </c>
      <c r="B672" s="1" t="n">
        <v>45489</v>
      </c>
      <c r="C672" s="1" t="n">
        <v>45705</v>
      </c>
      <c r="D672" t="inlineStr">
        <is>
          <t>UPPSALA LÄN</t>
        </is>
      </c>
      <c r="E672" t="inlineStr">
        <is>
          <t>TIERP</t>
        </is>
      </c>
      <c r="G672" t="n">
        <v>3.4</v>
      </c>
      <c r="H672" t="n">
        <v>1</v>
      </c>
      <c r="I672" t="n">
        <v>1</v>
      </c>
      <c r="J672" t="n">
        <v>0</v>
      </c>
      <c r="K672" t="n">
        <v>0</v>
      </c>
      <c r="L672" t="n">
        <v>0</v>
      </c>
      <c r="M672" t="n">
        <v>0</v>
      </c>
      <c r="N672" t="n">
        <v>0</v>
      </c>
      <c r="O672" t="n">
        <v>0</v>
      </c>
      <c r="P672" t="n">
        <v>0</v>
      </c>
      <c r="Q672" t="n">
        <v>1</v>
      </c>
      <c r="R672" s="2" t="inlineStr">
        <is>
          <t>Nästrot</t>
        </is>
      </c>
      <c r="S672">
        <f>HYPERLINK("https://klasma.github.io/Logging_0360/artfynd/A 30122-2024 artfynd.xlsx", "A 30122-2024")</f>
        <v/>
      </c>
      <c r="T672">
        <f>HYPERLINK("https://klasma.github.io/Logging_0360/kartor/A 30122-2024 karta.png", "A 30122-2024")</f>
        <v/>
      </c>
      <c r="V672">
        <f>HYPERLINK("https://klasma.github.io/Logging_0360/klagomål/A 30122-2024 FSC-klagomål.docx", "A 30122-2024")</f>
        <v/>
      </c>
      <c r="W672">
        <f>HYPERLINK("https://klasma.github.io/Logging_0360/klagomålsmail/A 30122-2024 FSC-klagomål mail.docx", "A 30122-2024")</f>
        <v/>
      </c>
      <c r="X672">
        <f>HYPERLINK("https://klasma.github.io/Logging_0360/tillsyn/A 30122-2024 tillsynsbegäran.docx", "A 30122-2024")</f>
        <v/>
      </c>
      <c r="Y672">
        <f>HYPERLINK("https://klasma.github.io/Logging_0360/tillsynsmail/A 30122-2024 tillsynsbegäran mail.docx", "A 30122-2024")</f>
        <v/>
      </c>
    </row>
    <row r="673" ht="15" customHeight="1">
      <c r="A673" t="inlineStr">
        <is>
          <t>A 30510-2024</t>
        </is>
      </c>
      <c r="B673" s="1" t="n">
        <v>45492</v>
      </c>
      <c r="C673" s="1" t="n">
        <v>45705</v>
      </c>
      <c r="D673" t="inlineStr">
        <is>
          <t>UPPSALA LÄN</t>
        </is>
      </c>
      <c r="E673" t="inlineStr">
        <is>
          <t>TIERP</t>
        </is>
      </c>
      <c r="F673" t="inlineStr">
        <is>
          <t>Bergvik skog öst AB</t>
        </is>
      </c>
      <c r="G673" t="n">
        <v>4.9</v>
      </c>
      <c r="H673" t="n">
        <v>1</v>
      </c>
      <c r="I673" t="n">
        <v>0</v>
      </c>
      <c r="J673" t="n">
        <v>1</v>
      </c>
      <c r="K673" t="n">
        <v>0</v>
      </c>
      <c r="L673" t="n">
        <v>0</v>
      </c>
      <c r="M673" t="n">
        <v>0</v>
      </c>
      <c r="N673" t="n">
        <v>0</v>
      </c>
      <c r="O673" t="n">
        <v>1</v>
      </c>
      <c r="P673" t="n">
        <v>0</v>
      </c>
      <c r="Q673" t="n">
        <v>1</v>
      </c>
      <c r="R673" s="2" t="inlineStr">
        <is>
          <t>Gulsparv</t>
        </is>
      </c>
      <c r="S673">
        <f>HYPERLINK("https://klasma.github.io/Logging_0360/artfynd/A 30510-2024 artfynd.xlsx", "A 30510-2024")</f>
        <v/>
      </c>
      <c r="T673">
        <f>HYPERLINK("https://klasma.github.io/Logging_0360/kartor/A 30510-2024 karta.png", "A 30510-2024")</f>
        <v/>
      </c>
      <c r="V673">
        <f>HYPERLINK("https://klasma.github.io/Logging_0360/klagomål/A 30510-2024 FSC-klagomål.docx", "A 30510-2024")</f>
        <v/>
      </c>
      <c r="W673">
        <f>HYPERLINK("https://klasma.github.io/Logging_0360/klagomålsmail/A 30510-2024 FSC-klagomål mail.docx", "A 30510-2024")</f>
        <v/>
      </c>
      <c r="X673">
        <f>HYPERLINK("https://klasma.github.io/Logging_0360/tillsyn/A 30510-2024 tillsynsbegäran.docx", "A 30510-2024")</f>
        <v/>
      </c>
      <c r="Y673">
        <f>HYPERLINK("https://klasma.github.io/Logging_0360/tillsynsmail/A 30510-2024 tillsynsbegäran mail.docx", "A 30510-2024")</f>
        <v/>
      </c>
      <c r="Z673">
        <f>HYPERLINK("https://klasma.github.io/Logging_0360/fåglar/A 30510-2024 prioriterade fågelarter.docx", "A 30510-2024")</f>
        <v/>
      </c>
    </row>
    <row r="674" ht="15" customHeight="1">
      <c r="A674" t="inlineStr">
        <is>
          <t>A 31171-2024</t>
        </is>
      </c>
      <c r="B674" s="1" t="n">
        <v>45503</v>
      </c>
      <c r="C674" s="1" t="n">
        <v>45705</v>
      </c>
      <c r="D674" t="inlineStr">
        <is>
          <t>UPPSALA LÄN</t>
        </is>
      </c>
      <c r="E674" t="inlineStr">
        <is>
          <t>HEBY</t>
        </is>
      </c>
      <c r="G674" t="n">
        <v>6.8</v>
      </c>
      <c r="H674" t="n">
        <v>0</v>
      </c>
      <c r="I674" t="n">
        <v>0</v>
      </c>
      <c r="J674" t="n">
        <v>1</v>
      </c>
      <c r="K674" t="n">
        <v>0</v>
      </c>
      <c r="L674" t="n">
        <v>0</v>
      </c>
      <c r="M674" t="n">
        <v>0</v>
      </c>
      <c r="N674" t="n">
        <v>0</v>
      </c>
      <c r="O674" t="n">
        <v>1</v>
      </c>
      <c r="P674" t="n">
        <v>0</v>
      </c>
      <c r="Q674" t="n">
        <v>1</v>
      </c>
      <c r="R674" s="2" t="inlineStr">
        <is>
          <t>Motaggsvamp</t>
        </is>
      </c>
      <c r="S674">
        <f>HYPERLINK("https://klasma.github.io/Logging_0331/artfynd/A 31171-2024 artfynd.xlsx", "A 31171-2024")</f>
        <v/>
      </c>
      <c r="T674">
        <f>HYPERLINK("https://klasma.github.io/Logging_0331/kartor/A 31171-2024 karta.png", "A 31171-2024")</f>
        <v/>
      </c>
      <c r="V674">
        <f>HYPERLINK("https://klasma.github.io/Logging_0331/klagomål/A 31171-2024 FSC-klagomål.docx", "A 31171-2024")</f>
        <v/>
      </c>
      <c r="W674">
        <f>HYPERLINK("https://klasma.github.io/Logging_0331/klagomålsmail/A 31171-2024 FSC-klagomål mail.docx", "A 31171-2024")</f>
        <v/>
      </c>
      <c r="X674">
        <f>HYPERLINK("https://klasma.github.io/Logging_0331/tillsyn/A 31171-2024 tillsynsbegäran.docx", "A 31171-2024")</f>
        <v/>
      </c>
      <c r="Y674">
        <f>HYPERLINK("https://klasma.github.io/Logging_0331/tillsynsmail/A 31171-2024 tillsynsbegäran mail.docx", "A 31171-2024")</f>
        <v/>
      </c>
    </row>
    <row r="675" ht="15" customHeight="1">
      <c r="A675" t="inlineStr">
        <is>
          <t>A 31781-2024</t>
        </is>
      </c>
      <c r="B675" s="1" t="n">
        <v>45509</v>
      </c>
      <c r="C675" s="1" t="n">
        <v>45705</v>
      </c>
      <c r="D675" t="inlineStr">
        <is>
          <t>UPPSALA LÄN</t>
        </is>
      </c>
      <c r="E675" t="inlineStr">
        <is>
          <t>HEBY</t>
        </is>
      </c>
      <c r="G675" t="n">
        <v>2.4</v>
      </c>
      <c r="H675" t="n">
        <v>0</v>
      </c>
      <c r="I675" t="n">
        <v>0</v>
      </c>
      <c r="J675" t="n">
        <v>1</v>
      </c>
      <c r="K675" t="n">
        <v>0</v>
      </c>
      <c r="L675" t="n">
        <v>0</v>
      </c>
      <c r="M675" t="n">
        <v>0</v>
      </c>
      <c r="N675" t="n">
        <v>0</v>
      </c>
      <c r="O675" t="n">
        <v>1</v>
      </c>
      <c r="P675" t="n">
        <v>0</v>
      </c>
      <c r="Q675" t="n">
        <v>1</v>
      </c>
      <c r="R675" s="2" t="inlineStr">
        <is>
          <t>Motaggsvamp</t>
        </is>
      </c>
      <c r="S675">
        <f>HYPERLINK("https://klasma.github.io/Logging_0331/artfynd/A 31781-2024 artfynd.xlsx", "A 31781-2024")</f>
        <v/>
      </c>
      <c r="T675">
        <f>HYPERLINK("https://klasma.github.io/Logging_0331/kartor/A 31781-2024 karta.png", "A 31781-2024")</f>
        <v/>
      </c>
      <c r="V675">
        <f>HYPERLINK("https://klasma.github.io/Logging_0331/klagomål/A 31781-2024 FSC-klagomål.docx", "A 31781-2024")</f>
        <v/>
      </c>
      <c r="W675">
        <f>HYPERLINK("https://klasma.github.io/Logging_0331/klagomålsmail/A 31781-2024 FSC-klagomål mail.docx", "A 31781-2024")</f>
        <v/>
      </c>
      <c r="X675">
        <f>HYPERLINK("https://klasma.github.io/Logging_0331/tillsyn/A 31781-2024 tillsynsbegäran.docx", "A 31781-2024")</f>
        <v/>
      </c>
      <c r="Y675">
        <f>HYPERLINK("https://klasma.github.io/Logging_0331/tillsynsmail/A 31781-2024 tillsynsbegäran mail.docx", "A 31781-2024")</f>
        <v/>
      </c>
    </row>
    <row r="676" ht="15" customHeight="1">
      <c r="A676" t="inlineStr">
        <is>
          <t>A 32694-2024</t>
        </is>
      </c>
      <c r="B676" s="1" t="n">
        <v>45516</v>
      </c>
      <c r="C676" s="1" t="n">
        <v>45705</v>
      </c>
      <c r="D676" t="inlineStr">
        <is>
          <t>UPPSALA LÄN</t>
        </is>
      </c>
      <c r="E676" t="inlineStr">
        <is>
          <t>ENKÖPING</t>
        </is>
      </c>
      <c r="G676" t="n">
        <v>5.6</v>
      </c>
      <c r="H676" t="n">
        <v>1</v>
      </c>
      <c r="I676" t="n">
        <v>0</v>
      </c>
      <c r="J676" t="n">
        <v>0</v>
      </c>
      <c r="K676" t="n">
        <v>1</v>
      </c>
      <c r="L676" t="n">
        <v>0</v>
      </c>
      <c r="M676" t="n">
        <v>0</v>
      </c>
      <c r="N676" t="n">
        <v>0</v>
      </c>
      <c r="O676" t="n">
        <v>1</v>
      </c>
      <c r="P676" t="n">
        <v>1</v>
      </c>
      <c r="Q676" t="n">
        <v>1</v>
      </c>
      <c r="R676" s="2" t="inlineStr">
        <is>
          <t>Knärot</t>
        </is>
      </c>
      <c r="S676">
        <f>HYPERLINK("https://klasma.github.io/Logging_0381/artfynd/A 32694-2024 artfynd.xlsx", "A 32694-2024")</f>
        <v/>
      </c>
      <c r="T676">
        <f>HYPERLINK("https://klasma.github.io/Logging_0381/kartor/A 32694-2024 karta.png", "A 32694-2024")</f>
        <v/>
      </c>
      <c r="U676">
        <f>HYPERLINK("https://klasma.github.io/Logging_0381/knärot/A 32694-2024 karta knärot.png", "A 32694-2024")</f>
        <v/>
      </c>
      <c r="V676">
        <f>HYPERLINK("https://klasma.github.io/Logging_0381/klagomål/A 32694-2024 FSC-klagomål.docx", "A 32694-2024")</f>
        <v/>
      </c>
      <c r="W676">
        <f>HYPERLINK("https://klasma.github.io/Logging_0381/klagomålsmail/A 32694-2024 FSC-klagomål mail.docx", "A 32694-2024")</f>
        <v/>
      </c>
      <c r="X676">
        <f>HYPERLINK("https://klasma.github.io/Logging_0381/tillsyn/A 32694-2024 tillsynsbegäran.docx", "A 32694-2024")</f>
        <v/>
      </c>
      <c r="Y676">
        <f>HYPERLINK("https://klasma.github.io/Logging_0381/tillsynsmail/A 32694-2024 tillsynsbegäran mail.docx", "A 32694-2024")</f>
        <v/>
      </c>
    </row>
    <row r="677" ht="15" customHeight="1">
      <c r="A677" t="inlineStr">
        <is>
          <t>A 33339-2024</t>
        </is>
      </c>
      <c r="B677" s="1" t="n">
        <v>45519</v>
      </c>
      <c r="C677" s="1" t="n">
        <v>45705</v>
      </c>
      <c r="D677" t="inlineStr">
        <is>
          <t>UPPSALA LÄN</t>
        </is>
      </c>
      <c r="E677" t="inlineStr">
        <is>
          <t>ENKÖPING</t>
        </is>
      </c>
      <c r="G677" t="n">
        <v>2.3</v>
      </c>
      <c r="H677" t="n">
        <v>0</v>
      </c>
      <c r="I677" t="n">
        <v>0</v>
      </c>
      <c r="J677" t="n">
        <v>1</v>
      </c>
      <c r="K677" t="n">
        <v>0</v>
      </c>
      <c r="L677" t="n">
        <v>0</v>
      </c>
      <c r="M677" t="n">
        <v>0</v>
      </c>
      <c r="N677" t="n">
        <v>0</v>
      </c>
      <c r="O677" t="n">
        <v>1</v>
      </c>
      <c r="P677" t="n">
        <v>0</v>
      </c>
      <c r="Q677" t="n">
        <v>1</v>
      </c>
      <c r="R677" s="2" t="inlineStr">
        <is>
          <t>Ullticka</t>
        </is>
      </c>
      <c r="S677">
        <f>HYPERLINK("https://klasma.github.io/Logging_0381/artfynd/A 33339-2024 artfynd.xlsx", "A 33339-2024")</f>
        <v/>
      </c>
      <c r="T677">
        <f>HYPERLINK("https://klasma.github.io/Logging_0381/kartor/A 33339-2024 karta.png", "A 33339-2024")</f>
        <v/>
      </c>
      <c r="V677">
        <f>HYPERLINK("https://klasma.github.io/Logging_0381/klagomål/A 33339-2024 FSC-klagomål.docx", "A 33339-2024")</f>
        <v/>
      </c>
      <c r="W677">
        <f>HYPERLINK("https://klasma.github.io/Logging_0381/klagomålsmail/A 33339-2024 FSC-klagomål mail.docx", "A 33339-2024")</f>
        <v/>
      </c>
      <c r="X677">
        <f>HYPERLINK("https://klasma.github.io/Logging_0381/tillsyn/A 33339-2024 tillsynsbegäran.docx", "A 33339-2024")</f>
        <v/>
      </c>
      <c r="Y677">
        <f>HYPERLINK("https://klasma.github.io/Logging_0381/tillsynsmail/A 33339-2024 tillsynsbegäran mail.docx", "A 33339-2024")</f>
        <v/>
      </c>
    </row>
    <row r="678" ht="15" customHeight="1">
      <c r="A678" t="inlineStr">
        <is>
          <t>A 33775-2024</t>
        </is>
      </c>
      <c r="B678" s="1" t="n">
        <v>45520</v>
      </c>
      <c r="C678" s="1" t="n">
        <v>45705</v>
      </c>
      <c r="D678" t="inlineStr">
        <is>
          <t>UPPSALA LÄN</t>
        </is>
      </c>
      <c r="E678" t="inlineStr">
        <is>
          <t>ÄLVKARLEBY</t>
        </is>
      </c>
      <c r="F678" t="inlineStr">
        <is>
          <t>Bergvik skog väst AB</t>
        </is>
      </c>
      <c r="G678" t="n">
        <v>5.6</v>
      </c>
      <c r="H678" t="n">
        <v>0</v>
      </c>
      <c r="I678" t="n">
        <v>1</v>
      </c>
      <c r="J678" t="n">
        <v>0</v>
      </c>
      <c r="K678" t="n">
        <v>0</v>
      </c>
      <c r="L678" t="n">
        <v>0</v>
      </c>
      <c r="M678" t="n">
        <v>0</v>
      </c>
      <c r="N678" t="n">
        <v>0</v>
      </c>
      <c r="O678" t="n">
        <v>0</v>
      </c>
      <c r="P678" t="n">
        <v>0</v>
      </c>
      <c r="Q678" t="n">
        <v>1</v>
      </c>
      <c r="R678" s="2" t="inlineStr">
        <is>
          <t>Tibast</t>
        </is>
      </c>
      <c r="S678">
        <f>HYPERLINK("https://klasma.github.io/Logging_0319/artfynd/A 33775-2024 artfynd.xlsx", "A 33775-2024")</f>
        <v/>
      </c>
      <c r="T678">
        <f>HYPERLINK("https://klasma.github.io/Logging_0319/kartor/A 33775-2024 karta.png", "A 33775-2024")</f>
        <v/>
      </c>
      <c r="V678">
        <f>HYPERLINK("https://klasma.github.io/Logging_0319/klagomål/A 33775-2024 FSC-klagomål.docx", "A 33775-2024")</f>
        <v/>
      </c>
      <c r="W678">
        <f>HYPERLINK("https://klasma.github.io/Logging_0319/klagomålsmail/A 33775-2024 FSC-klagomål mail.docx", "A 33775-2024")</f>
        <v/>
      </c>
      <c r="X678">
        <f>HYPERLINK("https://klasma.github.io/Logging_0319/tillsyn/A 33775-2024 tillsynsbegäran.docx", "A 33775-2024")</f>
        <v/>
      </c>
      <c r="Y678">
        <f>HYPERLINK("https://klasma.github.io/Logging_0319/tillsynsmail/A 33775-2024 tillsynsbegäran mail.docx", "A 33775-2024")</f>
        <v/>
      </c>
    </row>
    <row r="679" ht="15" customHeight="1">
      <c r="A679" t="inlineStr">
        <is>
          <t>A 33796-2024</t>
        </is>
      </c>
      <c r="B679" s="1" t="n">
        <v>45520</v>
      </c>
      <c r="C679" s="1" t="n">
        <v>45705</v>
      </c>
      <c r="D679" t="inlineStr">
        <is>
          <t>UPPSALA LÄN</t>
        </is>
      </c>
      <c r="E679" t="inlineStr">
        <is>
          <t>ÄLVKARLEBY</t>
        </is>
      </c>
      <c r="F679" t="inlineStr">
        <is>
          <t>Bergvik skog väst AB</t>
        </is>
      </c>
      <c r="G679" t="n">
        <v>4.6</v>
      </c>
      <c r="H679" t="n">
        <v>1</v>
      </c>
      <c r="I679" t="n">
        <v>0</v>
      </c>
      <c r="J679" t="n">
        <v>0</v>
      </c>
      <c r="K679" t="n">
        <v>0</v>
      </c>
      <c r="L679" t="n">
        <v>0</v>
      </c>
      <c r="M679" t="n">
        <v>0</v>
      </c>
      <c r="N679" t="n">
        <v>0</v>
      </c>
      <c r="O679" t="n">
        <v>0</v>
      </c>
      <c r="P679" t="n">
        <v>0</v>
      </c>
      <c r="Q679" t="n">
        <v>1</v>
      </c>
      <c r="R679" s="2" t="inlineStr">
        <is>
          <t>Revlummer</t>
        </is>
      </c>
      <c r="S679">
        <f>HYPERLINK("https://klasma.github.io/Logging_0319/artfynd/A 33796-2024 artfynd.xlsx", "A 33796-2024")</f>
        <v/>
      </c>
      <c r="T679">
        <f>HYPERLINK("https://klasma.github.io/Logging_0319/kartor/A 33796-2024 karta.png", "A 33796-2024")</f>
        <v/>
      </c>
      <c r="V679">
        <f>HYPERLINK("https://klasma.github.io/Logging_0319/klagomål/A 33796-2024 FSC-klagomål.docx", "A 33796-2024")</f>
        <v/>
      </c>
      <c r="W679">
        <f>HYPERLINK("https://klasma.github.io/Logging_0319/klagomålsmail/A 33796-2024 FSC-klagomål mail.docx", "A 33796-2024")</f>
        <v/>
      </c>
      <c r="X679">
        <f>HYPERLINK("https://klasma.github.io/Logging_0319/tillsyn/A 33796-2024 tillsynsbegäran.docx", "A 33796-2024")</f>
        <v/>
      </c>
      <c r="Y679">
        <f>HYPERLINK("https://klasma.github.io/Logging_0319/tillsynsmail/A 33796-2024 tillsynsbegäran mail.docx", "A 33796-2024")</f>
        <v/>
      </c>
    </row>
    <row r="680" ht="15" customHeight="1">
      <c r="A680" t="inlineStr">
        <is>
          <t>A 34159-2024</t>
        </is>
      </c>
      <c r="B680" s="1" t="n">
        <v>45524</v>
      </c>
      <c r="C680" s="1" t="n">
        <v>45705</v>
      </c>
      <c r="D680" t="inlineStr">
        <is>
          <t>UPPSALA LÄN</t>
        </is>
      </c>
      <c r="E680" t="inlineStr">
        <is>
          <t>UPPSALA</t>
        </is>
      </c>
      <c r="G680" t="n">
        <v>3.7</v>
      </c>
      <c r="H680" t="n">
        <v>0</v>
      </c>
      <c r="I680" t="n">
        <v>1</v>
      </c>
      <c r="J680" t="n">
        <v>0</v>
      </c>
      <c r="K680" t="n">
        <v>0</v>
      </c>
      <c r="L680" t="n">
        <v>0</v>
      </c>
      <c r="M680" t="n">
        <v>0</v>
      </c>
      <c r="N680" t="n">
        <v>0</v>
      </c>
      <c r="O680" t="n">
        <v>0</v>
      </c>
      <c r="P680" t="n">
        <v>0</v>
      </c>
      <c r="Q680" t="n">
        <v>1</v>
      </c>
      <c r="R680" s="2" t="inlineStr">
        <is>
          <t>Granbarkgnagare</t>
        </is>
      </c>
      <c r="S680">
        <f>HYPERLINK("https://klasma.github.io/Logging_0380/artfynd/A 34159-2024 artfynd.xlsx", "A 34159-2024")</f>
        <v/>
      </c>
      <c r="T680">
        <f>HYPERLINK("https://klasma.github.io/Logging_0380/kartor/A 34159-2024 karta.png", "A 34159-2024")</f>
        <v/>
      </c>
      <c r="V680">
        <f>HYPERLINK("https://klasma.github.io/Logging_0380/klagomål/A 34159-2024 FSC-klagomål.docx", "A 34159-2024")</f>
        <v/>
      </c>
      <c r="W680">
        <f>HYPERLINK("https://klasma.github.io/Logging_0380/klagomålsmail/A 34159-2024 FSC-klagomål mail.docx", "A 34159-2024")</f>
        <v/>
      </c>
      <c r="X680">
        <f>HYPERLINK("https://klasma.github.io/Logging_0380/tillsyn/A 34159-2024 tillsynsbegäran.docx", "A 34159-2024")</f>
        <v/>
      </c>
      <c r="Y680">
        <f>HYPERLINK("https://klasma.github.io/Logging_0380/tillsynsmail/A 34159-2024 tillsynsbegäran mail.docx", "A 34159-2024")</f>
        <v/>
      </c>
    </row>
    <row r="681" ht="15" customHeight="1">
      <c r="A681" t="inlineStr">
        <is>
          <t>A 34464-2024</t>
        </is>
      </c>
      <c r="B681" s="1" t="n">
        <v>45525</v>
      </c>
      <c r="C681" s="1" t="n">
        <v>45705</v>
      </c>
      <c r="D681" t="inlineStr">
        <is>
          <t>UPPSALA LÄN</t>
        </is>
      </c>
      <c r="E681" t="inlineStr">
        <is>
          <t>TIERP</t>
        </is>
      </c>
      <c r="F681" t="inlineStr">
        <is>
          <t>Bergvik skog öst AB</t>
        </is>
      </c>
      <c r="G681" t="n">
        <v>0.9</v>
      </c>
      <c r="H681" t="n">
        <v>0</v>
      </c>
      <c r="I681" t="n">
        <v>1</v>
      </c>
      <c r="J681" t="n">
        <v>0</v>
      </c>
      <c r="K681" t="n">
        <v>0</v>
      </c>
      <c r="L681" t="n">
        <v>0</v>
      </c>
      <c r="M681" t="n">
        <v>0</v>
      </c>
      <c r="N681" t="n">
        <v>0</v>
      </c>
      <c r="O681" t="n">
        <v>0</v>
      </c>
      <c r="P681" t="n">
        <v>0</v>
      </c>
      <c r="Q681" t="n">
        <v>1</v>
      </c>
      <c r="R681" s="2" t="inlineStr">
        <is>
          <t>Svart trolldruva</t>
        </is>
      </c>
      <c r="S681">
        <f>HYPERLINK("https://klasma.github.io/Logging_0360/artfynd/A 34464-2024 artfynd.xlsx", "A 34464-2024")</f>
        <v/>
      </c>
      <c r="T681">
        <f>HYPERLINK("https://klasma.github.io/Logging_0360/kartor/A 34464-2024 karta.png", "A 34464-2024")</f>
        <v/>
      </c>
      <c r="V681">
        <f>HYPERLINK("https://klasma.github.io/Logging_0360/klagomål/A 34464-2024 FSC-klagomål.docx", "A 34464-2024")</f>
        <v/>
      </c>
      <c r="W681">
        <f>HYPERLINK("https://klasma.github.io/Logging_0360/klagomålsmail/A 34464-2024 FSC-klagomål mail.docx", "A 34464-2024")</f>
        <v/>
      </c>
      <c r="X681">
        <f>HYPERLINK("https://klasma.github.io/Logging_0360/tillsyn/A 34464-2024 tillsynsbegäran.docx", "A 34464-2024")</f>
        <v/>
      </c>
      <c r="Y681">
        <f>HYPERLINK("https://klasma.github.io/Logging_0360/tillsynsmail/A 34464-2024 tillsynsbegäran mail.docx", "A 34464-2024")</f>
        <v/>
      </c>
    </row>
    <row r="682" ht="15" customHeight="1">
      <c r="A682" t="inlineStr">
        <is>
          <t>A 36622-2024</t>
        </is>
      </c>
      <c r="B682" s="1" t="n">
        <v>45537</v>
      </c>
      <c r="C682" s="1" t="n">
        <v>45705</v>
      </c>
      <c r="D682" t="inlineStr">
        <is>
          <t>UPPSALA LÄN</t>
        </is>
      </c>
      <c r="E682" t="inlineStr">
        <is>
          <t>ÖSTHAMMAR</t>
        </is>
      </c>
      <c r="F682" t="inlineStr">
        <is>
          <t>Bergvik skog väst AB</t>
        </is>
      </c>
      <c r="G682" t="n">
        <v>5.2</v>
      </c>
      <c r="H682" t="n">
        <v>1</v>
      </c>
      <c r="I682" t="n">
        <v>0</v>
      </c>
      <c r="J682" t="n">
        <v>0</v>
      </c>
      <c r="K682" t="n">
        <v>0</v>
      </c>
      <c r="L682" t="n">
        <v>0</v>
      </c>
      <c r="M682" t="n">
        <v>0</v>
      </c>
      <c r="N682" t="n">
        <v>0</v>
      </c>
      <c r="O682" t="n">
        <v>0</v>
      </c>
      <c r="P682" t="n">
        <v>0</v>
      </c>
      <c r="Q682" t="n">
        <v>1</v>
      </c>
      <c r="R682" s="2" t="inlineStr">
        <is>
          <t>Blåsippa</t>
        </is>
      </c>
      <c r="S682">
        <f>HYPERLINK("https://klasma.github.io/Logging_0382/artfynd/A 36622-2024 artfynd.xlsx", "A 36622-2024")</f>
        <v/>
      </c>
      <c r="T682">
        <f>HYPERLINK("https://klasma.github.io/Logging_0382/kartor/A 36622-2024 karta.png", "A 36622-2024")</f>
        <v/>
      </c>
      <c r="V682">
        <f>HYPERLINK("https://klasma.github.io/Logging_0382/klagomål/A 36622-2024 FSC-klagomål.docx", "A 36622-2024")</f>
        <v/>
      </c>
      <c r="W682">
        <f>HYPERLINK("https://klasma.github.io/Logging_0382/klagomålsmail/A 36622-2024 FSC-klagomål mail.docx", "A 36622-2024")</f>
        <v/>
      </c>
      <c r="X682">
        <f>HYPERLINK("https://klasma.github.io/Logging_0382/tillsyn/A 36622-2024 tillsynsbegäran.docx", "A 36622-2024")</f>
        <v/>
      </c>
      <c r="Y682">
        <f>HYPERLINK("https://klasma.github.io/Logging_0382/tillsynsmail/A 36622-2024 tillsynsbegäran mail.docx", "A 36622-2024")</f>
        <v/>
      </c>
    </row>
    <row r="683" ht="15" customHeight="1">
      <c r="A683" t="inlineStr">
        <is>
          <t>A 36785-2024</t>
        </is>
      </c>
      <c r="B683" s="1" t="n">
        <v>45538</v>
      </c>
      <c r="C683" s="1" t="n">
        <v>45705</v>
      </c>
      <c r="D683" t="inlineStr">
        <is>
          <t>UPPSALA LÄN</t>
        </is>
      </c>
      <c r="E683" t="inlineStr">
        <is>
          <t>TIERP</t>
        </is>
      </c>
      <c r="G683" t="n">
        <v>4.4</v>
      </c>
      <c r="H683" t="n">
        <v>1</v>
      </c>
      <c r="I683" t="n">
        <v>0</v>
      </c>
      <c r="J683" t="n">
        <v>0</v>
      </c>
      <c r="K683" t="n">
        <v>0</v>
      </c>
      <c r="L683" t="n">
        <v>0</v>
      </c>
      <c r="M683" t="n">
        <v>0</v>
      </c>
      <c r="N683" t="n">
        <v>0</v>
      </c>
      <c r="O683" t="n">
        <v>0</v>
      </c>
      <c r="P683" t="n">
        <v>0</v>
      </c>
      <c r="Q683" t="n">
        <v>1</v>
      </c>
      <c r="R683" s="2" t="inlineStr">
        <is>
          <t>Blåsippa</t>
        </is>
      </c>
      <c r="S683">
        <f>HYPERLINK("https://klasma.github.io/Logging_0360/artfynd/A 36785-2024 artfynd.xlsx", "A 36785-2024")</f>
        <v/>
      </c>
      <c r="T683">
        <f>HYPERLINK("https://klasma.github.io/Logging_0360/kartor/A 36785-2024 karta.png", "A 36785-2024")</f>
        <v/>
      </c>
      <c r="V683">
        <f>HYPERLINK("https://klasma.github.io/Logging_0360/klagomål/A 36785-2024 FSC-klagomål.docx", "A 36785-2024")</f>
        <v/>
      </c>
      <c r="W683">
        <f>HYPERLINK("https://klasma.github.io/Logging_0360/klagomålsmail/A 36785-2024 FSC-klagomål mail.docx", "A 36785-2024")</f>
        <v/>
      </c>
      <c r="X683">
        <f>HYPERLINK("https://klasma.github.io/Logging_0360/tillsyn/A 36785-2024 tillsynsbegäran.docx", "A 36785-2024")</f>
        <v/>
      </c>
      <c r="Y683">
        <f>HYPERLINK("https://klasma.github.io/Logging_0360/tillsynsmail/A 36785-2024 tillsynsbegäran mail.docx", "A 36785-2024")</f>
        <v/>
      </c>
    </row>
    <row r="684" ht="15" customHeight="1">
      <c r="A684" t="inlineStr">
        <is>
          <t>A 37563-2024</t>
        </is>
      </c>
      <c r="B684" s="1" t="n">
        <v>45541</v>
      </c>
      <c r="C684" s="1" t="n">
        <v>45705</v>
      </c>
      <c r="D684" t="inlineStr">
        <is>
          <t>UPPSALA LÄN</t>
        </is>
      </c>
      <c r="E684" t="inlineStr">
        <is>
          <t>UPPSALA</t>
        </is>
      </c>
      <c r="F684" t="inlineStr">
        <is>
          <t>Övriga Aktiebolag</t>
        </is>
      </c>
      <c r="G684" t="n">
        <v>6.1</v>
      </c>
      <c r="H684" t="n">
        <v>0</v>
      </c>
      <c r="I684" t="n">
        <v>0</v>
      </c>
      <c r="J684" t="n">
        <v>1</v>
      </c>
      <c r="K684" t="n">
        <v>0</v>
      </c>
      <c r="L684" t="n">
        <v>0</v>
      </c>
      <c r="M684" t="n">
        <v>0</v>
      </c>
      <c r="N684" t="n">
        <v>0</v>
      </c>
      <c r="O684" t="n">
        <v>1</v>
      </c>
      <c r="P684" t="n">
        <v>0</v>
      </c>
      <c r="Q684" t="n">
        <v>1</v>
      </c>
      <c r="R684" s="2" t="inlineStr">
        <is>
          <t>Skogshare</t>
        </is>
      </c>
      <c r="S684">
        <f>HYPERLINK("https://klasma.github.io/Logging_0380/artfynd/A 37563-2024 artfynd.xlsx", "A 37563-2024")</f>
        <v/>
      </c>
      <c r="T684">
        <f>HYPERLINK("https://klasma.github.io/Logging_0380/kartor/A 37563-2024 karta.png", "A 37563-2024")</f>
        <v/>
      </c>
      <c r="V684">
        <f>HYPERLINK("https://klasma.github.io/Logging_0380/klagomål/A 37563-2024 FSC-klagomål.docx", "A 37563-2024")</f>
        <v/>
      </c>
      <c r="W684">
        <f>HYPERLINK("https://klasma.github.io/Logging_0380/klagomålsmail/A 37563-2024 FSC-klagomål mail.docx", "A 37563-2024")</f>
        <v/>
      </c>
      <c r="X684">
        <f>HYPERLINK("https://klasma.github.io/Logging_0380/tillsyn/A 37563-2024 tillsynsbegäran.docx", "A 37563-2024")</f>
        <v/>
      </c>
      <c r="Y684">
        <f>HYPERLINK("https://klasma.github.io/Logging_0380/tillsynsmail/A 37563-2024 tillsynsbegäran mail.docx", "A 37563-2024")</f>
        <v/>
      </c>
    </row>
    <row r="685" ht="15" customHeight="1">
      <c r="A685" t="inlineStr">
        <is>
          <t>A 37595-2024</t>
        </is>
      </c>
      <c r="B685" s="1" t="n">
        <v>45541</v>
      </c>
      <c r="C685" s="1" t="n">
        <v>45705</v>
      </c>
      <c r="D685" t="inlineStr">
        <is>
          <t>UPPSALA LÄN</t>
        </is>
      </c>
      <c r="E685" t="inlineStr">
        <is>
          <t>KNIVSTA</t>
        </is>
      </c>
      <c r="G685" t="n">
        <v>6.4</v>
      </c>
      <c r="H685" t="n">
        <v>0</v>
      </c>
      <c r="I685" t="n">
        <v>0</v>
      </c>
      <c r="J685" t="n">
        <v>0</v>
      </c>
      <c r="K685" t="n">
        <v>1</v>
      </c>
      <c r="L685" t="n">
        <v>0</v>
      </c>
      <c r="M685" t="n">
        <v>0</v>
      </c>
      <c r="N685" t="n">
        <v>0</v>
      </c>
      <c r="O685" t="n">
        <v>1</v>
      </c>
      <c r="P685" t="n">
        <v>1</v>
      </c>
      <c r="Q685" t="n">
        <v>1</v>
      </c>
      <c r="R685" s="2" t="inlineStr">
        <is>
          <t>Violett fingersvamp</t>
        </is>
      </c>
      <c r="S685">
        <f>HYPERLINK("https://klasma.github.io/Logging_0330/artfynd/A 37595-2024 artfynd.xlsx", "A 37595-2024")</f>
        <v/>
      </c>
      <c r="T685">
        <f>HYPERLINK("https://klasma.github.io/Logging_0330/kartor/A 37595-2024 karta.png", "A 37595-2024")</f>
        <v/>
      </c>
      <c r="V685">
        <f>HYPERLINK("https://klasma.github.io/Logging_0330/klagomål/A 37595-2024 FSC-klagomål.docx", "A 37595-2024")</f>
        <v/>
      </c>
      <c r="W685">
        <f>HYPERLINK("https://klasma.github.io/Logging_0330/klagomålsmail/A 37595-2024 FSC-klagomål mail.docx", "A 37595-2024")</f>
        <v/>
      </c>
      <c r="X685">
        <f>HYPERLINK("https://klasma.github.io/Logging_0330/tillsyn/A 37595-2024 tillsynsbegäran.docx", "A 37595-2024")</f>
        <v/>
      </c>
      <c r="Y685">
        <f>HYPERLINK("https://klasma.github.io/Logging_0330/tillsynsmail/A 37595-2024 tillsynsbegäran mail.docx", "A 37595-2024")</f>
        <v/>
      </c>
    </row>
    <row r="686" ht="15" customHeight="1">
      <c r="A686" t="inlineStr">
        <is>
          <t>A 40720-2024</t>
        </is>
      </c>
      <c r="B686" s="1" t="n">
        <v>45558</v>
      </c>
      <c r="C686" s="1" t="n">
        <v>45705</v>
      </c>
      <c r="D686" t="inlineStr">
        <is>
          <t>UPPSALA LÄN</t>
        </is>
      </c>
      <c r="E686" t="inlineStr">
        <is>
          <t>TIERP</t>
        </is>
      </c>
      <c r="G686" t="n">
        <v>0.7</v>
      </c>
      <c r="H686" t="n">
        <v>1</v>
      </c>
      <c r="I686" t="n">
        <v>0</v>
      </c>
      <c r="J686" t="n">
        <v>1</v>
      </c>
      <c r="K686" t="n">
        <v>0</v>
      </c>
      <c r="L686" t="n">
        <v>0</v>
      </c>
      <c r="M686" t="n">
        <v>0</v>
      </c>
      <c r="N686" t="n">
        <v>0</v>
      </c>
      <c r="O686" t="n">
        <v>1</v>
      </c>
      <c r="P686" t="n">
        <v>0</v>
      </c>
      <c r="Q686" t="n">
        <v>1</v>
      </c>
      <c r="R686" s="2" t="inlineStr">
        <is>
          <t>Gulsparv</t>
        </is>
      </c>
      <c r="S686">
        <f>HYPERLINK("https://klasma.github.io/Logging_0360/artfynd/A 40720-2024 artfynd.xlsx", "A 40720-2024")</f>
        <v/>
      </c>
      <c r="T686">
        <f>HYPERLINK("https://klasma.github.io/Logging_0360/kartor/A 40720-2024 karta.png", "A 40720-2024")</f>
        <v/>
      </c>
      <c r="V686">
        <f>HYPERLINK("https://klasma.github.io/Logging_0360/klagomål/A 40720-2024 FSC-klagomål.docx", "A 40720-2024")</f>
        <v/>
      </c>
      <c r="W686">
        <f>HYPERLINK("https://klasma.github.io/Logging_0360/klagomålsmail/A 40720-2024 FSC-klagomål mail.docx", "A 40720-2024")</f>
        <v/>
      </c>
      <c r="X686">
        <f>HYPERLINK("https://klasma.github.io/Logging_0360/tillsyn/A 40720-2024 tillsynsbegäran.docx", "A 40720-2024")</f>
        <v/>
      </c>
      <c r="Y686">
        <f>HYPERLINK("https://klasma.github.io/Logging_0360/tillsynsmail/A 40720-2024 tillsynsbegäran mail.docx", "A 40720-2024")</f>
        <v/>
      </c>
      <c r="Z686">
        <f>HYPERLINK("https://klasma.github.io/Logging_0360/fåglar/A 40720-2024 prioriterade fågelarter.docx", "A 40720-2024")</f>
        <v/>
      </c>
    </row>
    <row r="687" ht="15" customHeight="1">
      <c r="A687" t="inlineStr">
        <is>
          <t>A 42787-2024</t>
        </is>
      </c>
      <c r="B687" s="1" t="n">
        <v>45566</v>
      </c>
      <c r="C687" s="1" t="n">
        <v>45705</v>
      </c>
      <c r="D687" t="inlineStr">
        <is>
          <t>UPPSALA LÄN</t>
        </is>
      </c>
      <c r="E687" t="inlineStr">
        <is>
          <t>UPPSALA</t>
        </is>
      </c>
      <c r="G687" t="n">
        <v>3.2</v>
      </c>
      <c r="H687" t="n">
        <v>1</v>
      </c>
      <c r="I687" t="n">
        <v>0</v>
      </c>
      <c r="J687" t="n">
        <v>0</v>
      </c>
      <c r="K687" t="n">
        <v>0</v>
      </c>
      <c r="L687" t="n">
        <v>0</v>
      </c>
      <c r="M687" t="n">
        <v>0</v>
      </c>
      <c r="N687" t="n">
        <v>0</v>
      </c>
      <c r="O687" t="n">
        <v>0</v>
      </c>
      <c r="P687" t="n">
        <v>0</v>
      </c>
      <c r="Q687" t="n">
        <v>1</v>
      </c>
      <c r="R687" s="2" t="inlineStr">
        <is>
          <t>Mattlummer</t>
        </is>
      </c>
      <c r="S687">
        <f>HYPERLINK("https://klasma.github.io/Logging_0380/artfynd/A 42787-2024 artfynd.xlsx", "A 42787-2024")</f>
        <v/>
      </c>
      <c r="T687">
        <f>HYPERLINK("https://klasma.github.io/Logging_0380/kartor/A 42787-2024 karta.png", "A 42787-2024")</f>
        <v/>
      </c>
      <c r="V687">
        <f>HYPERLINK("https://klasma.github.io/Logging_0380/klagomål/A 42787-2024 FSC-klagomål.docx", "A 42787-2024")</f>
        <v/>
      </c>
      <c r="W687">
        <f>HYPERLINK("https://klasma.github.io/Logging_0380/klagomålsmail/A 42787-2024 FSC-klagomål mail.docx", "A 42787-2024")</f>
        <v/>
      </c>
      <c r="X687">
        <f>HYPERLINK("https://klasma.github.io/Logging_0380/tillsyn/A 42787-2024 tillsynsbegäran.docx", "A 42787-2024")</f>
        <v/>
      </c>
      <c r="Y687">
        <f>HYPERLINK("https://klasma.github.io/Logging_0380/tillsynsmail/A 42787-2024 tillsynsbegäran mail.docx", "A 42787-2024")</f>
        <v/>
      </c>
    </row>
    <row r="688" ht="15" customHeight="1">
      <c r="A688" t="inlineStr">
        <is>
          <t>A 46527-2024</t>
        </is>
      </c>
      <c r="B688" s="1" t="n">
        <v>45582</v>
      </c>
      <c r="C688" s="1" t="n">
        <v>45705</v>
      </c>
      <c r="D688" t="inlineStr">
        <is>
          <t>UPPSALA LÄN</t>
        </is>
      </c>
      <c r="E688" t="inlineStr">
        <is>
          <t>TIERP</t>
        </is>
      </c>
      <c r="F688" t="inlineStr">
        <is>
          <t>Bergvik skog väst AB</t>
        </is>
      </c>
      <c r="G688" t="n">
        <v>7.2</v>
      </c>
      <c r="H688" t="n">
        <v>0</v>
      </c>
      <c r="I688" t="n">
        <v>1</v>
      </c>
      <c r="J688" t="n">
        <v>0</v>
      </c>
      <c r="K688" t="n">
        <v>0</v>
      </c>
      <c r="L688" t="n">
        <v>0</v>
      </c>
      <c r="M688" t="n">
        <v>0</v>
      </c>
      <c r="N688" t="n">
        <v>0</v>
      </c>
      <c r="O688" t="n">
        <v>0</v>
      </c>
      <c r="P688" t="n">
        <v>0</v>
      </c>
      <c r="Q688" t="n">
        <v>1</v>
      </c>
      <c r="R688" s="2" t="inlineStr">
        <is>
          <t>Rödgul trumpetsvamp</t>
        </is>
      </c>
      <c r="S688">
        <f>HYPERLINK("https://klasma.github.io/Logging_0360/artfynd/A 46527-2024 artfynd.xlsx", "A 46527-2024")</f>
        <v/>
      </c>
      <c r="T688">
        <f>HYPERLINK("https://klasma.github.io/Logging_0360/kartor/A 46527-2024 karta.png", "A 46527-2024")</f>
        <v/>
      </c>
      <c r="V688">
        <f>HYPERLINK("https://klasma.github.io/Logging_0360/klagomål/A 46527-2024 FSC-klagomål.docx", "A 46527-2024")</f>
        <v/>
      </c>
      <c r="W688">
        <f>HYPERLINK("https://klasma.github.io/Logging_0360/klagomålsmail/A 46527-2024 FSC-klagomål mail.docx", "A 46527-2024")</f>
        <v/>
      </c>
      <c r="X688">
        <f>HYPERLINK("https://klasma.github.io/Logging_0360/tillsyn/A 46527-2024 tillsynsbegäran.docx", "A 46527-2024")</f>
        <v/>
      </c>
      <c r="Y688">
        <f>HYPERLINK("https://klasma.github.io/Logging_0360/tillsynsmail/A 46527-2024 tillsynsbegäran mail.docx", "A 46527-2024")</f>
        <v/>
      </c>
    </row>
    <row r="689" ht="15" customHeight="1">
      <c r="A689" t="inlineStr">
        <is>
          <t>A 46632-2024</t>
        </is>
      </c>
      <c r="B689" s="1" t="n">
        <v>45583</v>
      </c>
      <c r="C689" s="1" t="n">
        <v>45705</v>
      </c>
      <c r="D689" t="inlineStr">
        <is>
          <t>UPPSALA LÄN</t>
        </is>
      </c>
      <c r="E689" t="inlineStr">
        <is>
          <t>ÖSTHAMMAR</t>
        </is>
      </c>
      <c r="F689" t="inlineStr">
        <is>
          <t>Bergvik skog öst AB</t>
        </is>
      </c>
      <c r="G689" t="n">
        <v>5.3</v>
      </c>
      <c r="H689" t="n">
        <v>0</v>
      </c>
      <c r="I689" t="n">
        <v>0</v>
      </c>
      <c r="J689" t="n">
        <v>1</v>
      </c>
      <c r="K689" t="n">
        <v>0</v>
      </c>
      <c r="L689" t="n">
        <v>0</v>
      </c>
      <c r="M689" t="n">
        <v>0</v>
      </c>
      <c r="N689" t="n">
        <v>0</v>
      </c>
      <c r="O689" t="n">
        <v>1</v>
      </c>
      <c r="P689" t="n">
        <v>0</v>
      </c>
      <c r="Q689" t="n">
        <v>1</v>
      </c>
      <c r="R689" s="2" t="inlineStr">
        <is>
          <t>Sexfläckig bastardsvärmare</t>
        </is>
      </c>
      <c r="S689">
        <f>HYPERLINK("https://klasma.github.io/Logging_0382/artfynd/A 46632-2024 artfynd.xlsx", "A 46632-2024")</f>
        <v/>
      </c>
      <c r="T689">
        <f>HYPERLINK("https://klasma.github.io/Logging_0382/kartor/A 46632-2024 karta.png", "A 46632-2024")</f>
        <v/>
      </c>
      <c r="V689">
        <f>HYPERLINK("https://klasma.github.io/Logging_0382/klagomål/A 46632-2024 FSC-klagomål.docx", "A 46632-2024")</f>
        <v/>
      </c>
      <c r="W689">
        <f>HYPERLINK("https://klasma.github.io/Logging_0382/klagomålsmail/A 46632-2024 FSC-klagomål mail.docx", "A 46632-2024")</f>
        <v/>
      </c>
      <c r="X689">
        <f>HYPERLINK("https://klasma.github.io/Logging_0382/tillsyn/A 46632-2024 tillsynsbegäran.docx", "A 46632-2024")</f>
        <v/>
      </c>
      <c r="Y689">
        <f>HYPERLINK("https://klasma.github.io/Logging_0382/tillsynsmail/A 46632-2024 tillsynsbegäran mail.docx", "A 46632-2024")</f>
        <v/>
      </c>
    </row>
    <row r="690" ht="15" customHeight="1">
      <c r="A690" t="inlineStr">
        <is>
          <t>A 46749-2024</t>
        </is>
      </c>
      <c r="B690" s="1" t="n">
        <v>45583</v>
      </c>
      <c r="C690" s="1" t="n">
        <v>45705</v>
      </c>
      <c r="D690" t="inlineStr">
        <is>
          <t>UPPSALA LÄN</t>
        </is>
      </c>
      <c r="E690" t="inlineStr">
        <is>
          <t>ENKÖPING</t>
        </is>
      </c>
      <c r="G690" t="n">
        <v>8.5</v>
      </c>
      <c r="H690" t="n">
        <v>0</v>
      </c>
      <c r="I690" t="n">
        <v>0</v>
      </c>
      <c r="J690" t="n">
        <v>1</v>
      </c>
      <c r="K690" t="n">
        <v>0</v>
      </c>
      <c r="L690" t="n">
        <v>0</v>
      </c>
      <c r="M690" t="n">
        <v>0</v>
      </c>
      <c r="N690" t="n">
        <v>0</v>
      </c>
      <c r="O690" t="n">
        <v>1</v>
      </c>
      <c r="P690" t="n">
        <v>0</v>
      </c>
      <c r="Q690" t="n">
        <v>1</v>
      </c>
      <c r="R690" s="2" t="inlineStr">
        <is>
          <t>Leptoporus erubescens</t>
        </is>
      </c>
      <c r="S690">
        <f>HYPERLINK("https://klasma.github.io/Logging_0381/artfynd/A 46749-2024 artfynd.xlsx", "A 46749-2024")</f>
        <v/>
      </c>
      <c r="T690">
        <f>HYPERLINK("https://klasma.github.io/Logging_0381/kartor/A 46749-2024 karta.png", "A 46749-2024")</f>
        <v/>
      </c>
      <c r="V690">
        <f>HYPERLINK("https://klasma.github.io/Logging_0381/klagomål/A 46749-2024 FSC-klagomål.docx", "A 46749-2024")</f>
        <v/>
      </c>
      <c r="W690">
        <f>HYPERLINK("https://klasma.github.io/Logging_0381/klagomålsmail/A 46749-2024 FSC-klagomål mail.docx", "A 46749-2024")</f>
        <v/>
      </c>
      <c r="X690">
        <f>HYPERLINK("https://klasma.github.io/Logging_0381/tillsyn/A 46749-2024 tillsynsbegäran.docx", "A 46749-2024")</f>
        <v/>
      </c>
      <c r="Y690">
        <f>HYPERLINK("https://klasma.github.io/Logging_0381/tillsynsmail/A 46749-2024 tillsynsbegäran mail.docx", "A 46749-2024")</f>
        <v/>
      </c>
    </row>
    <row r="691" ht="15" customHeight="1">
      <c r="A691" t="inlineStr">
        <is>
          <t>A 46629-2024</t>
        </is>
      </c>
      <c r="B691" s="1" t="n">
        <v>45583</v>
      </c>
      <c r="C691" s="1" t="n">
        <v>45705</v>
      </c>
      <c r="D691" t="inlineStr">
        <is>
          <t>UPPSALA LÄN</t>
        </is>
      </c>
      <c r="E691" t="inlineStr">
        <is>
          <t>ÖSTHAMMAR</t>
        </is>
      </c>
      <c r="F691" t="inlineStr">
        <is>
          <t>Bergvik skog öst AB</t>
        </is>
      </c>
      <c r="G691" t="n">
        <v>0.7</v>
      </c>
      <c r="H691" t="n">
        <v>0</v>
      </c>
      <c r="I691" t="n">
        <v>0</v>
      </c>
      <c r="J691" t="n">
        <v>1</v>
      </c>
      <c r="K691" t="n">
        <v>0</v>
      </c>
      <c r="L691" t="n">
        <v>0</v>
      </c>
      <c r="M691" t="n">
        <v>0</v>
      </c>
      <c r="N691" t="n">
        <v>0</v>
      </c>
      <c r="O691" t="n">
        <v>1</v>
      </c>
      <c r="P691" t="n">
        <v>0</v>
      </c>
      <c r="Q691" t="n">
        <v>1</v>
      </c>
      <c r="R691" s="2" t="inlineStr">
        <is>
          <t>Slåtterfibbla</t>
        </is>
      </c>
      <c r="S691">
        <f>HYPERLINK("https://klasma.github.io/Logging_0382/artfynd/A 46629-2024 artfynd.xlsx", "A 46629-2024")</f>
        <v/>
      </c>
      <c r="T691">
        <f>HYPERLINK("https://klasma.github.io/Logging_0382/kartor/A 46629-2024 karta.png", "A 46629-2024")</f>
        <v/>
      </c>
      <c r="V691">
        <f>HYPERLINK("https://klasma.github.io/Logging_0382/klagomål/A 46629-2024 FSC-klagomål.docx", "A 46629-2024")</f>
        <v/>
      </c>
      <c r="W691">
        <f>HYPERLINK("https://klasma.github.io/Logging_0382/klagomålsmail/A 46629-2024 FSC-klagomål mail.docx", "A 46629-2024")</f>
        <v/>
      </c>
      <c r="X691">
        <f>HYPERLINK("https://klasma.github.io/Logging_0382/tillsyn/A 46629-2024 tillsynsbegäran.docx", "A 46629-2024")</f>
        <v/>
      </c>
      <c r="Y691">
        <f>HYPERLINK("https://klasma.github.io/Logging_0382/tillsynsmail/A 46629-2024 tillsynsbegäran mail.docx", "A 46629-2024")</f>
        <v/>
      </c>
    </row>
    <row r="692" ht="15" customHeight="1">
      <c r="A692" t="inlineStr">
        <is>
          <t>A 47168-2024</t>
        </is>
      </c>
      <c r="B692" s="1" t="n">
        <v>45586</v>
      </c>
      <c r="C692" s="1" t="n">
        <v>45705</v>
      </c>
      <c r="D692" t="inlineStr">
        <is>
          <t>UPPSALA LÄN</t>
        </is>
      </c>
      <c r="E692" t="inlineStr">
        <is>
          <t>ENKÖPING</t>
        </is>
      </c>
      <c r="G692" t="n">
        <v>7.3</v>
      </c>
      <c r="H692" t="n">
        <v>0</v>
      </c>
      <c r="I692" t="n">
        <v>1</v>
      </c>
      <c r="J692" t="n">
        <v>0</v>
      </c>
      <c r="K692" t="n">
        <v>0</v>
      </c>
      <c r="L692" t="n">
        <v>0</v>
      </c>
      <c r="M692" t="n">
        <v>0</v>
      </c>
      <c r="N692" t="n">
        <v>0</v>
      </c>
      <c r="O692" t="n">
        <v>0</v>
      </c>
      <c r="P692" t="n">
        <v>0</v>
      </c>
      <c r="Q692" t="n">
        <v>1</v>
      </c>
      <c r="R692" s="2" t="inlineStr">
        <is>
          <t>Svavelriska</t>
        </is>
      </c>
      <c r="S692">
        <f>HYPERLINK("https://klasma.github.io/Logging_0381/artfynd/A 47168-2024 artfynd.xlsx", "A 47168-2024")</f>
        <v/>
      </c>
      <c r="T692">
        <f>HYPERLINK("https://klasma.github.io/Logging_0381/kartor/A 47168-2024 karta.png", "A 47168-2024")</f>
        <v/>
      </c>
      <c r="V692">
        <f>HYPERLINK("https://klasma.github.io/Logging_0381/klagomål/A 47168-2024 FSC-klagomål.docx", "A 47168-2024")</f>
        <v/>
      </c>
      <c r="W692">
        <f>HYPERLINK("https://klasma.github.io/Logging_0381/klagomålsmail/A 47168-2024 FSC-klagomål mail.docx", "A 47168-2024")</f>
        <v/>
      </c>
      <c r="X692">
        <f>HYPERLINK("https://klasma.github.io/Logging_0381/tillsyn/A 47168-2024 tillsynsbegäran.docx", "A 47168-2024")</f>
        <v/>
      </c>
      <c r="Y692">
        <f>HYPERLINK("https://klasma.github.io/Logging_0381/tillsynsmail/A 47168-2024 tillsynsbegäran mail.docx", "A 47168-2024")</f>
        <v/>
      </c>
    </row>
    <row r="693" ht="15" customHeight="1">
      <c r="A693" t="inlineStr">
        <is>
          <t>A 48722-2024</t>
        </is>
      </c>
      <c r="B693" s="1" t="n">
        <v>45593</v>
      </c>
      <c r="C693" s="1" t="n">
        <v>45705</v>
      </c>
      <c r="D693" t="inlineStr">
        <is>
          <t>UPPSALA LÄN</t>
        </is>
      </c>
      <c r="E693" t="inlineStr">
        <is>
          <t>HEBY</t>
        </is>
      </c>
      <c r="F693" t="inlineStr">
        <is>
          <t>Allmännings- och besparingsskogar</t>
        </is>
      </c>
      <c r="G693" t="n">
        <v>9.6</v>
      </c>
      <c r="H693" t="n">
        <v>0</v>
      </c>
      <c r="I693" t="n">
        <v>0</v>
      </c>
      <c r="J693" t="n">
        <v>1</v>
      </c>
      <c r="K693" t="n">
        <v>0</v>
      </c>
      <c r="L693" t="n">
        <v>0</v>
      </c>
      <c r="M693" t="n">
        <v>0</v>
      </c>
      <c r="N693" t="n">
        <v>0</v>
      </c>
      <c r="O693" t="n">
        <v>1</v>
      </c>
      <c r="P693" t="n">
        <v>0</v>
      </c>
      <c r="Q693" t="n">
        <v>1</v>
      </c>
      <c r="R693" s="2" t="inlineStr">
        <is>
          <t>Blå taggsvamp</t>
        </is>
      </c>
      <c r="S693">
        <f>HYPERLINK("https://klasma.github.io/Logging_0331/artfynd/A 48722-2024 artfynd.xlsx", "A 48722-2024")</f>
        <v/>
      </c>
      <c r="T693">
        <f>HYPERLINK("https://klasma.github.io/Logging_0331/kartor/A 48722-2024 karta.png", "A 48722-2024")</f>
        <v/>
      </c>
      <c r="V693">
        <f>HYPERLINK("https://klasma.github.io/Logging_0331/klagomål/A 48722-2024 FSC-klagomål.docx", "A 48722-2024")</f>
        <v/>
      </c>
      <c r="W693">
        <f>HYPERLINK("https://klasma.github.io/Logging_0331/klagomålsmail/A 48722-2024 FSC-klagomål mail.docx", "A 48722-2024")</f>
        <v/>
      </c>
      <c r="X693">
        <f>HYPERLINK("https://klasma.github.io/Logging_0331/tillsyn/A 48722-2024 tillsynsbegäran.docx", "A 48722-2024")</f>
        <v/>
      </c>
      <c r="Y693">
        <f>HYPERLINK("https://klasma.github.io/Logging_0331/tillsynsmail/A 48722-2024 tillsynsbegäran mail.docx", "A 48722-2024")</f>
        <v/>
      </c>
    </row>
    <row r="694" ht="15" customHeight="1">
      <c r="A694" t="inlineStr">
        <is>
          <t>A 49692-2024</t>
        </is>
      </c>
      <c r="B694" s="1" t="n">
        <v>45596</v>
      </c>
      <c r="C694" s="1" t="n">
        <v>45705</v>
      </c>
      <c r="D694" t="inlineStr">
        <is>
          <t>UPPSALA LÄN</t>
        </is>
      </c>
      <c r="E694" t="inlineStr">
        <is>
          <t>TIERP</t>
        </is>
      </c>
      <c r="G694" t="n">
        <v>3.7</v>
      </c>
      <c r="H694" t="n">
        <v>1</v>
      </c>
      <c r="I694" t="n">
        <v>0</v>
      </c>
      <c r="J694" t="n">
        <v>0</v>
      </c>
      <c r="K694" t="n">
        <v>0</v>
      </c>
      <c r="L694" t="n">
        <v>0</v>
      </c>
      <c r="M694" t="n">
        <v>0</v>
      </c>
      <c r="N694" t="n">
        <v>0</v>
      </c>
      <c r="O694" t="n">
        <v>0</v>
      </c>
      <c r="P694" t="n">
        <v>0</v>
      </c>
      <c r="Q694" t="n">
        <v>1</v>
      </c>
      <c r="R694" s="2" t="inlineStr">
        <is>
          <t>Mattlummer</t>
        </is>
      </c>
      <c r="S694">
        <f>HYPERLINK("https://klasma.github.io/Logging_0360/artfynd/A 49692-2024 artfynd.xlsx", "A 49692-2024")</f>
        <v/>
      </c>
      <c r="T694">
        <f>HYPERLINK("https://klasma.github.io/Logging_0360/kartor/A 49692-2024 karta.png", "A 49692-2024")</f>
        <v/>
      </c>
      <c r="V694">
        <f>HYPERLINK("https://klasma.github.io/Logging_0360/klagomål/A 49692-2024 FSC-klagomål.docx", "A 49692-2024")</f>
        <v/>
      </c>
      <c r="W694">
        <f>HYPERLINK("https://klasma.github.io/Logging_0360/klagomålsmail/A 49692-2024 FSC-klagomål mail.docx", "A 49692-2024")</f>
        <v/>
      </c>
      <c r="X694">
        <f>HYPERLINK("https://klasma.github.io/Logging_0360/tillsyn/A 49692-2024 tillsynsbegäran.docx", "A 49692-2024")</f>
        <v/>
      </c>
      <c r="Y694">
        <f>HYPERLINK("https://klasma.github.io/Logging_0360/tillsynsmail/A 49692-2024 tillsynsbegäran mail.docx", "A 49692-2024")</f>
        <v/>
      </c>
    </row>
    <row r="695" ht="15" customHeight="1">
      <c r="A695" t="inlineStr">
        <is>
          <t>A 50039-2024</t>
        </is>
      </c>
      <c r="B695" s="1" t="n">
        <v>45600</v>
      </c>
      <c r="C695" s="1" t="n">
        <v>45705</v>
      </c>
      <c r="D695" t="inlineStr">
        <is>
          <t>UPPSALA LÄN</t>
        </is>
      </c>
      <c r="E695" t="inlineStr">
        <is>
          <t>KNIVSTA</t>
        </is>
      </c>
      <c r="G695" t="n">
        <v>2</v>
      </c>
      <c r="H695" t="n">
        <v>0</v>
      </c>
      <c r="I695" t="n">
        <v>1</v>
      </c>
      <c r="J695" t="n">
        <v>0</v>
      </c>
      <c r="K695" t="n">
        <v>0</v>
      </c>
      <c r="L695" t="n">
        <v>0</v>
      </c>
      <c r="M695" t="n">
        <v>0</v>
      </c>
      <c r="N695" t="n">
        <v>0</v>
      </c>
      <c r="O695" t="n">
        <v>0</v>
      </c>
      <c r="P695" t="n">
        <v>0</v>
      </c>
      <c r="Q695" t="n">
        <v>1</v>
      </c>
      <c r="R695" s="2" t="inlineStr">
        <is>
          <t>Tallfingersvamp</t>
        </is>
      </c>
      <c r="S695">
        <f>HYPERLINK("https://klasma.github.io/Logging_0330/artfynd/A 50039-2024 artfynd.xlsx", "A 50039-2024")</f>
        <v/>
      </c>
      <c r="T695">
        <f>HYPERLINK("https://klasma.github.io/Logging_0330/kartor/A 50039-2024 karta.png", "A 50039-2024")</f>
        <v/>
      </c>
      <c r="V695">
        <f>HYPERLINK("https://klasma.github.io/Logging_0330/klagomål/A 50039-2024 FSC-klagomål.docx", "A 50039-2024")</f>
        <v/>
      </c>
      <c r="W695">
        <f>HYPERLINK("https://klasma.github.io/Logging_0330/klagomålsmail/A 50039-2024 FSC-klagomål mail.docx", "A 50039-2024")</f>
        <v/>
      </c>
      <c r="X695">
        <f>HYPERLINK("https://klasma.github.io/Logging_0330/tillsyn/A 50039-2024 tillsynsbegäran.docx", "A 50039-2024")</f>
        <v/>
      </c>
      <c r="Y695">
        <f>HYPERLINK("https://klasma.github.io/Logging_0330/tillsynsmail/A 50039-2024 tillsynsbegäran mail.docx", "A 50039-2024")</f>
        <v/>
      </c>
    </row>
    <row r="696" ht="15" customHeight="1">
      <c r="A696" t="inlineStr">
        <is>
          <t>A 53866-2024</t>
        </is>
      </c>
      <c r="B696" s="1" t="n">
        <v>45614</v>
      </c>
      <c r="C696" s="1" t="n">
        <v>45705</v>
      </c>
      <c r="D696" t="inlineStr">
        <is>
          <t>UPPSALA LÄN</t>
        </is>
      </c>
      <c r="E696" t="inlineStr">
        <is>
          <t>HÅBO</t>
        </is>
      </c>
      <c r="G696" t="n">
        <v>2.9</v>
      </c>
      <c r="H696" t="n">
        <v>1</v>
      </c>
      <c r="I696" t="n">
        <v>0</v>
      </c>
      <c r="J696" t="n">
        <v>0</v>
      </c>
      <c r="K696" t="n">
        <v>0</v>
      </c>
      <c r="L696" t="n">
        <v>0</v>
      </c>
      <c r="M696" t="n">
        <v>0</v>
      </c>
      <c r="N696" t="n">
        <v>0</v>
      </c>
      <c r="O696" t="n">
        <v>0</v>
      </c>
      <c r="P696" t="n">
        <v>0</v>
      </c>
      <c r="Q696" t="n">
        <v>1</v>
      </c>
      <c r="R696" s="2" t="inlineStr">
        <is>
          <t>Nattviol</t>
        </is>
      </c>
      <c r="S696">
        <f>HYPERLINK("https://klasma.github.io/Logging_0305/artfynd/A 53866-2024 artfynd.xlsx", "A 53866-2024")</f>
        <v/>
      </c>
      <c r="T696">
        <f>HYPERLINK("https://klasma.github.io/Logging_0305/kartor/A 53866-2024 karta.png", "A 53866-2024")</f>
        <v/>
      </c>
      <c r="V696">
        <f>HYPERLINK("https://klasma.github.io/Logging_0305/klagomål/A 53866-2024 FSC-klagomål.docx", "A 53866-2024")</f>
        <v/>
      </c>
      <c r="W696">
        <f>HYPERLINK("https://klasma.github.io/Logging_0305/klagomålsmail/A 53866-2024 FSC-klagomål mail.docx", "A 53866-2024")</f>
        <v/>
      </c>
      <c r="X696">
        <f>HYPERLINK("https://klasma.github.io/Logging_0305/tillsyn/A 53866-2024 tillsynsbegäran.docx", "A 53866-2024")</f>
        <v/>
      </c>
      <c r="Y696">
        <f>HYPERLINK("https://klasma.github.io/Logging_0305/tillsynsmail/A 53866-2024 tillsynsbegäran mail.docx", "A 53866-2024")</f>
        <v/>
      </c>
    </row>
    <row r="697" ht="15" customHeight="1">
      <c r="A697" t="inlineStr">
        <is>
          <t>A 54144-2024</t>
        </is>
      </c>
      <c r="B697" s="1" t="n">
        <v>45616</v>
      </c>
      <c r="C697" s="1" t="n">
        <v>45705</v>
      </c>
      <c r="D697" t="inlineStr">
        <is>
          <t>UPPSALA LÄN</t>
        </is>
      </c>
      <c r="E697" t="inlineStr">
        <is>
          <t>UPPSALA</t>
        </is>
      </c>
      <c r="G697" t="n">
        <v>3.2</v>
      </c>
      <c r="H697" t="n">
        <v>0</v>
      </c>
      <c r="I697" t="n">
        <v>1</v>
      </c>
      <c r="J697" t="n">
        <v>0</v>
      </c>
      <c r="K697" t="n">
        <v>0</v>
      </c>
      <c r="L697" t="n">
        <v>0</v>
      </c>
      <c r="M697" t="n">
        <v>0</v>
      </c>
      <c r="N697" t="n">
        <v>0</v>
      </c>
      <c r="O697" t="n">
        <v>0</v>
      </c>
      <c r="P697" t="n">
        <v>0</v>
      </c>
      <c r="Q697" t="n">
        <v>1</v>
      </c>
      <c r="R697" s="2" t="inlineStr">
        <is>
          <t>Svavelriska</t>
        </is>
      </c>
      <c r="S697">
        <f>HYPERLINK("https://klasma.github.io/Logging_0380/artfynd/A 54144-2024 artfynd.xlsx", "A 54144-2024")</f>
        <v/>
      </c>
      <c r="T697">
        <f>HYPERLINK("https://klasma.github.io/Logging_0380/kartor/A 54144-2024 karta.png", "A 54144-2024")</f>
        <v/>
      </c>
      <c r="V697">
        <f>HYPERLINK("https://klasma.github.io/Logging_0380/klagomål/A 54144-2024 FSC-klagomål.docx", "A 54144-2024")</f>
        <v/>
      </c>
      <c r="W697">
        <f>HYPERLINK("https://klasma.github.io/Logging_0380/klagomålsmail/A 54144-2024 FSC-klagomål mail.docx", "A 54144-2024")</f>
        <v/>
      </c>
      <c r="X697">
        <f>HYPERLINK("https://klasma.github.io/Logging_0380/tillsyn/A 54144-2024 tillsynsbegäran.docx", "A 54144-2024")</f>
        <v/>
      </c>
      <c r="Y697">
        <f>HYPERLINK("https://klasma.github.io/Logging_0380/tillsynsmail/A 54144-2024 tillsynsbegäran mail.docx", "A 54144-2024")</f>
        <v/>
      </c>
    </row>
    <row r="698" ht="15" customHeight="1">
      <c r="A698" t="inlineStr">
        <is>
          <t>A 55331-2024</t>
        </is>
      </c>
      <c r="B698" s="1" t="n">
        <v>45621</v>
      </c>
      <c r="C698" s="1" t="n">
        <v>45705</v>
      </c>
      <c r="D698" t="inlineStr">
        <is>
          <t>UPPSALA LÄN</t>
        </is>
      </c>
      <c r="E698" t="inlineStr">
        <is>
          <t>TIERP</t>
        </is>
      </c>
      <c r="F698" t="inlineStr">
        <is>
          <t>Bergvik skog väst AB</t>
        </is>
      </c>
      <c r="G698" t="n">
        <v>7.3</v>
      </c>
      <c r="H698" t="n">
        <v>1</v>
      </c>
      <c r="I698" t="n">
        <v>0</v>
      </c>
      <c r="J698" t="n">
        <v>1</v>
      </c>
      <c r="K698" t="n">
        <v>0</v>
      </c>
      <c r="L698" t="n">
        <v>0</v>
      </c>
      <c r="M698" t="n">
        <v>0</v>
      </c>
      <c r="N698" t="n">
        <v>0</v>
      </c>
      <c r="O698" t="n">
        <v>1</v>
      </c>
      <c r="P698" t="n">
        <v>0</v>
      </c>
      <c r="Q698" t="n">
        <v>1</v>
      </c>
      <c r="R698" s="2" t="inlineStr">
        <is>
          <t>Talltita</t>
        </is>
      </c>
      <c r="S698">
        <f>HYPERLINK("https://klasma.github.io/Logging_0360/artfynd/A 55331-2024 artfynd.xlsx", "A 55331-2024")</f>
        <v/>
      </c>
      <c r="T698">
        <f>HYPERLINK("https://klasma.github.io/Logging_0360/kartor/A 55331-2024 karta.png", "A 55331-2024")</f>
        <v/>
      </c>
      <c r="V698">
        <f>HYPERLINK("https://klasma.github.io/Logging_0360/klagomål/A 55331-2024 FSC-klagomål.docx", "A 55331-2024")</f>
        <v/>
      </c>
      <c r="W698">
        <f>HYPERLINK("https://klasma.github.io/Logging_0360/klagomålsmail/A 55331-2024 FSC-klagomål mail.docx", "A 55331-2024")</f>
        <v/>
      </c>
      <c r="X698">
        <f>HYPERLINK("https://klasma.github.io/Logging_0360/tillsyn/A 55331-2024 tillsynsbegäran.docx", "A 55331-2024")</f>
        <v/>
      </c>
      <c r="Y698">
        <f>HYPERLINK("https://klasma.github.io/Logging_0360/tillsynsmail/A 55331-2024 tillsynsbegäran mail.docx", "A 55331-2024")</f>
        <v/>
      </c>
      <c r="Z698">
        <f>HYPERLINK("https://klasma.github.io/Logging_0360/fåglar/A 55331-2024 prioriterade fågelarter.docx", "A 55331-2024")</f>
        <v/>
      </c>
    </row>
    <row r="699" ht="15" customHeight="1">
      <c r="A699" t="inlineStr">
        <is>
          <t>A 55082-2024</t>
        </is>
      </c>
      <c r="B699" s="1" t="n">
        <v>45621</v>
      </c>
      <c r="C699" s="1" t="n">
        <v>45705</v>
      </c>
      <c r="D699" t="inlineStr">
        <is>
          <t>UPPSALA LÄN</t>
        </is>
      </c>
      <c r="E699" t="inlineStr">
        <is>
          <t>HEBY</t>
        </is>
      </c>
      <c r="G699" t="n">
        <v>5.2</v>
      </c>
      <c r="H699" t="n">
        <v>0</v>
      </c>
      <c r="I699" t="n">
        <v>0</v>
      </c>
      <c r="J699" t="n">
        <v>1</v>
      </c>
      <c r="K699" t="n">
        <v>0</v>
      </c>
      <c r="L699" t="n">
        <v>0</v>
      </c>
      <c r="M699" t="n">
        <v>0</v>
      </c>
      <c r="N699" t="n">
        <v>0</v>
      </c>
      <c r="O699" t="n">
        <v>1</v>
      </c>
      <c r="P699" t="n">
        <v>0</v>
      </c>
      <c r="Q699" t="n">
        <v>1</v>
      </c>
      <c r="R699" s="2" t="inlineStr">
        <is>
          <t>Kolflarnlav</t>
        </is>
      </c>
      <c r="S699">
        <f>HYPERLINK("https://klasma.github.io/Logging_0331/artfynd/A 55082-2024 artfynd.xlsx", "A 55082-2024")</f>
        <v/>
      </c>
      <c r="T699">
        <f>HYPERLINK("https://klasma.github.io/Logging_0331/kartor/A 55082-2024 karta.png", "A 55082-2024")</f>
        <v/>
      </c>
      <c r="V699">
        <f>HYPERLINK("https://klasma.github.io/Logging_0331/klagomål/A 55082-2024 FSC-klagomål.docx", "A 55082-2024")</f>
        <v/>
      </c>
      <c r="W699">
        <f>HYPERLINK("https://klasma.github.io/Logging_0331/klagomålsmail/A 55082-2024 FSC-klagomål mail.docx", "A 55082-2024")</f>
        <v/>
      </c>
      <c r="X699">
        <f>HYPERLINK("https://klasma.github.io/Logging_0331/tillsyn/A 55082-2024 tillsynsbegäran.docx", "A 55082-2024")</f>
        <v/>
      </c>
      <c r="Y699">
        <f>HYPERLINK("https://klasma.github.io/Logging_0331/tillsynsmail/A 55082-2024 tillsynsbegäran mail.docx", "A 55082-2024")</f>
        <v/>
      </c>
    </row>
    <row r="700" ht="15" customHeight="1">
      <c r="A700" t="inlineStr">
        <is>
          <t>A 55169-2024</t>
        </is>
      </c>
      <c r="B700" s="1" t="n">
        <v>45621</v>
      </c>
      <c r="C700" s="1" t="n">
        <v>45705</v>
      </c>
      <c r="D700" t="inlineStr">
        <is>
          <t>UPPSALA LÄN</t>
        </is>
      </c>
      <c r="E700" t="inlineStr">
        <is>
          <t>ÖSTHAMMAR</t>
        </is>
      </c>
      <c r="G700" t="n">
        <v>1.1</v>
      </c>
      <c r="H700" t="n">
        <v>0</v>
      </c>
      <c r="I700" t="n">
        <v>1</v>
      </c>
      <c r="J700" t="n">
        <v>0</v>
      </c>
      <c r="K700" t="n">
        <v>0</v>
      </c>
      <c r="L700" t="n">
        <v>0</v>
      </c>
      <c r="M700" t="n">
        <v>0</v>
      </c>
      <c r="N700" t="n">
        <v>0</v>
      </c>
      <c r="O700" t="n">
        <v>0</v>
      </c>
      <c r="P700" t="n">
        <v>0</v>
      </c>
      <c r="Q700" t="n">
        <v>1</v>
      </c>
      <c r="R700" s="2" t="inlineStr">
        <is>
          <t>Svavelriska</t>
        </is>
      </c>
      <c r="S700">
        <f>HYPERLINK("https://klasma.github.io/Logging_0382/artfynd/A 55169-2024 artfynd.xlsx", "A 55169-2024")</f>
        <v/>
      </c>
      <c r="T700">
        <f>HYPERLINK("https://klasma.github.io/Logging_0382/kartor/A 55169-2024 karta.png", "A 55169-2024")</f>
        <v/>
      </c>
      <c r="V700">
        <f>HYPERLINK("https://klasma.github.io/Logging_0382/klagomål/A 55169-2024 FSC-klagomål.docx", "A 55169-2024")</f>
        <v/>
      </c>
      <c r="W700">
        <f>HYPERLINK("https://klasma.github.io/Logging_0382/klagomålsmail/A 55169-2024 FSC-klagomål mail.docx", "A 55169-2024")</f>
        <v/>
      </c>
      <c r="X700">
        <f>HYPERLINK("https://klasma.github.io/Logging_0382/tillsyn/A 55169-2024 tillsynsbegäran.docx", "A 55169-2024")</f>
        <v/>
      </c>
      <c r="Y700">
        <f>HYPERLINK("https://klasma.github.io/Logging_0382/tillsynsmail/A 55169-2024 tillsynsbegäran mail.docx", "A 55169-2024")</f>
        <v/>
      </c>
    </row>
    <row r="701" ht="15" customHeight="1">
      <c r="A701" t="inlineStr">
        <is>
          <t>A 55554-2024</t>
        </is>
      </c>
      <c r="B701" s="1" t="n">
        <v>45622</v>
      </c>
      <c r="C701" s="1" t="n">
        <v>45705</v>
      </c>
      <c r="D701" t="inlineStr">
        <is>
          <t>UPPSALA LÄN</t>
        </is>
      </c>
      <c r="E701" t="inlineStr">
        <is>
          <t>ÄLVKARLEBY</t>
        </is>
      </c>
      <c r="F701" t="inlineStr">
        <is>
          <t>Bergvik skog väst AB</t>
        </is>
      </c>
      <c r="G701" t="n">
        <v>1.2</v>
      </c>
      <c r="H701" t="n">
        <v>1</v>
      </c>
      <c r="I701" t="n">
        <v>0</v>
      </c>
      <c r="J701" t="n">
        <v>0</v>
      </c>
      <c r="K701" t="n">
        <v>1</v>
      </c>
      <c r="L701" t="n">
        <v>0</v>
      </c>
      <c r="M701" t="n">
        <v>0</v>
      </c>
      <c r="N701" t="n">
        <v>0</v>
      </c>
      <c r="O701" t="n">
        <v>1</v>
      </c>
      <c r="P701" t="n">
        <v>1</v>
      </c>
      <c r="Q701" t="n">
        <v>1</v>
      </c>
      <c r="R701" s="2" t="inlineStr">
        <is>
          <t>Knärot</t>
        </is>
      </c>
      <c r="S701">
        <f>HYPERLINK("https://klasma.github.io/Logging_0319/artfynd/A 55554-2024 artfynd.xlsx", "A 55554-2024")</f>
        <v/>
      </c>
      <c r="T701">
        <f>HYPERLINK("https://klasma.github.io/Logging_0319/kartor/A 55554-2024 karta.png", "A 55554-2024")</f>
        <v/>
      </c>
      <c r="U701">
        <f>HYPERLINK("https://klasma.github.io/Logging_0319/knärot/A 55554-2024 karta knärot.png", "A 55554-2024")</f>
        <v/>
      </c>
      <c r="V701">
        <f>HYPERLINK("https://klasma.github.io/Logging_0319/klagomål/A 55554-2024 FSC-klagomål.docx", "A 55554-2024")</f>
        <v/>
      </c>
      <c r="W701">
        <f>HYPERLINK("https://klasma.github.io/Logging_0319/klagomålsmail/A 55554-2024 FSC-klagomål mail.docx", "A 55554-2024")</f>
        <v/>
      </c>
      <c r="X701">
        <f>HYPERLINK("https://klasma.github.io/Logging_0319/tillsyn/A 55554-2024 tillsynsbegäran.docx", "A 55554-2024")</f>
        <v/>
      </c>
      <c r="Y701">
        <f>HYPERLINK("https://klasma.github.io/Logging_0319/tillsynsmail/A 55554-2024 tillsynsbegäran mail.docx", "A 55554-2024")</f>
        <v/>
      </c>
    </row>
    <row r="702" ht="15" customHeight="1">
      <c r="A702" t="inlineStr">
        <is>
          <t>A 55567-2024</t>
        </is>
      </c>
      <c r="B702" s="1" t="n">
        <v>45622</v>
      </c>
      <c r="C702" s="1" t="n">
        <v>45705</v>
      </c>
      <c r="D702" t="inlineStr">
        <is>
          <t>UPPSALA LÄN</t>
        </is>
      </c>
      <c r="E702" t="inlineStr">
        <is>
          <t>ÄLVKARLEBY</t>
        </is>
      </c>
      <c r="F702" t="inlineStr">
        <is>
          <t>Bergvik skog väst AB</t>
        </is>
      </c>
      <c r="G702" t="n">
        <v>2.7</v>
      </c>
      <c r="H702" t="n">
        <v>1</v>
      </c>
      <c r="I702" t="n">
        <v>0</v>
      </c>
      <c r="J702" t="n">
        <v>0</v>
      </c>
      <c r="K702" t="n">
        <v>1</v>
      </c>
      <c r="L702" t="n">
        <v>0</v>
      </c>
      <c r="M702" t="n">
        <v>0</v>
      </c>
      <c r="N702" t="n">
        <v>0</v>
      </c>
      <c r="O702" t="n">
        <v>1</v>
      </c>
      <c r="P702" t="n">
        <v>1</v>
      </c>
      <c r="Q702" t="n">
        <v>1</v>
      </c>
      <c r="R702" s="2" t="inlineStr">
        <is>
          <t>Knärot</t>
        </is>
      </c>
      <c r="S702">
        <f>HYPERLINK("https://klasma.github.io/Logging_0319/artfynd/A 55567-2024 artfynd.xlsx", "A 55567-2024")</f>
        <v/>
      </c>
      <c r="T702">
        <f>HYPERLINK("https://klasma.github.io/Logging_0319/kartor/A 55567-2024 karta.png", "A 55567-2024")</f>
        <v/>
      </c>
      <c r="U702">
        <f>HYPERLINK("https://klasma.github.io/Logging_0319/knärot/A 55567-2024 karta knärot.png", "A 55567-2024")</f>
        <v/>
      </c>
      <c r="V702">
        <f>HYPERLINK("https://klasma.github.io/Logging_0319/klagomål/A 55567-2024 FSC-klagomål.docx", "A 55567-2024")</f>
        <v/>
      </c>
      <c r="W702">
        <f>HYPERLINK("https://klasma.github.io/Logging_0319/klagomålsmail/A 55567-2024 FSC-klagomål mail.docx", "A 55567-2024")</f>
        <v/>
      </c>
      <c r="X702">
        <f>HYPERLINK("https://klasma.github.io/Logging_0319/tillsyn/A 55567-2024 tillsynsbegäran.docx", "A 55567-2024")</f>
        <v/>
      </c>
      <c r="Y702">
        <f>HYPERLINK("https://klasma.github.io/Logging_0319/tillsynsmail/A 55567-2024 tillsynsbegäran mail.docx", "A 55567-2024")</f>
        <v/>
      </c>
    </row>
    <row r="703" ht="15" customHeight="1">
      <c r="A703" t="inlineStr">
        <is>
          <t>A 55663-2024</t>
        </is>
      </c>
      <c r="B703" s="1" t="n">
        <v>45622</v>
      </c>
      <c r="C703" s="1" t="n">
        <v>45705</v>
      </c>
      <c r="D703" t="inlineStr">
        <is>
          <t>UPPSALA LÄN</t>
        </is>
      </c>
      <c r="E703" t="inlineStr">
        <is>
          <t>HEBY</t>
        </is>
      </c>
      <c r="F703" t="inlineStr">
        <is>
          <t>Bergvik skog väst AB</t>
        </is>
      </c>
      <c r="G703" t="n">
        <v>4.5</v>
      </c>
      <c r="H703" t="n">
        <v>0</v>
      </c>
      <c r="I703" t="n">
        <v>0</v>
      </c>
      <c r="J703" t="n">
        <v>1</v>
      </c>
      <c r="K703" t="n">
        <v>0</v>
      </c>
      <c r="L703" t="n">
        <v>0</v>
      </c>
      <c r="M703" t="n">
        <v>0</v>
      </c>
      <c r="N703" t="n">
        <v>0</v>
      </c>
      <c r="O703" t="n">
        <v>1</v>
      </c>
      <c r="P703" t="n">
        <v>0</v>
      </c>
      <c r="Q703" t="n">
        <v>1</v>
      </c>
      <c r="R703" s="2" t="inlineStr">
        <is>
          <t>Ullticka</t>
        </is>
      </c>
      <c r="S703">
        <f>HYPERLINK("https://klasma.github.io/Logging_0331/artfynd/A 55663-2024 artfynd.xlsx", "A 55663-2024")</f>
        <v/>
      </c>
      <c r="T703">
        <f>HYPERLINK("https://klasma.github.io/Logging_0331/kartor/A 55663-2024 karta.png", "A 55663-2024")</f>
        <v/>
      </c>
      <c r="V703">
        <f>HYPERLINK("https://klasma.github.io/Logging_0331/klagomål/A 55663-2024 FSC-klagomål.docx", "A 55663-2024")</f>
        <v/>
      </c>
      <c r="W703">
        <f>HYPERLINK("https://klasma.github.io/Logging_0331/klagomålsmail/A 55663-2024 FSC-klagomål mail.docx", "A 55663-2024")</f>
        <v/>
      </c>
      <c r="X703">
        <f>HYPERLINK("https://klasma.github.io/Logging_0331/tillsyn/A 55663-2024 tillsynsbegäran.docx", "A 55663-2024")</f>
        <v/>
      </c>
      <c r="Y703">
        <f>HYPERLINK("https://klasma.github.io/Logging_0331/tillsynsmail/A 55663-2024 tillsynsbegäran mail.docx", "A 55663-2024")</f>
        <v/>
      </c>
    </row>
    <row r="704" ht="15" customHeight="1">
      <c r="A704" t="inlineStr">
        <is>
          <t>A 57398-2024</t>
        </is>
      </c>
      <c r="B704" s="1" t="n">
        <v>45629</v>
      </c>
      <c r="C704" s="1" t="n">
        <v>45705</v>
      </c>
      <c r="D704" t="inlineStr">
        <is>
          <t>UPPSALA LÄN</t>
        </is>
      </c>
      <c r="E704" t="inlineStr">
        <is>
          <t>TIERP</t>
        </is>
      </c>
      <c r="G704" t="n">
        <v>2.2</v>
      </c>
      <c r="H704" t="n">
        <v>0</v>
      </c>
      <c r="I704" t="n">
        <v>0</v>
      </c>
      <c r="J704" t="n">
        <v>0</v>
      </c>
      <c r="K704" t="n">
        <v>1</v>
      </c>
      <c r="L704" t="n">
        <v>0</v>
      </c>
      <c r="M704" t="n">
        <v>0</v>
      </c>
      <c r="N704" t="n">
        <v>0</v>
      </c>
      <c r="O704" t="n">
        <v>1</v>
      </c>
      <c r="P704" t="n">
        <v>1</v>
      </c>
      <c r="Q704" t="n">
        <v>1</v>
      </c>
      <c r="R704" s="2" t="inlineStr">
        <is>
          <t>Ängsskäreplattmal</t>
        </is>
      </c>
      <c r="S704">
        <f>HYPERLINK("https://klasma.github.io/Logging_0360/artfynd/A 57398-2024 artfynd.xlsx", "A 57398-2024")</f>
        <v/>
      </c>
      <c r="T704">
        <f>HYPERLINK("https://klasma.github.io/Logging_0360/kartor/A 57398-2024 karta.png", "A 57398-2024")</f>
        <v/>
      </c>
      <c r="V704">
        <f>HYPERLINK("https://klasma.github.io/Logging_0360/klagomål/A 57398-2024 FSC-klagomål.docx", "A 57398-2024")</f>
        <v/>
      </c>
      <c r="W704">
        <f>HYPERLINK("https://klasma.github.io/Logging_0360/klagomålsmail/A 57398-2024 FSC-klagomål mail.docx", "A 57398-2024")</f>
        <v/>
      </c>
      <c r="X704">
        <f>HYPERLINK("https://klasma.github.io/Logging_0360/tillsyn/A 57398-2024 tillsynsbegäran.docx", "A 57398-2024")</f>
        <v/>
      </c>
      <c r="Y704">
        <f>HYPERLINK("https://klasma.github.io/Logging_0360/tillsynsmail/A 57398-2024 tillsynsbegäran mail.docx", "A 57398-2024")</f>
        <v/>
      </c>
    </row>
    <row r="705" ht="15" customHeight="1">
      <c r="A705" t="inlineStr">
        <is>
          <t>A 58107-2024</t>
        </is>
      </c>
      <c r="B705" s="1" t="n">
        <v>45632</v>
      </c>
      <c r="C705" s="1" t="n">
        <v>45705</v>
      </c>
      <c r="D705" t="inlineStr">
        <is>
          <t>UPPSALA LÄN</t>
        </is>
      </c>
      <c r="E705" t="inlineStr">
        <is>
          <t>TIERP</t>
        </is>
      </c>
      <c r="G705" t="n">
        <v>0.6</v>
      </c>
      <c r="H705" t="n">
        <v>1</v>
      </c>
      <c r="I705" t="n">
        <v>1</v>
      </c>
      <c r="J705" t="n">
        <v>0</v>
      </c>
      <c r="K705" t="n">
        <v>0</v>
      </c>
      <c r="L705" t="n">
        <v>0</v>
      </c>
      <c r="M705" t="n">
        <v>0</v>
      </c>
      <c r="N705" t="n">
        <v>0</v>
      </c>
      <c r="O705" t="n">
        <v>0</v>
      </c>
      <c r="P705" t="n">
        <v>0</v>
      </c>
      <c r="Q705" t="n">
        <v>1</v>
      </c>
      <c r="R705" s="2" t="inlineStr">
        <is>
          <t>Skogsknipprot</t>
        </is>
      </c>
      <c r="S705">
        <f>HYPERLINK("https://klasma.github.io/Logging_0360/artfynd/A 58107-2024 artfynd.xlsx", "A 58107-2024")</f>
        <v/>
      </c>
      <c r="T705">
        <f>HYPERLINK("https://klasma.github.io/Logging_0360/kartor/A 58107-2024 karta.png", "A 58107-2024")</f>
        <v/>
      </c>
      <c r="V705">
        <f>HYPERLINK("https://klasma.github.io/Logging_0360/klagomål/A 58107-2024 FSC-klagomål.docx", "A 58107-2024")</f>
        <v/>
      </c>
      <c r="W705">
        <f>HYPERLINK("https://klasma.github.io/Logging_0360/klagomålsmail/A 58107-2024 FSC-klagomål mail.docx", "A 58107-2024")</f>
        <v/>
      </c>
      <c r="X705">
        <f>HYPERLINK("https://klasma.github.io/Logging_0360/tillsyn/A 58107-2024 tillsynsbegäran.docx", "A 58107-2024")</f>
        <v/>
      </c>
      <c r="Y705">
        <f>HYPERLINK("https://klasma.github.io/Logging_0360/tillsynsmail/A 58107-2024 tillsynsbegäran mail.docx", "A 58107-2024")</f>
        <v/>
      </c>
    </row>
    <row r="706" ht="15" customHeight="1">
      <c r="A706" t="inlineStr">
        <is>
          <t>A 59117-2024</t>
        </is>
      </c>
      <c r="B706" s="1" t="n">
        <v>45637</v>
      </c>
      <c r="C706" s="1" t="n">
        <v>45705</v>
      </c>
      <c r="D706" t="inlineStr">
        <is>
          <t>UPPSALA LÄN</t>
        </is>
      </c>
      <c r="E706" t="inlineStr">
        <is>
          <t>TIERP</t>
        </is>
      </c>
      <c r="F706" t="inlineStr">
        <is>
          <t>Bergvik skog öst AB</t>
        </is>
      </c>
      <c r="G706" t="n">
        <v>14.9</v>
      </c>
      <c r="H706" t="n">
        <v>0</v>
      </c>
      <c r="I706" t="n">
        <v>1</v>
      </c>
      <c r="J706" t="n">
        <v>0</v>
      </c>
      <c r="K706" t="n">
        <v>0</v>
      </c>
      <c r="L706" t="n">
        <v>0</v>
      </c>
      <c r="M706" t="n">
        <v>0</v>
      </c>
      <c r="N706" t="n">
        <v>0</v>
      </c>
      <c r="O706" t="n">
        <v>0</v>
      </c>
      <c r="P706" t="n">
        <v>0</v>
      </c>
      <c r="Q706" t="n">
        <v>1</v>
      </c>
      <c r="R706" s="2" t="inlineStr">
        <is>
          <t>Fjällig taggsvamp s.str.</t>
        </is>
      </c>
      <c r="S706">
        <f>HYPERLINK("https://klasma.github.io/Logging_0360/artfynd/A 59117-2024 artfynd.xlsx", "A 59117-2024")</f>
        <v/>
      </c>
      <c r="T706">
        <f>HYPERLINK("https://klasma.github.io/Logging_0360/kartor/A 59117-2024 karta.png", "A 59117-2024")</f>
        <v/>
      </c>
      <c r="V706">
        <f>HYPERLINK("https://klasma.github.io/Logging_0360/klagomål/A 59117-2024 FSC-klagomål.docx", "A 59117-2024")</f>
        <v/>
      </c>
      <c r="W706">
        <f>HYPERLINK("https://klasma.github.io/Logging_0360/klagomålsmail/A 59117-2024 FSC-klagomål mail.docx", "A 59117-2024")</f>
        <v/>
      </c>
      <c r="X706">
        <f>HYPERLINK("https://klasma.github.io/Logging_0360/tillsyn/A 59117-2024 tillsynsbegäran.docx", "A 59117-2024")</f>
        <v/>
      </c>
      <c r="Y706">
        <f>HYPERLINK("https://klasma.github.io/Logging_0360/tillsynsmail/A 59117-2024 tillsynsbegäran mail.docx", "A 59117-2024")</f>
        <v/>
      </c>
    </row>
    <row r="707" ht="15" customHeight="1">
      <c r="A707" t="inlineStr">
        <is>
          <t>A 59588-2024</t>
        </is>
      </c>
      <c r="B707" s="1" t="n">
        <v>45638</v>
      </c>
      <c r="C707" s="1" t="n">
        <v>45705</v>
      </c>
      <c r="D707" t="inlineStr">
        <is>
          <t>UPPSALA LÄN</t>
        </is>
      </c>
      <c r="E707" t="inlineStr">
        <is>
          <t>UPPSALA</t>
        </is>
      </c>
      <c r="G707" t="n">
        <v>3.4</v>
      </c>
      <c r="H707" t="n">
        <v>1</v>
      </c>
      <c r="I707" t="n">
        <v>0</v>
      </c>
      <c r="J707" t="n">
        <v>0</v>
      </c>
      <c r="K707" t="n">
        <v>1</v>
      </c>
      <c r="L707" t="n">
        <v>0</v>
      </c>
      <c r="M707" t="n">
        <v>0</v>
      </c>
      <c r="N707" t="n">
        <v>0</v>
      </c>
      <c r="O707" t="n">
        <v>1</v>
      </c>
      <c r="P707" t="n">
        <v>1</v>
      </c>
      <c r="Q707" t="n">
        <v>1</v>
      </c>
      <c r="R707" s="2" t="inlineStr">
        <is>
          <t>Knärot</t>
        </is>
      </c>
      <c r="S707">
        <f>HYPERLINK("https://klasma.github.io/Logging_0380/artfynd/A 59588-2024 artfynd.xlsx", "A 59588-2024")</f>
        <v/>
      </c>
      <c r="T707">
        <f>HYPERLINK("https://klasma.github.io/Logging_0380/kartor/A 59588-2024 karta.png", "A 59588-2024")</f>
        <v/>
      </c>
      <c r="U707">
        <f>HYPERLINK("https://klasma.github.io/Logging_0380/knärot/A 59588-2024 karta knärot.png", "A 59588-2024")</f>
        <v/>
      </c>
      <c r="V707">
        <f>HYPERLINK("https://klasma.github.io/Logging_0380/klagomål/A 59588-2024 FSC-klagomål.docx", "A 59588-2024")</f>
        <v/>
      </c>
      <c r="W707">
        <f>HYPERLINK("https://klasma.github.io/Logging_0380/klagomålsmail/A 59588-2024 FSC-klagomål mail.docx", "A 59588-2024")</f>
        <v/>
      </c>
      <c r="X707">
        <f>HYPERLINK("https://klasma.github.io/Logging_0380/tillsyn/A 59588-2024 tillsynsbegäran.docx", "A 59588-2024")</f>
        <v/>
      </c>
      <c r="Y707">
        <f>HYPERLINK("https://klasma.github.io/Logging_0380/tillsynsmail/A 59588-2024 tillsynsbegäran mail.docx", "A 59588-2024")</f>
        <v/>
      </c>
    </row>
    <row r="708" ht="15" customHeight="1">
      <c r="A708" t="inlineStr">
        <is>
          <t>A 60266-2024</t>
        </is>
      </c>
      <c r="B708" s="1" t="n">
        <v>45642</v>
      </c>
      <c r="C708" s="1" t="n">
        <v>45705</v>
      </c>
      <c r="D708" t="inlineStr">
        <is>
          <t>UPPSALA LÄN</t>
        </is>
      </c>
      <c r="E708" t="inlineStr">
        <is>
          <t>ENKÖPING</t>
        </is>
      </c>
      <c r="G708" t="n">
        <v>14.5</v>
      </c>
      <c r="H708" t="n">
        <v>0</v>
      </c>
      <c r="I708" t="n">
        <v>1</v>
      </c>
      <c r="J708" t="n">
        <v>0</v>
      </c>
      <c r="K708" t="n">
        <v>0</v>
      </c>
      <c r="L708" t="n">
        <v>0</v>
      </c>
      <c r="M708" t="n">
        <v>0</v>
      </c>
      <c r="N708" t="n">
        <v>0</v>
      </c>
      <c r="O708" t="n">
        <v>0</v>
      </c>
      <c r="P708" t="n">
        <v>0</v>
      </c>
      <c r="Q708" t="n">
        <v>1</v>
      </c>
      <c r="R708" s="2" t="inlineStr">
        <is>
          <t>Skarp dropptaggsvamp</t>
        </is>
      </c>
      <c r="S708">
        <f>HYPERLINK("https://klasma.github.io/Logging_0381/artfynd/A 60266-2024 artfynd.xlsx", "A 60266-2024")</f>
        <v/>
      </c>
      <c r="T708">
        <f>HYPERLINK("https://klasma.github.io/Logging_0381/kartor/A 60266-2024 karta.png", "A 60266-2024")</f>
        <v/>
      </c>
      <c r="V708">
        <f>HYPERLINK("https://klasma.github.io/Logging_0381/klagomål/A 60266-2024 FSC-klagomål.docx", "A 60266-2024")</f>
        <v/>
      </c>
      <c r="W708">
        <f>HYPERLINK("https://klasma.github.io/Logging_0381/klagomålsmail/A 60266-2024 FSC-klagomål mail.docx", "A 60266-2024")</f>
        <v/>
      </c>
      <c r="X708">
        <f>HYPERLINK("https://klasma.github.io/Logging_0381/tillsyn/A 60266-2024 tillsynsbegäran.docx", "A 60266-2024")</f>
        <v/>
      </c>
      <c r="Y708">
        <f>HYPERLINK("https://klasma.github.io/Logging_0381/tillsynsmail/A 60266-2024 tillsynsbegäran mail.docx", "A 60266-2024")</f>
        <v/>
      </c>
    </row>
    <row r="709" ht="15" customHeight="1">
      <c r="A709" t="inlineStr">
        <is>
          <t>A 2592-2025</t>
        </is>
      </c>
      <c r="B709" s="1" t="n">
        <v>45674</v>
      </c>
      <c r="C709" s="1" t="n">
        <v>45705</v>
      </c>
      <c r="D709" t="inlineStr">
        <is>
          <t>UPPSALA LÄN</t>
        </is>
      </c>
      <c r="E709" t="inlineStr">
        <is>
          <t>HEBY</t>
        </is>
      </c>
      <c r="F709" t="inlineStr">
        <is>
          <t>Allmännings- och besparingsskogar</t>
        </is>
      </c>
      <c r="G709" t="n">
        <v>15.8</v>
      </c>
      <c r="H709" t="n">
        <v>1</v>
      </c>
      <c r="I709" t="n">
        <v>0</v>
      </c>
      <c r="J709" t="n">
        <v>0</v>
      </c>
      <c r="K709" t="n">
        <v>0</v>
      </c>
      <c r="L709" t="n">
        <v>0</v>
      </c>
      <c r="M709" t="n">
        <v>0</v>
      </c>
      <c r="N709" t="n">
        <v>0</v>
      </c>
      <c r="O709" t="n">
        <v>0</v>
      </c>
      <c r="P709" t="n">
        <v>0</v>
      </c>
      <c r="Q709" t="n">
        <v>1</v>
      </c>
      <c r="R709" s="2" t="inlineStr">
        <is>
          <t>Fläcknycklar</t>
        </is>
      </c>
      <c r="S709">
        <f>HYPERLINK("https://klasma.github.io/Logging_0331/artfynd/A 2592-2025 artfynd.xlsx", "A 2592-2025")</f>
        <v/>
      </c>
      <c r="T709">
        <f>HYPERLINK("https://klasma.github.io/Logging_0331/kartor/A 2592-2025 karta.png", "A 2592-2025")</f>
        <v/>
      </c>
      <c r="V709">
        <f>HYPERLINK("https://klasma.github.io/Logging_0331/klagomål/A 2592-2025 FSC-klagomål.docx", "A 2592-2025")</f>
        <v/>
      </c>
      <c r="W709">
        <f>HYPERLINK("https://klasma.github.io/Logging_0331/klagomålsmail/A 2592-2025 FSC-klagomål mail.docx", "A 2592-2025")</f>
        <v/>
      </c>
      <c r="X709">
        <f>HYPERLINK("https://klasma.github.io/Logging_0331/tillsyn/A 2592-2025 tillsynsbegäran.docx", "A 2592-2025")</f>
        <v/>
      </c>
      <c r="Y709">
        <f>HYPERLINK("https://klasma.github.io/Logging_0331/tillsynsmail/A 2592-2025 tillsynsbegäran mail.docx", "A 2592-2025")</f>
        <v/>
      </c>
    </row>
    <row r="710" ht="15" customHeight="1">
      <c r="A710" t="inlineStr">
        <is>
          <t>A 2731-2025</t>
        </is>
      </c>
      <c r="B710" s="1" t="n">
        <v>45677</v>
      </c>
      <c r="C710" s="1" t="n">
        <v>45705</v>
      </c>
      <c r="D710" t="inlineStr">
        <is>
          <t>UPPSALA LÄN</t>
        </is>
      </c>
      <c r="E710" t="inlineStr">
        <is>
          <t>TIERP</t>
        </is>
      </c>
      <c r="G710" t="n">
        <v>5.8</v>
      </c>
      <c r="H710" t="n">
        <v>1</v>
      </c>
      <c r="I710" t="n">
        <v>0</v>
      </c>
      <c r="J710" t="n">
        <v>1</v>
      </c>
      <c r="K710" t="n">
        <v>0</v>
      </c>
      <c r="L710" t="n">
        <v>0</v>
      </c>
      <c r="M710" t="n">
        <v>0</v>
      </c>
      <c r="N710" t="n">
        <v>0</v>
      </c>
      <c r="O710" t="n">
        <v>1</v>
      </c>
      <c r="P710" t="n">
        <v>0</v>
      </c>
      <c r="Q710" t="n">
        <v>1</v>
      </c>
      <c r="R710" s="2" t="inlineStr">
        <is>
          <t>Rödvingetrast</t>
        </is>
      </c>
      <c r="S710">
        <f>HYPERLINK("https://klasma.github.io/Logging_0360/artfynd/A 2731-2025 artfynd.xlsx", "A 2731-2025")</f>
        <v/>
      </c>
      <c r="T710">
        <f>HYPERLINK("https://klasma.github.io/Logging_0360/kartor/A 2731-2025 karta.png", "A 2731-2025")</f>
        <v/>
      </c>
      <c r="V710">
        <f>HYPERLINK("https://klasma.github.io/Logging_0360/klagomål/A 2731-2025 FSC-klagomål.docx", "A 2731-2025")</f>
        <v/>
      </c>
      <c r="W710">
        <f>HYPERLINK("https://klasma.github.io/Logging_0360/klagomålsmail/A 2731-2025 FSC-klagomål mail.docx", "A 2731-2025")</f>
        <v/>
      </c>
      <c r="X710">
        <f>HYPERLINK("https://klasma.github.io/Logging_0360/tillsyn/A 2731-2025 tillsynsbegäran.docx", "A 2731-2025")</f>
        <v/>
      </c>
      <c r="Y710">
        <f>HYPERLINK("https://klasma.github.io/Logging_0360/tillsynsmail/A 2731-2025 tillsynsbegäran mail.docx", "A 2731-2025")</f>
        <v/>
      </c>
      <c r="Z710">
        <f>HYPERLINK("https://klasma.github.io/Logging_0360/fåglar/A 2731-2025 prioriterade fågelarter.docx", "A 2731-2025")</f>
        <v/>
      </c>
    </row>
    <row r="711" ht="15" customHeight="1">
      <c r="A711" t="inlineStr">
        <is>
          <t>A 3304-2025</t>
        </is>
      </c>
      <c r="B711" s="1" t="n">
        <v>45679</v>
      </c>
      <c r="C711" s="1" t="n">
        <v>45705</v>
      </c>
      <c r="D711" t="inlineStr">
        <is>
          <t>UPPSALA LÄN</t>
        </is>
      </c>
      <c r="E711" t="inlineStr">
        <is>
          <t>UPPSALA</t>
        </is>
      </c>
      <c r="F711" t="inlineStr">
        <is>
          <t>Övriga statliga verk och myndigheter</t>
        </is>
      </c>
      <c r="G711" t="n">
        <v>3.8</v>
      </c>
      <c r="H711" t="n">
        <v>1</v>
      </c>
      <c r="I711" t="n">
        <v>0</v>
      </c>
      <c r="J711" t="n">
        <v>0</v>
      </c>
      <c r="K711" t="n">
        <v>0</v>
      </c>
      <c r="L711" t="n">
        <v>0</v>
      </c>
      <c r="M711" t="n">
        <v>0</v>
      </c>
      <c r="N711" t="n">
        <v>0</v>
      </c>
      <c r="O711" t="n">
        <v>0</v>
      </c>
      <c r="P711" t="n">
        <v>0</v>
      </c>
      <c r="Q711" t="n">
        <v>1</v>
      </c>
      <c r="R711" s="2" t="inlineStr">
        <is>
          <t>Blåsippa</t>
        </is>
      </c>
      <c r="S711">
        <f>HYPERLINK("https://klasma.github.io/Logging_0380/artfynd/A 3304-2025 artfynd.xlsx", "A 3304-2025")</f>
        <v/>
      </c>
      <c r="T711">
        <f>HYPERLINK("https://klasma.github.io/Logging_0380/kartor/A 3304-2025 karta.png", "A 3304-2025")</f>
        <v/>
      </c>
      <c r="V711">
        <f>HYPERLINK("https://klasma.github.io/Logging_0380/klagomål/A 3304-2025 FSC-klagomål.docx", "A 3304-2025")</f>
        <v/>
      </c>
      <c r="W711">
        <f>HYPERLINK("https://klasma.github.io/Logging_0380/klagomålsmail/A 3304-2025 FSC-klagomål mail.docx", "A 3304-2025")</f>
        <v/>
      </c>
      <c r="X711">
        <f>HYPERLINK("https://klasma.github.io/Logging_0380/tillsyn/A 3304-2025 tillsynsbegäran.docx", "A 3304-2025")</f>
        <v/>
      </c>
      <c r="Y711">
        <f>HYPERLINK("https://klasma.github.io/Logging_0380/tillsynsmail/A 3304-2025 tillsynsbegäran mail.docx", "A 3304-2025")</f>
        <v/>
      </c>
    </row>
    <row r="712" ht="15" customHeight="1">
      <c r="A712" t="inlineStr">
        <is>
          <t>A 4067-2025</t>
        </is>
      </c>
      <c r="B712" s="1" t="n">
        <v>45684</v>
      </c>
      <c r="C712" s="1" t="n">
        <v>45705</v>
      </c>
      <c r="D712" t="inlineStr">
        <is>
          <t>UPPSALA LÄN</t>
        </is>
      </c>
      <c r="E712" t="inlineStr">
        <is>
          <t>ENKÖPING</t>
        </is>
      </c>
      <c r="G712" t="n">
        <v>2.9</v>
      </c>
      <c r="H712" t="n">
        <v>0</v>
      </c>
      <c r="I712" t="n">
        <v>0</v>
      </c>
      <c r="J712" t="n">
        <v>1</v>
      </c>
      <c r="K712" t="n">
        <v>0</v>
      </c>
      <c r="L712" t="n">
        <v>0</v>
      </c>
      <c r="M712" t="n">
        <v>0</v>
      </c>
      <c r="N712" t="n">
        <v>0</v>
      </c>
      <c r="O712" t="n">
        <v>1</v>
      </c>
      <c r="P712" t="n">
        <v>0</v>
      </c>
      <c r="Q712" t="n">
        <v>1</v>
      </c>
      <c r="R712" s="2" t="inlineStr">
        <is>
          <t>Dofttaggsvamp</t>
        </is>
      </c>
      <c r="S712">
        <f>HYPERLINK("https://klasma.github.io/Logging_0381/artfynd/A 4067-2025 artfynd.xlsx", "A 4067-2025")</f>
        <v/>
      </c>
      <c r="T712">
        <f>HYPERLINK("https://klasma.github.io/Logging_0381/kartor/A 4067-2025 karta.png", "A 4067-2025")</f>
        <v/>
      </c>
      <c r="V712">
        <f>HYPERLINK("https://klasma.github.io/Logging_0381/klagomål/A 4067-2025 FSC-klagomål.docx", "A 4067-2025")</f>
        <v/>
      </c>
      <c r="W712">
        <f>HYPERLINK("https://klasma.github.io/Logging_0381/klagomålsmail/A 4067-2025 FSC-klagomål mail.docx", "A 4067-2025")</f>
        <v/>
      </c>
      <c r="X712">
        <f>HYPERLINK("https://klasma.github.io/Logging_0381/tillsyn/A 4067-2025 tillsynsbegäran.docx", "A 4067-2025")</f>
        <v/>
      </c>
      <c r="Y712">
        <f>HYPERLINK("https://klasma.github.io/Logging_0381/tillsynsmail/A 4067-2025 tillsynsbegäran mail.docx", "A 4067-2025")</f>
        <v/>
      </c>
    </row>
    <row r="713" ht="15" customHeight="1">
      <c r="A713" t="inlineStr">
        <is>
          <t>A 4657-2025</t>
        </is>
      </c>
      <c r="B713" s="1" t="n">
        <v>45687</v>
      </c>
      <c r="C713" s="1" t="n">
        <v>45705</v>
      </c>
      <c r="D713" t="inlineStr">
        <is>
          <t>UPPSALA LÄN</t>
        </is>
      </c>
      <c r="E713" t="inlineStr">
        <is>
          <t>UPPSALA</t>
        </is>
      </c>
      <c r="G713" t="n">
        <v>2.9</v>
      </c>
      <c r="H713" t="n">
        <v>1</v>
      </c>
      <c r="I713" t="n">
        <v>0</v>
      </c>
      <c r="J713" t="n">
        <v>1</v>
      </c>
      <c r="K713" t="n">
        <v>0</v>
      </c>
      <c r="L713" t="n">
        <v>0</v>
      </c>
      <c r="M713" t="n">
        <v>0</v>
      </c>
      <c r="N713" t="n">
        <v>0</v>
      </c>
      <c r="O713" t="n">
        <v>1</v>
      </c>
      <c r="P713" t="n">
        <v>0</v>
      </c>
      <c r="Q713" t="n">
        <v>1</v>
      </c>
      <c r="R713" s="2" t="inlineStr">
        <is>
          <t>Grönsångare</t>
        </is>
      </c>
      <c r="S713">
        <f>HYPERLINK("https://klasma.github.io/Logging_0380/artfynd/A 4657-2025 artfynd.xlsx", "A 4657-2025")</f>
        <v/>
      </c>
      <c r="T713">
        <f>HYPERLINK("https://klasma.github.io/Logging_0380/kartor/A 4657-2025 karta.png", "A 4657-2025")</f>
        <v/>
      </c>
      <c r="V713">
        <f>HYPERLINK("https://klasma.github.io/Logging_0380/klagomål/A 4657-2025 FSC-klagomål.docx", "A 4657-2025")</f>
        <v/>
      </c>
      <c r="W713">
        <f>HYPERLINK("https://klasma.github.io/Logging_0380/klagomålsmail/A 4657-2025 FSC-klagomål mail.docx", "A 4657-2025")</f>
        <v/>
      </c>
      <c r="X713">
        <f>HYPERLINK("https://klasma.github.io/Logging_0380/tillsyn/A 4657-2025 tillsynsbegäran.docx", "A 4657-2025")</f>
        <v/>
      </c>
      <c r="Y713">
        <f>HYPERLINK("https://klasma.github.io/Logging_0380/tillsynsmail/A 4657-2025 tillsynsbegäran mail.docx", "A 4657-2025")</f>
        <v/>
      </c>
      <c r="Z713">
        <f>HYPERLINK("https://klasma.github.io/Logging_0380/fåglar/A 4657-2025 prioriterade fågelarter.docx", "A 4657-2025")</f>
        <v/>
      </c>
    </row>
    <row r="714" ht="15" customHeight="1">
      <c r="A714" t="inlineStr">
        <is>
          <t>A 5619-2025</t>
        </is>
      </c>
      <c r="B714" s="1" t="n">
        <v>45693</v>
      </c>
      <c r="C714" s="1" t="n">
        <v>45705</v>
      </c>
      <c r="D714" t="inlineStr">
        <is>
          <t>UPPSALA LÄN</t>
        </is>
      </c>
      <c r="E714" t="inlineStr">
        <is>
          <t>UPPSALA</t>
        </is>
      </c>
      <c r="G714" t="n">
        <v>6.8</v>
      </c>
      <c r="H714" t="n">
        <v>1</v>
      </c>
      <c r="I714" t="n">
        <v>0</v>
      </c>
      <c r="J714" t="n">
        <v>1</v>
      </c>
      <c r="K714" t="n">
        <v>0</v>
      </c>
      <c r="L714" t="n">
        <v>0</v>
      </c>
      <c r="M714" t="n">
        <v>0</v>
      </c>
      <c r="N714" t="n">
        <v>0</v>
      </c>
      <c r="O714" t="n">
        <v>1</v>
      </c>
      <c r="P714" t="n">
        <v>0</v>
      </c>
      <c r="Q714" t="n">
        <v>1</v>
      </c>
      <c r="R714" s="2" t="inlineStr">
        <is>
          <t>Spillkråka</t>
        </is>
      </c>
      <c r="S714">
        <f>HYPERLINK("https://klasma.github.io/Logging_0380/artfynd/A 5619-2025 artfynd.xlsx", "A 5619-2025")</f>
        <v/>
      </c>
      <c r="T714">
        <f>HYPERLINK("https://klasma.github.io/Logging_0380/kartor/A 5619-2025 karta.png", "A 5619-2025")</f>
        <v/>
      </c>
      <c r="V714">
        <f>HYPERLINK("https://klasma.github.io/Logging_0380/klagomål/A 5619-2025 FSC-klagomål.docx", "A 5619-2025")</f>
        <v/>
      </c>
      <c r="W714">
        <f>HYPERLINK("https://klasma.github.io/Logging_0380/klagomålsmail/A 5619-2025 FSC-klagomål mail.docx", "A 5619-2025")</f>
        <v/>
      </c>
      <c r="X714">
        <f>HYPERLINK("https://klasma.github.io/Logging_0380/tillsyn/A 5619-2025 tillsynsbegäran.docx", "A 5619-2025")</f>
        <v/>
      </c>
      <c r="Y714">
        <f>HYPERLINK("https://klasma.github.io/Logging_0380/tillsynsmail/A 5619-2025 tillsynsbegäran mail.docx", "A 5619-2025")</f>
        <v/>
      </c>
      <c r="Z714">
        <f>HYPERLINK("https://klasma.github.io/Logging_0380/fåglar/A 5619-2025 prioriterade fågelarter.docx", "A 5619-2025")</f>
        <v/>
      </c>
    </row>
    <row r="715" ht="15" customHeight="1">
      <c r="A715" t="inlineStr">
        <is>
          <t>A 5732-2025</t>
        </is>
      </c>
      <c r="B715" s="1" t="n">
        <v>45694</v>
      </c>
      <c r="C715" s="1" t="n">
        <v>45705</v>
      </c>
      <c r="D715" t="inlineStr">
        <is>
          <t>UPPSALA LÄN</t>
        </is>
      </c>
      <c r="E715" t="inlineStr">
        <is>
          <t>UPPSALA</t>
        </is>
      </c>
      <c r="G715" t="n">
        <v>1.9</v>
      </c>
      <c r="H715" t="n">
        <v>0</v>
      </c>
      <c r="I715" t="n">
        <v>1</v>
      </c>
      <c r="J715" t="n">
        <v>0</v>
      </c>
      <c r="K715" t="n">
        <v>0</v>
      </c>
      <c r="L715" t="n">
        <v>0</v>
      </c>
      <c r="M715" t="n">
        <v>0</v>
      </c>
      <c r="N715" t="n">
        <v>0</v>
      </c>
      <c r="O715" t="n">
        <v>0</v>
      </c>
      <c r="P715" t="n">
        <v>0</v>
      </c>
      <c r="Q715" t="n">
        <v>1</v>
      </c>
      <c r="R715" s="2" t="inlineStr">
        <is>
          <t>Fällmossa</t>
        </is>
      </c>
      <c r="S715">
        <f>HYPERLINK("https://klasma.github.io/Logging_0380/artfynd/A 5732-2025 artfynd.xlsx", "A 5732-2025")</f>
        <v/>
      </c>
      <c r="T715">
        <f>HYPERLINK("https://klasma.github.io/Logging_0380/kartor/A 5732-2025 karta.png", "A 5732-2025")</f>
        <v/>
      </c>
      <c r="V715">
        <f>HYPERLINK("https://klasma.github.io/Logging_0380/klagomål/A 5732-2025 FSC-klagomål.docx", "A 5732-2025")</f>
        <v/>
      </c>
      <c r="W715">
        <f>HYPERLINK("https://klasma.github.io/Logging_0380/klagomålsmail/A 5732-2025 FSC-klagomål mail.docx", "A 5732-2025")</f>
        <v/>
      </c>
      <c r="X715">
        <f>HYPERLINK("https://klasma.github.io/Logging_0380/tillsyn/A 5732-2025 tillsynsbegäran.docx", "A 5732-2025")</f>
        <v/>
      </c>
      <c r="Y715">
        <f>HYPERLINK("https://klasma.github.io/Logging_0380/tillsynsmail/A 5732-2025 tillsynsbegäran mail.docx", "A 5732-2025")</f>
        <v/>
      </c>
    </row>
    <row r="716" ht="15" customHeight="1">
      <c r="A716" t="inlineStr">
        <is>
          <t>A 6143-2025</t>
        </is>
      </c>
      <c r="B716" s="1" t="n">
        <v>45698</v>
      </c>
      <c r="C716" s="1" t="n">
        <v>45705</v>
      </c>
      <c r="D716" t="inlineStr">
        <is>
          <t>UPPSALA LÄN</t>
        </is>
      </c>
      <c r="E716" t="inlineStr">
        <is>
          <t>ÖSTHAMMAR</t>
        </is>
      </c>
      <c r="F716" t="inlineStr">
        <is>
          <t>Bergvik skog öst AB</t>
        </is>
      </c>
      <c r="G716" t="n">
        <v>3.6</v>
      </c>
      <c r="H716" t="n">
        <v>0</v>
      </c>
      <c r="I716" t="n">
        <v>1</v>
      </c>
      <c r="J716" t="n">
        <v>0</v>
      </c>
      <c r="K716" t="n">
        <v>0</v>
      </c>
      <c r="L716" t="n">
        <v>0</v>
      </c>
      <c r="M716" t="n">
        <v>0</v>
      </c>
      <c r="N716" t="n">
        <v>0</v>
      </c>
      <c r="O716" t="n">
        <v>0</v>
      </c>
      <c r="P716" t="n">
        <v>0</v>
      </c>
      <c r="Q716" t="n">
        <v>1</v>
      </c>
      <c r="R716" s="2" t="inlineStr">
        <is>
          <t>Svavelriska</t>
        </is>
      </c>
      <c r="S716">
        <f>HYPERLINK("https://klasma.github.io/Logging_0382/artfynd/A 6143-2025 artfynd.xlsx", "A 6143-2025")</f>
        <v/>
      </c>
      <c r="T716">
        <f>HYPERLINK("https://klasma.github.io/Logging_0382/kartor/A 6143-2025 karta.png", "A 6143-2025")</f>
        <v/>
      </c>
      <c r="V716">
        <f>HYPERLINK("https://klasma.github.io/Logging_0382/klagomål/A 6143-2025 FSC-klagomål.docx", "A 6143-2025")</f>
        <v/>
      </c>
      <c r="W716">
        <f>HYPERLINK("https://klasma.github.io/Logging_0382/klagomålsmail/A 6143-2025 FSC-klagomål mail.docx", "A 6143-2025")</f>
        <v/>
      </c>
      <c r="X716">
        <f>HYPERLINK("https://klasma.github.io/Logging_0382/tillsyn/A 6143-2025 tillsynsbegäran.docx", "A 6143-2025")</f>
        <v/>
      </c>
      <c r="Y716">
        <f>HYPERLINK("https://klasma.github.io/Logging_0382/tillsynsmail/A 6143-2025 tillsynsbegäran mail.docx", "A 6143-2025")</f>
        <v/>
      </c>
    </row>
    <row r="717" ht="15" customHeight="1">
      <c r="A717" t="inlineStr">
        <is>
          <t>A 6829-2025</t>
        </is>
      </c>
      <c r="B717" s="1" t="n">
        <v>45700</v>
      </c>
      <c r="C717" s="1" t="n">
        <v>45705</v>
      </c>
      <c r="D717" t="inlineStr">
        <is>
          <t>UPPSALA LÄN</t>
        </is>
      </c>
      <c r="E717" t="inlineStr">
        <is>
          <t>TIERP</t>
        </is>
      </c>
      <c r="G717" t="n">
        <v>5.1</v>
      </c>
      <c r="H717" t="n">
        <v>0</v>
      </c>
      <c r="I717" t="n">
        <v>1</v>
      </c>
      <c r="J717" t="n">
        <v>0</v>
      </c>
      <c r="K717" t="n">
        <v>0</v>
      </c>
      <c r="L717" t="n">
        <v>0</v>
      </c>
      <c r="M717" t="n">
        <v>0</v>
      </c>
      <c r="N717" t="n">
        <v>0</v>
      </c>
      <c r="O717" t="n">
        <v>0</v>
      </c>
      <c r="P717" t="n">
        <v>0</v>
      </c>
      <c r="Q717" t="n">
        <v>1</v>
      </c>
      <c r="R717" s="2" t="inlineStr">
        <is>
          <t>Tibast</t>
        </is>
      </c>
      <c r="S717">
        <f>HYPERLINK("https://klasma.github.io/Logging_0360/artfynd/A 6829-2025 artfynd.xlsx", "A 6829-2025")</f>
        <v/>
      </c>
      <c r="T717">
        <f>HYPERLINK("https://klasma.github.io/Logging_0360/kartor/A 6829-2025 karta.png", "A 6829-2025")</f>
        <v/>
      </c>
      <c r="V717">
        <f>HYPERLINK("https://klasma.github.io/Logging_0360/klagomål/A 6829-2025 FSC-klagomål.docx", "A 6829-2025")</f>
        <v/>
      </c>
      <c r="W717">
        <f>HYPERLINK("https://klasma.github.io/Logging_0360/klagomålsmail/A 6829-2025 FSC-klagomål mail.docx", "A 6829-2025")</f>
        <v/>
      </c>
      <c r="X717">
        <f>HYPERLINK("https://klasma.github.io/Logging_0360/tillsyn/A 6829-2025 tillsynsbegäran.docx", "A 6829-2025")</f>
        <v/>
      </c>
      <c r="Y717">
        <f>HYPERLINK("https://klasma.github.io/Logging_0360/tillsynsmail/A 6829-2025 tillsynsbegäran mail.docx", "A 6829-2025")</f>
        <v/>
      </c>
    </row>
    <row r="718" ht="15" customHeight="1">
      <c r="A718" t="inlineStr">
        <is>
          <t>A 17828-2019</t>
        </is>
      </c>
      <c r="B718" s="1" t="n">
        <v>43556</v>
      </c>
      <c r="C718" s="1" t="n">
        <v>45705</v>
      </c>
      <c r="D718" t="inlineStr">
        <is>
          <t>UPPSALA LÄN</t>
        </is>
      </c>
      <c r="E718" t="inlineStr">
        <is>
          <t>UPPSALA</t>
        </is>
      </c>
      <c r="G718" t="n">
        <v>2.8</v>
      </c>
      <c r="H718" t="n">
        <v>0</v>
      </c>
      <c r="I718" t="n">
        <v>0</v>
      </c>
      <c r="J718" t="n">
        <v>0</v>
      </c>
      <c r="K718" t="n">
        <v>0</v>
      </c>
      <c r="L718" t="n">
        <v>0</v>
      </c>
      <c r="M718" t="n">
        <v>0</v>
      </c>
      <c r="N718" t="n">
        <v>0</v>
      </c>
      <c r="O718" t="n">
        <v>0</v>
      </c>
      <c r="P718" t="n">
        <v>0</v>
      </c>
      <c r="Q718" t="n">
        <v>0</v>
      </c>
      <c r="R718" s="2" t="inlineStr"/>
    </row>
    <row r="719" ht="15" customHeight="1">
      <c r="A719" t="inlineStr">
        <is>
          <t>A 17706-2019</t>
        </is>
      </c>
      <c r="B719" s="1" t="n">
        <v>43556</v>
      </c>
      <c r="C719" s="1" t="n">
        <v>45705</v>
      </c>
      <c r="D719" t="inlineStr">
        <is>
          <t>UPPSALA LÄN</t>
        </is>
      </c>
      <c r="E719" t="inlineStr">
        <is>
          <t>HEBY</t>
        </is>
      </c>
      <c r="G719" t="n">
        <v>2.4</v>
      </c>
      <c r="H719" t="n">
        <v>0</v>
      </c>
      <c r="I719" t="n">
        <v>0</v>
      </c>
      <c r="J719" t="n">
        <v>0</v>
      </c>
      <c r="K719" t="n">
        <v>0</v>
      </c>
      <c r="L719" t="n">
        <v>0</v>
      </c>
      <c r="M719" t="n">
        <v>0</v>
      </c>
      <c r="N719" t="n">
        <v>0</v>
      </c>
      <c r="O719" t="n">
        <v>0</v>
      </c>
      <c r="P719" t="n">
        <v>0</v>
      </c>
      <c r="Q719" t="n">
        <v>0</v>
      </c>
      <c r="R719" s="2" t="inlineStr"/>
    </row>
    <row r="720" ht="15" customHeight="1">
      <c r="A720" t="inlineStr">
        <is>
          <t>A 18148-2019</t>
        </is>
      </c>
      <c r="B720" s="1" t="n">
        <v>43558</v>
      </c>
      <c r="C720" s="1" t="n">
        <v>45705</v>
      </c>
      <c r="D720" t="inlineStr">
        <is>
          <t>UPPSALA LÄN</t>
        </is>
      </c>
      <c r="E720" t="inlineStr">
        <is>
          <t>ENKÖPING</t>
        </is>
      </c>
      <c r="G720" t="n">
        <v>4.5</v>
      </c>
      <c r="H720" t="n">
        <v>0</v>
      </c>
      <c r="I720" t="n">
        <v>0</v>
      </c>
      <c r="J720" t="n">
        <v>0</v>
      </c>
      <c r="K720" t="n">
        <v>0</v>
      </c>
      <c r="L720" t="n">
        <v>0</v>
      </c>
      <c r="M720" t="n">
        <v>0</v>
      </c>
      <c r="N720" t="n">
        <v>0</v>
      </c>
      <c r="O720" t="n">
        <v>0</v>
      </c>
      <c r="P720" t="n">
        <v>0</v>
      </c>
      <c r="Q720" t="n">
        <v>0</v>
      </c>
      <c r="R720" s="2" t="inlineStr"/>
    </row>
    <row r="721" ht="15" customHeight="1">
      <c r="A721" t="inlineStr">
        <is>
          <t>A 18264-2019</t>
        </is>
      </c>
      <c r="B721" s="1" t="n">
        <v>43558</v>
      </c>
      <c r="C721" s="1" t="n">
        <v>45705</v>
      </c>
      <c r="D721" t="inlineStr">
        <is>
          <t>UPPSALA LÄN</t>
        </is>
      </c>
      <c r="E721" t="inlineStr">
        <is>
          <t>HÅBO</t>
        </is>
      </c>
      <c r="G721" t="n">
        <v>5.6</v>
      </c>
      <c r="H721" t="n">
        <v>0</v>
      </c>
      <c r="I721" t="n">
        <v>0</v>
      </c>
      <c r="J721" t="n">
        <v>0</v>
      </c>
      <c r="K721" t="n">
        <v>0</v>
      </c>
      <c r="L721" t="n">
        <v>0</v>
      </c>
      <c r="M721" t="n">
        <v>0</v>
      </c>
      <c r="N721" t="n">
        <v>0</v>
      </c>
      <c r="O721" t="n">
        <v>0</v>
      </c>
      <c r="P721" t="n">
        <v>0</v>
      </c>
      <c r="Q721" t="n">
        <v>0</v>
      </c>
      <c r="R721" s="2" t="inlineStr"/>
    </row>
    <row r="722" ht="15" customHeight="1">
      <c r="A722" t="inlineStr">
        <is>
          <t>A 18323-2019</t>
        </is>
      </c>
      <c r="B722" s="1" t="n">
        <v>43559</v>
      </c>
      <c r="C722" s="1" t="n">
        <v>45705</v>
      </c>
      <c r="D722" t="inlineStr">
        <is>
          <t>UPPSALA LÄN</t>
        </is>
      </c>
      <c r="E722" t="inlineStr">
        <is>
          <t>HEBY</t>
        </is>
      </c>
      <c r="G722" t="n">
        <v>3.3</v>
      </c>
      <c r="H722" t="n">
        <v>0</v>
      </c>
      <c r="I722" t="n">
        <v>0</v>
      </c>
      <c r="J722" t="n">
        <v>0</v>
      </c>
      <c r="K722" t="n">
        <v>0</v>
      </c>
      <c r="L722" t="n">
        <v>0</v>
      </c>
      <c r="M722" t="n">
        <v>0</v>
      </c>
      <c r="N722" t="n">
        <v>0</v>
      </c>
      <c r="O722" t="n">
        <v>0</v>
      </c>
      <c r="P722" t="n">
        <v>0</v>
      </c>
      <c r="Q722" t="n">
        <v>0</v>
      </c>
      <c r="R722" s="2" t="inlineStr"/>
    </row>
    <row r="723" ht="15" customHeight="1">
      <c r="A723" t="inlineStr">
        <is>
          <t>A 18446-2019</t>
        </is>
      </c>
      <c r="B723" s="1" t="n">
        <v>43559</v>
      </c>
      <c r="C723" s="1" t="n">
        <v>45705</v>
      </c>
      <c r="D723" t="inlineStr">
        <is>
          <t>UPPSALA LÄN</t>
        </is>
      </c>
      <c r="E723" t="inlineStr">
        <is>
          <t>UPPSALA</t>
        </is>
      </c>
      <c r="G723" t="n">
        <v>9.1</v>
      </c>
      <c r="H723" t="n">
        <v>0</v>
      </c>
      <c r="I723" t="n">
        <v>0</v>
      </c>
      <c r="J723" t="n">
        <v>0</v>
      </c>
      <c r="K723" t="n">
        <v>0</v>
      </c>
      <c r="L723" t="n">
        <v>0</v>
      </c>
      <c r="M723" t="n">
        <v>0</v>
      </c>
      <c r="N723" t="n">
        <v>0</v>
      </c>
      <c r="O723" t="n">
        <v>0</v>
      </c>
      <c r="P723" t="n">
        <v>0</v>
      </c>
      <c r="Q723" t="n">
        <v>0</v>
      </c>
      <c r="R723" s="2" t="inlineStr"/>
    </row>
    <row r="724" ht="15" customHeight="1">
      <c r="A724" t="inlineStr">
        <is>
          <t>A 18466-2019</t>
        </is>
      </c>
      <c r="B724" s="1" t="n">
        <v>43559</v>
      </c>
      <c r="C724" s="1" t="n">
        <v>45705</v>
      </c>
      <c r="D724" t="inlineStr">
        <is>
          <t>UPPSALA LÄN</t>
        </is>
      </c>
      <c r="E724" t="inlineStr">
        <is>
          <t>TIERP</t>
        </is>
      </c>
      <c r="G724" t="n">
        <v>2.5</v>
      </c>
      <c r="H724" t="n">
        <v>0</v>
      </c>
      <c r="I724" t="n">
        <v>0</v>
      </c>
      <c r="J724" t="n">
        <v>0</v>
      </c>
      <c r="K724" t="n">
        <v>0</v>
      </c>
      <c r="L724" t="n">
        <v>0</v>
      </c>
      <c r="M724" t="n">
        <v>0</v>
      </c>
      <c r="N724" t="n">
        <v>0</v>
      </c>
      <c r="O724" t="n">
        <v>0</v>
      </c>
      <c r="P724" t="n">
        <v>0</v>
      </c>
      <c r="Q724" t="n">
        <v>0</v>
      </c>
      <c r="R724" s="2" t="inlineStr"/>
    </row>
    <row r="725" ht="15" customHeight="1">
      <c r="A725" t="inlineStr">
        <is>
          <t>A 18506-2019</t>
        </is>
      </c>
      <c r="B725" s="1" t="n">
        <v>43559</v>
      </c>
      <c r="C725" s="1" t="n">
        <v>45705</v>
      </c>
      <c r="D725" t="inlineStr">
        <is>
          <t>UPPSALA LÄN</t>
        </is>
      </c>
      <c r="E725" t="inlineStr">
        <is>
          <t>KNIVSTA</t>
        </is>
      </c>
      <c r="F725" t="inlineStr">
        <is>
          <t>Holmen skog AB</t>
        </is>
      </c>
      <c r="G725" t="n">
        <v>1.2</v>
      </c>
      <c r="H725" t="n">
        <v>0</v>
      </c>
      <c r="I725" t="n">
        <v>0</v>
      </c>
      <c r="J725" t="n">
        <v>0</v>
      </c>
      <c r="K725" t="n">
        <v>0</v>
      </c>
      <c r="L725" t="n">
        <v>0</v>
      </c>
      <c r="M725" t="n">
        <v>0</v>
      </c>
      <c r="N725" t="n">
        <v>0</v>
      </c>
      <c r="O725" t="n">
        <v>0</v>
      </c>
      <c r="P725" t="n">
        <v>0</v>
      </c>
      <c r="Q725" t="n">
        <v>0</v>
      </c>
      <c r="R725" s="2" t="inlineStr"/>
    </row>
    <row r="726" ht="15" customHeight="1">
      <c r="A726" t="inlineStr">
        <is>
          <t>A 18503-2019</t>
        </is>
      </c>
      <c r="B726" s="1" t="n">
        <v>43559</v>
      </c>
      <c r="C726" s="1" t="n">
        <v>45705</v>
      </c>
      <c r="D726" t="inlineStr">
        <is>
          <t>UPPSALA LÄN</t>
        </is>
      </c>
      <c r="E726" t="inlineStr">
        <is>
          <t>KNIVSTA</t>
        </is>
      </c>
      <c r="F726" t="inlineStr">
        <is>
          <t>Holmen skog AB</t>
        </is>
      </c>
      <c r="G726" t="n">
        <v>2.7</v>
      </c>
      <c r="H726" t="n">
        <v>0</v>
      </c>
      <c r="I726" t="n">
        <v>0</v>
      </c>
      <c r="J726" t="n">
        <v>0</v>
      </c>
      <c r="K726" t="n">
        <v>0</v>
      </c>
      <c r="L726" t="n">
        <v>0</v>
      </c>
      <c r="M726" t="n">
        <v>0</v>
      </c>
      <c r="N726" t="n">
        <v>0</v>
      </c>
      <c r="O726" t="n">
        <v>0</v>
      </c>
      <c r="P726" t="n">
        <v>0</v>
      </c>
      <c r="Q726" t="n">
        <v>0</v>
      </c>
      <c r="R726" s="2" t="inlineStr"/>
    </row>
    <row r="727" ht="15" customHeight="1">
      <c r="A727" t="inlineStr">
        <is>
          <t>A 18554-2019</t>
        </is>
      </c>
      <c r="B727" s="1" t="n">
        <v>43559</v>
      </c>
      <c r="C727" s="1" t="n">
        <v>45705</v>
      </c>
      <c r="D727" t="inlineStr">
        <is>
          <t>UPPSALA LÄN</t>
        </is>
      </c>
      <c r="E727" t="inlineStr">
        <is>
          <t>UPPSALA</t>
        </is>
      </c>
      <c r="G727" t="n">
        <v>5.6</v>
      </c>
      <c r="H727" t="n">
        <v>0</v>
      </c>
      <c r="I727" t="n">
        <v>0</v>
      </c>
      <c r="J727" t="n">
        <v>0</v>
      </c>
      <c r="K727" t="n">
        <v>0</v>
      </c>
      <c r="L727" t="n">
        <v>0</v>
      </c>
      <c r="M727" t="n">
        <v>0</v>
      </c>
      <c r="N727" t="n">
        <v>0</v>
      </c>
      <c r="O727" t="n">
        <v>0</v>
      </c>
      <c r="P727" t="n">
        <v>0</v>
      </c>
      <c r="Q727" t="n">
        <v>0</v>
      </c>
      <c r="R727" s="2" t="inlineStr"/>
    </row>
    <row r="728" ht="15" customHeight="1">
      <c r="A728" t="inlineStr">
        <is>
          <t>A 18699-2019</t>
        </is>
      </c>
      <c r="B728" s="1" t="n">
        <v>43560</v>
      </c>
      <c r="C728" s="1" t="n">
        <v>45705</v>
      </c>
      <c r="D728" t="inlineStr">
        <is>
          <t>UPPSALA LÄN</t>
        </is>
      </c>
      <c r="E728" t="inlineStr">
        <is>
          <t>HEBY</t>
        </is>
      </c>
      <c r="G728" t="n">
        <v>1.9</v>
      </c>
      <c r="H728" t="n">
        <v>0</v>
      </c>
      <c r="I728" t="n">
        <v>0</v>
      </c>
      <c r="J728" t="n">
        <v>0</v>
      </c>
      <c r="K728" t="n">
        <v>0</v>
      </c>
      <c r="L728" t="n">
        <v>0</v>
      </c>
      <c r="M728" t="n">
        <v>0</v>
      </c>
      <c r="N728" t="n">
        <v>0</v>
      </c>
      <c r="O728" t="n">
        <v>0</v>
      </c>
      <c r="P728" t="n">
        <v>0</v>
      </c>
      <c r="Q728" t="n">
        <v>0</v>
      </c>
      <c r="R728" s="2" t="inlineStr"/>
    </row>
    <row r="729" ht="15" customHeight="1">
      <c r="A729" t="inlineStr">
        <is>
          <t>A 18716-2019</t>
        </is>
      </c>
      <c r="B729" s="1" t="n">
        <v>43560</v>
      </c>
      <c r="C729" s="1" t="n">
        <v>45705</v>
      </c>
      <c r="D729" t="inlineStr">
        <is>
          <t>UPPSALA LÄN</t>
        </is>
      </c>
      <c r="E729" t="inlineStr">
        <is>
          <t>HEBY</t>
        </is>
      </c>
      <c r="G729" t="n">
        <v>4.7</v>
      </c>
      <c r="H729" t="n">
        <v>0</v>
      </c>
      <c r="I729" t="n">
        <v>0</v>
      </c>
      <c r="J729" t="n">
        <v>0</v>
      </c>
      <c r="K729" t="n">
        <v>0</v>
      </c>
      <c r="L729" t="n">
        <v>0</v>
      </c>
      <c r="M729" t="n">
        <v>0</v>
      </c>
      <c r="N729" t="n">
        <v>0</v>
      </c>
      <c r="O729" t="n">
        <v>0</v>
      </c>
      <c r="P729" t="n">
        <v>0</v>
      </c>
      <c r="Q729" t="n">
        <v>0</v>
      </c>
      <c r="R729" s="2" t="inlineStr"/>
    </row>
    <row r="730" ht="15" customHeight="1">
      <c r="A730" t="inlineStr">
        <is>
          <t>A 18810-2019</t>
        </is>
      </c>
      <c r="B730" s="1" t="n">
        <v>43560</v>
      </c>
      <c r="C730" s="1" t="n">
        <v>45705</v>
      </c>
      <c r="D730" t="inlineStr">
        <is>
          <t>UPPSALA LÄN</t>
        </is>
      </c>
      <c r="E730" t="inlineStr">
        <is>
          <t>UPPSALA</t>
        </is>
      </c>
      <c r="G730" t="n">
        <v>4</v>
      </c>
      <c r="H730" t="n">
        <v>0</v>
      </c>
      <c r="I730" t="n">
        <v>0</v>
      </c>
      <c r="J730" t="n">
        <v>0</v>
      </c>
      <c r="K730" t="n">
        <v>0</v>
      </c>
      <c r="L730" t="n">
        <v>0</v>
      </c>
      <c r="M730" t="n">
        <v>0</v>
      </c>
      <c r="N730" t="n">
        <v>0</v>
      </c>
      <c r="O730" t="n">
        <v>0</v>
      </c>
      <c r="P730" t="n">
        <v>0</v>
      </c>
      <c r="Q730" t="n">
        <v>0</v>
      </c>
      <c r="R730" s="2" t="inlineStr"/>
    </row>
    <row r="731" ht="15" customHeight="1">
      <c r="A731" t="inlineStr">
        <is>
          <t>A 18596-2019</t>
        </is>
      </c>
      <c r="B731" s="1" t="n">
        <v>43560</v>
      </c>
      <c r="C731" s="1" t="n">
        <v>45705</v>
      </c>
      <c r="D731" t="inlineStr">
        <is>
          <t>UPPSALA LÄN</t>
        </is>
      </c>
      <c r="E731" t="inlineStr">
        <is>
          <t>ÖSTHAMMAR</t>
        </is>
      </c>
      <c r="G731" t="n">
        <v>1.2</v>
      </c>
      <c r="H731" t="n">
        <v>0</v>
      </c>
      <c r="I731" t="n">
        <v>0</v>
      </c>
      <c r="J731" t="n">
        <v>0</v>
      </c>
      <c r="K731" t="n">
        <v>0</v>
      </c>
      <c r="L731" t="n">
        <v>0</v>
      </c>
      <c r="M731" t="n">
        <v>0</v>
      </c>
      <c r="N731" t="n">
        <v>0</v>
      </c>
      <c r="O731" t="n">
        <v>0</v>
      </c>
      <c r="P731" t="n">
        <v>0</v>
      </c>
      <c r="Q731" t="n">
        <v>0</v>
      </c>
      <c r="R731" s="2" t="inlineStr"/>
    </row>
    <row r="732" ht="15" customHeight="1">
      <c r="A732" t="inlineStr">
        <is>
          <t>A 18781-2019</t>
        </is>
      </c>
      <c r="B732" s="1" t="n">
        <v>43561</v>
      </c>
      <c r="C732" s="1" t="n">
        <v>45705</v>
      </c>
      <c r="D732" t="inlineStr">
        <is>
          <t>UPPSALA LÄN</t>
        </is>
      </c>
      <c r="E732" t="inlineStr">
        <is>
          <t>ÖSTHAMMAR</t>
        </is>
      </c>
      <c r="F732" t="inlineStr">
        <is>
          <t>Bergvik skog öst AB</t>
        </is>
      </c>
      <c r="G732" t="n">
        <v>0.7</v>
      </c>
      <c r="H732" t="n">
        <v>0</v>
      </c>
      <c r="I732" t="n">
        <v>0</v>
      </c>
      <c r="J732" t="n">
        <v>0</v>
      </c>
      <c r="K732" t="n">
        <v>0</v>
      </c>
      <c r="L732" t="n">
        <v>0</v>
      </c>
      <c r="M732" t="n">
        <v>0</v>
      </c>
      <c r="N732" t="n">
        <v>0</v>
      </c>
      <c r="O732" t="n">
        <v>0</v>
      </c>
      <c r="P732" t="n">
        <v>0</v>
      </c>
      <c r="Q732" t="n">
        <v>0</v>
      </c>
      <c r="R732" s="2" t="inlineStr"/>
    </row>
    <row r="733" ht="15" customHeight="1">
      <c r="A733" t="inlineStr">
        <is>
          <t>A 18792-2019</t>
        </is>
      </c>
      <c r="B733" s="1" t="n">
        <v>43562</v>
      </c>
      <c r="C733" s="1" t="n">
        <v>45705</v>
      </c>
      <c r="D733" t="inlineStr">
        <is>
          <t>UPPSALA LÄN</t>
        </is>
      </c>
      <c r="E733" t="inlineStr">
        <is>
          <t>ÖSTHAMMAR</t>
        </is>
      </c>
      <c r="G733" t="n">
        <v>1.1</v>
      </c>
      <c r="H733" t="n">
        <v>0</v>
      </c>
      <c r="I733" t="n">
        <v>0</v>
      </c>
      <c r="J733" t="n">
        <v>0</v>
      </c>
      <c r="K733" t="n">
        <v>0</v>
      </c>
      <c r="L733" t="n">
        <v>0</v>
      </c>
      <c r="M733" t="n">
        <v>0</v>
      </c>
      <c r="N733" t="n">
        <v>0</v>
      </c>
      <c r="O733" t="n">
        <v>0</v>
      </c>
      <c r="P733" t="n">
        <v>0</v>
      </c>
      <c r="Q733" t="n">
        <v>0</v>
      </c>
      <c r="R733" s="2" t="inlineStr"/>
    </row>
    <row r="734" ht="15" customHeight="1">
      <c r="A734" t="inlineStr">
        <is>
          <t>A 18800-2019</t>
        </is>
      </c>
      <c r="B734" s="1" t="n">
        <v>43562</v>
      </c>
      <c r="C734" s="1" t="n">
        <v>45705</v>
      </c>
      <c r="D734" t="inlineStr">
        <is>
          <t>UPPSALA LÄN</t>
        </is>
      </c>
      <c r="E734" t="inlineStr">
        <is>
          <t>ÖSTHAMMAR</t>
        </is>
      </c>
      <c r="F734" t="inlineStr">
        <is>
          <t>Bergvik skog öst AB</t>
        </is>
      </c>
      <c r="G734" t="n">
        <v>1.6</v>
      </c>
      <c r="H734" t="n">
        <v>0</v>
      </c>
      <c r="I734" t="n">
        <v>0</v>
      </c>
      <c r="J734" t="n">
        <v>0</v>
      </c>
      <c r="K734" t="n">
        <v>0</v>
      </c>
      <c r="L734" t="n">
        <v>0</v>
      </c>
      <c r="M734" t="n">
        <v>0</v>
      </c>
      <c r="N734" t="n">
        <v>0</v>
      </c>
      <c r="O734" t="n">
        <v>0</v>
      </c>
      <c r="P734" t="n">
        <v>0</v>
      </c>
      <c r="Q734" t="n">
        <v>0</v>
      </c>
      <c r="R734" s="2" t="inlineStr"/>
    </row>
    <row r="735" ht="15" customHeight="1">
      <c r="A735" t="inlineStr">
        <is>
          <t>A 18799-2019</t>
        </is>
      </c>
      <c r="B735" s="1" t="n">
        <v>43562</v>
      </c>
      <c r="C735" s="1" t="n">
        <v>45705</v>
      </c>
      <c r="D735" t="inlineStr">
        <is>
          <t>UPPSALA LÄN</t>
        </is>
      </c>
      <c r="E735" t="inlineStr">
        <is>
          <t>HEBY</t>
        </is>
      </c>
      <c r="G735" t="n">
        <v>5.8</v>
      </c>
      <c r="H735" t="n">
        <v>0</v>
      </c>
      <c r="I735" t="n">
        <v>0</v>
      </c>
      <c r="J735" t="n">
        <v>0</v>
      </c>
      <c r="K735" t="n">
        <v>0</v>
      </c>
      <c r="L735" t="n">
        <v>0</v>
      </c>
      <c r="M735" t="n">
        <v>0</v>
      </c>
      <c r="N735" t="n">
        <v>0</v>
      </c>
      <c r="O735" t="n">
        <v>0</v>
      </c>
      <c r="P735" t="n">
        <v>0</v>
      </c>
      <c r="Q735" t="n">
        <v>0</v>
      </c>
      <c r="R735" s="2" t="inlineStr"/>
    </row>
    <row r="736" ht="15" customHeight="1">
      <c r="A736" t="inlineStr">
        <is>
          <t>A 18997-2019</t>
        </is>
      </c>
      <c r="B736" s="1" t="n">
        <v>43563</v>
      </c>
      <c r="C736" s="1" t="n">
        <v>45705</v>
      </c>
      <c r="D736" t="inlineStr">
        <is>
          <t>UPPSALA LÄN</t>
        </is>
      </c>
      <c r="E736" t="inlineStr">
        <is>
          <t>HEBY</t>
        </is>
      </c>
      <c r="G736" t="n">
        <v>2.6</v>
      </c>
      <c r="H736" t="n">
        <v>0</v>
      </c>
      <c r="I736" t="n">
        <v>0</v>
      </c>
      <c r="J736" t="n">
        <v>0</v>
      </c>
      <c r="K736" t="n">
        <v>0</v>
      </c>
      <c r="L736" t="n">
        <v>0</v>
      </c>
      <c r="M736" t="n">
        <v>0</v>
      </c>
      <c r="N736" t="n">
        <v>0</v>
      </c>
      <c r="O736" t="n">
        <v>0</v>
      </c>
      <c r="P736" t="n">
        <v>0</v>
      </c>
      <c r="Q736" t="n">
        <v>0</v>
      </c>
      <c r="R736" s="2" t="inlineStr"/>
    </row>
    <row r="737" ht="15" customHeight="1">
      <c r="A737" t="inlineStr">
        <is>
          <t>A 19512-2019</t>
        </is>
      </c>
      <c r="B737" s="1" t="n">
        <v>43565</v>
      </c>
      <c r="C737" s="1" t="n">
        <v>45705</v>
      </c>
      <c r="D737" t="inlineStr">
        <is>
          <t>UPPSALA LÄN</t>
        </is>
      </c>
      <c r="E737" t="inlineStr">
        <is>
          <t>KNIVSTA</t>
        </is>
      </c>
      <c r="G737" t="n">
        <v>5.6</v>
      </c>
      <c r="H737" t="n">
        <v>0</v>
      </c>
      <c r="I737" t="n">
        <v>0</v>
      </c>
      <c r="J737" t="n">
        <v>0</v>
      </c>
      <c r="K737" t="n">
        <v>0</v>
      </c>
      <c r="L737" t="n">
        <v>0</v>
      </c>
      <c r="M737" t="n">
        <v>0</v>
      </c>
      <c r="N737" t="n">
        <v>0</v>
      </c>
      <c r="O737" t="n">
        <v>0</v>
      </c>
      <c r="P737" t="n">
        <v>0</v>
      </c>
      <c r="Q737" t="n">
        <v>0</v>
      </c>
      <c r="R737" s="2" t="inlineStr"/>
    </row>
    <row r="738" ht="15" customHeight="1">
      <c r="A738" t="inlineStr">
        <is>
          <t>A 19791-2019</t>
        </is>
      </c>
      <c r="B738" s="1" t="n">
        <v>43567</v>
      </c>
      <c r="C738" s="1" t="n">
        <v>45705</v>
      </c>
      <c r="D738" t="inlineStr">
        <is>
          <t>UPPSALA LÄN</t>
        </is>
      </c>
      <c r="E738" t="inlineStr">
        <is>
          <t>TIERP</t>
        </is>
      </c>
      <c r="G738" t="n">
        <v>6.2</v>
      </c>
      <c r="H738" t="n">
        <v>0</v>
      </c>
      <c r="I738" t="n">
        <v>0</v>
      </c>
      <c r="J738" t="n">
        <v>0</v>
      </c>
      <c r="K738" t="n">
        <v>0</v>
      </c>
      <c r="L738" t="n">
        <v>0</v>
      </c>
      <c r="M738" t="n">
        <v>0</v>
      </c>
      <c r="N738" t="n">
        <v>0</v>
      </c>
      <c r="O738" t="n">
        <v>0</v>
      </c>
      <c r="P738" t="n">
        <v>0</v>
      </c>
      <c r="Q738" t="n">
        <v>0</v>
      </c>
      <c r="R738" s="2" t="inlineStr"/>
    </row>
    <row r="739" ht="15" customHeight="1">
      <c r="A739" t="inlineStr">
        <is>
          <t>A 19779-2019</t>
        </is>
      </c>
      <c r="B739" s="1" t="n">
        <v>43567</v>
      </c>
      <c r="C739" s="1" t="n">
        <v>45705</v>
      </c>
      <c r="D739" t="inlineStr">
        <is>
          <t>UPPSALA LÄN</t>
        </is>
      </c>
      <c r="E739" t="inlineStr">
        <is>
          <t>HEBY</t>
        </is>
      </c>
      <c r="G739" t="n">
        <v>3.3</v>
      </c>
      <c r="H739" t="n">
        <v>0</v>
      </c>
      <c r="I739" t="n">
        <v>0</v>
      </c>
      <c r="J739" t="n">
        <v>0</v>
      </c>
      <c r="K739" t="n">
        <v>0</v>
      </c>
      <c r="L739" t="n">
        <v>0</v>
      </c>
      <c r="M739" t="n">
        <v>0</v>
      </c>
      <c r="N739" t="n">
        <v>0</v>
      </c>
      <c r="O739" t="n">
        <v>0</v>
      </c>
      <c r="P739" t="n">
        <v>0</v>
      </c>
      <c r="Q739" t="n">
        <v>0</v>
      </c>
      <c r="R739" s="2" t="inlineStr"/>
    </row>
    <row r="740" ht="15" customHeight="1">
      <c r="A740" t="inlineStr">
        <is>
          <t>A 19969-2019</t>
        </is>
      </c>
      <c r="B740" s="1" t="n">
        <v>43570</v>
      </c>
      <c r="C740" s="1" t="n">
        <v>45705</v>
      </c>
      <c r="D740" t="inlineStr">
        <is>
          <t>UPPSALA LÄN</t>
        </is>
      </c>
      <c r="E740" t="inlineStr">
        <is>
          <t>ÄLVKARLEBY</t>
        </is>
      </c>
      <c r="F740" t="inlineStr">
        <is>
          <t>Bergvik skog väst AB</t>
        </is>
      </c>
      <c r="G740" t="n">
        <v>3.6</v>
      </c>
      <c r="H740" t="n">
        <v>0</v>
      </c>
      <c r="I740" t="n">
        <v>0</v>
      </c>
      <c r="J740" t="n">
        <v>0</v>
      </c>
      <c r="K740" t="n">
        <v>0</v>
      </c>
      <c r="L740" t="n">
        <v>0</v>
      </c>
      <c r="M740" t="n">
        <v>0</v>
      </c>
      <c r="N740" t="n">
        <v>0</v>
      </c>
      <c r="O740" t="n">
        <v>0</v>
      </c>
      <c r="P740" t="n">
        <v>0</v>
      </c>
      <c r="Q740" t="n">
        <v>0</v>
      </c>
      <c r="R740" s="2" t="inlineStr"/>
    </row>
    <row r="741" ht="15" customHeight="1">
      <c r="A741" t="inlineStr">
        <is>
          <t>A 20157-2019</t>
        </is>
      </c>
      <c r="B741" s="1" t="n">
        <v>43570</v>
      </c>
      <c r="C741" s="1" t="n">
        <v>45705</v>
      </c>
      <c r="D741" t="inlineStr">
        <is>
          <t>UPPSALA LÄN</t>
        </is>
      </c>
      <c r="E741" t="inlineStr">
        <is>
          <t>HEBY</t>
        </is>
      </c>
      <c r="G741" t="n">
        <v>4.5</v>
      </c>
      <c r="H741" t="n">
        <v>0</v>
      </c>
      <c r="I741" t="n">
        <v>0</v>
      </c>
      <c r="J741" t="n">
        <v>0</v>
      </c>
      <c r="K741" t="n">
        <v>0</v>
      </c>
      <c r="L741" t="n">
        <v>0</v>
      </c>
      <c r="M741" t="n">
        <v>0</v>
      </c>
      <c r="N741" t="n">
        <v>0</v>
      </c>
      <c r="O741" t="n">
        <v>0</v>
      </c>
      <c r="P741" t="n">
        <v>0</v>
      </c>
      <c r="Q741" t="n">
        <v>0</v>
      </c>
      <c r="R741" s="2" t="inlineStr"/>
    </row>
    <row r="742" ht="15" customHeight="1">
      <c r="A742" t="inlineStr">
        <is>
          <t>A 20011-2019</t>
        </is>
      </c>
      <c r="B742" s="1" t="n">
        <v>43570</v>
      </c>
      <c r="C742" s="1" t="n">
        <v>45705</v>
      </c>
      <c r="D742" t="inlineStr">
        <is>
          <t>UPPSALA LÄN</t>
        </is>
      </c>
      <c r="E742" t="inlineStr">
        <is>
          <t>UPPSALA</t>
        </is>
      </c>
      <c r="G742" t="n">
        <v>6.3</v>
      </c>
      <c r="H742" t="n">
        <v>0</v>
      </c>
      <c r="I742" t="n">
        <v>0</v>
      </c>
      <c r="J742" t="n">
        <v>0</v>
      </c>
      <c r="K742" t="n">
        <v>0</v>
      </c>
      <c r="L742" t="n">
        <v>0</v>
      </c>
      <c r="M742" t="n">
        <v>0</v>
      </c>
      <c r="N742" t="n">
        <v>0</v>
      </c>
      <c r="O742" t="n">
        <v>0</v>
      </c>
      <c r="P742" t="n">
        <v>0</v>
      </c>
      <c r="Q742" t="n">
        <v>0</v>
      </c>
      <c r="R742" s="2" t="inlineStr"/>
    </row>
    <row r="743" ht="15" customHeight="1">
      <c r="A743" t="inlineStr">
        <is>
          <t>A 19989-2019</t>
        </is>
      </c>
      <c r="B743" s="1" t="n">
        <v>43570</v>
      </c>
      <c r="C743" s="1" t="n">
        <v>45705</v>
      </c>
      <c r="D743" t="inlineStr">
        <is>
          <t>UPPSALA LÄN</t>
        </is>
      </c>
      <c r="E743" t="inlineStr">
        <is>
          <t>HEBY</t>
        </is>
      </c>
      <c r="G743" t="n">
        <v>2.7</v>
      </c>
      <c r="H743" t="n">
        <v>0</v>
      </c>
      <c r="I743" t="n">
        <v>0</v>
      </c>
      <c r="J743" t="n">
        <v>0</v>
      </c>
      <c r="K743" t="n">
        <v>0</v>
      </c>
      <c r="L743" t="n">
        <v>0</v>
      </c>
      <c r="M743" t="n">
        <v>0</v>
      </c>
      <c r="N743" t="n">
        <v>0</v>
      </c>
      <c r="O743" t="n">
        <v>0</v>
      </c>
      <c r="P743" t="n">
        <v>0</v>
      </c>
      <c r="Q743" t="n">
        <v>0</v>
      </c>
      <c r="R743" s="2" t="inlineStr"/>
    </row>
    <row r="744" ht="15" customHeight="1">
      <c r="A744" t="inlineStr">
        <is>
          <t>A 20683-2019</t>
        </is>
      </c>
      <c r="B744" s="1" t="n">
        <v>43573</v>
      </c>
      <c r="C744" s="1" t="n">
        <v>45705</v>
      </c>
      <c r="D744" t="inlineStr">
        <is>
          <t>UPPSALA LÄN</t>
        </is>
      </c>
      <c r="E744" t="inlineStr">
        <is>
          <t>ÖSTHAMMAR</t>
        </is>
      </c>
      <c r="G744" t="n">
        <v>2.6</v>
      </c>
      <c r="H744" t="n">
        <v>0</v>
      </c>
      <c r="I744" t="n">
        <v>0</v>
      </c>
      <c r="J744" t="n">
        <v>0</v>
      </c>
      <c r="K744" t="n">
        <v>0</v>
      </c>
      <c r="L744" t="n">
        <v>0</v>
      </c>
      <c r="M744" t="n">
        <v>0</v>
      </c>
      <c r="N744" t="n">
        <v>0</v>
      </c>
      <c r="O744" t="n">
        <v>0</v>
      </c>
      <c r="P744" t="n">
        <v>0</v>
      </c>
      <c r="Q744" t="n">
        <v>0</v>
      </c>
      <c r="R744" s="2" t="inlineStr"/>
    </row>
    <row r="745" ht="15" customHeight="1">
      <c r="A745" t="inlineStr">
        <is>
          <t>A 21087-2019</t>
        </is>
      </c>
      <c r="B745" s="1" t="n">
        <v>43578</v>
      </c>
      <c r="C745" s="1" t="n">
        <v>45705</v>
      </c>
      <c r="D745" t="inlineStr">
        <is>
          <t>UPPSALA LÄN</t>
        </is>
      </c>
      <c r="E745" t="inlineStr">
        <is>
          <t>UPPSALA</t>
        </is>
      </c>
      <c r="G745" t="n">
        <v>1.8</v>
      </c>
      <c r="H745" t="n">
        <v>0</v>
      </c>
      <c r="I745" t="n">
        <v>0</v>
      </c>
      <c r="J745" t="n">
        <v>0</v>
      </c>
      <c r="K745" t="n">
        <v>0</v>
      </c>
      <c r="L745" t="n">
        <v>0</v>
      </c>
      <c r="M745" t="n">
        <v>0</v>
      </c>
      <c r="N745" t="n">
        <v>0</v>
      </c>
      <c r="O745" t="n">
        <v>0</v>
      </c>
      <c r="P745" t="n">
        <v>0</v>
      </c>
      <c r="Q745" t="n">
        <v>0</v>
      </c>
      <c r="R745" s="2" t="inlineStr"/>
    </row>
    <row r="746" ht="15" customHeight="1">
      <c r="A746" t="inlineStr">
        <is>
          <t>A 21082-2019</t>
        </is>
      </c>
      <c r="B746" s="1" t="n">
        <v>43578</v>
      </c>
      <c r="C746" s="1" t="n">
        <v>45705</v>
      </c>
      <c r="D746" t="inlineStr">
        <is>
          <t>UPPSALA LÄN</t>
        </is>
      </c>
      <c r="E746" t="inlineStr">
        <is>
          <t>UPPSALA</t>
        </is>
      </c>
      <c r="G746" t="n">
        <v>0.5</v>
      </c>
      <c r="H746" t="n">
        <v>0</v>
      </c>
      <c r="I746" t="n">
        <v>0</v>
      </c>
      <c r="J746" t="n">
        <v>0</v>
      </c>
      <c r="K746" t="n">
        <v>0</v>
      </c>
      <c r="L746" t="n">
        <v>0</v>
      </c>
      <c r="M746" t="n">
        <v>0</v>
      </c>
      <c r="N746" t="n">
        <v>0</v>
      </c>
      <c r="O746" t="n">
        <v>0</v>
      </c>
      <c r="P746" t="n">
        <v>0</v>
      </c>
      <c r="Q746" t="n">
        <v>0</v>
      </c>
      <c r="R746" s="2" t="inlineStr"/>
    </row>
    <row r="747" ht="15" customHeight="1">
      <c r="A747" t="inlineStr">
        <is>
          <t>A 21566-2019</t>
        </is>
      </c>
      <c r="B747" s="1" t="n">
        <v>43580</v>
      </c>
      <c r="C747" s="1" t="n">
        <v>45705</v>
      </c>
      <c r="D747" t="inlineStr">
        <is>
          <t>UPPSALA LÄN</t>
        </is>
      </c>
      <c r="E747" t="inlineStr">
        <is>
          <t>HEBY</t>
        </is>
      </c>
      <c r="G747" t="n">
        <v>2.1</v>
      </c>
      <c r="H747" t="n">
        <v>0</v>
      </c>
      <c r="I747" t="n">
        <v>0</v>
      </c>
      <c r="J747" t="n">
        <v>0</v>
      </c>
      <c r="K747" t="n">
        <v>0</v>
      </c>
      <c r="L747" t="n">
        <v>0</v>
      </c>
      <c r="M747" t="n">
        <v>0</v>
      </c>
      <c r="N747" t="n">
        <v>0</v>
      </c>
      <c r="O747" t="n">
        <v>0</v>
      </c>
      <c r="P747" t="n">
        <v>0</v>
      </c>
      <c r="Q747" t="n">
        <v>0</v>
      </c>
      <c r="R747" s="2" t="inlineStr"/>
    </row>
    <row r="748" ht="15" customHeight="1">
      <c r="A748" t="inlineStr">
        <is>
          <t>A 21565-2019</t>
        </is>
      </c>
      <c r="B748" s="1" t="n">
        <v>43580</v>
      </c>
      <c r="C748" s="1" t="n">
        <v>45705</v>
      </c>
      <c r="D748" t="inlineStr">
        <is>
          <t>UPPSALA LÄN</t>
        </is>
      </c>
      <c r="E748" t="inlineStr">
        <is>
          <t>HEBY</t>
        </is>
      </c>
      <c r="G748" t="n">
        <v>1.1</v>
      </c>
      <c r="H748" t="n">
        <v>0</v>
      </c>
      <c r="I748" t="n">
        <v>0</v>
      </c>
      <c r="J748" t="n">
        <v>0</v>
      </c>
      <c r="K748" t="n">
        <v>0</v>
      </c>
      <c r="L748" t="n">
        <v>0</v>
      </c>
      <c r="M748" t="n">
        <v>0</v>
      </c>
      <c r="N748" t="n">
        <v>0</v>
      </c>
      <c r="O748" t="n">
        <v>0</v>
      </c>
      <c r="P748" t="n">
        <v>0</v>
      </c>
      <c r="Q748" t="n">
        <v>0</v>
      </c>
      <c r="R748" s="2" t="inlineStr"/>
    </row>
    <row r="749" ht="15" customHeight="1">
      <c r="A749" t="inlineStr">
        <is>
          <t>A 21471-2019</t>
        </is>
      </c>
      <c r="B749" s="1" t="n">
        <v>43580</v>
      </c>
      <c r="C749" s="1" t="n">
        <v>45705</v>
      </c>
      <c r="D749" t="inlineStr">
        <is>
          <t>UPPSALA LÄN</t>
        </is>
      </c>
      <c r="E749" t="inlineStr">
        <is>
          <t>ÖSTHAMMAR</t>
        </is>
      </c>
      <c r="F749" t="inlineStr">
        <is>
          <t>Bergvik skog öst AB</t>
        </is>
      </c>
      <c r="G749" t="n">
        <v>1.4</v>
      </c>
      <c r="H749" t="n">
        <v>0</v>
      </c>
      <c r="I749" t="n">
        <v>0</v>
      </c>
      <c r="J749" t="n">
        <v>0</v>
      </c>
      <c r="K749" t="n">
        <v>0</v>
      </c>
      <c r="L749" t="n">
        <v>0</v>
      </c>
      <c r="M749" t="n">
        <v>0</v>
      </c>
      <c r="N749" t="n">
        <v>0</v>
      </c>
      <c r="O749" t="n">
        <v>0</v>
      </c>
      <c r="P749" t="n">
        <v>0</v>
      </c>
      <c r="Q749" t="n">
        <v>0</v>
      </c>
      <c r="R749" s="2" t="inlineStr"/>
    </row>
    <row r="750" ht="15" customHeight="1">
      <c r="A750" t="inlineStr">
        <is>
          <t>A 21760-2019</t>
        </is>
      </c>
      <c r="B750" s="1" t="n">
        <v>43581</v>
      </c>
      <c r="C750" s="1" t="n">
        <v>45705</v>
      </c>
      <c r="D750" t="inlineStr">
        <is>
          <t>UPPSALA LÄN</t>
        </is>
      </c>
      <c r="E750" t="inlineStr">
        <is>
          <t>HEBY</t>
        </is>
      </c>
      <c r="F750" t="inlineStr">
        <is>
          <t>Övriga Aktiebolag</t>
        </is>
      </c>
      <c r="G750" t="n">
        <v>12.3</v>
      </c>
      <c r="H750" t="n">
        <v>0</v>
      </c>
      <c r="I750" t="n">
        <v>0</v>
      </c>
      <c r="J750" t="n">
        <v>0</v>
      </c>
      <c r="K750" t="n">
        <v>0</v>
      </c>
      <c r="L750" t="n">
        <v>0</v>
      </c>
      <c r="M750" t="n">
        <v>0</v>
      </c>
      <c r="N750" t="n">
        <v>0</v>
      </c>
      <c r="O750" t="n">
        <v>0</v>
      </c>
      <c r="P750" t="n">
        <v>0</v>
      </c>
      <c r="Q750" t="n">
        <v>0</v>
      </c>
      <c r="R750" s="2" t="inlineStr"/>
    </row>
    <row r="751" ht="15" customHeight="1">
      <c r="A751" t="inlineStr">
        <is>
          <t>A 22153-2019</t>
        </is>
      </c>
      <c r="B751" s="1" t="n">
        <v>43585</v>
      </c>
      <c r="C751" s="1" t="n">
        <v>45705</v>
      </c>
      <c r="D751" t="inlineStr">
        <is>
          <t>UPPSALA LÄN</t>
        </is>
      </c>
      <c r="E751" t="inlineStr">
        <is>
          <t>UPPSALA</t>
        </is>
      </c>
      <c r="F751" t="inlineStr">
        <is>
          <t>Holmen skog AB</t>
        </is>
      </c>
      <c r="G751" t="n">
        <v>0.7</v>
      </c>
      <c r="H751" t="n">
        <v>0</v>
      </c>
      <c r="I751" t="n">
        <v>0</v>
      </c>
      <c r="J751" t="n">
        <v>0</v>
      </c>
      <c r="K751" t="n">
        <v>0</v>
      </c>
      <c r="L751" t="n">
        <v>0</v>
      </c>
      <c r="M751" t="n">
        <v>0</v>
      </c>
      <c r="N751" t="n">
        <v>0</v>
      </c>
      <c r="O751" t="n">
        <v>0</v>
      </c>
      <c r="P751" t="n">
        <v>0</v>
      </c>
      <c r="Q751" t="n">
        <v>0</v>
      </c>
      <c r="R751" s="2" t="inlineStr"/>
    </row>
    <row r="752" ht="15" customHeight="1">
      <c r="A752" t="inlineStr">
        <is>
          <t>A 22750-2019</t>
        </is>
      </c>
      <c r="B752" s="1" t="n">
        <v>43588</v>
      </c>
      <c r="C752" s="1" t="n">
        <v>45705</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22800-2019</t>
        </is>
      </c>
      <c r="B753" s="1" t="n">
        <v>43590</v>
      </c>
      <c r="C753" s="1" t="n">
        <v>45705</v>
      </c>
      <c r="D753" t="inlineStr">
        <is>
          <t>UPPSALA LÄN</t>
        </is>
      </c>
      <c r="E753" t="inlineStr">
        <is>
          <t>ÖSTHAMMAR</t>
        </is>
      </c>
      <c r="G753" t="n">
        <v>1.5</v>
      </c>
      <c r="H753" t="n">
        <v>0</v>
      </c>
      <c r="I753" t="n">
        <v>0</v>
      </c>
      <c r="J753" t="n">
        <v>0</v>
      </c>
      <c r="K753" t="n">
        <v>0</v>
      </c>
      <c r="L753" t="n">
        <v>0</v>
      </c>
      <c r="M753" t="n">
        <v>0</v>
      </c>
      <c r="N753" t="n">
        <v>0</v>
      </c>
      <c r="O753" t="n">
        <v>0</v>
      </c>
      <c r="P753" t="n">
        <v>0</v>
      </c>
      <c r="Q753" t="n">
        <v>0</v>
      </c>
      <c r="R753" s="2" t="inlineStr"/>
      <c r="U753">
        <f>HYPERLINK("https://klasma.github.io/Logging_0382/knärot/A 22800-2019 karta knärot.png", "A 22800-2019")</f>
        <v/>
      </c>
      <c r="V753">
        <f>HYPERLINK("https://klasma.github.io/Logging_0382/klagomål/A 22800-2019 FSC-klagomål.docx", "A 22800-2019")</f>
        <v/>
      </c>
      <c r="W753">
        <f>HYPERLINK("https://klasma.github.io/Logging_0382/klagomålsmail/A 22800-2019 FSC-klagomål mail.docx", "A 22800-2019")</f>
        <v/>
      </c>
      <c r="X753">
        <f>HYPERLINK("https://klasma.github.io/Logging_0382/tillsyn/A 22800-2019 tillsynsbegäran.docx", "A 22800-2019")</f>
        <v/>
      </c>
      <c r="Y753">
        <f>HYPERLINK("https://klasma.github.io/Logging_0382/tillsynsmail/A 22800-2019 tillsynsbegäran mail.docx", "A 22800-2019")</f>
        <v/>
      </c>
    </row>
    <row r="754" ht="15" customHeight="1">
      <c r="A754" t="inlineStr">
        <is>
          <t>A 22801-2019</t>
        </is>
      </c>
      <c r="B754" s="1" t="n">
        <v>43590</v>
      </c>
      <c r="C754" s="1" t="n">
        <v>45705</v>
      </c>
      <c r="D754" t="inlineStr">
        <is>
          <t>UPPSALA LÄN</t>
        </is>
      </c>
      <c r="E754" t="inlineStr">
        <is>
          <t>ÖSTHAMMAR</t>
        </is>
      </c>
      <c r="G754" t="n">
        <v>2.2</v>
      </c>
      <c r="H754" t="n">
        <v>0</v>
      </c>
      <c r="I754" t="n">
        <v>0</v>
      </c>
      <c r="J754" t="n">
        <v>0</v>
      </c>
      <c r="K754" t="n">
        <v>0</v>
      </c>
      <c r="L754" t="n">
        <v>0</v>
      </c>
      <c r="M754" t="n">
        <v>0</v>
      </c>
      <c r="N754" t="n">
        <v>0</v>
      </c>
      <c r="O754" t="n">
        <v>0</v>
      </c>
      <c r="P754" t="n">
        <v>0</v>
      </c>
      <c r="Q754" t="n">
        <v>0</v>
      </c>
      <c r="R754" s="2" t="inlineStr"/>
    </row>
    <row r="755" ht="15" customHeight="1">
      <c r="A755" t="inlineStr">
        <is>
          <t>A 23042-2019</t>
        </is>
      </c>
      <c r="B755" s="1" t="n">
        <v>43591</v>
      </c>
      <c r="C755" s="1" t="n">
        <v>45705</v>
      </c>
      <c r="D755" t="inlineStr">
        <is>
          <t>UPPSALA LÄN</t>
        </is>
      </c>
      <c r="E755" t="inlineStr">
        <is>
          <t>UPPSALA</t>
        </is>
      </c>
      <c r="G755" t="n">
        <v>2.7</v>
      </c>
      <c r="H755" t="n">
        <v>0</v>
      </c>
      <c r="I755" t="n">
        <v>0</v>
      </c>
      <c r="J755" t="n">
        <v>0</v>
      </c>
      <c r="K755" t="n">
        <v>0</v>
      </c>
      <c r="L755" t="n">
        <v>0</v>
      </c>
      <c r="M755" t="n">
        <v>0</v>
      </c>
      <c r="N755" t="n">
        <v>0</v>
      </c>
      <c r="O755" t="n">
        <v>0</v>
      </c>
      <c r="P755" t="n">
        <v>0</v>
      </c>
      <c r="Q755" t="n">
        <v>0</v>
      </c>
      <c r="R755" s="2" t="inlineStr"/>
    </row>
    <row r="756" ht="15" customHeight="1">
      <c r="A756" t="inlineStr">
        <is>
          <t>A 23051-2019</t>
        </is>
      </c>
      <c r="B756" s="1" t="n">
        <v>43591</v>
      </c>
      <c r="C756" s="1" t="n">
        <v>45705</v>
      </c>
      <c r="D756" t="inlineStr">
        <is>
          <t>UPPSALA LÄN</t>
        </is>
      </c>
      <c r="E756" t="inlineStr">
        <is>
          <t>KNIVSTA</t>
        </is>
      </c>
      <c r="G756" t="n">
        <v>1.5</v>
      </c>
      <c r="H756" t="n">
        <v>0</v>
      </c>
      <c r="I756" t="n">
        <v>0</v>
      </c>
      <c r="J756" t="n">
        <v>0</v>
      </c>
      <c r="K756" t="n">
        <v>0</v>
      </c>
      <c r="L756" t="n">
        <v>0</v>
      </c>
      <c r="M756" t="n">
        <v>0</v>
      </c>
      <c r="N756" t="n">
        <v>0</v>
      </c>
      <c r="O756" t="n">
        <v>0</v>
      </c>
      <c r="P756" t="n">
        <v>0</v>
      </c>
      <c r="Q756" t="n">
        <v>0</v>
      </c>
      <c r="R756" s="2" t="inlineStr"/>
    </row>
    <row r="757" ht="15" customHeight="1">
      <c r="A757" t="inlineStr">
        <is>
          <t>A 23008-2019</t>
        </is>
      </c>
      <c r="B757" s="1" t="n">
        <v>43591</v>
      </c>
      <c r="C757" s="1" t="n">
        <v>45705</v>
      </c>
      <c r="D757" t="inlineStr">
        <is>
          <t>UPPSALA LÄN</t>
        </is>
      </c>
      <c r="E757" t="inlineStr">
        <is>
          <t>ÖSTHAMMAR</t>
        </is>
      </c>
      <c r="G757" t="n">
        <v>4.5</v>
      </c>
      <c r="H757" t="n">
        <v>0</v>
      </c>
      <c r="I757" t="n">
        <v>0</v>
      </c>
      <c r="J757" t="n">
        <v>0</v>
      </c>
      <c r="K757" t="n">
        <v>0</v>
      </c>
      <c r="L757" t="n">
        <v>0</v>
      </c>
      <c r="M757" t="n">
        <v>0</v>
      </c>
      <c r="N757" t="n">
        <v>0</v>
      </c>
      <c r="O757" t="n">
        <v>0</v>
      </c>
      <c r="P757" t="n">
        <v>0</v>
      </c>
      <c r="Q757" t="n">
        <v>0</v>
      </c>
      <c r="R757" s="2" t="inlineStr"/>
    </row>
    <row r="758" ht="15" customHeight="1">
      <c r="A758" t="inlineStr">
        <is>
          <t>A 23262-2019</t>
        </is>
      </c>
      <c r="B758" s="1" t="n">
        <v>43592</v>
      </c>
      <c r="C758" s="1" t="n">
        <v>45705</v>
      </c>
      <c r="D758" t="inlineStr">
        <is>
          <t>UPPSALA LÄN</t>
        </is>
      </c>
      <c r="E758" t="inlineStr">
        <is>
          <t>UPPSALA</t>
        </is>
      </c>
      <c r="F758" t="inlineStr">
        <is>
          <t>Kyrkan</t>
        </is>
      </c>
      <c r="G758" t="n">
        <v>7.6</v>
      </c>
      <c r="H758" t="n">
        <v>0</v>
      </c>
      <c r="I758" t="n">
        <v>0</v>
      </c>
      <c r="J758" t="n">
        <v>0</v>
      </c>
      <c r="K758" t="n">
        <v>0</v>
      </c>
      <c r="L758" t="n">
        <v>0</v>
      </c>
      <c r="M758" t="n">
        <v>0</v>
      </c>
      <c r="N758" t="n">
        <v>0</v>
      </c>
      <c r="O758" t="n">
        <v>0</v>
      </c>
      <c r="P758" t="n">
        <v>0</v>
      </c>
      <c r="Q758" t="n">
        <v>0</v>
      </c>
      <c r="R758" s="2" t="inlineStr"/>
    </row>
    <row r="759" ht="15" customHeight="1">
      <c r="A759" t="inlineStr">
        <is>
          <t>A 23328-2019</t>
        </is>
      </c>
      <c r="B759" s="1" t="n">
        <v>43593</v>
      </c>
      <c r="C759" s="1" t="n">
        <v>45705</v>
      </c>
      <c r="D759" t="inlineStr">
        <is>
          <t>UPPSALA LÄN</t>
        </is>
      </c>
      <c r="E759" t="inlineStr">
        <is>
          <t>ENKÖPING</t>
        </is>
      </c>
      <c r="G759" t="n">
        <v>0.6</v>
      </c>
      <c r="H759" t="n">
        <v>0</v>
      </c>
      <c r="I759" t="n">
        <v>0</v>
      </c>
      <c r="J759" t="n">
        <v>0</v>
      </c>
      <c r="K759" t="n">
        <v>0</v>
      </c>
      <c r="L759" t="n">
        <v>0</v>
      </c>
      <c r="M759" t="n">
        <v>0</v>
      </c>
      <c r="N759" t="n">
        <v>0</v>
      </c>
      <c r="O759" t="n">
        <v>0</v>
      </c>
      <c r="P759" t="n">
        <v>0</v>
      </c>
      <c r="Q759" t="n">
        <v>0</v>
      </c>
      <c r="R759" s="2" t="inlineStr"/>
    </row>
    <row r="760" ht="15" customHeight="1">
      <c r="A760" t="inlineStr">
        <is>
          <t>A 24105-2019</t>
        </is>
      </c>
      <c r="B760" s="1" t="n">
        <v>43598</v>
      </c>
      <c r="C760" s="1" t="n">
        <v>45705</v>
      </c>
      <c r="D760" t="inlineStr">
        <is>
          <t>UPPSALA LÄN</t>
        </is>
      </c>
      <c r="E760" t="inlineStr">
        <is>
          <t>ÄLVKARLEBY</t>
        </is>
      </c>
      <c r="F760" t="inlineStr">
        <is>
          <t>Kyrkan</t>
        </is>
      </c>
      <c r="G760" t="n">
        <v>0.6</v>
      </c>
      <c r="H760" t="n">
        <v>0</v>
      </c>
      <c r="I760" t="n">
        <v>0</v>
      </c>
      <c r="J760" t="n">
        <v>0</v>
      </c>
      <c r="K760" t="n">
        <v>0</v>
      </c>
      <c r="L760" t="n">
        <v>0</v>
      </c>
      <c r="M760" t="n">
        <v>0</v>
      </c>
      <c r="N760" t="n">
        <v>0</v>
      </c>
      <c r="O760" t="n">
        <v>0</v>
      </c>
      <c r="P760" t="n">
        <v>0</v>
      </c>
      <c r="Q760" t="n">
        <v>0</v>
      </c>
      <c r="R760" s="2" t="inlineStr"/>
    </row>
    <row r="761" ht="15" customHeight="1">
      <c r="A761" t="inlineStr">
        <is>
          <t>A 24039-2019</t>
        </is>
      </c>
      <c r="B761" s="1" t="n">
        <v>43598</v>
      </c>
      <c r="C761" s="1" t="n">
        <v>45705</v>
      </c>
      <c r="D761" t="inlineStr">
        <is>
          <t>UPPSALA LÄN</t>
        </is>
      </c>
      <c r="E761" t="inlineStr">
        <is>
          <t>HEBY</t>
        </is>
      </c>
      <c r="G761" t="n">
        <v>1.1</v>
      </c>
      <c r="H761" t="n">
        <v>0</v>
      </c>
      <c r="I761" t="n">
        <v>0</v>
      </c>
      <c r="J761" t="n">
        <v>0</v>
      </c>
      <c r="K761" t="n">
        <v>0</v>
      </c>
      <c r="L761" t="n">
        <v>0</v>
      </c>
      <c r="M761" t="n">
        <v>0</v>
      </c>
      <c r="N761" t="n">
        <v>0</v>
      </c>
      <c r="O761" t="n">
        <v>0</v>
      </c>
      <c r="P761" t="n">
        <v>0</v>
      </c>
      <c r="Q761" t="n">
        <v>0</v>
      </c>
      <c r="R761" s="2" t="inlineStr"/>
    </row>
    <row r="762" ht="15" customHeight="1">
      <c r="A762" t="inlineStr">
        <is>
          <t>A 24297-2019</t>
        </is>
      </c>
      <c r="B762" s="1" t="n">
        <v>43598</v>
      </c>
      <c r="C762" s="1" t="n">
        <v>45705</v>
      </c>
      <c r="D762" t="inlineStr">
        <is>
          <t>UPPSALA LÄN</t>
        </is>
      </c>
      <c r="E762" t="inlineStr">
        <is>
          <t>HEBY</t>
        </is>
      </c>
      <c r="G762" t="n">
        <v>1.9</v>
      </c>
      <c r="H762" t="n">
        <v>0</v>
      </c>
      <c r="I762" t="n">
        <v>0</v>
      </c>
      <c r="J762" t="n">
        <v>0</v>
      </c>
      <c r="K762" t="n">
        <v>0</v>
      </c>
      <c r="L762" t="n">
        <v>0</v>
      </c>
      <c r="M762" t="n">
        <v>0</v>
      </c>
      <c r="N762" t="n">
        <v>0</v>
      </c>
      <c r="O762" t="n">
        <v>0</v>
      </c>
      <c r="P762" t="n">
        <v>0</v>
      </c>
      <c r="Q762" t="n">
        <v>0</v>
      </c>
      <c r="R762" s="2" t="inlineStr"/>
    </row>
    <row r="763" ht="15" customHeight="1">
      <c r="A763" t="inlineStr">
        <is>
          <t>A 24998-2019</t>
        </is>
      </c>
      <c r="B763" s="1" t="n">
        <v>43600</v>
      </c>
      <c r="C763" s="1" t="n">
        <v>45705</v>
      </c>
      <c r="D763" t="inlineStr">
        <is>
          <t>UPPSALA LÄN</t>
        </is>
      </c>
      <c r="E763" t="inlineStr">
        <is>
          <t>UPPSALA</t>
        </is>
      </c>
      <c r="G763" t="n">
        <v>0.9</v>
      </c>
      <c r="H763" t="n">
        <v>0</v>
      </c>
      <c r="I763" t="n">
        <v>0</v>
      </c>
      <c r="J763" t="n">
        <v>0</v>
      </c>
      <c r="K763" t="n">
        <v>0</v>
      </c>
      <c r="L763" t="n">
        <v>0</v>
      </c>
      <c r="M763" t="n">
        <v>0</v>
      </c>
      <c r="N763" t="n">
        <v>0</v>
      </c>
      <c r="O763" t="n">
        <v>0</v>
      </c>
      <c r="P763" t="n">
        <v>0</v>
      </c>
      <c r="Q763" t="n">
        <v>0</v>
      </c>
      <c r="R763" s="2" t="inlineStr"/>
    </row>
    <row r="764" ht="15" customHeight="1">
      <c r="A764" t="inlineStr">
        <is>
          <t>A 25164-2019</t>
        </is>
      </c>
      <c r="B764" s="1" t="n">
        <v>43605</v>
      </c>
      <c r="C764" s="1" t="n">
        <v>45705</v>
      </c>
      <c r="D764" t="inlineStr">
        <is>
          <t>UPPSALA LÄN</t>
        </is>
      </c>
      <c r="E764" t="inlineStr">
        <is>
          <t>UPPSALA</t>
        </is>
      </c>
      <c r="G764" t="n">
        <v>1.6</v>
      </c>
      <c r="H764" t="n">
        <v>0</v>
      </c>
      <c r="I764" t="n">
        <v>0</v>
      </c>
      <c r="J764" t="n">
        <v>0</v>
      </c>
      <c r="K764" t="n">
        <v>0</v>
      </c>
      <c r="L764" t="n">
        <v>0</v>
      </c>
      <c r="M764" t="n">
        <v>0</v>
      </c>
      <c r="N764" t="n">
        <v>0</v>
      </c>
      <c r="O764" t="n">
        <v>0</v>
      </c>
      <c r="P764" t="n">
        <v>0</v>
      </c>
      <c r="Q764" t="n">
        <v>0</v>
      </c>
      <c r="R764" s="2" t="inlineStr"/>
    </row>
    <row r="765" ht="15" customHeight="1">
      <c r="A765" t="inlineStr">
        <is>
          <t>A 25157-2019</t>
        </is>
      </c>
      <c r="B765" s="1" t="n">
        <v>43605</v>
      </c>
      <c r="C765" s="1" t="n">
        <v>45705</v>
      </c>
      <c r="D765" t="inlineStr">
        <is>
          <t>UPPSALA LÄN</t>
        </is>
      </c>
      <c r="E765" t="inlineStr">
        <is>
          <t>UPPSALA</t>
        </is>
      </c>
      <c r="G765" t="n">
        <v>3</v>
      </c>
      <c r="H765" t="n">
        <v>0</v>
      </c>
      <c r="I765" t="n">
        <v>0</v>
      </c>
      <c r="J765" t="n">
        <v>0</v>
      </c>
      <c r="K765" t="n">
        <v>0</v>
      </c>
      <c r="L765" t="n">
        <v>0</v>
      </c>
      <c r="M765" t="n">
        <v>0</v>
      </c>
      <c r="N765" t="n">
        <v>0</v>
      </c>
      <c r="O765" t="n">
        <v>0</v>
      </c>
      <c r="P765" t="n">
        <v>0</v>
      </c>
      <c r="Q765" t="n">
        <v>0</v>
      </c>
      <c r="R765" s="2" t="inlineStr"/>
    </row>
    <row r="766" ht="15" customHeight="1">
      <c r="A766" t="inlineStr">
        <is>
          <t>A 25874-2019</t>
        </is>
      </c>
      <c r="B766" s="1" t="n">
        <v>43605</v>
      </c>
      <c r="C766" s="1" t="n">
        <v>45705</v>
      </c>
      <c r="D766" t="inlineStr">
        <is>
          <t>UPPSALA LÄN</t>
        </is>
      </c>
      <c r="E766" t="inlineStr">
        <is>
          <t>ÖSTHAMMAR</t>
        </is>
      </c>
      <c r="G766" t="n">
        <v>1.1</v>
      </c>
      <c r="H766" t="n">
        <v>0</v>
      </c>
      <c r="I766" t="n">
        <v>0</v>
      </c>
      <c r="J766" t="n">
        <v>0</v>
      </c>
      <c r="K766" t="n">
        <v>0</v>
      </c>
      <c r="L766" t="n">
        <v>0</v>
      </c>
      <c r="M766" t="n">
        <v>0</v>
      </c>
      <c r="N766" t="n">
        <v>0</v>
      </c>
      <c r="O766" t="n">
        <v>0</v>
      </c>
      <c r="P766" t="n">
        <v>0</v>
      </c>
      <c r="Q766" t="n">
        <v>0</v>
      </c>
      <c r="R766" s="2" t="inlineStr"/>
    </row>
    <row r="767" ht="15" customHeight="1">
      <c r="A767" t="inlineStr">
        <is>
          <t>A 25317-2019</t>
        </is>
      </c>
      <c r="B767" s="1" t="n">
        <v>43606</v>
      </c>
      <c r="C767" s="1" t="n">
        <v>45705</v>
      </c>
      <c r="D767" t="inlineStr">
        <is>
          <t>UPPSALA LÄN</t>
        </is>
      </c>
      <c r="E767" t="inlineStr">
        <is>
          <t>HEBY</t>
        </is>
      </c>
      <c r="G767" t="n">
        <v>1</v>
      </c>
      <c r="H767" t="n">
        <v>0</v>
      </c>
      <c r="I767" t="n">
        <v>0</v>
      </c>
      <c r="J767" t="n">
        <v>0</v>
      </c>
      <c r="K767" t="n">
        <v>0</v>
      </c>
      <c r="L767" t="n">
        <v>0</v>
      </c>
      <c r="M767" t="n">
        <v>0</v>
      </c>
      <c r="N767" t="n">
        <v>0</v>
      </c>
      <c r="O767" t="n">
        <v>0</v>
      </c>
      <c r="P767" t="n">
        <v>0</v>
      </c>
      <c r="Q767" t="n">
        <v>0</v>
      </c>
      <c r="R767" s="2" t="inlineStr"/>
    </row>
    <row r="768" ht="15" customHeight="1">
      <c r="A768" t="inlineStr">
        <is>
          <t>A 25498-2019</t>
        </is>
      </c>
      <c r="B768" s="1" t="n">
        <v>43606</v>
      </c>
      <c r="C768" s="1" t="n">
        <v>45705</v>
      </c>
      <c r="D768" t="inlineStr">
        <is>
          <t>UPPSALA LÄN</t>
        </is>
      </c>
      <c r="E768" t="inlineStr">
        <is>
          <t>TIERP</t>
        </is>
      </c>
      <c r="G768" t="n">
        <v>1</v>
      </c>
      <c r="H768" t="n">
        <v>0</v>
      </c>
      <c r="I768" t="n">
        <v>0</v>
      </c>
      <c r="J768" t="n">
        <v>0</v>
      </c>
      <c r="K768" t="n">
        <v>0</v>
      </c>
      <c r="L768" t="n">
        <v>0</v>
      </c>
      <c r="M768" t="n">
        <v>0</v>
      </c>
      <c r="N768" t="n">
        <v>0</v>
      </c>
      <c r="O768" t="n">
        <v>0</v>
      </c>
      <c r="P768" t="n">
        <v>0</v>
      </c>
      <c r="Q768" t="n">
        <v>0</v>
      </c>
      <c r="R768" s="2" t="inlineStr"/>
    </row>
    <row r="769" ht="15" customHeight="1">
      <c r="A769" t="inlineStr">
        <is>
          <t>A 25340-2019</t>
        </is>
      </c>
      <c r="B769" s="1" t="n">
        <v>43606</v>
      </c>
      <c r="C769" s="1" t="n">
        <v>45705</v>
      </c>
      <c r="D769" t="inlineStr">
        <is>
          <t>UPPSALA LÄN</t>
        </is>
      </c>
      <c r="E769" t="inlineStr">
        <is>
          <t>ÄLVKARLEBY</t>
        </is>
      </c>
      <c r="F769" t="inlineStr">
        <is>
          <t>Bergvik skog väst AB</t>
        </is>
      </c>
      <c r="G769" t="n">
        <v>2.9</v>
      </c>
      <c r="H769" t="n">
        <v>0</v>
      </c>
      <c r="I769" t="n">
        <v>0</v>
      </c>
      <c r="J769" t="n">
        <v>0</v>
      </c>
      <c r="K769" t="n">
        <v>0</v>
      </c>
      <c r="L769" t="n">
        <v>0</v>
      </c>
      <c r="M769" t="n">
        <v>0</v>
      </c>
      <c r="N769" t="n">
        <v>0</v>
      </c>
      <c r="O769" t="n">
        <v>0</v>
      </c>
      <c r="P769" t="n">
        <v>0</v>
      </c>
      <c r="Q769" t="n">
        <v>0</v>
      </c>
      <c r="R769" s="2" t="inlineStr"/>
    </row>
    <row r="770" ht="15" customHeight="1">
      <c r="A770" t="inlineStr">
        <is>
          <t>A 25502-2019</t>
        </is>
      </c>
      <c r="B770" s="1" t="n">
        <v>43606</v>
      </c>
      <c r="C770" s="1" t="n">
        <v>45705</v>
      </c>
      <c r="D770" t="inlineStr">
        <is>
          <t>UPPSALA LÄN</t>
        </is>
      </c>
      <c r="E770" t="inlineStr">
        <is>
          <t>TIERP</t>
        </is>
      </c>
      <c r="G770" t="n">
        <v>2.2</v>
      </c>
      <c r="H770" t="n">
        <v>0</v>
      </c>
      <c r="I770" t="n">
        <v>0</v>
      </c>
      <c r="J770" t="n">
        <v>0</v>
      </c>
      <c r="K770" t="n">
        <v>0</v>
      </c>
      <c r="L770" t="n">
        <v>0</v>
      </c>
      <c r="M770" t="n">
        <v>0</v>
      </c>
      <c r="N770" t="n">
        <v>0</v>
      </c>
      <c r="O770" t="n">
        <v>0</v>
      </c>
      <c r="P770" t="n">
        <v>0</v>
      </c>
      <c r="Q770" t="n">
        <v>0</v>
      </c>
      <c r="R770" s="2" t="inlineStr"/>
    </row>
    <row r="771" ht="15" customHeight="1">
      <c r="A771" t="inlineStr">
        <is>
          <t>A 25703-2019</t>
        </is>
      </c>
      <c r="B771" s="1" t="n">
        <v>43607</v>
      </c>
      <c r="C771" s="1" t="n">
        <v>45705</v>
      </c>
      <c r="D771" t="inlineStr">
        <is>
          <t>UPPSALA LÄN</t>
        </is>
      </c>
      <c r="E771" t="inlineStr">
        <is>
          <t>ÖSTHAMMAR</t>
        </is>
      </c>
      <c r="F771" t="inlineStr">
        <is>
          <t>Bergvik skog öst AB</t>
        </is>
      </c>
      <c r="G771" t="n">
        <v>2.2</v>
      </c>
      <c r="H771" t="n">
        <v>0</v>
      </c>
      <c r="I771" t="n">
        <v>0</v>
      </c>
      <c r="J771" t="n">
        <v>0</v>
      </c>
      <c r="K771" t="n">
        <v>0</v>
      </c>
      <c r="L771" t="n">
        <v>0</v>
      </c>
      <c r="M771" t="n">
        <v>0</v>
      </c>
      <c r="N771" t="n">
        <v>0</v>
      </c>
      <c r="O771" t="n">
        <v>0</v>
      </c>
      <c r="P771" t="n">
        <v>0</v>
      </c>
      <c r="Q771" t="n">
        <v>0</v>
      </c>
      <c r="R771" s="2" t="inlineStr"/>
    </row>
    <row r="772" ht="15" customHeight="1">
      <c r="A772" t="inlineStr">
        <is>
          <t>A 25667-2019</t>
        </is>
      </c>
      <c r="B772" s="1" t="n">
        <v>43607</v>
      </c>
      <c r="C772" s="1" t="n">
        <v>45705</v>
      </c>
      <c r="D772" t="inlineStr">
        <is>
          <t>UPPSALA LÄN</t>
        </is>
      </c>
      <c r="E772" t="inlineStr">
        <is>
          <t>UPPSALA</t>
        </is>
      </c>
      <c r="G772" t="n">
        <v>0.7</v>
      </c>
      <c r="H772" t="n">
        <v>0</v>
      </c>
      <c r="I772" t="n">
        <v>0</v>
      </c>
      <c r="J772" t="n">
        <v>0</v>
      </c>
      <c r="K772" t="n">
        <v>0</v>
      </c>
      <c r="L772" t="n">
        <v>0</v>
      </c>
      <c r="M772" t="n">
        <v>0</v>
      </c>
      <c r="N772" t="n">
        <v>0</v>
      </c>
      <c r="O772" t="n">
        <v>0</v>
      </c>
      <c r="P772" t="n">
        <v>0</v>
      </c>
      <c r="Q772" t="n">
        <v>0</v>
      </c>
      <c r="R772" s="2" t="inlineStr"/>
    </row>
    <row r="773" ht="15" customHeight="1">
      <c r="A773" t="inlineStr">
        <is>
          <t>A 25708-2019</t>
        </is>
      </c>
      <c r="B773" s="1" t="n">
        <v>43607</v>
      </c>
      <c r="C773" s="1" t="n">
        <v>45705</v>
      </c>
      <c r="D773" t="inlineStr">
        <is>
          <t>UPPSALA LÄN</t>
        </is>
      </c>
      <c r="E773" t="inlineStr">
        <is>
          <t>ÖSTHAMMAR</t>
        </is>
      </c>
      <c r="F773" t="inlineStr">
        <is>
          <t>Bergvik skog öst AB</t>
        </is>
      </c>
      <c r="G773" t="n">
        <v>1.3</v>
      </c>
      <c r="H773" t="n">
        <v>0</v>
      </c>
      <c r="I773" t="n">
        <v>0</v>
      </c>
      <c r="J773" t="n">
        <v>0</v>
      </c>
      <c r="K773" t="n">
        <v>0</v>
      </c>
      <c r="L773" t="n">
        <v>0</v>
      </c>
      <c r="M773" t="n">
        <v>0</v>
      </c>
      <c r="N773" t="n">
        <v>0</v>
      </c>
      <c r="O773" t="n">
        <v>0</v>
      </c>
      <c r="P773" t="n">
        <v>0</v>
      </c>
      <c r="Q773" t="n">
        <v>0</v>
      </c>
      <c r="R773" s="2" t="inlineStr"/>
    </row>
    <row r="774" ht="15" customHeight="1">
      <c r="A774" t="inlineStr">
        <is>
          <t>A 25706-2019</t>
        </is>
      </c>
      <c r="B774" s="1" t="n">
        <v>43607</v>
      </c>
      <c r="C774" s="1" t="n">
        <v>45705</v>
      </c>
      <c r="D774" t="inlineStr">
        <is>
          <t>UPPSALA LÄN</t>
        </is>
      </c>
      <c r="E774" t="inlineStr">
        <is>
          <t>ÖSTHAMMAR</t>
        </is>
      </c>
      <c r="F774" t="inlineStr">
        <is>
          <t>Bergvik skog öst AB</t>
        </is>
      </c>
      <c r="G774" t="n">
        <v>0.8</v>
      </c>
      <c r="H774" t="n">
        <v>0</v>
      </c>
      <c r="I774" t="n">
        <v>0</v>
      </c>
      <c r="J774" t="n">
        <v>0</v>
      </c>
      <c r="K774" t="n">
        <v>0</v>
      </c>
      <c r="L774" t="n">
        <v>0</v>
      </c>
      <c r="M774" t="n">
        <v>0</v>
      </c>
      <c r="N774" t="n">
        <v>0</v>
      </c>
      <c r="O774" t="n">
        <v>0</v>
      </c>
      <c r="P774" t="n">
        <v>0</v>
      </c>
      <c r="Q774" t="n">
        <v>0</v>
      </c>
      <c r="R774" s="2" t="inlineStr"/>
    </row>
    <row r="775" ht="15" customHeight="1">
      <c r="A775" t="inlineStr">
        <is>
          <t>A 25672-2019</t>
        </is>
      </c>
      <c r="B775" s="1" t="n">
        <v>43607</v>
      </c>
      <c r="C775" s="1" t="n">
        <v>45705</v>
      </c>
      <c r="D775" t="inlineStr">
        <is>
          <t>UPPSALA LÄN</t>
        </is>
      </c>
      <c r="E775" t="inlineStr">
        <is>
          <t>HEBY</t>
        </is>
      </c>
      <c r="G775" t="n">
        <v>1.7</v>
      </c>
      <c r="H775" t="n">
        <v>0</v>
      </c>
      <c r="I775" t="n">
        <v>0</v>
      </c>
      <c r="J775" t="n">
        <v>0</v>
      </c>
      <c r="K775" t="n">
        <v>0</v>
      </c>
      <c r="L775" t="n">
        <v>0</v>
      </c>
      <c r="M775" t="n">
        <v>0</v>
      </c>
      <c r="N775" t="n">
        <v>0</v>
      </c>
      <c r="O775" t="n">
        <v>0</v>
      </c>
      <c r="P775" t="n">
        <v>0</v>
      </c>
      <c r="Q775" t="n">
        <v>0</v>
      </c>
      <c r="R775" s="2" t="inlineStr"/>
    </row>
    <row r="776" ht="15" customHeight="1">
      <c r="A776" t="inlineStr">
        <is>
          <t>A 25791-2019</t>
        </is>
      </c>
      <c r="B776" s="1" t="n">
        <v>43608</v>
      </c>
      <c r="C776" s="1" t="n">
        <v>45705</v>
      </c>
      <c r="D776" t="inlineStr">
        <is>
          <t>UPPSALA LÄN</t>
        </is>
      </c>
      <c r="E776" t="inlineStr">
        <is>
          <t>HEBY</t>
        </is>
      </c>
      <c r="G776" t="n">
        <v>2.2</v>
      </c>
      <c r="H776" t="n">
        <v>0</v>
      </c>
      <c r="I776" t="n">
        <v>0</v>
      </c>
      <c r="J776" t="n">
        <v>0</v>
      </c>
      <c r="K776" t="n">
        <v>0</v>
      </c>
      <c r="L776" t="n">
        <v>0</v>
      </c>
      <c r="M776" t="n">
        <v>0</v>
      </c>
      <c r="N776" t="n">
        <v>0</v>
      </c>
      <c r="O776" t="n">
        <v>0</v>
      </c>
      <c r="P776" t="n">
        <v>0</v>
      </c>
      <c r="Q776" t="n">
        <v>0</v>
      </c>
      <c r="R776" s="2" t="inlineStr"/>
    </row>
    <row r="777" ht="15" customHeight="1">
      <c r="A777" t="inlineStr">
        <is>
          <t>A 26060-2019</t>
        </is>
      </c>
      <c r="B777" s="1" t="n">
        <v>43609</v>
      </c>
      <c r="C777" s="1" t="n">
        <v>45705</v>
      </c>
      <c r="D777" t="inlineStr">
        <is>
          <t>UPPSALA LÄN</t>
        </is>
      </c>
      <c r="E777" t="inlineStr">
        <is>
          <t>HEBY</t>
        </is>
      </c>
      <c r="G777" t="n">
        <v>1.7</v>
      </c>
      <c r="H777" t="n">
        <v>0</v>
      </c>
      <c r="I777" t="n">
        <v>0</v>
      </c>
      <c r="J777" t="n">
        <v>0</v>
      </c>
      <c r="K777" t="n">
        <v>0</v>
      </c>
      <c r="L777" t="n">
        <v>0</v>
      </c>
      <c r="M777" t="n">
        <v>0</v>
      </c>
      <c r="N777" t="n">
        <v>0</v>
      </c>
      <c r="O777" t="n">
        <v>0</v>
      </c>
      <c r="P777" t="n">
        <v>0</v>
      </c>
      <c r="Q777" t="n">
        <v>0</v>
      </c>
      <c r="R777" s="2" t="inlineStr"/>
    </row>
    <row r="778" ht="15" customHeight="1">
      <c r="A778" t="inlineStr">
        <is>
          <t>A 26366-2019</t>
        </is>
      </c>
      <c r="B778" s="1" t="n">
        <v>43612</v>
      </c>
      <c r="C778" s="1" t="n">
        <v>45705</v>
      </c>
      <c r="D778" t="inlineStr">
        <is>
          <t>UPPSALA LÄN</t>
        </is>
      </c>
      <c r="E778" t="inlineStr">
        <is>
          <t>TIERP</t>
        </is>
      </c>
      <c r="G778" t="n">
        <v>2.2</v>
      </c>
      <c r="H778" t="n">
        <v>0</v>
      </c>
      <c r="I778" t="n">
        <v>0</v>
      </c>
      <c r="J778" t="n">
        <v>0</v>
      </c>
      <c r="K778" t="n">
        <v>0</v>
      </c>
      <c r="L778" t="n">
        <v>0</v>
      </c>
      <c r="M778" t="n">
        <v>0</v>
      </c>
      <c r="N778" t="n">
        <v>0</v>
      </c>
      <c r="O778" t="n">
        <v>0</v>
      </c>
      <c r="P778" t="n">
        <v>0</v>
      </c>
      <c r="Q778" t="n">
        <v>0</v>
      </c>
      <c r="R778" s="2" t="inlineStr"/>
    </row>
    <row r="779" ht="15" customHeight="1">
      <c r="A779" t="inlineStr">
        <is>
          <t>A 26562-2019</t>
        </is>
      </c>
      <c r="B779" s="1" t="n">
        <v>43612</v>
      </c>
      <c r="C779" s="1" t="n">
        <v>45705</v>
      </c>
      <c r="D779" t="inlineStr">
        <is>
          <t>UPPSALA LÄN</t>
        </is>
      </c>
      <c r="E779" t="inlineStr">
        <is>
          <t>ÖSTHAMMAR</t>
        </is>
      </c>
      <c r="G779" t="n">
        <v>3.2</v>
      </c>
      <c r="H779" t="n">
        <v>0</v>
      </c>
      <c r="I779" t="n">
        <v>0</v>
      </c>
      <c r="J779" t="n">
        <v>0</v>
      </c>
      <c r="K779" t="n">
        <v>0</v>
      </c>
      <c r="L779" t="n">
        <v>0</v>
      </c>
      <c r="M779" t="n">
        <v>0</v>
      </c>
      <c r="N779" t="n">
        <v>0</v>
      </c>
      <c r="O779" t="n">
        <v>0</v>
      </c>
      <c r="P779" t="n">
        <v>0</v>
      </c>
      <c r="Q779" t="n">
        <v>0</v>
      </c>
      <c r="R779" s="2" t="inlineStr"/>
    </row>
    <row r="780" ht="15" customHeight="1">
      <c r="A780" t="inlineStr">
        <is>
          <t>A 26371-2019</t>
        </is>
      </c>
      <c r="B780" s="1" t="n">
        <v>43612</v>
      </c>
      <c r="C780" s="1" t="n">
        <v>45705</v>
      </c>
      <c r="D780" t="inlineStr">
        <is>
          <t>UPPSALA LÄN</t>
        </is>
      </c>
      <c r="E780" t="inlineStr">
        <is>
          <t>TIERP</t>
        </is>
      </c>
      <c r="G780" t="n">
        <v>0.7</v>
      </c>
      <c r="H780" t="n">
        <v>0</v>
      </c>
      <c r="I780" t="n">
        <v>0</v>
      </c>
      <c r="J780" t="n">
        <v>0</v>
      </c>
      <c r="K780" t="n">
        <v>0</v>
      </c>
      <c r="L780" t="n">
        <v>0</v>
      </c>
      <c r="M780" t="n">
        <v>0</v>
      </c>
      <c r="N780" t="n">
        <v>0</v>
      </c>
      <c r="O780" t="n">
        <v>0</v>
      </c>
      <c r="P780" t="n">
        <v>0</v>
      </c>
      <c r="Q780" t="n">
        <v>0</v>
      </c>
      <c r="R780" s="2" t="inlineStr"/>
    </row>
    <row r="781" ht="15" customHeight="1">
      <c r="A781" t="inlineStr">
        <is>
          <t>A 26926-2019</t>
        </is>
      </c>
      <c r="B781" s="1" t="n">
        <v>43613</v>
      </c>
      <c r="C781" s="1" t="n">
        <v>45705</v>
      </c>
      <c r="D781" t="inlineStr">
        <is>
          <t>UPPSALA LÄN</t>
        </is>
      </c>
      <c r="E781" t="inlineStr">
        <is>
          <t>ENKÖPING</t>
        </is>
      </c>
      <c r="G781" t="n">
        <v>1.4</v>
      </c>
      <c r="H781" t="n">
        <v>0</v>
      </c>
      <c r="I781" t="n">
        <v>0</v>
      </c>
      <c r="J781" t="n">
        <v>0</v>
      </c>
      <c r="K781" t="n">
        <v>0</v>
      </c>
      <c r="L781" t="n">
        <v>0</v>
      </c>
      <c r="M781" t="n">
        <v>0</v>
      </c>
      <c r="N781" t="n">
        <v>0</v>
      </c>
      <c r="O781" t="n">
        <v>0</v>
      </c>
      <c r="P781" t="n">
        <v>0</v>
      </c>
      <c r="Q781" t="n">
        <v>0</v>
      </c>
      <c r="R781" s="2" t="inlineStr"/>
    </row>
    <row r="782" ht="15" customHeight="1">
      <c r="A782" t="inlineStr">
        <is>
          <t>A 26724-2019</t>
        </is>
      </c>
      <c r="B782" s="1" t="n">
        <v>43613</v>
      </c>
      <c r="C782" s="1" t="n">
        <v>45705</v>
      </c>
      <c r="D782" t="inlineStr">
        <is>
          <t>UPPSALA LÄN</t>
        </is>
      </c>
      <c r="E782" t="inlineStr">
        <is>
          <t>ÖSTHAMMAR</t>
        </is>
      </c>
      <c r="F782" t="inlineStr">
        <is>
          <t>Bergvik skog öst AB</t>
        </is>
      </c>
      <c r="G782" t="n">
        <v>1.5</v>
      </c>
      <c r="H782" t="n">
        <v>0</v>
      </c>
      <c r="I782" t="n">
        <v>0</v>
      </c>
      <c r="J782" t="n">
        <v>0</v>
      </c>
      <c r="K782" t="n">
        <v>0</v>
      </c>
      <c r="L782" t="n">
        <v>0</v>
      </c>
      <c r="M782" t="n">
        <v>0</v>
      </c>
      <c r="N782" t="n">
        <v>0</v>
      </c>
      <c r="O782" t="n">
        <v>0</v>
      </c>
      <c r="P782" t="n">
        <v>0</v>
      </c>
      <c r="Q782" t="n">
        <v>0</v>
      </c>
      <c r="R782" s="2" t="inlineStr"/>
    </row>
    <row r="783" ht="15" customHeight="1">
      <c r="A783" t="inlineStr">
        <is>
          <t>A 26796-2019</t>
        </is>
      </c>
      <c r="B783" s="1" t="n">
        <v>43613</v>
      </c>
      <c r="C783" s="1" t="n">
        <v>45705</v>
      </c>
      <c r="D783" t="inlineStr">
        <is>
          <t>UPPSALA LÄN</t>
        </is>
      </c>
      <c r="E783" t="inlineStr">
        <is>
          <t>ÖSTHAMMAR</t>
        </is>
      </c>
      <c r="F783" t="inlineStr">
        <is>
          <t>Bergvik skog öst AB</t>
        </is>
      </c>
      <c r="G783" t="n">
        <v>4.4</v>
      </c>
      <c r="H783" t="n">
        <v>0</v>
      </c>
      <c r="I783" t="n">
        <v>0</v>
      </c>
      <c r="J783" t="n">
        <v>0</v>
      </c>
      <c r="K783" t="n">
        <v>0</v>
      </c>
      <c r="L783" t="n">
        <v>0</v>
      </c>
      <c r="M783" t="n">
        <v>0</v>
      </c>
      <c r="N783" t="n">
        <v>0</v>
      </c>
      <c r="O783" t="n">
        <v>0</v>
      </c>
      <c r="P783" t="n">
        <v>0</v>
      </c>
      <c r="Q783" t="n">
        <v>0</v>
      </c>
      <c r="R783" s="2" t="inlineStr"/>
    </row>
    <row r="784" ht="15" customHeight="1">
      <c r="A784" t="inlineStr">
        <is>
          <t>A 27277-2019</t>
        </is>
      </c>
      <c r="B784" s="1" t="n">
        <v>43615</v>
      </c>
      <c r="C784" s="1" t="n">
        <v>45705</v>
      </c>
      <c r="D784" t="inlineStr">
        <is>
          <t>UPPSALA LÄN</t>
        </is>
      </c>
      <c r="E784" t="inlineStr">
        <is>
          <t>HEBY</t>
        </is>
      </c>
      <c r="G784" t="n">
        <v>1.5</v>
      </c>
      <c r="H784" t="n">
        <v>0</v>
      </c>
      <c r="I784" t="n">
        <v>0</v>
      </c>
      <c r="J784" t="n">
        <v>0</v>
      </c>
      <c r="K784" t="n">
        <v>0</v>
      </c>
      <c r="L784" t="n">
        <v>0</v>
      </c>
      <c r="M784" t="n">
        <v>0</v>
      </c>
      <c r="N784" t="n">
        <v>0</v>
      </c>
      <c r="O784" t="n">
        <v>0</v>
      </c>
      <c r="P784" t="n">
        <v>0</v>
      </c>
      <c r="Q784" t="n">
        <v>0</v>
      </c>
      <c r="R784" s="2" t="inlineStr"/>
    </row>
    <row r="785" ht="15" customHeight="1">
      <c r="A785" t="inlineStr">
        <is>
          <t>A 27458-2019</t>
        </is>
      </c>
      <c r="B785" s="1" t="n">
        <v>43618</v>
      </c>
      <c r="C785" s="1" t="n">
        <v>45705</v>
      </c>
      <c r="D785" t="inlineStr">
        <is>
          <t>UPPSALA LÄN</t>
        </is>
      </c>
      <c r="E785" t="inlineStr">
        <is>
          <t>ÖSTHAMMAR</t>
        </is>
      </c>
      <c r="F785" t="inlineStr">
        <is>
          <t>Bergvik skog öst AB</t>
        </is>
      </c>
      <c r="G785" t="n">
        <v>1.8</v>
      </c>
      <c r="H785" t="n">
        <v>0</v>
      </c>
      <c r="I785" t="n">
        <v>0</v>
      </c>
      <c r="J785" t="n">
        <v>0</v>
      </c>
      <c r="K785" t="n">
        <v>0</v>
      </c>
      <c r="L785" t="n">
        <v>0</v>
      </c>
      <c r="M785" t="n">
        <v>0</v>
      </c>
      <c r="N785" t="n">
        <v>0</v>
      </c>
      <c r="O785" t="n">
        <v>0</v>
      </c>
      <c r="P785" t="n">
        <v>0</v>
      </c>
      <c r="Q785" t="n">
        <v>0</v>
      </c>
      <c r="R785" s="2" t="inlineStr"/>
    </row>
    <row r="786" ht="15" customHeight="1">
      <c r="A786" t="inlineStr">
        <is>
          <t>A 28134-2019</t>
        </is>
      </c>
      <c r="B786" s="1" t="n">
        <v>43621</v>
      </c>
      <c r="C786" s="1" t="n">
        <v>45705</v>
      </c>
      <c r="D786" t="inlineStr">
        <is>
          <t>UPPSALA LÄN</t>
        </is>
      </c>
      <c r="E786" t="inlineStr">
        <is>
          <t>ENKÖPING</t>
        </is>
      </c>
      <c r="G786" t="n">
        <v>0.9</v>
      </c>
      <c r="H786" t="n">
        <v>0</v>
      </c>
      <c r="I786" t="n">
        <v>0</v>
      </c>
      <c r="J786" t="n">
        <v>0</v>
      </c>
      <c r="K786" t="n">
        <v>0</v>
      </c>
      <c r="L786" t="n">
        <v>0</v>
      </c>
      <c r="M786" t="n">
        <v>0</v>
      </c>
      <c r="N786" t="n">
        <v>0</v>
      </c>
      <c r="O786" t="n">
        <v>0</v>
      </c>
      <c r="P786" t="n">
        <v>0</v>
      </c>
      <c r="Q786" t="n">
        <v>0</v>
      </c>
      <c r="R786" s="2" t="inlineStr"/>
    </row>
    <row r="787" ht="15" customHeight="1">
      <c r="A787" t="inlineStr">
        <is>
          <t>A 29204-2019</t>
        </is>
      </c>
      <c r="B787" s="1" t="n">
        <v>43623</v>
      </c>
      <c r="C787" s="1" t="n">
        <v>45705</v>
      </c>
      <c r="D787" t="inlineStr">
        <is>
          <t>UPPSALA LÄN</t>
        </is>
      </c>
      <c r="E787" t="inlineStr">
        <is>
          <t>ÖSTHAMMAR</t>
        </is>
      </c>
      <c r="G787" t="n">
        <v>8.800000000000001</v>
      </c>
      <c r="H787" t="n">
        <v>0</v>
      </c>
      <c r="I787" t="n">
        <v>0</v>
      </c>
      <c r="J787" t="n">
        <v>0</v>
      </c>
      <c r="K787" t="n">
        <v>0</v>
      </c>
      <c r="L787" t="n">
        <v>0</v>
      </c>
      <c r="M787" t="n">
        <v>0</v>
      </c>
      <c r="N787" t="n">
        <v>0</v>
      </c>
      <c r="O787" t="n">
        <v>0</v>
      </c>
      <c r="P787" t="n">
        <v>0</v>
      </c>
      <c r="Q787" t="n">
        <v>0</v>
      </c>
      <c r="R787" s="2" t="inlineStr"/>
    </row>
    <row r="788" ht="15" customHeight="1">
      <c r="A788" t="inlineStr">
        <is>
          <t>A 28551-2019</t>
        </is>
      </c>
      <c r="B788" s="1" t="n">
        <v>43626</v>
      </c>
      <c r="C788" s="1" t="n">
        <v>45705</v>
      </c>
      <c r="D788" t="inlineStr">
        <is>
          <t>UPPSALA LÄN</t>
        </is>
      </c>
      <c r="E788" t="inlineStr">
        <is>
          <t>KNIVSTA</t>
        </is>
      </c>
      <c r="G788" t="n">
        <v>11.1</v>
      </c>
      <c r="H788" t="n">
        <v>0</v>
      </c>
      <c r="I788" t="n">
        <v>0</v>
      </c>
      <c r="J788" t="n">
        <v>0</v>
      </c>
      <c r="K788" t="n">
        <v>0</v>
      </c>
      <c r="L788" t="n">
        <v>0</v>
      </c>
      <c r="M788" t="n">
        <v>0</v>
      </c>
      <c r="N788" t="n">
        <v>0</v>
      </c>
      <c r="O788" t="n">
        <v>0</v>
      </c>
      <c r="P788" t="n">
        <v>0</v>
      </c>
      <c r="Q788" t="n">
        <v>0</v>
      </c>
      <c r="R788" s="2" t="inlineStr"/>
    </row>
    <row r="789" ht="15" customHeight="1">
      <c r="A789" t="inlineStr">
        <is>
          <t>A 29105-2019</t>
        </is>
      </c>
      <c r="B789" s="1" t="n">
        <v>43628</v>
      </c>
      <c r="C789" s="1" t="n">
        <v>45705</v>
      </c>
      <c r="D789" t="inlineStr">
        <is>
          <t>UPPSALA LÄN</t>
        </is>
      </c>
      <c r="E789" t="inlineStr">
        <is>
          <t>UPPSALA</t>
        </is>
      </c>
      <c r="G789" t="n">
        <v>2.1</v>
      </c>
      <c r="H789" t="n">
        <v>0</v>
      </c>
      <c r="I789" t="n">
        <v>0</v>
      </c>
      <c r="J789" t="n">
        <v>0</v>
      </c>
      <c r="K789" t="n">
        <v>0</v>
      </c>
      <c r="L789" t="n">
        <v>0</v>
      </c>
      <c r="M789" t="n">
        <v>0</v>
      </c>
      <c r="N789" t="n">
        <v>0</v>
      </c>
      <c r="O789" t="n">
        <v>0</v>
      </c>
      <c r="P789" t="n">
        <v>0</v>
      </c>
      <c r="Q789" t="n">
        <v>0</v>
      </c>
      <c r="R789" s="2" t="inlineStr"/>
    </row>
    <row r="790" ht="15" customHeight="1">
      <c r="A790" t="inlineStr">
        <is>
          <t>A 29183-2019</t>
        </is>
      </c>
      <c r="B790" s="1" t="n">
        <v>43628</v>
      </c>
      <c r="C790" s="1" t="n">
        <v>45705</v>
      </c>
      <c r="D790" t="inlineStr">
        <is>
          <t>UPPSALA LÄN</t>
        </is>
      </c>
      <c r="E790" t="inlineStr">
        <is>
          <t>UPPSALA</t>
        </is>
      </c>
      <c r="F790" t="inlineStr">
        <is>
          <t>Allmännings- och besparingsskogar</t>
        </is>
      </c>
      <c r="G790" t="n">
        <v>6.3</v>
      </c>
      <c r="H790" t="n">
        <v>0</v>
      </c>
      <c r="I790" t="n">
        <v>0</v>
      </c>
      <c r="J790" t="n">
        <v>0</v>
      </c>
      <c r="K790" t="n">
        <v>0</v>
      </c>
      <c r="L790" t="n">
        <v>0</v>
      </c>
      <c r="M790" t="n">
        <v>0</v>
      </c>
      <c r="N790" t="n">
        <v>0</v>
      </c>
      <c r="O790" t="n">
        <v>0</v>
      </c>
      <c r="P790" t="n">
        <v>0</v>
      </c>
      <c r="Q790" t="n">
        <v>0</v>
      </c>
      <c r="R790" s="2" t="inlineStr"/>
    </row>
    <row r="791" ht="15" customHeight="1">
      <c r="A791" t="inlineStr">
        <is>
          <t>A 29081-2019</t>
        </is>
      </c>
      <c r="B791" s="1" t="n">
        <v>43628</v>
      </c>
      <c r="C791" s="1" t="n">
        <v>45705</v>
      </c>
      <c r="D791" t="inlineStr">
        <is>
          <t>UPPSALA LÄN</t>
        </is>
      </c>
      <c r="E791" t="inlineStr">
        <is>
          <t>UPPSALA</t>
        </is>
      </c>
      <c r="G791" t="n">
        <v>8.4</v>
      </c>
      <c r="H791" t="n">
        <v>0</v>
      </c>
      <c r="I791" t="n">
        <v>0</v>
      </c>
      <c r="J791" t="n">
        <v>0</v>
      </c>
      <c r="K791" t="n">
        <v>0</v>
      </c>
      <c r="L791" t="n">
        <v>0</v>
      </c>
      <c r="M791" t="n">
        <v>0</v>
      </c>
      <c r="N791" t="n">
        <v>0</v>
      </c>
      <c r="O791" t="n">
        <v>0</v>
      </c>
      <c r="P791" t="n">
        <v>0</v>
      </c>
      <c r="Q791" t="n">
        <v>0</v>
      </c>
      <c r="R791" s="2" t="inlineStr"/>
    </row>
    <row r="792" ht="15" customHeight="1">
      <c r="A792" t="inlineStr">
        <is>
          <t>A 29637-2019</t>
        </is>
      </c>
      <c r="B792" s="1" t="n">
        <v>43628</v>
      </c>
      <c r="C792" s="1" t="n">
        <v>45705</v>
      </c>
      <c r="D792" t="inlineStr">
        <is>
          <t>UPPSALA LÄN</t>
        </is>
      </c>
      <c r="E792" t="inlineStr">
        <is>
          <t>HEBY</t>
        </is>
      </c>
      <c r="G792" t="n">
        <v>2.4</v>
      </c>
      <c r="H792" t="n">
        <v>0</v>
      </c>
      <c r="I792" t="n">
        <v>0</v>
      </c>
      <c r="J792" t="n">
        <v>0</v>
      </c>
      <c r="K792" t="n">
        <v>0</v>
      </c>
      <c r="L792" t="n">
        <v>0</v>
      </c>
      <c r="M792" t="n">
        <v>0</v>
      </c>
      <c r="N792" t="n">
        <v>0</v>
      </c>
      <c r="O792" t="n">
        <v>0</v>
      </c>
      <c r="P792" t="n">
        <v>0</v>
      </c>
      <c r="Q792" t="n">
        <v>0</v>
      </c>
      <c r="R792" s="2" t="inlineStr"/>
    </row>
    <row r="793" ht="15" customHeight="1">
      <c r="A793" t="inlineStr">
        <is>
          <t>A 29719-2019</t>
        </is>
      </c>
      <c r="B793" s="1" t="n">
        <v>43630</v>
      </c>
      <c r="C793" s="1" t="n">
        <v>45705</v>
      </c>
      <c r="D793" t="inlineStr">
        <is>
          <t>UPPSALA LÄN</t>
        </is>
      </c>
      <c r="E793" t="inlineStr">
        <is>
          <t>UPPSALA</t>
        </is>
      </c>
      <c r="G793" t="n">
        <v>1.4</v>
      </c>
      <c r="H793" t="n">
        <v>0</v>
      </c>
      <c r="I793" t="n">
        <v>0</v>
      </c>
      <c r="J793" t="n">
        <v>0</v>
      </c>
      <c r="K793" t="n">
        <v>0</v>
      </c>
      <c r="L793" t="n">
        <v>0</v>
      </c>
      <c r="M793" t="n">
        <v>0</v>
      </c>
      <c r="N793" t="n">
        <v>0</v>
      </c>
      <c r="O793" t="n">
        <v>0</v>
      </c>
      <c r="P793" t="n">
        <v>0</v>
      </c>
      <c r="Q793" t="n">
        <v>0</v>
      </c>
      <c r="R793" s="2" t="inlineStr"/>
    </row>
    <row r="794" ht="15" customHeight="1">
      <c r="A794" t="inlineStr">
        <is>
          <t>A 29713-2019</t>
        </is>
      </c>
      <c r="B794" s="1" t="n">
        <v>43630</v>
      </c>
      <c r="C794" s="1" t="n">
        <v>45705</v>
      </c>
      <c r="D794" t="inlineStr">
        <is>
          <t>UPPSALA LÄN</t>
        </is>
      </c>
      <c r="E794" t="inlineStr">
        <is>
          <t>UPPSALA</t>
        </is>
      </c>
      <c r="G794" t="n">
        <v>1</v>
      </c>
      <c r="H794" t="n">
        <v>0</v>
      </c>
      <c r="I794" t="n">
        <v>0</v>
      </c>
      <c r="J794" t="n">
        <v>0</v>
      </c>
      <c r="K794" t="n">
        <v>0</v>
      </c>
      <c r="L794" t="n">
        <v>0</v>
      </c>
      <c r="M794" t="n">
        <v>0</v>
      </c>
      <c r="N794" t="n">
        <v>0</v>
      </c>
      <c r="O794" t="n">
        <v>0</v>
      </c>
      <c r="P794" t="n">
        <v>0</v>
      </c>
      <c r="Q794" t="n">
        <v>0</v>
      </c>
      <c r="R794" s="2" t="inlineStr"/>
    </row>
    <row r="795" ht="15" customHeight="1">
      <c r="A795" t="inlineStr">
        <is>
          <t>A 29792-2019</t>
        </is>
      </c>
      <c r="B795" s="1" t="n">
        <v>43633</v>
      </c>
      <c r="C795" s="1" t="n">
        <v>45705</v>
      </c>
      <c r="D795" t="inlineStr">
        <is>
          <t>UPPSALA LÄN</t>
        </is>
      </c>
      <c r="E795" t="inlineStr">
        <is>
          <t>TIERP</t>
        </is>
      </c>
      <c r="F795" t="inlineStr">
        <is>
          <t>Bergvik skog väst AB</t>
        </is>
      </c>
      <c r="G795" t="n">
        <v>0.9</v>
      </c>
      <c r="H795" t="n">
        <v>0</v>
      </c>
      <c r="I795" t="n">
        <v>0</v>
      </c>
      <c r="J795" t="n">
        <v>0</v>
      </c>
      <c r="K795" t="n">
        <v>0</v>
      </c>
      <c r="L795" t="n">
        <v>0</v>
      </c>
      <c r="M795" t="n">
        <v>0</v>
      </c>
      <c r="N795" t="n">
        <v>0</v>
      </c>
      <c r="O795" t="n">
        <v>0</v>
      </c>
      <c r="P795" t="n">
        <v>0</v>
      </c>
      <c r="Q795" t="n">
        <v>0</v>
      </c>
      <c r="R795" s="2" t="inlineStr"/>
    </row>
    <row r="796" ht="15" customHeight="1">
      <c r="A796" t="inlineStr">
        <is>
          <t>A 29954-2019</t>
        </is>
      </c>
      <c r="B796" s="1" t="n">
        <v>43633</v>
      </c>
      <c r="C796" s="1" t="n">
        <v>45705</v>
      </c>
      <c r="D796" t="inlineStr">
        <is>
          <t>UPPSALA LÄN</t>
        </is>
      </c>
      <c r="E796" t="inlineStr">
        <is>
          <t>HEBY</t>
        </is>
      </c>
      <c r="F796" t="inlineStr">
        <is>
          <t>Bergvik skog väst AB</t>
        </is>
      </c>
      <c r="G796" t="n">
        <v>4.8</v>
      </c>
      <c r="H796" t="n">
        <v>0</v>
      </c>
      <c r="I796" t="n">
        <v>0</v>
      </c>
      <c r="J796" t="n">
        <v>0</v>
      </c>
      <c r="K796" t="n">
        <v>0</v>
      </c>
      <c r="L796" t="n">
        <v>0</v>
      </c>
      <c r="M796" t="n">
        <v>0</v>
      </c>
      <c r="N796" t="n">
        <v>0</v>
      </c>
      <c r="O796" t="n">
        <v>0</v>
      </c>
      <c r="P796" t="n">
        <v>0</v>
      </c>
      <c r="Q796" t="n">
        <v>0</v>
      </c>
      <c r="R796" s="2" t="inlineStr"/>
    </row>
    <row r="797" ht="15" customHeight="1">
      <c r="A797" t="inlineStr">
        <is>
          <t>A 30036-2019</t>
        </is>
      </c>
      <c r="B797" s="1" t="n">
        <v>43633</v>
      </c>
      <c r="C797" s="1" t="n">
        <v>45705</v>
      </c>
      <c r="D797" t="inlineStr">
        <is>
          <t>UPPSALA LÄN</t>
        </is>
      </c>
      <c r="E797" t="inlineStr">
        <is>
          <t>ENKÖPING</t>
        </is>
      </c>
      <c r="G797" t="n">
        <v>0.5</v>
      </c>
      <c r="H797" t="n">
        <v>0</v>
      </c>
      <c r="I797" t="n">
        <v>0</v>
      </c>
      <c r="J797" t="n">
        <v>0</v>
      </c>
      <c r="K797" t="n">
        <v>0</v>
      </c>
      <c r="L797" t="n">
        <v>0</v>
      </c>
      <c r="M797" t="n">
        <v>0</v>
      </c>
      <c r="N797" t="n">
        <v>0</v>
      </c>
      <c r="O797" t="n">
        <v>0</v>
      </c>
      <c r="P797" t="n">
        <v>0</v>
      </c>
      <c r="Q797" t="n">
        <v>0</v>
      </c>
      <c r="R797" s="2" t="inlineStr"/>
    </row>
    <row r="798" ht="15" customHeight="1">
      <c r="A798" t="inlineStr">
        <is>
          <t>A 29979-2019</t>
        </is>
      </c>
      <c r="B798" s="1" t="n">
        <v>43633</v>
      </c>
      <c r="C798" s="1" t="n">
        <v>45705</v>
      </c>
      <c r="D798" t="inlineStr">
        <is>
          <t>UPPSALA LÄN</t>
        </is>
      </c>
      <c r="E798" t="inlineStr">
        <is>
          <t>ENKÖPING</t>
        </is>
      </c>
      <c r="G798" t="n">
        <v>2.3</v>
      </c>
      <c r="H798" t="n">
        <v>0</v>
      </c>
      <c r="I798" t="n">
        <v>0</v>
      </c>
      <c r="J798" t="n">
        <v>0</v>
      </c>
      <c r="K798" t="n">
        <v>0</v>
      </c>
      <c r="L798" t="n">
        <v>0</v>
      </c>
      <c r="M798" t="n">
        <v>0</v>
      </c>
      <c r="N798" t="n">
        <v>0</v>
      </c>
      <c r="O798" t="n">
        <v>0</v>
      </c>
      <c r="P798" t="n">
        <v>0</v>
      </c>
      <c r="Q798" t="n">
        <v>0</v>
      </c>
      <c r="R798" s="2" t="inlineStr"/>
    </row>
    <row r="799" ht="15" customHeight="1">
      <c r="A799" t="inlineStr">
        <is>
          <t>A 31106-2019</t>
        </is>
      </c>
      <c r="B799" s="1" t="n">
        <v>43635</v>
      </c>
      <c r="C799" s="1" t="n">
        <v>45705</v>
      </c>
      <c r="D799" t="inlineStr">
        <is>
          <t>UPPSALA LÄN</t>
        </is>
      </c>
      <c r="E799" t="inlineStr">
        <is>
          <t>ÖSTHAMMAR</t>
        </is>
      </c>
      <c r="F799" t="inlineStr">
        <is>
          <t>Övriga statliga verk och myndigheter</t>
        </is>
      </c>
      <c r="G799" t="n">
        <v>1.5</v>
      </c>
      <c r="H799" t="n">
        <v>0</v>
      </c>
      <c r="I799" t="n">
        <v>0</v>
      </c>
      <c r="J799" t="n">
        <v>0</v>
      </c>
      <c r="K799" t="n">
        <v>0</v>
      </c>
      <c r="L799" t="n">
        <v>0</v>
      </c>
      <c r="M799" t="n">
        <v>0</v>
      </c>
      <c r="N799" t="n">
        <v>0</v>
      </c>
      <c r="O799" t="n">
        <v>0</v>
      </c>
      <c r="P799" t="n">
        <v>0</v>
      </c>
      <c r="Q799" t="n">
        <v>0</v>
      </c>
      <c r="R799" s="2" t="inlineStr"/>
    </row>
    <row r="800" ht="15" customHeight="1">
      <c r="A800" t="inlineStr">
        <is>
          <t>A 30838-2019</t>
        </is>
      </c>
      <c r="B800" s="1" t="n">
        <v>43636</v>
      </c>
      <c r="C800" s="1" t="n">
        <v>45705</v>
      </c>
      <c r="D800" t="inlineStr">
        <is>
          <t>UPPSALA LÄN</t>
        </is>
      </c>
      <c r="E800" t="inlineStr">
        <is>
          <t>HEBY</t>
        </is>
      </c>
      <c r="G800" t="n">
        <v>5.4</v>
      </c>
      <c r="H800" t="n">
        <v>0</v>
      </c>
      <c r="I800" t="n">
        <v>0</v>
      </c>
      <c r="J800" t="n">
        <v>0</v>
      </c>
      <c r="K800" t="n">
        <v>0</v>
      </c>
      <c r="L800" t="n">
        <v>0</v>
      </c>
      <c r="M800" t="n">
        <v>0</v>
      </c>
      <c r="N800" t="n">
        <v>0</v>
      </c>
      <c r="O800" t="n">
        <v>0</v>
      </c>
      <c r="P800" t="n">
        <v>0</v>
      </c>
      <c r="Q800" t="n">
        <v>0</v>
      </c>
      <c r="R800" s="2" t="inlineStr"/>
    </row>
    <row r="801" ht="15" customHeight="1">
      <c r="A801" t="inlineStr">
        <is>
          <t>A 31081-2019</t>
        </is>
      </c>
      <c r="B801" s="1" t="n">
        <v>43640</v>
      </c>
      <c r="C801" s="1" t="n">
        <v>45705</v>
      </c>
      <c r="D801" t="inlineStr">
        <is>
          <t>UPPSALA LÄN</t>
        </is>
      </c>
      <c r="E801" t="inlineStr">
        <is>
          <t>ENKÖPING</t>
        </is>
      </c>
      <c r="G801" t="n">
        <v>3.1</v>
      </c>
      <c r="H801" t="n">
        <v>0</v>
      </c>
      <c r="I801" t="n">
        <v>0</v>
      </c>
      <c r="J801" t="n">
        <v>0</v>
      </c>
      <c r="K801" t="n">
        <v>0</v>
      </c>
      <c r="L801" t="n">
        <v>0</v>
      </c>
      <c r="M801" t="n">
        <v>0</v>
      </c>
      <c r="N801" t="n">
        <v>0</v>
      </c>
      <c r="O801" t="n">
        <v>0</v>
      </c>
      <c r="P801" t="n">
        <v>0</v>
      </c>
      <c r="Q801" t="n">
        <v>0</v>
      </c>
      <c r="R801" s="2" t="inlineStr"/>
    </row>
    <row r="802" ht="15" customHeight="1">
      <c r="A802" t="inlineStr">
        <is>
          <t>A 31074-2019</t>
        </is>
      </c>
      <c r="B802" s="1" t="n">
        <v>43640</v>
      </c>
      <c r="C802" s="1" t="n">
        <v>45705</v>
      </c>
      <c r="D802" t="inlineStr">
        <is>
          <t>UPPSALA LÄN</t>
        </is>
      </c>
      <c r="E802" t="inlineStr">
        <is>
          <t>ENKÖPING</t>
        </is>
      </c>
      <c r="G802" t="n">
        <v>1.3</v>
      </c>
      <c r="H802" t="n">
        <v>0</v>
      </c>
      <c r="I802" t="n">
        <v>0</v>
      </c>
      <c r="J802" t="n">
        <v>0</v>
      </c>
      <c r="K802" t="n">
        <v>0</v>
      </c>
      <c r="L802" t="n">
        <v>0</v>
      </c>
      <c r="M802" t="n">
        <v>0</v>
      </c>
      <c r="N802" t="n">
        <v>0</v>
      </c>
      <c r="O802" t="n">
        <v>0</v>
      </c>
      <c r="P802" t="n">
        <v>0</v>
      </c>
      <c r="Q802" t="n">
        <v>0</v>
      </c>
      <c r="R802" s="2" t="inlineStr"/>
    </row>
    <row r="803" ht="15" customHeight="1">
      <c r="A803" t="inlineStr">
        <is>
          <t>A 31438-2019</t>
        </is>
      </c>
      <c r="B803" s="1" t="n">
        <v>43641</v>
      </c>
      <c r="C803" s="1" t="n">
        <v>45705</v>
      </c>
      <c r="D803" t="inlineStr">
        <is>
          <t>UPPSALA LÄN</t>
        </is>
      </c>
      <c r="E803" t="inlineStr">
        <is>
          <t>HEBY</t>
        </is>
      </c>
      <c r="G803" t="n">
        <v>1.6</v>
      </c>
      <c r="H803" t="n">
        <v>0</v>
      </c>
      <c r="I803" t="n">
        <v>0</v>
      </c>
      <c r="J803" t="n">
        <v>0</v>
      </c>
      <c r="K803" t="n">
        <v>0</v>
      </c>
      <c r="L803" t="n">
        <v>0</v>
      </c>
      <c r="M803" t="n">
        <v>0</v>
      </c>
      <c r="N803" t="n">
        <v>0</v>
      </c>
      <c r="O803" t="n">
        <v>0</v>
      </c>
      <c r="P803" t="n">
        <v>0</v>
      </c>
      <c r="Q803" t="n">
        <v>0</v>
      </c>
      <c r="R803" s="2" t="inlineStr"/>
    </row>
    <row r="804" ht="15" customHeight="1">
      <c r="A804" t="inlineStr">
        <is>
          <t>A 31319-2019</t>
        </is>
      </c>
      <c r="B804" s="1" t="n">
        <v>43641</v>
      </c>
      <c r="C804" s="1" t="n">
        <v>45705</v>
      </c>
      <c r="D804" t="inlineStr">
        <is>
          <t>UPPSALA LÄN</t>
        </is>
      </c>
      <c r="E804" t="inlineStr">
        <is>
          <t>TIERP</t>
        </is>
      </c>
      <c r="F804" t="inlineStr">
        <is>
          <t>Bergvik skog väst AB</t>
        </is>
      </c>
      <c r="G804" t="n">
        <v>0.6</v>
      </c>
      <c r="H804" t="n">
        <v>0</v>
      </c>
      <c r="I804" t="n">
        <v>0</v>
      </c>
      <c r="J804" t="n">
        <v>0</v>
      </c>
      <c r="K804" t="n">
        <v>0</v>
      </c>
      <c r="L804" t="n">
        <v>0</v>
      </c>
      <c r="M804" t="n">
        <v>0</v>
      </c>
      <c r="N804" t="n">
        <v>0</v>
      </c>
      <c r="O804" t="n">
        <v>0</v>
      </c>
      <c r="P804" t="n">
        <v>0</v>
      </c>
      <c r="Q804" t="n">
        <v>0</v>
      </c>
      <c r="R804" s="2" t="inlineStr"/>
    </row>
    <row r="805" ht="15" customHeight="1">
      <c r="A805" t="inlineStr">
        <is>
          <t>A 31436-2019</t>
        </is>
      </c>
      <c r="B805" s="1" t="n">
        <v>43641</v>
      </c>
      <c r="C805" s="1" t="n">
        <v>45705</v>
      </c>
      <c r="D805" t="inlineStr">
        <is>
          <t>UPPSALA LÄN</t>
        </is>
      </c>
      <c r="E805" t="inlineStr">
        <is>
          <t>HEBY</t>
        </is>
      </c>
      <c r="F805" t="inlineStr">
        <is>
          <t>Bergvik skog öst AB</t>
        </is>
      </c>
      <c r="G805" t="n">
        <v>1.6</v>
      </c>
      <c r="H805" t="n">
        <v>0</v>
      </c>
      <c r="I805" t="n">
        <v>0</v>
      </c>
      <c r="J805" t="n">
        <v>0</v>
      </c>
      <c r="K805" t="n">
        <v>0</v>
      </c>
      <c r="L805" t="n">
        <v>0</v>
      </c>
      <c r="M805" t="n">
        <v>0</v>
      </c>
      <c r="N805" t="n">
        <v>0</v>
      </c>
      <c r="O805" t="n">
        <v>0</v>
      </c>
      <c r="P805" t="n">
        <v>0</v>
      </c>
      <c r="Q805" t="n">
        <v>0</v>
      </c>
      <c r="R805" s="2" t="inlineStr"/>
    </row>
    <row r="806" ht="15" customHeight="1">
      <c r="A806" t="inlineStr">
        <is>
          <t>A 31716-2019</t>
        </is>
      </c>
      <c r="B806" s="1" t="n">
        <v>43642</v>
      </c>
      <c r="C806" s="1" t="n">
        <v>45705</v>
      </c>
      <c r="D806" t="inlineStr">
        <is>
          <t>UPPSALA LÄN</t>
        </is>
      </c>
      <c r="E806" t="inlineStr">
        <is>
          <t>ÖSTHAMMAR</t>
        </is>
      </c>
      <c r="G806" t="n">
        <v>1.5</v>
      </c>
      <c r="H806" t="n">
        <v>0</v>
      </c>
      <c r="I806" t="n">
        <v>0</v>
      </c>
      <c r="J806" t="n">
        <v>0</v>
      </c>
      <c r="K806" t="n">
        <v>0</v>
      </c>
      <c r="L806" t="n">
        <v>0</v>
      </c>
      <c r="M806" t="n">
        <v>0</v>
      </c>
      <c r="N806" t="n">
        <v>0</v>
      </c>
      <c r="O806" t="n">
        <v>0</v>
      </c>
      <c r="P806" t="n">
        <v>0</v>
      </c>
      <c r="Q806" t="n">
        <v>0</v>
      </c>
      <c r="R806" s="2" t="inlineStr"/>
    </row>
    <row r="807" ht="15" customHeight="1">
      <c r="A807" t="inlineStr">
        <is>
          <t>A 31882-2019</t>
        </is>
      </c>
      <c r="B807" s="1" t="n">
        <v>43642</v>
      </c>
      <c r="C807" s="1" t="n">
        <v>45705</v>
      </c>
      <c r="D807" t="inlineStr">
        <is>
          <t>UPPSALA LÄN</t>
        </is>
      </c>
      <c r="E807" t="inlineStr">
        <is>
          <t>ÖSTHAMMAR</t>
        </is>
      </c>
      <c r="G807" t="n">
        <v>3.5</v>
      </c>
      <c r="H807" t="n">
        <v>0</v>
      </c>
      <c r="I807" t="n">
        <v>0</v>
      </c>
      <c r="J807" t="n">
        <v>0</v>
      </c>
      <c r="K807" t="n">
        <v>0</v>
      </c>
      <c r="L807" t="n">
        <v>0</v>
      </c>
      <c r="M807" t="n">
        <v>0</v>
      </c>
      <c r="N807" t="n">
        <v>0</v>
      </c>
      <c r="O807" t="n">
        <v>0</v>
      </c>
      <c r="P807" t="n">
        <v>0</v>
      </c>
      <c r="Q807" t="n">
        <v>0</v>
      </c>
      <c r="R807" s="2" t="inlineStr"/>
    </row>
    <row r="808" ht="15" customHeight="1">
      <c r="A808" t="inlineStr">
        <is>
          <t>A 31884-2019</t>
        </is>
      </c>
      <c r="B808" s="1" t="n">
        <v>43642</v>
      </c>
      <c r="C808" s="1" t="n">
        <v>45705</v>
      </c>
      <c r="D808" t="inlineStr">
        <is>
          <t>UPPSALA LÄN</t>
        </is>
      </c>
      <c r="E808" t="inlineStr">
        <is>
          <t>TIERP</t>
        </is>
      </c>
      <c r="G808" t="n">
        <v>1.9</v>
      </c>
      <c r="H808" t="n">
        <v>0</v>
      </c>
      <c r="I808" t="n">
        <v>0</v>
      </c>
      <c r="J808" t="n">
        <v>0</v>
      </c>
      <c r="K808" t="n">
        <v>0</v>
      </c>
      <c r="L808" t="n">
        <v>0</v>
      </c>
      <c r="M808" t="n">
        <v>0</v>
      </c>
      <c r="N808" t="n">
        <v>0</v>
      </c>
      <c r="O808" t="n">
        <v>0</v>
      </c>
      <c r="P808" t="n">
        <v>0</v>
      </c>
      <c r="Q808" t="n">
        <v>0</v>
      </c>
      <c r="R808" s="2" t="inlineStr"/>
    </row>
    <row r="809" ht="15" customHeight="1">
      <c r="A809" t="inlineStr">
        <is>
          <t>A 32299-2019</t>
        </is>
      </c>
      <c r="B809" s="1" t="n">
        <v>43644</v>
      </c>
      <c r="C809" s="1" t="n">
        <v>45705</v>
      </c>
      <c r="D809" t="inlineStr">
        <is>
          <t>UPPSALA LÄN</t>
        </is>
      </c>
      <c r="E809" t="inlineStr">
        <is>
          <t>HEBY</t>
        </is>
      </c>
      <c r="G809" t="n">
        <v>12.8</v>
      </c>
      <c r="H809" t="n">
        <v>0</v>
      </c>
      <c r="I809" t="n">
        <v>0</v>
      </c>
      <c r="J809" t="n">
        <v>0</v>
      </c>
      <c r="K809" t="n">
        <v>0</v>
      </c>
      <c r="L809" t="n">
        <v>0</v>
      </c>
      <c r="M809" t="n">
        <v>0</v>
      </c>
      <c r="N809" t="n">
        <v>0</v>
      </c>
      <c r="O809" t="n">
        <v>0</v>
      </c>
      <c r="P809" t="n">
        <v>0</v>
      </c>
      <c r="Q809" t="n">
        <v>0</v>
      </c>
      <c r="R809" s="2" t="inlineStr"/>
    </row>
    <row r="810" ht="15" customHeight="1">
      <c r="A810" t="inlineStr">
        <is>
          <t>A 32310-2019</t>
        </is>
      </c>
      <c r="B810" s="1" t="n">
        <v>43644</v>
      </c>
      <c r="C810" s="1" t="n">
        <v>45705</v>
      </c>
      <c r="D810" t="inlineStr">
        <is>
          <t>UPPSALA LÄN</t>
        </is>
      </c>
      <c r="E810" t="inlineStr">
        <is>
          <t>ENKÖPING</t>
        </is>
      </c>
      <c r="G810" t="n">
        <v>2.7</v>
      </c>
      <c r="H810" t="n">
        <v>0</v>
      </c>
      <c r="I810" t="n">
        <v>0</v>
      </c>
      <c r="J810" t="n">
        <v>0</v>
      </c>
      <c r="K810" t="n">
        <v>0</v>
      </c>
      <c r="L810" t="n">
        <v>0</v>
      </c>
      <c r="M810" t="n">
        <v>0</v>
      </c>
      <c r="N810" t="n">
        <v>0</v>
      </c>
      <c r="O810" t="n">
        <v>0</v>
      </c>
      <c r="P810" t="n">
        <v>0</v>
      </c>
      <c r="Q810" t="n">
        <v>0</v>
      </c>
      <c r="R810" s="2" t="inlineStr"/>
    </row>
    <row r="811" ht="15" customHeight="1">
      <c r="A811" t="inlineStr">
        <is>
          <t>A 32558-2019</t>
        </is>
      </c>
      <c r="B811" s="1" t="n">
        <v>43647</v>
      </c>
      <c r="C811" s="1" t="n">
        <v>45705</v>
      </c>
      <c r="D811" t="inlineStr">
        <is>
          <t>UPPSALA LÄN</t>
        </is>
      </c>
      <c r="E811" t="inlineStr">
        <is>
          <t>UPPSALA</t>
        </is>
      </c>
      <c r="G811" t="n">
        <v>4.2</v>
      </c>
      <c r="H811" t="n">
        <v>0</v>
      </c>
      <c r="I811" t="n">
        <v>0</v>
      </c>
      <c r="J811" t="n">
        <v>0</v>
      </c>
      <c r="K811" t="n">
        <v>0</v>
      </c>
      <c r="L811" t="n">
        <v>0</v>
      </c>
      <c r="M811" t="n">
        <v>0</v>
      </c>
      <c r="N811" t="n">
        <v>0</v>
      </c>
      <c r="O811" t="n">
        <v>0</v>
      </c>
      <c r="P811" t="n">
        <v>0</v>
      </c>
      <c r="Q811" t="n">
        <v>0</v>
      </c>
      <c r="R811" s="2" t="inlineStr"/>
    </row>
    <row r="812" ht="15" customHeight="1">
      <c r="A812" t="inlineStr">
        <is>
          <t>A 32640-2019</t>
        </is>
      </c>
      <c r="B812" s="1" t="n">
        <v>43647</v>
      </c>
      <c r="C812" s="1" t="n">
        <v>45705</v>
      </c>
      <c r="D812" t="inlineStr">
        <is>
          <t>UPPSALA LÄN</t>
        </is>
      </c>
      <c r="E812" t="inlineStr">
        <is>
          <t>ENKÖPING</t>
        </is>
      </c>
      <c r="G812" t="n">
        <v>1.5</v>
      </c>
      <c r="H812" t="n">
        <v>0</v>
      </c>
      <c r="I812" t="n">
        <v>0</v>
      </c>
      <c r="J812" t="n">
        <v>0</v>
      </c>
      <c r="K812" t="n">
        <v>0</v>
      </c>
      <c r="L812" t="n">
        <v>0</v>
      </c>
      <c r="M812" t="n">
        <v>0</v>
      </c>
      <c r="N812" t="n">
        <v>0</v>
      </c>
      <c r="O812" t="n">
        <v>0</v>
      </c>
      <c r="P812" t="n">
        <v>0</v>
      </c>
      <c r="Q812" t="n">
        <v>0</v>
      </c>
      <c r="R812" s="2" t="inlineStr"/>
    </row>
    <row r="813" ht="15" customHeight="1">
      <c r="A813" t="inlineStr">
        <is>
          <t>A 32718-2019</t>
        </is>
      </c>
      <c r="B813" s="1" t="n">
        <v>43647</v>
      </c>
      <c r="C813" s="1" t="n">
        <v>45705</v>
      </c>
      <c r="D813" t="inlineStr">
        <is>
          <t>UPPSALA LÄN</t>
        </is>
      </c>
      <c r="E813" t="inlineStr">
        <is>
          <t>ÖSTHAMMAR</t>
        </is>
      </c>
      <c r="G813" t="n">
        <v>0.5</v>
      </c>
      <c r="H813" t="n">
        <v>0</v>
      </c>
      <c r="I813" t="n">
        <v>0</v>
      </c>
      <c r="J813" t="n">
        <v>0</v>
      </c>
      <c r="K813" t="n">
        <v>0</v>
      </c>
      <c r="L813" t="n">
        <v>0</v>
      </c>
      <c r="M813" t="n">
        <v>0</v>
      </c>
      <c r="N813" t="n">
        <v>0</v>
      </c>
      <c r="O813" t="n">
        <v>0</v>
      </c>
      <c r="P813" t="n">
        <v>0</v>
      </c>
      <c r="Q813" t="n">
        <v>0</v>
      </c>
      <c r="R813" s="2" t="inlineStr"/>
    </row>
    <row r="814" ht="15" customHeight="1">
      <c r="A814" t="inlineStr">
        <is>
          <t>A 34560-2019</t>
        </is>
      </c>
      <c r="B814" s="1" t="n">
        <v>43647</v>
      </c>
      <c r="C814" s="1" t="n">
        <v>45705</v>
      </c>
      <c r="D814" t="inlineStr">
        <is>
          <t>UPPSALA LÄN</t>
        </is>
      </c>
      <c r="E814" t="inlineStr">
        <is>
          <t>UPPSALA</t>
        </is>
      </c>
      <c r="G814" t="n">
        <v>8.6</v>
      </c>
      <c r="H814" t="n">
        <v>0</v>
      </c>
      <c r="I814" t="n">
        <v>0</v>
      </c>
      <c r="J814" t="n">
        <v>0</v>
      </c>
      <c r="K814" t="n">
        <v>0</v>
      </c>
      <c r="L814" t="n">
        <v>0</v>
      </c>
      <c r="M814" t="n">
        <v>0</v>
      </c>
      <c r="N814" t="n">
        <v>0</v>
      </c>
      <c r="O814" t="n">
        <v>0</v>
      </c>
      <c r="P814" t="n">
        <v>0</v>
      </c>
      <c r="Q814" t="n">
        <v>0</v>
      </c>
      <c r="R814" s="2" t="inlineStr"/>
    </row>
    <row r="815" ht="15" customHeight="1">
      <c r="A815" t="inlineStr">
        <is>
          <t>A 32830-2019</t>
        </is>
      </c>
      <c r="B815" s="1" t="n">
        <v>43648</v>
      </c>
      <c r="C815" s="1" t="n">
        <v>45705</v>
      </c>
      <c r="D815" t="inlineStr">
        <is>
          <t>UPPSALA LÄN</t>
        </is>
      </c>
      <c r="E815" t="inlineStr">
        <is>
          <t>UPPSALA</t>
        </is>
      </c>
      <c r="G815" t="n">
        <v>13.6</v>
      </c>
      <c r="H815" t="n">
        <v>0</v>
      </c>
      <c r="I815" t="n">
        <v>0</v>
      </c>
      <c r="J815" t="n">
        <v>0</v>
      </c>
      <c r="K815" t="n">
        <v>0</v>
      </c>
      <c r="L815" t="n">
        <v>0</v>
      </c>
      <c r="M815" t="n">
        <v>0</v>
      </c>
      <c r="N815" t="n">
        <v>0</v>
      </c>
      <c r="O815" t="n">
        <v>0</v>
      </c>
      <c r="P815" t="n">
        <v>0</v>
      </c>
      <c r="Q815" t="n">
        <v>0</v>
      </c>
      <c r="R815" s="2" t="inlineStr"/>
    </row>
    <row r="816" ht="15" customHeight="1">
      <c r="A816" t="inlineStr">
        <is>
          <t>A 33339-2019</t>
        </is>
      </c>
      <c r="B816" s="1" t="n">
        <v>43650</v>
      </c>
      <c r="C816" s="1" t="n">
        <v>45705</v>
      </c>
      <c r="D816" t="inlineStr">
        <is>
          <t>UPPSALA LÄN</t>
        </is>
      </c>
      <c r="E816" t="inlineStr">
        <is>
          <t>ENKÖPING</t>
        </is>
      </c>
      <c r="G816" t="n">
        <v>3.3</v>
      </c>
      <c r="H816" t="n">
        <v>0</v>
      </c>
      <c r="I816" t="n">
        <v>0</v>
      </c>
      <c r="J816" t="n">
        <v>0</v>
      </c>
      <c r="K816" t="n">
        <v>0</v>
      </c>
      <c r="L816" t="n">
        <v>0</v>
      </c>
      <c r="M816" t="n">
        <v>0</v>
      </c>
      <c r="N816" t="n">
        <v>0</v>
      </c>
      <c r="O816" t="n">
        <v>0</v>
      </c>
      <c r="P816" t="n">
        <v>0</v>
      </c>
      <c r="Q816" t="n">
        <v>0</v>
      </c>
      <c r="R816" s="2" t="inlineStr"/>
    </row>
    <row r="817" ht="15" customHeight="1">
      <c r="A817" t="inlineStr">
        <is>
          <t>A 33532-2019</t>
        </is>
      </c>
      <c r="B817" s="1" t="n">
        <v>43651</v>
      </c>
      <c r="C817" s="1" t="n">
        <v>45705</v>
      </c>
      <c r="D817" t="inlineStr">
        <is>
          <t>UPPSALA LÄN</t>
        </is>
      </c>
      <c r="E817" t="inlineStr">
        <is>
          <t>ÖSTHAMMAR</t>
        </is>
      </c>
      <c r="G817" t="n">
        <v>1.6</v>
      </c>
      <c r="H817" t="n">
        <v>0</v>
      </c>
      <c r="I817" t="n">
        <v>0</v>
      </c>
      <c r="J817" t="n">
        <v>0</v>
      </c>
      <c r="K817" t="n">
        <v>0</v>
      </c>
      <c r="L817" t="n">
        <v>0</v>
      </c>
      <c r="M817" t="n">
        <v>0</v>
      </c>
      <c r="N817" t="n">
        <v>0</v>
      </c>
      <c r="O817" t="n">
        <v>0</v>
      </c>
      <c r="P817" t="n">
        <v>0</v>
      </c>
      <c r="Q817" t="n">
        <v>0</v>
      </c>
      <c r="R817" s="2" t="inlineStr"/>
    </row>
    <row r="818" ht="15" customHeight="1">
      <c r="A818" t="inlineStr">
        <is>
          <t>A 33544-2019</t>
        </is>
      </c>
      <c r="B818" s="1" t="n">
        <v>43651</v>
      </c>
      <c r="C818" s="1" t="n">
        <v>45705</v>
      </c>
      <c r="D818" t="inlineStr">
        <is>
          <t>UPPSALA LÄN</t>
        </is>
      </c>
      <c r="E818" t="inlineStr">
        <is>
          <t>ÖSTHAMMAR</t>
        </is>
      </c>
      <c r="G818" t="n">
        <v>4.3</v>
      </c>
      <c r="H818" t="n">
        <v>0</v>
      </c>
      <c r="I818" t="n">
        <v>0</v>
      </c>
      <c r="J818" t="n">
        <v>0</v>
      </c>
      <c r="K818" t="n">
        <v>0</v>
      </c>
      <c r="L818" t="n">
        <v>0</v>
      </c>
      <c r="M818" t="n">
        <v>0</v>
      </c>
      <c r="N818" t="n">
        <v>0</v>
      </c>
      <c r="O818" t="n">
        <v>0</v>
      </c>
      <c r="P818" t="n">
        <v>0</v>
      </c>
      <c r="Q818" t="n">
        <v>0</v>
      </c>
      <c r="R818" s="2" t="inlineStr"/>
    </row>
    <row r="819" ht="15" customHeight="1">
      <c r="A819" t="inlineStr">
        <is>
          <t>A 33602-2019</t>
        </is>
      </c>
      <c r="B819" s="1" t="n">
        <v>43651</v>
      </c>
      <c r="C819" s="1" t="n">
        <v>45705</v>
      </c>
      <c r="D819" t="inlineStr">
        <is>
          <t>UPPSALA LÄN</t>
        </is>
      </c>
      <c r="E819" t="inlineStr">
        <is>
          <t>UPPSALA</t>
        </is>
      </c>
      <c r="G819" t="n">
        <v>0.6</v>
      </c>
      <c r="H819" t="n">
        <v>0</v>
      </c>
      <c r="I819" t="n">
        <v>0</v>
      </c>
      <c r="J819" t="n">
        <v>0</v>
      </c>
      <c r="K819" t="n">
        <v>0</v>
      </c>
      <c r="L819" t="n">
        <v>0</v>
      </c>
      <c r="M819" t="n">
        <v>0</v>
      </c>
      <c r="N819" t="n">
        <v>0</v>
      </c>
      <c r="O819" t="n">
        <v>0</v>
      </c>
      <c r="P819" t="n">
        <v>0</v>
      </c>
      <c r="Q819" t="n">
        <v>0</v>
      </c>
      <c r="R819" s="2" t="inlineStr"/>
    </row>
    <row r="820" ht="15" customHeight="1">
      <c r="A820" t="inlineStr">
        <is>
          <t>A 33539-2019</t>
        </is>
      </c>
      <c r="B820" s="1" t="n">
        <v>43651</v>
      </c>
      <c r="C820" s="1" t="n">
        <v>45705</v>
      </c>
      <c r="D820" t="inlineStr">
        <is>
          <t>UPPSALA LÄN</t>
        </is>
      </c>
      <c r="E820" t="inlineStr">
        <is>
          <t>ÖSTHAMMAR</t>
        </is>
      </c>
      <c r="G820" t="n">
        <v>4.6</v>
      </c>
      <c r="H820" t="n">
        <v>0</v>
      </c>
      <c r="I820" t="n">
        <v>0</v>
      </c>
      <c r="J820" t="n">
        <v>0</v>
      </c>
      <c r="K820" t="n">
        <v>0</v>
      </c>
      <c r="L820" t="n">
        <v>0</v>
      </c>
      <c r="M820" t="n">
        <v>0</v>
      </c>
      <c r="N820" t="n">
        <v>0</v>
      </c>
      <c r="O820" t="n">
        <v>0</v>
      </c>
      <c r="P820" t="n">
        <v>0</v>
      </c>
      <c r="Q820" t="n">
        <v>0</v>
      </c>
      <c r="R820" s="2" t="inlineStr"/>
    </row>
    <row r="821" ht="15" customHeight="1">
      <c r="A821" t="inlineStr">
        <is>
          <t>A 33551-2019</t>
        </is>
      </c>
      <c r="B821" s="1" t="n">
        <v>43651</v>
      </c>
      <c r="C821" s="1" t="n">
        <v>45705</v>
      </c>
      <c r="D821" t="inlineStr">
        <is>
          <t>UPPSALA LÄN</t>
        </is>
      </c>
      <c r="E821" t="inlineStr">
        <is>
          <t>ÖSTHAMMAR</t>
        </is>
      </c>
      <c r="G821" t="n">
        <v>1.5</v>
      </c>
      <c r="H821" t="n">
        <v>0</v>
      </c>
      <c r="I821" t="n">
        <v>0</v>
      </c>
      <c r="J821" t="n">
        <v>0</v>
      </c>
      <c r="K821" t="n">
        <v>0</v>
      </c>
      <c r="L821" t="n">
        <v>0</v>
      </c>
      <c r="M821" t="n">
        <v>0</v>
      </c>
      <c r="N821" t="n">
        <v>0</v>
      </c>
      <c r="O821" t="n">
        <v>0</v>
      </c>
      <c r="P821" t="n">
        <v>0</v>
      </c>
      <c r="Q821" t="n">
        <v>0</v>
      </c>
      <c r="R821" s="2" t="inlineStr"/>
    </row>
    <row r="822" ht="15" customHeight="1">
      <c r="A822" t="inlineStr">
        <is>
          <t>A 33575-2019</t>
        </is>
      </c>
      <c r="B822" s="1" t="n">
        <v>43651</v>
      </c>
      <c r="C822" s="1" t="n">
        <v>45705</v>
      </c>
      <c r="D822" t="inlineStr">
        <is>
          <t>UPPSALA LÄN</t>
        </is>
      </c>
      <c r="E822" t="inlineStr">
        <is>
          <t>HEBY</t>
        </is>
      </c>
      <c r="G822" t="n">
        <v>0.8</v>
      </c>
      <c r="H822" t="n">
        <v>0</v>
      </c>
      <c r="I822" t="n">
        <v>0</v>
      </c>
      <c r="J822" t="n">
        <v>0</v>
      </c>
      <c r="K822" t="n">
        <v>0</v>
      </c>
      <c r="L822" t="n">
        <v>0</v>
      </c>
      <c r="M822" t="n">
        <v>0</v>
      </c>
      <c r="N822" t="n">
        <v>0</v>
      </c>
      <c r="O822" t="n">
        <v>0</v>
      </c>
      <c r="P822" t="n">
        <v>0</v>
      </c>
      <c r="Q822" t="n">
        <v>0</v>
      </c>
      <c r="R822" s="2" t="inlineStr"/>
    </row>
    <row r="823" ht="15" customHeight="1">
      <c r="A823" t="inlineStr">
        <is>
          <t>A 33584-2019</t>
        </is>
      </c>
      <c r="B823" s="1" t="n">
        <v>43651</v>
      </c>
      <c r="C823" s="1" t="n">
        <v>45705</v>
      </c>
      <c r="D823" t="inlineStr">
        <is>
          <t>UPPSALA LÄN</t>
        </is>
      </c>
      <c r="E823" t="inlineStr">
        <is>
          <t>HEBY</t>
        </is>
      </c>
      <c r="G823" t="n">
        <v>1</v>
      </c>
      <c r="H823" t="n">
        <v>0</v>
      </c>
      <c r="I823" t="n">
        <v>0</v>
      </c>
      <c r="J823" t="n">
        <v>0</v>
      </c>
      <c r="K823" t="n">
        <v>0</v>
      </c>
      <c r="L823" t="n">
        <v>0</v>
      </c>
      <c r="M823" t="n">
        <v>0</v>
      </c>
      <c r="N823" t="n">
        <v>0</v>
      </c>
      <c r="O823" t="n">
        <v>0</v>
      </c>
      <c r="P823" t="n">
        <v>0</v>
      </c>
      <c r="Q823" t="n">
        <v>0</v>
      </c>
      <c r="R823" s="2" t="inlineStr"/>
    </row>
    <row r="824" ht="15" customHeight="1">
      <c r="A824" t="inlineStr">
        <is>
          <t>A 33614-2019</t>
        </is>
      </c>
      <c r="B824" s="1" t="n">
        <v>43651</v>
      </c>
      <c r="C824" s="1" t="n">
        <v>45705</v>
      </c>
      <c r="D824" t="inlineStr">
        <is>
          <t>UPPSALA LÄN</t>
        </is>
      </c>
      <c r="E824" t="inlineStr">
        <is>
          <t>UPPSALA</t>
        </is>
      </c>
      <c r="G824" t="n">
        <v>0.5</v>
      </c>
      <c r="H824" t="n">
        <v>0</v>
      </c>
      <c r="I824" t="n">
        <v>0</v>
      </c>
      <c r="J824" t="n">
        <v>0</v>
      </c>
      <c r="K824" t="n">
        <v>0</v>
      </c>
      <c r="L824" t="n">
        <v>0</v>
      </c>
      <c r="M824" t="n">
        <v>0</v>
      </c>
      <c r="N824" t="n">
        <v>0</v>
      </c>
      <c r="O824" t="n">
        <v>0</v>
      </c>
      <c r="P824" t="n">
        <v>0</v>
      </c>
      <c r="Q824" t="n">
        <v>0</v>
      </c>
      <c r="R824" s="2" t="inlineStr"/>
    </row>
    <row r="825" ht="15" customHeight="1">
      <c r="A825" t="inlineStr">
        <is>
          <t>A 33670-2019</t>
        </is>
      </c>
      <c r="B825" s="1" t="n">
        <v>43651</v>
      </c>
      <c r="C825" s="1" t="n">
        <v>45705</v>
      </c>
      <c r="D825" t="inlineStr">
        <is>
          <t>UPPSALA LÄN</t>
        </is>
      </c>
      <c r="E825" t="inlineStr">
        <is>
          <t>TIERP</t>
        </is>
      </c>
      <c r="F825" t="inlineStr">
        <is>
          <t>Bergvik skog öst AB</t>
        </is>
      </c>
      <c r="G825" t="n">
        <v>1.9</v>
      </c>
      <c r="H825" t="n">
        <v>0</v>
      </c>
      <c r="I825" t="n">
        <v>0</v>
      </c>
      <c r="J825" t="n">
        <v>0</v>
      </c>
      <c r="K825" t="n">
        <v>0</v>
      </c>
      <c r="L825" t="n">
        <v>0</v>
      </c>
      <c r="M825" t="n">
        <v>0</v>
      </c>
      <c r="N825" t="n">
        <v>0</v>
      </c>
      <c r="O825" t="n">
        <v>0</v>
      </c>
      <c r="P825" t="n">
        <v>0</v>
      </c>
      <c r="Q825" t="n">
        <v>0</v>
      </c>
      <c r="R825" s="2" t="inlineStr"/>
    </row>
    <row r="826" ht="15" customHeight="1">
      <c r="A826" t="inlineStr">
        <is>
          <t>A 33615-2019</t>
        </is>
      </c>
      <c r="B826" s="1" t="n">
        <v>43651</v>
      </c>
      <c r="C826" s="1" t="n">
        <v>45705</v>
      </c>
      <c r="D826" t="inlineStr">
        <is>
          <t>UPPSALA LÄN</t>
        </is>
      </c>
      <c r="E826" t="inlineStr">
        <is>
          <t>UPPSALA</t>
        </is>
      </c>
      <c r="G826" t="n">
        <v>1.4</v>
      </c>
      <c r="H826" t="n">
        <v>0</v>
      </c>
      <c r="I826" t="n">
        <v>0</v>
      </c>
      <c r="J826" t="n">
        <v>0</v>
      </c>
      <c r="K826" t="n">
        <v>0</v>
      </c>
      <c r="L826" t="n">
        <v>0</v>
      </c>
      <c r="M826" t="n">
        <v>0</v>
      </c>
      <c r="N826" t="n">
        <v>0</v>
      </c>
      <c r="O826" t="n">
        <v>0</v>
      </c>
      <c r="P826" t="n">
        <v>0</v>
      </c>
      <c r="Q826" t="n">
        <v>0</v>
      </c>
      <c r="R826" s="2" t="inlineStr"/>
    </row>
    <row r="827" ht="15" customHeight="1">
      <c r="A827" t="inlineStr">
        <is>
          <t>A 33596-2019</t>
        </is>
      </c>
      <c r="B827" s="1" t="n">
        <v>43651</v>
      </c>
      <c r="C827" s="1" t="n">
        <v>45705</v>
      </c>
      <c r="D827" t="inlineStr">
        <is>
          <t>UPPSALA LÄN</t>
        </is>
      </c>
      <c r="E827" t="inlineStr">
        <is>
          <t>UPPSALA</t>
        </is>
      </c>
      <c r="G827" t="n">
        <v>1.3</v>
      </c>
      <c r="H827" t="n">
        <v>0</v>
      </c>
      <c r="I827" t="n">
        <v>0</v>
      </c>
      <c r="J827" t="n">
        <v>0</v>
      </c>
      <c r="K827" t="n">
        <v>0</v>
      </c>
      <c r="L827" t="n">
        <v>0</v>
      </c>
      <c r="M827" t="n">
        <v>0</v>
      </c>
      <c r="N827" t="n">
        <v>0</v>
      </c>
      <c r="O827" t="n">
        <v>0</v>
      </c>
      <c r="P827" t="n">
        <v>0</v>
      </c>
      <c r="Q827" t="n">
        <v>0</v>
      </c>
      <c r="R827" s="2" t="inlineStr"/>
    </row>
    <row r="828" ht="15" customHeight="1">
      <c r="A828" t="inlineStr">
        <is>
          <t>A 33784-2019</t>
        </is>
      </c>
      <c r="B828" s="1" t="n">
        <v>43651</v>
      </c>
      <c r="C828" s="1" t="n">
        <v>45705</v>
      </c>
      <c r="D828" t="inlineStr">
        <is>
          <t>UPPSALA LÄN</t>
        </is>
      </c>
      <c r="E828" t="inlineStr">
        <is>
          <t>ÖSTHAMMAR</t>
        </is>
      </c>
      <c r="G828" t="n">
        <v>1.3</v>
      </c>
      <c r="H828" t="n">
        <v>0</v>
      </c>
      <c r="I828" t="n">
        <v>0</v>
      </c>
      <c r="J828" t="n">
        <v>0</v>
      </c>
      <c r="K828" t="n">
        <v>0</v>
      </c>
      <c r="L828" t="n">
        <v>0</v>
      </c>
      <c r="M828" t="n">
        <v>0</v>
      </c>
      <c r="N828" t="n">
        <v>0</v>
      </c>
      <c r="O828" t="n">
        <v>0</v>
      </c>
      <c r="P828" t="n">
        <v>0</v>
      </c>
      <c r="Q828" t="n">
        <v>0</v>
      </c>
      <c r="R828" s="2" t="inlineStr"/>
    </row>
    <row r="829" ht="15" customHeight="1">
      <c r="A829" t="inlineStr">
        <is>
          <t>A 33932-2019</t>
        </is>
      </c>
      <c r="B829" s="1" t="n">
        <v>43654</v>
      </c>
      <c r="C829" s="1" t="n">
        <v>45705</v>
      </c>
      <c r="D829" t="inlineStr">
        <is>
          <t>UPPSALA LÄN</t>
        </is>
      </c>
      <c r="E829" t="inlineStr">
        <is>
          <t>HEBY</t>
        </is>
      </c>
      <c r="F829" t="inlineStr">
        <is>
          <t>Bergvik skog öst AB</t>
        </is>
      </c>
      <c r="G829" t="n">
        <v>0.5</v>
      </c>
      <c r="H829" t="n">
        <v>0</v>
      </c>
      <c r="I829" t="n">
        <v>0</v>
      </c>
      <c r="J829" t="n">
        <v>0</v>
      </c>
      <c r="K829" t="n">
        <v>0</v>
      </c>
      <c r="L829" t="n">
        <v>0</v>
      </c>
      <c r="M829" t="n">
        <v>0</v>
      </c>
      <c r="N829" t="n">
        <v>0</v>
      </c>
      <c r="O829" t="n">
        <v>0</v>
      </c>
      <c r="P829" t="n">
        <v>0</v>
      </c>
      <c r="Q829" t="n">
        <v>0</v>
      </c>
      <c r="R829" s="2" t="inlineStr"/>
    </row>
    <row r="830" ht="15" customHeight="1">
      <c r="A830" t="inlineStr">
        <is>
          <t>A 34007-2019</t>
        </is>
      </c>
      <c r="B830" s="1" t="n">
        <v>43654</v>
      </c>
      <c r="C830" s="1" t="n">
        <v>45705</v>
      </c>
      <c r="D830" t="inlineStr">
        <is>
          <t>UPPSALA LÄN</t>
        </is>
      </c>
      <c r="E830" t="inlineStr">
        <is>
          <t>UPPSALA</t>
        </is>
      </c>
      <c r="G830" t="n">
        <v>2</v>
      </c>
      <c r="H830" t="n">
        <v>0</v>
      </c>
      <c r="I830" t="n">
        <v>0</v>
      </c>
      <c r="J830" t="n">
        <v>0</v>
      </c>
      <c r="K830" t="n">
        <v>0</v>
      </c>
      <c r="L830" t="n">
        <v>0</v>
      </c>
      <c r="M830" t="n">
        <v>0</v>
      </c>
      <c r="N830" t="n">
        <v>0</v>
      </c>
      <c r="O830" t="n">
        <v>0</v>
      </c>
      <c r="P830" t="n">
        <v>0</v>
      </c>
      <c r="Q830" t="n">
        <v>0</v>
      </c>
      <c r="R830" s="2" t="inlineStr"/>
    </row>
    <row r="831" ht="15" customHeight="1">
      <c r="A831" t="inlineStr">
        <is>
          <t>A 34063-2019</t>
        </is>
      </c>
      <c r="B831" s="1" t="n">
        <v>43654</v>
      </c>
      <c r="C831" s="1" t="n">
        <v>45705</v>
      </c>
      <c r="D831" t="inlineStr">
        <is>
          <t>UPPSALA LÄN</t>
        </is>
      </c>
      <c r="E831" t="inlineStr">
        <is>
          <t>UPPSALA</t>
        </is>
      </c>
      <c r="G831" t="n">
        <v>1.5</v>
      </c>
      <c r="H831" t="n">
        <v>0</v>
      </c>
      <c r="I831" t="n">
        <v>0</v>
      </c>
      <c r="J831" t="n">
        <v>0</v>
      </c>
      <c r="K831" t="n">
        <v>0</v>
      </c>
      <c r="L831" t="n">
        <v>0</v>
      </c>
      <c r="M831" t="n">
        <v>0</v>
      </c>
      <c r="N831" t="n">
        <v>0</v>
      </c>
      <c r="O831" t="n">
        <v>0</v>
      </c>
      <c r="P831" t="n">
        <v>0</v>
      </c>
      <c r="Q831" t="n">
        <v>0</v>
      </c>
      <c r="R831" s="2" t="inlineStr"/>
    </row>
    <row r="832" ht="15" customHeight="1">
      <c r="A832" t="inlineStr">
        <is>
          <t>A 34386-2019</t>
        </is>
      </c>
      <c r="B832" s="1" t="n">
        <v>43656</v>
      </c>
      <c r="C832" s="1" t="n">
        <v>45705</v>
      </c>
      <c r="D832" t="inlineStr">
        <is>
          <t>UPPSALA LÄN</t>
        </is>
      </c>
      <c r="E832" t="inlineStr">
        <is>
          <t>TIERP</t>
        </is>
      </c>
      <c r="G832" t="n">
        <v>1.5</v>
      </c>
      <c r="H832" t="n">
        <v>0</v>
      </c>
      <c r="I832" t="n">
        <v>0</v>
      </c>
      <c r="J832" t="n">
        <v>0</v>
      </c>
      <c r="K832" t="n">
        <v>0</v>
      </c>
      <c r="L832" t="n">
        <v>0</v>
      </c>
      <c r="M832" t="n">
        <v>0</v>
      </c>
      <c r="N832" t="n">
        <v>0</v>
      </c>
      <c r="O832" t="n">
        <v>0</v>
      </c>
      <c r="P832" t="n">
        <v>0</v>
      </c>
      <c r="Q832" t="n">
        <v>0</v>
      </c>
      <c r="R832" s="2" t="inlineStr"/>
    </row>
    <row r="833" ht="15" customHeight="1">
      <c r="A833" t="inlineStr">
        <is>
          <t>A 34331-2019</t>
        </is>
      </c>
      <c r="B833" s="1" t="n">
        <v>43656</v>
      </c>
      <c r="C833" s="1" t="n">
        <v>45705</v>
      </c>
      <c r="D833" t="inlineStr">
        <is>
          <t>UPPSALA LÄN</t>
        </is>
      </c>
      <c r="E833" t="inlineStr">
        <is>
          <t>UPPSALA</t>
        </is>
      </c>
      <c r="G833" t="n">
        <v>2</v>
      </c>
      <c r="H833" t="n">
        <v>0</v>
      </c>
      <c r="I833" t="n">
        <v>0</v>
      </c>
      <c r="J833" t="n">
        <v>0</v>
      </c>
      <c r="K833" t="n">
        <v>0</v>
      </c>
      <c r="L833" t="n">
        <v>0</v>
      </c>
      <c r="M833" t="n">
        <v>0</v>
      </c>
      <c r="N833" t="n">
        <v>0</v>
      </c>
      <c r="O833" t="n">
        <v>0</v>
      </c>
      <c r="P833" t="n">
        <v>0</v>
      </c>
      <c r="Q833" t="n">
        <v>0</v>
      </c>
      <c r="R833" s="2" t="inlineStr"/>
    </row>
    <row r="834" ht="15" customHeight="1">
      <c r="A834" t="inlineStr">
        <is>
          <t>A 35811-2019</t>
        </is>
      </c>
      <c r="B834" s="1" t="n">
        <v>43656</v>
      </c>
      <c r="C834" s="1" t="n">
        <v>45705</v>
      </c>
      <c r="D834" t="inlineStr">
        <is>
          <t>UPPSALA LÄN</t>
        </is>
      </c>
      <c r="E834" t="inlineStr">
        <is>
          <t>HEBY</t>
        </is>
      </c>
      <c r="F834" t="inlineStr">
        <is>
          <t>Allmännings- och besparingsskogar</t>
        </is>
      </c>
      <c r="G834" t="n">
        <v>16.5</v>
      </c>
      <c r="H834" t="n">
        <v>0</v>
      </c>
      <c r="I834" t="n">
        <v>0</v>
      </c>
      <c r="J834" t="n">
        <v>0</v>
      </c>
      <c r="K834" t="n">
        <v>0</v>
      </c>
      <c r="L834" t="n">
        <v>0</v>
      </c>
      <c r="M834" t="n">
        <v>0</v>
      </c>
      <c r="N834" t="n">
        <v>0</v>
      </c>
      <c r="O834" t="n">
        <v>0</v>
      </c>
      <c r="P834" t="n">
        <v>0</v>
      </c>
      <c r="Q834" t="n">
        <v>0</v>
      </c>
      <c r="R834" s="2" t="inlineStr"/>
    </row>
    <row r="835" ht="15" customHeight="1">
      <c r="A835" t="inlineStr">
        <is>
          <t>A 34392-2019</t>
        </is>
      </c>
      <c r="B835" s="1" t="n">
        <v>43656</v>
      </c>
      <c r="C835" s="1" t="n">
        <v>45705</v>
      </c>
      <c r="D835" t="inlineStr">
        <is>
          <t>UPPSALA LÄN</t>
        </is>
      </c>
      <c r="E835" t="inlineStr">
        <is>
          <t>TIERP</t>
        </is>
      </c>
      <c r="G835" t="n">
        <v>2.8</v>
      </c>
      <c r="H835" t="n">
        <v>0</v>
      </c>
      <c r="I835" t="n">
        <v>0</v>
      </c>
      <c r="J835" t="n">
        <v>0</v>
      </c>
      <c r="K835" t="n">
        <v>0</v>
      </c>
      <c r="L835" t="n">
        <v>0</v>
      </c>
      <c r="M835" t="n">
        <v>0</v>
      </c>
      <c r="N835" t="n">
        <v>0</v>
      </c>
      <c r="O835" t="n">
        <v>0</v>
      </c>
      <c r="P835" t="n">
        <v>0</v>
      </c>
      <c r="Q835" t="n">
        <v>0</v>
      </c>
      <c r="R835" s="2" t="inlineStr"/>
    </row>
    <row r="836" ht="15" customHeight="1">
      <c r="A836" t="inlineStr">
        <is>
          <t>A 35059-2019</t>
        </is>
      </c>
      <c r="B836" s="1" t="n">
        <v>43661</v>
      </c>
      <c r="C836" s="1" t="n">
        <v>45705</v>
      </c>
      <c r="D836" t="inlineStr">
        <is>
          <t>UPPSALA LÄN</t>
        </is>
      </c>
      <c r="E836" t="inlineStr">
        <is>
          <t>KNIVSTA</t>
        </is>
      </c>
      <c r="G836" t="n">
        <v>1.3</v>
      </c>
      <c r="H836" t="n">
        <v>0</v>
      </c>
      <c r="I836" t="n">
        <v>0</v>
      </c>
      <c r="J836" t="n">
        <v>0</v>
      </c>
      <c r="K836" t="n">
        <v>0</v>
      </c>
      <c r="L836" t="n">
        <v>0</v>
      </c>
      <c r="M836" t="n">
        <v>0</v>
      </c>
      <c r="N836" t="n">
        <v>0</v>
      </c>
      <c r="O836" t="n">
        <v>0</v>
      </c>
      <c r="P836" t="n">
        <v>0</v>
      </c>
      <c r="Q836" t="n">
        <v>0</v>
      </c>
      <c r="R836" s="2" t="inlineStr"/>
    </row>
    <row r="837" ht="15" customHeight="1">
      <c r="A837" t="inlineStr">
        <is>
          <t>A 36345-2019</t>
        </is>
      </c>
      <c r="B837" s="1" t="n">
        <v>43661</v>
      </c>
      <c r="C837" s="1" t="n">
        <v>45705</v>
      </c>
      <c r="D837" t="inlineStr">
        <is>
          <t>UPPSALA LÄN</t>
        </is>
      </c>
      <c r="E837" t="inlineStr">
        <is>
          <t>UPPSALA</t>
        </is>
      </c>
      <c r="G837" t="n">
        <v>5.3</v>
      </c>
      <c r="H837" t="n">
        <v>0</v>
      </c>
      <c r="I837" t="n">
        <v>0</v>
      </c>
      <c r="J837" t="n">
        <v>0</v>
      </c>
      <c r="K837" t="n">
        <v>0</v>
      </c>
      <c r="L837" t="n">
        <v>0</v>
      </c>
      <c r="M837" t="n">
        <v>0</v>
      </c>
      <c r="N837" t="n">
        <v>0</v>
      </c>
      <c r="O837" t="n">
        <v>0</v>
      </c>
      <c r="P837" t="n">
        <v>0</v>
      </c>
      <c r="Q837" t="n">
        <v>0</v>
      </c>
      <c r="R837" s="2" t="inlineStr"/>
    </row>
    <row r="838" ht="15" customHeight="1">
      <c r="A838" t="inlineStr">
        <is>
          <t>A 36394-2019</t>
        </is>
      </c>
      <c r="B838" s="1" t="n">
        <v>43663</v>
      </c>
      <c r="C838" s="1" t="n">
        <v>45705</v>
      </c>
      <c r="D838" t="inlineStr">
        <is>
          <t>UPPSALA LÄN</t>
        </is>
      </c>
      <c r="E838" t="inlineStr">
        <is>
          <t>UPPSALA</t>
        </is>
      </c>
      <c r="G838" t="n">
        <v>2.4</v>
      </c>
      <c r="H838" t="n">
        <v>0</v>
      </c>
      <c r="I838" t="n">
        <v>0</v>
      </c>
      <c r="J838" t="n">
        <v>0</v>
      </c>
      <c r="K838" t="n">
        <v>0</v>
      </c>
      <c r="L838" t="n">
        <v>0</v>
      </c>
      <c r="M838" t="n">
        <v>0</v>
      </c>
      <c r="N838" t="n">
        <v>0</v>
      </c>
      <c r="O838" t="n">
        <v>0</v>
      </c>
      <c r="P838" t="n">
        <v>0</v>
      </c>
      <c r="Q838" t="n">
        <v>0</v>
      </c>
      <c r="R838" s="2" t="inlineStr"/>
    </row>
    <row r="839" ht="15" customHeight="1">
      <c r="A839" t="inlineStr">
        <is>
          <t>A 35752-2019</t>
        </is>
      </c>
      <c r="B839" s="1" t="n">
        <v>43665</v>
      </c>
      <c r="C839" s="1" t="n">
        <v>45705</v>
      </c>
      <c r="D839" t="inlineStr">
        <is>
          <t>UPPSALA LÄN</t>
        </is>
      </c>
      <c r="E839" t="inlineStr">
        <is>
          <t>ENKÖPING</t>
        </is>
      </c>
      <c r="G839" t="n">
        <v>2.9</v>
      </c>
      <c r="H839" t="n">
        <v>0</v>
      </c>
      <c r="I839" t="n">
        <v>0</v>
      </c>
      <c r="J839" t="n">
        <v>0</v>
      </c>
      <c r="K839" t="n">
        <v>0</v>
      </c>
      <c r="L839" t="n">
        <v>0</v>
      </c>
      <c r="M839" t="n">
        <v>0</v>
      </c>
      <c r="N839" t="n">
        <v>0</v>
      </c>
      <c r="O839" t="n">
        <v>0</v>
      </c>
      <c r="P839" t="n">
        <v>0</v>
      </c>
      <c r="Q839" t="n">
        <v>0</v>
      </c>
      <c r="R839" s="2" t="inlineStr"/>
    </row>
    <row r="840" ht="15" customHeight="1">
      <c r="A840" t="inlineStr">
        <is>
          <t>A 36019-2019</t>
        </is>
      </c>
      <c r="B840" s="1" t="n">
        <v>43668</v>
      </c>
      <c r="C840" s="1" t="n">
        <v>45705</v>
      </c>
      <c r="D840" t="inlineStr">
        <is>
          <t>UPPSALA LÄN</t>
        </is>
      </c>
      <c r="E840" t="inlineStr">
        <is>
          <t>TIERP</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36370-2019</t>
        </is>
      </c>
      <c r="B841" s="1" t="n">
        <v>43670</v>
      </c>
      <c r="C841" s="1" t="n">
        <v>45705</v>
      </c>
      <c r="D841" t="inlineStr">
        <is>
          <t>UPPSALA LÄN</t>
        </is>
      </c>
      <c r="E841" t="inlineStr">
        <is>
          <t>ENKÖPING</t>
        </is>
      </c>
      <c r="G841" t="n">
        <v>26.9</v>
      </c>
      <c r="H841" t="n">
        <v>0</v>
      </c>
      <c r="I841" t="n">
        <v>0</v>
      </c>
      <c r="J841" t="n">
        <v>0</v>
      </c>
      <c r="K841" t="n">
        <v>0</v>
      </c>
      <c r="L841" t="n">
        <v>0</v>
      </c>
      <c r="M841" t="n">
        <v>0</v>
      </c>
      <c r="N841" t="n">
        <v>0</v>
      </c>
      <c r="O841" t="n">
        <v>0</v>
      </c>
      <c r="P841" t="n">
        <v>0</v>
      </c>
      <c r="Q841" t="n">
        <v>0</v>
      </c>
      <c r="R841" s="2" t="inlineStr"/>
    </row>
    <row r="842" ht="15" customHeight="1">
      <c r="A842" t="inlineStr">
        <is>
          <t>A 36733-2019</t>
        </is>
      </c>
      <c r="B842" s="1" t="n">
        <v>43672</v>
      </c>
      <c r="C842" s="1" t="n">
        <v>45705</v>
      </c>
      <c r="D842" t="inlineStr">
        <is>
          <t>UPPSALA LÄN</t>
        </is>
      </c>
      <c r="E842" t="inlineStr">
        <is>
          <t>ENKÖPING</t>
        </is>
      </c>
      <c r="G842" t="n">
        <v>1.5</v>
      </c>
      <c r="H842" t="n">
        <v>0</v>
      </c>
      <c r="I842" t="n">
        <v>0</v>
      </c>
      <c r="J842" t="n">
        <v>0</v>
      </c>
      <c r="K842" t="n">
        <v>0</v>
      </c>
      <c r="L842" t="n">
        <v>0</v>
      </c>
      <c r="M842" t="n">
        <v>0</v>
      </c>
      <c r="N842" t="n">
        <v>0</v>
      </c>
      <c r="O842" t="n">
        <v>0</v>
      </c>
      <c r="P842" t="n">
        <v>0</v>
      </c>
      <c r="Q842" t="n">
        <v>0</v>
      </c>
      <c r="R842" s="2" t="inlineStr"/>
    </row>
    <row r="843" ht="15" customHeight="1">
      <c r="A843" t="inlineStr">
        <is>
          <t>A 37114-2019</t>
        </is>
      </c>
      <c r="B843" s="1" t="n">
        <v>43676</v>
      </c>
      <c r="C843" s="1" t="n">
        <v>45705</v>
      </c>
      <c r="D843" t="inlineStr">
        <is>
          <t>UPPSALA LÄN</t>
        </is>
      </c>
      <c r="E843" t="inlineStr">
        <is>
          <t>TIERP</t>
        </is>
      </c>
      <c r="G843" t="n">
        <v>1.9</v>
      </c>
      <c r="H843" t="n">
        <v>0</v>
      </c>
      <c r="I843" t="n">
        <v>0</v>
      </c>
      <c r="J843" t="n">
        <v>0</v>
      </c>
      <c r="K843" t="n">
        <v>0</v>
      </c>
      <c r="L843" t="n">
        <v>0</v>
      </c>
      <c r="M843" t="n">
        <v>0</v>
      </c>
      <c r="N843" t="n">
        <v>0</v>
      </c>
      <c r="O843" t="n">
        <v>0</v>
      </c>
      <c r="P843" t="n">
        <v>0</v>
      </c>
      <c r="Q843" t="n">
        <v>0</v>
      </c>
      <c r="R843" s="2" t="inlineStr"/>
    </row>
    <row r="844" ht="15" customHeight="1">
      <c r="A844" t="inlineStr">
        <is>
          <t>A 37092-2019</t>
        </is>
      </c>
      <c r="B844" s="1" t="n">
        <v>43676</v>
      </c>
      <c r="C844" s="1" t="n">
        <v>45705</v>
      </c>
      <c r="D844" t="inlineStr">
        <is>
          <t>UPPSALA LÄN</t>
        </is>
      </c>
      <c r="E844" t="inlineStr">
        <is>
          <t>HEBY</t>
        </is>
      </c>
      <c r="G844" t="n">
        <v>4.6</v>
      </c>
      <c r="H844" t="n">
        <v>0</v>
      </c>
      <c r="I844" t="n">
        <v>0</v>
      </c>
      <c r="J844" t="n">
        <v>0</v>
      </c>
      <c r="K844" t="n">
        <v>0</v>
      </c>
      <c r="L844" t="n">
        <v>0</v>
      </c>
      <c r="M844" t="n">
        <v>0</v>
      </c>
      <c r="N844" t="n">
        <v>0</v>
      </c>
      <c r="O844" t="n">
        <v>0</v>
      </c>
      <c r="P844" t="n">
        <v>0</v>
      </c>
      <c r="Q844" t="n">
        <v>0</v>
      </c>
      <c r="R844" s="2" t="inlineStr"/>
    </row>
    <row r="845" ht="15" customHeight="1">
      <c r="A845" t="inlineStr">
        <is>
          <t>A 37234-2019</t>
        </is>
      </c>
      <c r="B845" s="1" t="n">
        <v>43677</v>
      </c>
      <c r="C845" s="1" t="n">
        <v>45705</v>
      </c>
      <c r="D845" t="inlineStr">
        <is>
          <t>UPPSALA LÄN</t>
        </is>
      </c>
      <c r="E845" t="inlineStr">
        <is>
          <t>UPPSALA</t>
        </is>
      </c>
      <c r="G845" t="n">
        <v>3.2</v>
      </c>
      <c r="H845" t="n">
        <v>0</v>
      </c>
      <c r="I845" t="n">
        <v>0</v>
      </c>
      <c r="J845" t="n">
        <v>0</v>
      </c>
      <c r="K845" t="n">
        <v>0</v>
      </c>
      <c r="L845" t="n">
        <v>0</v>
      </c>
      <c r="M845" t="n">
        <v>0</v>
      </c>
      <c r="N845" t="n">
        <v>0</v>
      </c>
      <c r="O845" t="n">
        <v>0</v>
      </c>
      <c r="P845" t="n">
        <v>0</v>
      </c>
      <c r="Q845" t="n">
        <v>0</v>
      </c>
      <c r="R845" s="2" t="inlineStr"/>
    </row>
    <row r="846" ht="15" customHeight="1">
      <c r="A846" t="inlineStr">
        <is>
          <t>A 37519-2019</t>
        </is>
      </c>
      <c r="B846" s="1" t="n">
        <v>43679</v>
      </c>
      <c r="C846" s="1" t="n">
        <v>45705</v>
      </c>
      <c r="D846" t="inlineStr">
        <is>
          <t>UPPSALA LÄN</t>
        </is>
      </c>
      <c r="E846" t="inlineStr">
        <is>
          <t>ENKÖPING</t>
        </is>
      </c>
      <c r="G846" t="n">
        <v>1</v>
      </c>
      <c r="H846" t="n">
        <v>0</v>
      </c>
      <c r="I846" t="n">
        <v>0</v>
      </c>
      <c r="J846" t="n">
        <v>0</v>
      </c>
      <c r="K846" t="n">
        <v>0</v>
      </c>
      <c r="L846" t="n">
        <v>0</v>
      </c>
      <c r="M846" t="n">
        <v>0</v>
      </c>
      <c r="N846" t="n">
        <v>0</v>
      </c>
      <c r="O846" t="n">
        <v>0</v>
      </c>
      <c r="P846" t="n">
        <v>0</v>
      </c>
      <c r="Q846" t="n">
        <v>0</v>
      </c>
      <c r="R846" s="2" t="inlineStr"/>
    </row>
    <row r="847" ht="15" customHeight="1">
      <c r="A847" t="inlineStr">
        <is>
          <t>A 37702-2019</t>
        </is>
      </c>
      <c r="B847" s="1" t="n">
        <v>43682</v>
      </c>
      <c r="C847" s="1" t="n">
        <v>45705</v>
      </c>
      <c r="D847" t="inlineStr">
        <is>
          <t>UPPSALA LÄN</t>
        </is>
      </c>
      <c r="E847" t="inlineStr">
        <is>
          <t>ENKÖPING</t>
        </is>
      </c>
      <c r="G847" t="n">
        <v>1.1</v>
      </c>
      <c r="H847" t="n">
        <v>0</v>
      </c>
      <c r="I847" t="n">
        <v>0</v>
      </c>
      <c r="J847" t="n">
        <v>0</v>
      </c>
      <c r="K847" t="n">
        <v>0</v>
      </c>
      <c r="L847" t="n">
        <v>0</v>
      </c>
      <c r="M847" t="n">
        <v>0</v>
      </c>
      <c r="N847" t="n">
        <v>0</v>
      </c>
      <c r="O847" t="n">
        <v>0</v>
      </c>
      <c r="P847" t="n">
        <v>0</v>
      </c>
      <c r="Q847" t="n">
        <v>0</v>
      </c>
      <c r="R847" s="2" t="inlineStr"/>
    </row>
    <row r="848" ht="15" customHeight="1">
      <c r="A848" t="inlineStr">
        <is>
          <t>A 37711-2019</t>
        </is>
      </c>
      <c r="B848" s="1" t="n">
        <v>43682</v>
      </c>
      <c r="C848" s="1" t="n">
        <v>45705</v>
      </c>
      <c r="D848" t="inlineStr">
        <is>
          <t>UPPSALA LÄN</t>
        </is>
      </c>
      <c r="E848" t="inlineStr">
        <is>
          <t>UPPSALA</t>
        </is>
      </c>
      <c r="G848" t="n">
        <v>4</v>
      </c>
      <c r="H848" t="n">
        <v>0</v>
      </c>
      <c r="I848" t="n">
        <v>0</v>
      </c>
      <c r="J848" t="n">
        <v>0</v>
      </c>
      <c r="K848" t="n">
        <v>0</v>
      </c>
      <c r="L848" t="n">
        <v>0</v>
      </c>
      <c r="M848" t="n">
        <v>0</v>
      </c>
      <c r="N848" t="n">
        <v>0</v>
      </c>
      <c r="O848" t="n">
        <v>0</v>
      </c>
      <c r="P848" t="n">
        <v>0</v>
      </c>
      <c r="Q848" t="n">
        <v>0</v>
      </c>
      <c r="R848" s="2" t="inlineStr"/>
    </row>
    <row r="849" ht="15" customHeight="1">
      <c r="A849" t="inlineStr">
        <is>
          <t>A 37700-2019</t>
        </is>
      </c>
      <c r="B849" s="1" t="n">
        <v>43682</v>
      </c>
      <c r="C849" s="1" t="n">
        <v>45705</v>
      </c>
      <c r="D849" t="inlineStr">
        <is>
          <t>UPPSALA LÄN</t>
        </is>
      </c>
      <c r="E849" t="inlineStr">
        <is>
          <t>ENKÖPING</t>
        </is>
      </c>
      <c r="G849" t="n">
        <v>2.9</v>
      </c>
      <c r="H849" t="n">
        <v>0</v>
      </c>
      <c r="I849" t="n">
        <v>0</v>
      </c>
      <c r="J849" t="n">
        <v>0</v>
      </c>
      <c r="K849" t="n">
        <v>0</v>
      </c>
      <c r="L849" t="n">
        <v>0</v>
      </c>
      <c r="M849" t="n">
        <v>0</v>
      </c>
      <c r="N849" t="n">
        <v>0</v>
      </c>
      <c r="O849" t="n">
        <v>0</v>
      </c>
      <c r="P849" t="n">
        <v>0</v>
      </c>
      <c r="Q849" t="n">
        <v>0</v>
      </c>
      <c r="R849" s="2" t="inlineStr"/>
    </row>
    <row r="850" ht="15" customHeight="1">
      <c r="A850" t="inlineStr">
        <is>
          <t>A 37936-2019</t>
        </is>
      </c>
      <c r="B850" s="1" t="n">
        <v>43683</v>
      </c>
      <c r="C850" s="1" t="n">
        <v>45705</v>
      </c>
      <c r="D850" t="inlineStr">
        <is>
          <t>UPPSALA LÄN</t>
        </is>
      </c>
      <c r="E850" t="inlineStr">
        <is>
          <t>ENKÖPING</t>
        </is>
      </c>
      <c r="G850" t="n">
        <v>0.9</v>
      </c>
      <c r="H850" t="n">
        <v>0</v>
      </c>
      <c r="I850" t="n">
        <v>0</v>
      </c>
      <c r="J850" t="n">
        <v>0</v>
      </c>
      <c r="K850" t="n">
        <v>0</v>
      </c>
      <c r="L850" t="n">
        <v>0</v>
      </c>
      <c r="M850" t="n">
        <v>0</v>
      </c>
      <c r="N850" t="n">
        <v>0</v>
      </c>
      <c r="O850" t="n">
        <v>0</v>
      </c>
      <c r="P850" t="n">
        <v>0</v>
      </c>
      <c r="Q850" t="n">
        <v>0</v>
      </c>
      <c r="R850" s="2" t="inlineStr"/>
    </row>
    <row r="851" ht="15" customHeight="1">
      <c r="A851" t="inlineStr">
        <is>
          <t>A 38204-2019</t>
        </is>
      </c>
      <c r="B851" s="1" t="n">
        <v>43683</v>
      </c>
      <c r="C851" s="1" t="n">
        <v>45705</v>
      </c>
      <c r="D851" t="inlineStr">
        <is>
          <t>UPPSALA LÄN</t>
        </is>
      </c>
      <c r="E851" t="inlineStr">
        <is>
          <t>ENKÖPING</t>
        </is>
      </c>
      <c r="G851" t="n">
        <v>1.5</v>
      </c>
      <c r="H851" t="n">
        <v>0</v>
      </c>
      <c r="I851" t="n">
        <v>0</v>
      </c>
      <c r="J851" t="n">
        <v>0</v>
      </c>
      <c r="K851" t="n">
        <v>0</v>
      </c>
      <c r="L851" t="n">
        <v>0</v>
      </c>
      <c r="M851" t="n">
        <v>0</v>
      </c>
      <c r="N851" t="n">
        <v>0</v>
      </c>
      <c r="O851" t="n">
        <v>0</v>
      </c>
      <c r="P851" t="n">
        <v>0</v>
      </c>
      <c r="Q851" t="n">
        <v>0</v>
      </c>
      <c r="R851" s="2" t="inlineStr"/>
    </row>
    <row r="852" ht="15" customHeight="1">
      <c r="A852" t="inlineStr">
        <is>
          <t>A 38189-2019</t>
        </is>
      </c>
      <c r="B852" s="1" t="n">
        <v>43684</v>
      </c>
      <c r="C852" s="1" t="n">
        <v>45705</v>
      </c>
      <c r="D852" t="inlineStr">
        <is>
          <t>UPPSALA LÄN</t>
        </is>
      </c>
      <c r="E852" t="inlineStr">
        <is>
          <t>ENKÖPING</t>
        </is>
      </c>
      <c r="G852" t="n">
        <v>1.3</v>
      </c>
      <c r="H852" t="n">
        <v>0</v>
      </c>
      <c r="I852" t="n">
        <v>0</v>
      </c>
      <c r="J852" t="n">
        <v>0</v>
      </c>
      <c r="K852" t="n">
        <v>0</v>
      </c>
      <c r="L852" t="n">
        <v>0</v>
      </c>
      <c r="M852" t="n">
        <v>0</v>
      </c>
      <c r="N852" t="n">
        <v>0</v>
      </c>
      <c r="O852" t="n">
        <v>0</v>
      </c>
      <c r="P852" t="n">
        <v>0</v>
      </c>
      <c r="Q852" t="n">
        <v>0</v>
      </c>
      <c r="R852" s="2" t="inlineStr"/>
    </row>
    <row r="853" ht="15" customHeight="1">
      <c r="A853" t="inlineStr">
        <is>
          <t>A 38205-2019</t>
        </is>
      </c>
      <c r="B853" s="1" t="n">
        <v>43684</v>
      </c>
      <c r="C853" s="1" t="n">
        <v>45705</v>
      </c>
      <c r="D853" t="inlineStr">
        <is>
          <t>UPPSALA LÄN</t>
        </is>
      </c>
      <c r="E853" t="inlineStr">
        <is>
          <t>ENKÖPING</t>
        </is>
      </c>
      <c r="G853" t="n">
        <v>0.5</v>
      </c>
      <c r="H853" t="n">
        <v>0</v>
      </c>
      <c r="I853" t="n">
        <v>0</v>
      </c>
      <c r="J853" t="n">
        <v>0</v>
      </c>
      <c r="K853" t="n">
        <v>0</v>
      </c>
      <c r="L853" t="n">
        <v>0</v>
      </c>
      <c r="M853" t="n">
        <v>0</v>
      </c>
      <c r="N853" t="n">
        <v>0</v>
      </c>
      <c r="O853" t="n">
        <v>0</v>
      </c>
      <c r="P853" t="n">
        <v>0</v>
      </c>
      <c r="Q853" t="n">
        <v>0</v>
      </c>
      <c r="R853" s="2" t="inlineStr"/>
    </row>
    <row r="854" ht="15" customHeight="1">
      <c r="A854" t="inlineStr">
        <is>
          <t>A 40148-2019</t>
        </is>
      </c>
      <c r="B854" s="1" t="n">
        <v>43684</v>
      </c>
      <c r="C854" s="1" t="n">
        <v>45705</v>
      </c>
      <c r="D854" t="inlineStr">
        <is>
          <t>UPPSALA LÄN</t>
        </is>
      </c>
      <c r="E854" t="inlineStr">
        <is>
          <t>HÅBO</t>
        </is>
      </c>
      <c r="G854" t="n">
        <v>1.5</v>
      </c>
      <c r="H854" t="n">
        <v>0</v>
      </c>
      <c r="I854" t="n">
        <v>0</v>
      </c>
      <c r="J854" t="n">
        <v>0</v>
      </c>
      <c r="K854" t="n">
        <v>0</v>
      </c>
      <c r="L854" t="n">
        <v>0</v>
      </c>
      <c r="M854" t="n">
        <v>0</v>
      </c>
      <c r="N854" t="n">
        <v>0</v>
      </c>
      <c r="O854" t="n">
        <v>0</v>
      </c>
      <c r="P854" t="n">
        <v>0</v>
      </c>
      <c r="Q854" t="n">
        <v>0</v>
      </c>
      <c r="R854" s="2" t="inlineStr"/>
    </row>
    <row r="855" ht="15" customHeight="1">
      <c r="A855" t="inlineStr">
        <is>
          <t>A 38475-2019</t>
        </is>
      </c>
      <c r="B855" s="1" t="n">
        <v>43685</v>
      </c>
      <c r="C855" s="1" t="n">
        <v>45705</v>
      </c>
      <c r="D855" t="inlineStr">
        <is>
          <t>UPPSALA LÄN</t>
        </is>
      </c>
      <c r="E855" t="inlineStr">
        <is>
          <t>ENKÖPING</t>
        </is>
      </c>
      <c r="G855" t="n">
        <v>1.9</v>
      </c>
      <c r="H855" t="n">
        <v>0</v>
      </c>
      <c r="I855" t="n">
        <v>0</v>
      </c>
      <c r="J855" t="n">
        <v>0</v>
      </c>
      <c r="K855" t="n">
        <v>0</v>
      </c>
      <c r="L855" t="n">
        <v>0</v>
      </c>
      <c r="M855" t="n">
        <v>0</v>
      </c>
      <c r="N855" t="n">
        <v>0</v>
      </c>
      <c r="O855" t="n">
        <v>0</v>
      </c>
      <c r="P855" t="n">
        <v>0</v>
      </c>
      <c r="Q855" t="n">
        <v>0</v>
      </c>
      <c r="R855" s="2" t="inlineStr"/>
    </row>
    <row r="856" ht="15" customHeight="1">
      <c r="A856" t="inlineStr">
        <is>
          <t>A 38684-2019</t>
        </is>
      </c>
      <c r="B856" s="1" t="n">
        <v>43686</v>
      </c>
      <c r="C856" s="1" t="n">
        <v>45705</v>
      </c>
      <c r="D856" t="inlineStr">
        <is>
          <t>UPPSALA LÄN</t>
        </is>
      </c>
      <c r="E856" t="inlineStr">
        <is>
          <t>UPPSALA</t>
        </is>
      </c>
      <c r="G856" t="n">
        <v>0.4</v>
      </c>
      <c r="H856" t="n">
        <v>0</v>
      </c>
      <c r="I856" t="n">
        <v>0</v>
      </c>
      <c r="J856" t="n">
        <v>0</v>
      </c>
      <c r="K856" t="n">
        <v>0</v>
      </c>
      <c r="L856" t="n">
        <v>0</v>
      </c>
      <c r="M856" t="n">
        <v>0</v>
      </c>
      <c r="N856" t="n">
        <v>0</v>
      </c>
      <c r="O856" t="n">
        <v>0</v>
      </c>
      <c r="P856" t="n">
        <v>0</v>
      </c>
      <c r="Q856" t="n">
        <v>0</v>
      </c>
      <c r="R856" s="2" t="inlineStr"/>
    </row>
    <row r="857" ht="15" customHeight="1">
      <c r="A857" t="inlineStr">
        <is>
          <t>A 39554-2019</t>
        </is>
      </c>
      <c r="B857" s="1" t="n">
        <v>43686</v>
      </c>
      <c r="C857" s="1" t="n">
        <v>45705</v>
      </c>
      <c r="D857" t="inlineStr">
        <is>
          <t>UPPSALA LÄN</t>
        </is>
      </c>
      <c r="E857" t="inlineStr">
        <is>
          <t>TIERP</t>
        </is>
      </c>
      <c r="G857" t="n">
        <v>2.6</v>
      </c>
      <c r="H857" t="n">
        <v>0</v>
      </c>
      <c r="I857" t="n">
        <v>0</v>
      </c>
      <c r="J857" t="n">
        <v>0</v>
      </c>
      <c r="K857" t="n">
        <v>0</v>
      </c>
      <c r="L857" t="n">
        <v>0</v>
      </c>
      <c r="M857" t="n">
        <v>0</v>
      </c>
      <c r="N857" t="n">
        <v>0</v>
      </c>
      <c r="O857" t="n">
        <v>0</v>
      </c>
      <c r="P857" t="n">
        <v>0</v>
      </c>
      <c r="Q857" t="n">
        <v>0</v>
      </c>
      <c r="R857" s="2" t="inlineStr"/>
    </row>
    <row r="858" ht="15" customHeight="1">
      <c r="A858" t="inlineStr">
        <is>
          <t>A 39582-2019</t>
        </is>
      </c>
      <c r="B858" s="1" t="n">
        <v>43686</v>
      </c>
      <c r="C858" s="1" t="n">
        <v>45705</v>
      </c>
      <c r="D858" t="inlineStr">
        <is>
          <t>UPPSALA LÄN</t>
        </is>
      </c>
      <c r="E858" t="inlineStr">
        <is>
          <t>ÖSTHAMMAR</t>
        </is>
      </c>
      <c r="G858" t="n">
        <v>12.2</v>
      </c>
      <c r="H858" t="n">
        <v>0</v>
      </c>
      <c r="I858" t="n">
        <v>0</v>
      </c>
      <c r="J858" t="n">
        <v>0</v>
      </c>
      <c r="K858" t="n">
        <v>0</v>
      </c>
      <c r="L858" t="n">
        <v>0</v>
      </c>
      <c r="M858" t="n">
        <v>0</v>
      </c>
      <c r="N858" t="n">
        <v>0</v>
      </c>
      <c r="O858" t="n">
        <v>0</v>
      </c>
      <c r="P858" t="n">
        <v>0</v>
      </c>
      <c r="Q858" t="n">
        <v>0</v>
      </c>
      <c r="R858" s="2" t="inlineStr"/>
    </row>
    <row r="859" ht="15" customHeight="1">
      <c r="A859" t="inlineStr">
        <is>
          <t>A 38896-2019</t>
        </is>
      </c>
      <c r="B859" s="1" t="n">
        <v>43689</v>
      </c>
      <c r="C859" s="1" t="n">
        <v>45705</v>
      </c>
      <c r="D859" t="inlineStr">
        <is>
          <t>UPPSALA LÄN</t>
        </is>
      </c>
      <c r="E859" t="inlineStr">
        <is>
          <t>ENKÖPING</t>
        </is>
      </c>
      <c r="G859" t="n">
        <v>0.9</v>
      </c>
      <c r="H859" t="n">
        <v>0</v>
      </c>
      <c r="I859" t="n">
        <v>0</v>
      </c>
      <c r="J859" t="n">
        <v>0</v>
      </c>
      <c r="K859" t="n">
        <v>0</v>
      </c>
      <c r="L859" t="n">
        <v>0</v>
      </c>
      <c r="M859" t="n">
        <v>0</v>
      </c>
      <c r="N859" t="n">
        <v>0</v>
      </c>
      <c r="O859" t="n">
        <v>0</v>
      </c>
      <c r="P859" t="n">
        <v>0</v>
      </c>
      <c r="Q859" t="n">
        <v>0</v>
      </c>
      <c r="R859" s="2" t="inlineStr"/>
    </row>
    <row r="860" ht="15" customHeight="1">
      <c r="A860" t="inlineStr">
        <is>
          <t>A 39918-2019</t>
        </is>
      </c>
      <c r="B860" s="1" t="n">
        <v>43689</v>
      </c>
      <c r="C860" s="1" t="n">
        <v>45705</v>
      </c>
      <c r="D860" t="inlineStr">
        <is>
          <t>UPPSALA LÄN</t>
        </is>
      </c>
      <c r="E860" t="inlineStr">
        <is>
          <t>HEBY</t>
        </is>
      </c>
      <c r="G860" t="n">
        <v>4.1</v>
      </c>
      <c r="H860" t="n">
        <v>0</v>
      </c>
      <c r="I860" t="n">
        <v>0</v>
      </c>
      <c r="J860" t="n">
        <v>0</v>
      </c>
      <c r="K860" t="n">
        <v>0</v>
      </c>
      <c r="L860" t="n">
        <v>0</v>
      </c>
      <c r="M860" t="n">
        <v>0</v>
      </c>
      <c r="N860" t="n">
        <v>0</v>
      </c>
      <c r="O860" t="n">
        <v>0</v>
      </c>
      <c r="P860" t="n">
        <v>0</v>
      </c>
      <c r="Q860" t="n">
        <v>0</v>
      </c>
      <c r="R860" s="2" t="inlineStr"/>
    </row>
    <row r="861" ht="15" customHeight="1">
      <c r="A861" t="inlineStr">
        <is>
          <t>A 39087-2019</t>
        </is>
      </c>
      <c r="B861" s="1" t="n">
        <v>43689</v>
      </c>
      <c r="C861" s="1" t="n">
        <v>45705</v>
      </c>
      <c r="D861" t="inlineStr">
        <is>
          <t>UPPSALA LÄN</t>
        </is>
      </c>
      <c r="E861" t="inlineStr">
        <is>
          <t>HEBY</t>
        </is>
      </c>
      <c r="G861" t="n">
        <v>1.2</v>
      </c>
      <c r="H861" t="n">
        <v>0</v>
      </c>
      <c r="I861" t="n">
        <v>0</v>
      </c>
      <c r="J861" t="n">
        <v>0</v>
      </c>
      <c r="K861" t="n">
        <v>0</v>
      </c>
      <c r="L861" t="n">
        <v>0</v>
      </c>
      <c r="M861" t="n">
        <v>0</v>
      </c>
      <c r="N861" t="n">
        <v>0</v>
      </c>
      <c r="O861" t="n">
        <v>0</v>
      </c>
      <c r="P861" t="n">
        <v>0</v>
      </c>
      <c r="Q861" t="n">
        <v>0</v>
      </c>
      <c r="R861" s="2" t="inlineStr"/>
    </row>
    <row r="862" ht="15" customHeight="1">
      <c r="A862" t="inlineStr">
        <is>
          <t>A 38899-2019</t>
        </is>
      </c>
      <c r="B862" s="1" t="n">
        <v>43689</v>
      </c>
      <c r="C862" s="1" t="n">
        <v>45705</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39911-2019</t>
        </is>
      </c>
      <c r="B863" s="1" t="n">
        <v>43692</v>
      </c>
      <c r="C863" s="1" t="n">
        <v>45705</v>
      </c>
      <c r="D863" t="inlineStr">
        <is>
          <t>UPPSALA LÄN</t>
        </is>
      </c>
      <c r="E863" t="inlineStr">
        <is>
          <t>TIERP</t>
        </is>
      </c>
      <c r="G863" t="n">
        <v>5.2</v>
      </c>
      <c r="H863" t="n">
        <v>0</v>
      </c>
      <c r="I863" t="n">
        <v>0</v>
      </c>
      <c r="J863" t="n">
        <v>0</v>
      </c>
      <c r="K863" t="n">
        <v>0</v>
      </c>
      <c r="L863" t="n">
        <v>0</v>
      </c>
      <c r="M863" t="n">
        <v>0</v>
      </c>
      <c r="N863" t="n">
        <v>0</v>
      </c>
      <c r="O863" t="n">
        <v>0</v>
      </c>
      <c r="P863" t="n">
        <v>0</v>
      </c>
      <c r="Q863" t="n">
        <v>0</v>
      </c>
      <c r="R863" s="2" t="inlineStr"/>
    </row>
    <row r="864" ht="15" customHeight="1">
      <c r="A864" t="inlineStr">
        <is>
          <t>A 39914-2019</t>
        </is>
      </c>
      <c r="B864" s="1" t="n">
        <v>43692</v>
      </c>
      <c r="C864" s="1" t="n">
        <v>45705</v>
      </c>
      <c r="D864" t="inlineStr">
        <is>
          <t>UPPSALA LÄN</t>
        </is>
      </c>
      <c r="E864" t="inlineStr">
        <is>
          <t>TIERP</t>
        </is>
      </c>
      <c r="G864" t="n">
        <v>0.6</v>
      </c>
      <c r="H864" t="n">
        <v>0</v>
      </c>
      <c r="I864" t="n">
        <v>0</v>
      </c>
      <c r="J864" t="n">
        <v>0</v>
      </c>
      <c r="K864" t="n">
        <v>0</v>
      </c>
      <c r="L864" t="n">
        <v>0</v>
      </c>
      <c r="M864" t="n">
        <v>0</v>
      </c>
      <c r="N864" t="n">
        <v>0</v>
      </c>
      <c r="O864" t="n">
        <v>0</v>
      </c>
      <c r="P864" t="n">
        <v>0</v>
      </c>
      <c r="Q864" t="n">
        <v>0</v>
      </c>
      <c r="R864" s="2" t="inlineStr"/>
    </row>
    <row r="865" ht="15" customHeight="1">
      <c r="A865" t="inlineStr">
        <is>
          <t>A 39910-2019</t>
        </is>
      </c>
      <c r="B865" s="1" t="n">
        <v>43692</v>
      </c>
      <c r="C865" s="1" t="n">
        <v>45705</v>
      </c>
      <c r="D865" t="inlineStr">
        <is>
          <t>UPPSALA LÄN</t>
        </is>
      </c>
      <c r="E865" t="inlineStr">
        <is>
          <t>ÖSTHAMMAR</t>
        </is>
      </c>
      <c r="G865" t="n">
        <v>3.9</v>
      </c>
      <c r="H865" t="n">
        <v>0</v>
      </c>
      <c r="I865" t="n">
        <v>0</v>
      </c>
      <c r="J865" t="n">
        <v>0</v>
      </c>
      <c r="K865" t="n">
        <v>0</v>
      </c>
      <c r="L865" t="n">
        <v>0</v>
      </c>
      <c r="M865" t="n">
        <v>0</v>
      </c>
      <c r="N865" t="n">
        <v>0</v>
      </c>
      <c r="O865" t="n">
        <v>0</v>
      </c>
      <c r="P865" t="n">
        <v>0</v>
      </c>
      <c r="Q865" t="n">
        <v>0</v>
      </c>
      <c r="R865" s="2" t="inlineStr"/>
    </row>
    <row r="866" ht="15" customHeight="1">
      <c r="A866" t="inlineStr">
        <is>
          <t>A 40151-2019</t>
        </is>
      </c>
      <c r="B866" s="1" t="n">
        <v>43693</v>
      </c>
      <c r="C866" s="1" t="n">
        <v>45705</v>
      </c>
      <c r="D866" t="inlineStr">
        <is>
          <t>UPPSALA LÄN</t>
        </is>
      </c>
      <c r="E866" t="inlineStr">
        <is>
          <t>UPPSALA</t>
        </is>
      </c>
      <c r="G866" t="n">
        <v>0.5</v>
      </c>
      <c r="H866" t="n">
        <v>0</v>
      </c>
      <c r="I866" t="n">
        <v>0</v>
      </c>
      <c r="J866" t="n">
        <v>0</v>
      </c>
      <c r="K866" t="n">
        <v>0</v>
      </c>
      <c r="L866" t="n">
        <v>0</v>
      </c>
      <c r="M866" t="n">
        <v>0</v>
      </c>
      <c r="N866" t="n">
        <v>0</v>
      </c>
      <c r="O866" t="n">
        <v>0</v>
      </c>
      <c r="P866" t="n">
        <v>0</v>
      </c>
      <c r="Q866" t="n">
        <v>0</v>
      </c>
      <c r="R866" s="2" t="inlineStr"/>
    </row>
    <row r="867" ht="15" customHeight="1">
      <c r="A867" t="inlineStr">
        <is>
          <t>A 40247-2019</t>
        </is>
      </c>
      <c r="B867" s="1" t="n">
        <v>43695</v>
      </c>
      <c r="C867" s="1" t="n">
        <v>45705</v>
      </c>
      <c r="D867" t="inlineStr">
        <is>
          <t>UPPSALA LÄN</t>
        </is>
      </c>
      <c r="E867" t="inlineStr">
        <is>
          <t>ENKÖPING</t>
        </is>
      </c>
      <c r="G867" t="n">
        <v>2.6</v>
      </c>
      <c r="H867" t="n">
        <v>0</v>
      </c>
      <c r="I867" t="n">
        <v>0</v>
      </c>
      <c r="J867" t="n">
        <v>0</v>
      </c>
      <c r="K867" t="n">
        <v>0</v>
      </c>
      <c r="L867" t="n">
        <v>0</v>
      </c>
      <c r="M867" t="n">
        <v>0</v>
      </c>
      <c r="N867" t="n">
        <v>0</v>
      </c>
      <c r="O867" t="n">
        <v>0</v>
      </c>
      <c r="P867" t="n">
        <v>0</v>
      </c>
      <c r="Q867" t="n">
        <v>0</v>
      </c>
      <c r="R867" s="2" t="inlineStr"/>
    </row>
    <row r="868" ht="15" customHeight="1">
      <c r="A868" t="inlineStr">
        <is>
          <t>A 40336-2019</t>
        </is>
      </c>
      <c r="B868" s="1" t="n">
        <v>43696</v>
      </c>
      <c r="C868" s="1" t="n">
        <v>45705</v>
      </c>
      <c r="D868" t="inlineStr">
        <is>
          <t>UPPSALA LÄN</t>
        </is>
      </c>
      <c r="E868" t="inlineStr">
        <is>
          <t>HEBY</t>
        </is>
      </c>
      <c r="G868" t="n">
        <v>2.2</v>
      </c>
      <c r="H868" t="n">
        <v>0</v>
      </c>
      <c r="I868" t="n">
        <v>0</v>
      </c>
      <c r="J868" t="n">
        <v>0</v>
      </c>
      <c r="K868" t="n">
        <v>0</v>
      </c>
      <c r="L868" t="n">
        <v>0</v>
      </c>
      <c r="M868" t="n">
        <v>0</v>
      </c>
      <c r="N868" t="n">
        <v>0</v>
      </c>
      <c r="O868" t="n">
        <v>0</v>
      </c>
      <c r="P868" t="n">
        <v>0</v>
      </c>
      <c r="Q868" t="n">
        <v>0</v>
      </c>
      <c r="R868" s="2" t="inlineStr"/>
    </row>
    <row r="869" ht="15" customHeight="1">
      <c r="A869" t="inlineStr">
        <is>
          <t>A 41609-2019</t>
        </is>
      </c>
      <c r="B869" s="1" t="n">
        <v>43696</v>
      </c>
      <c r="C869" s="1" t="n">
        <v>45705</v>
      </c>
      <c r="D869" t="inlineStr">
        <is>
          <t>UPPSALA LÄN</t>
        </is>
      </c>
      <c r="E869" t="inlineStr">
        <is>
          <t>UPPSALA</t>
        </is>
      </c>
      <c r="F869" t="inlineStr">
        <is>
          <t>Övriga Aktiebolag</t>
        </is>
      </c>
      <c r="G869" t="n">
        <v>1.7</v>
      </c>
      <c r="H869" t="n">
        <v>0</v>
      </c>
      <c r="I869" t="n">
        <v>0</v>
      </c>
      <c r="J869" t="n">
        <v>0</v>
      </c>
      <c r="K869" t="n">
        <v>0</v>
      </c>
      <c r="L869" t="n">
        <v>0</v>
      </c>
      <c r="M869" t="n">
        <v>0</v>
      </c>
      <c r="N869" t="n">
        <v>0</v>
      </c>
      <c r="O869" t="n">
        <v>0</v>
      </c>
      <c r="P869" t="n">
        <v>0</v>
      </c>
      <c r="Q869" t="n">
        <v>0</v>
      </c>
      <c r="R869" s="2" t="inlineStr"/>
    </row>
    <row r="870" ht="15" customHeight="1">
      <c r="A870" t="inlineStr">
        <is>
          <t>A 41653-2019</t>
        </is>
      </c>
      <c r="B870" s="1" t="n">
        <v>43696</v>
      </c>
      <c r="C870" s="1" t="n">
        <v>45705</v>
      </c>
      <c r="D870" t="inlineStr">
        <is>
          <t>UPPSALA LÄN</t>
        </is>
      </c>
      <c r="E870" t="inlineStr">
        <is>
          <t>UPPSALA</t>
        </is>
      </c>
      <c r="G870" t="n">
        <v>5.2</v>
      </c>
      <c r="H870" t="n">
        <v>0</v>
      </c>
      <c r="I870" t="n">
        <v>0</v>
      </c>
      <c r="J870" t="n">
        <v>0</v>
      </c>
      <c r="K870" t="n">
        <v>0</v>
      </c>
      <c r="L870" t="n">
        <v>0</v>
      </c>
      <c r="M870" t="n">
        <v>0</v>
      </c>
      <c r="N870" t="n">
        <v>0</v>
      </c>
      <c r="O870" t="n">
        <v>0</v>
      </c>
      <c r="P870" t="n">
        <v>0</v>
      </c>
      <c r="Q870" t="n">
        <v>0</v>
      </c>
      <c r="R870" s="2" t="inlineStr"/>
    </row>
    <row r="871" ht="15" customHeight="1">
      <c r="A871" t="inlineStr">
        <is>
          <t>A 40792-2019</t>
        </is>
      </c>
      <c r="B871" s="1" t="n">
        <v>43697</v>
      </c>
      <c r="C871" s="1" t="n">
        <v>45705</v>
      </c>
      <c r="D871" t="inlineStr">
        <is>
          <t>UPPSALA LÄN</t>
        </is>
      </c>
      <c r="E871" t="inlineStr">
        <is>
          <t>HEBY</t>
        </is>
      </c>
      <c r="G871" t="n">
        <v>1.1</v>
      </c>
      <c r="H871" t="n">
        <v>0</v>
      </c>
      <c r="I871" t="n">
        <v>0</v>
      </c>
      <c r="J871" t="n">
        <v>0</v>
      </c>
      <c r="K871" t="n">
        <v>0</v>
      </c>
      <c r="L871" t="n">
        <v>0</v>
      </c>
      <c r="M871" t="n">
        <v>0</v>
      </c>
      <c r="N871" t="n">
        <v>0</v>
      </c>
      <c r="O871" t="n">
        <v>0</v>
      </c>
      <c r="P871" t="n">
        <v>0</v>
      </c>
      <c r="Q871" t="n">
        <v>0</v>
      </c>
      <c r="R871" s="2" t="inlineStr"/>
    </row>
    <row r="872" ht="15" customHeight="1">
      <c r="A872" t="inlineStr">
        <is>
          <t>A 40839-2019</t>
        </is>
      </c>
      <c r="B872" s="1" t="n">
        <v>43697</v>
      </c>
      <c r="C872" s="1" t="n">
        <v>45705</v>
      </c>
      <c r="D872" t="inlineStr">
        <is>
          <t>UPPSALA LÄN</t>
        </is>
      </c>
      <c r="E872" t="inlineStr">
        <is>
          <t>ENKÖPING</t>
        </is>
      </c>
      <c r="G872" t="n">
        <v>1.9</v>
      </c>
      <c r="H872" t="n">
        <v>0</v>
      </c>
      <c r="I872" t="n">
        <v>0</v>
      </c>
      <c r="J872" t="n">
        <v>0</v>
      </c>
      <c r="K872" t="n">
        <v>0</v>
      </c>
      <c r="L872" t="n">
        <v>0</v>
      </c>
      <c r="M872" t="n">
        <v>0</v>
      </c>
      <c r="N872" t="n">
        <v>0</v>
      </c>
      <c r="O872" t="n">
        <v>0</v>
      </c>
      <c r="P872" t="n">
        <v>0</v>
      </c>
      <c r="Q872" t="n">
        <v>0</v>
      </c>
      <c r="R872" s="2" t="inlineStr"/>
    </row>
    <row r="873" ht="15" customHeight="1">
      <c r="A873" t="inlineStr">
        <is>
          <t>A 40843-2019</t>
        </is>
      </c>
      <c r="B873" s="1" t="n">
        <v>43697</v>
      </c>
      <c r="C873" s="1" t="n">
        <v>45705</v>
      </c>
      <c r="D873" t="inlineStr">
        <is>
          <t>UPPSALA LÄN</t>
        </is>
      </c>
      <c r="E873" t="inlineStr">
        <is>
          <t>ENKÖPING</t>
        </is>
      </c>
      <c r="G873" t="n">
        <v>1.6</v>
      </c>
      <c r="H873" t="n">
        <v>0</v>
      </c>
      <c r="I873" t="n">
        <v>0</v>
      </c>
      <c r="J873" t="n">
        <v>0</v>
      </c>
      <c r="K873" t="n">
        <v>0</v>
      </c>
      <c r="L873" t="n">
        <v>0</v>
      </c>
      <c r="M873" t="n">
        <v>0</v>
      </c>
      <c r="N873" t="n">
        <v>0</v>
      </c>
      <c r="O873" t="n">
        <v>0</v>
      </c>
      <c r="P873" t="n">
        <v>0</v>
      </c>
      <c r="Q873" t="n">
        <v>0</v>
      </c>
      <c r="R873" s="2" t="inlineStr"/>
    </row>
    <row r="874" ht="15" customHeight="1">
      <c r="A874" t="inlineStr">
        <is>
          <t>A 41512-2019</t>
        </is>
      </c>
      <c r="B874" s="1" t="n">
        <v>43699</v>
      </c>
      <c r="C874" s="1" t="n">
        <v>45705</v>
      </c>
      <c r="D874" t="inlineStr">
        <is>
          <t>UPPSALA LÄN</t>
        </is>
      </c>
      <c r="E874" t="inlineStr">
        <is>
          <t>ENKÖPING</t>
        </is>
      </c>
      <c r="G874" t="n">
        <v>5.8</v>
      </c>
      <c r="H874" t="n">
        <v>0</v>
      </c>
      <c r="I874" t="n">
        <v>0</v>
      </c>
      <c r="J874" t="n">
        <v>0</v>
      </c>
      <c r="K874" t="n">
        <v>0</v>
      </c>
      <c r="L874" t="n">
        <v>0</v>
      </c>
      <c r="M874" t="n">
        <v>0</v>
      </c>
      <c r="N874" t="n">
        <v>0</v>
      </c>
      <c r="O874" t="n">
        <v>0</v>
      </c>
      <c r="P874" t="n">
        <v>0</v>
      </c>
      <c r="Q874" t="n">
        <v>0</v>
      </c>
      <c r="R874" s="2" t="inlineStr"/>
    </row>
    <row r="875" ht="15" customHeight="1">
      <c r="A875" t="inlineStr">
        <is>
          <t>A 41697-2019</t>
        </is>
      </c>
      <c r="B875" s="1" t="n">
        <v>43699</v>
      </c>
      <c r="C875" s="1" t="n">
        <v>45705</v>
      </c>
      <c r="D875" t="inlineStr">
        <is>
          <t>UPPSALA LÄN</t>
        </is>
      </c>
      <c r="E875" t="inlineStr">
        <is>
          <t>ÖSTHAMMAR</t>
        </is>
      </c>
      <c r="F875" t="inlineStr">
        <is>
          <t>Bergvik skog öst AB</t>
        </is>
      </c>
      <c r="G875" t="n">
        <v>0.8</v>
      </c>
      <c r="H875" t="n">
        <v>0</v>
      </c>
      <c r="I875" t="n">
        <v>0</v>
      </c>
      <c r="J875" t="n">
        <v>0</v>
      </c>
      <c r="K875" t="n">
        <v>0</v>
      </c>
      <c r="L875" t="n">
        <v>0</v>
      </c>
      <c r="M875" t="n">
        <v>0</v>
      </c>
      <c r="N875" t="n">
        <v>0</v>
      </c>
      <c r="O875" t="n">
        <v>0</v>
      </c>
      <c r="P875" t="n">
        <v>0</v>
      </c>
      <c r="Q875" t="n">
        <v>0</v>
      </c>
      <c r="R875" s="2" t="inlineStr"/>
    </row>
    <row r="876" ht="15" customHeight="1">
      <c r="A876" t="inlineStr">
        <is>
          <t>A 41524-2019</t>
        </is>
      </c>
      <c r="B876" s="1" t="n">
        <v>43699</v>
      </c>
      <c r="C876" s="1" t="n">
        <v>45705</v>
      </c>
      <c r="D876" t="inlineStr">
        <is>
          <t>UPPSALA LÄN</t>
        </is>
      </c>
      <c r="E876" t="inlineStr">
        <is>
          <t>UPPSALA</t>
        </is>
      </c>
      <c r="G876" t="n">
        <v>2.4</v>
      </c>
      <c r="H876" t="n">
        <v>0</v>
      </c>
      <c r="I876" t="n">
        <v>0</v>
      </c>
      <c r="J876" t="n">
        <v>0</v>
      </c>
      <c r="K876" t="n">
        <v>0</v>
      </c>
      <c r="L876" t="n">
        <v>0</v>
      </c>
      <c r="M876" t="n">
        <v>0</v>
      </c>
      <c r="N876" t="n">
        <v>0</v>
      </c>
      <c r="O876" t="n">
        <v>0</v>
      </c>
      <c r="P876" t="n">
        <v>0</v>
      </c>
      <c r="Q876" t="n">
        <v>0</v>
      </c>
      <c r="R876" s="2" t="inlineStr"/>
    </row>
    <row r="877" ht="15" customHeight="1">
      <c r="A877" t="inlineStr">
        <is>
          <t>A 41539-2019</t>
        </is>
      </c>
      <c r="B877" s="1" t="n">
        <v>43699</v>
      </c>
      <c r="C877" s="1" t="n">
        <v>45705</v>
      </c>
      <c r="D877" t="inlineStr">
        <is>
          <t>UPPSALA LÄN</t>
        </is>
      </c>
      <c r="E877" t="inlineStr">
        <is>
          <t>ÖSTHAMMAR</t>
        </is>
      </c>
      <c r="G877" t="n">
        <v>0.5</v>
      </c>
      <c r="H877" t="n">
        <v>0</v>
      </c>
      <c r="I877" t="n">
        <v>0</v>
      </c>
      <c r="J877" t="n">
        <v>0</v>
      </c>
      <c r="K877" t="n">
        <v>0</v>
      </c>
      <c r="L877" t="n">
        <v>0</v>
      </c>
      <c r="M877" t="n">
        <v>0</v>
      </c>
      <c r="N877" t="n">
        <v>0</v>
      </c>
      <c r="O877" t="n">
        <v>0</v>
      </c>
      <c r="P877" t="n">
        <v>0</v>
      </c>
      <c r="Q877" t="n">
        <v>0</v>
      </c>
      <c r="R877" s="2" t="inlineStr"/>
    </row>
    <row r="878" ht="15" customHeight="1">
      <c r="A878" t="inlineStr">
        <is>
          <t>A 41535-2019</t>
        </is>
      </c>
      <c r="B878" s="1" t="n">
        <v>43699</v>
      </c>
      <c r="C878" s="1" t="n">
        <v>45705</v>
      </c>
      <c r="D878" t="inlineStr">
        <is>
          <t>UPPSALA LÄN</t>
        </is>
      </c>
      <c r="E878" t="inlineStr">
        <is>
          <t>UPPSALA</t>
        </is>
      </c>
      <c r="G878" t="n">
        <v>2.2</v>
      </c>
      <c r="H878" t="n">
        <v>0</v>
      </c>
      <c r="I878" t="n">
        <v>0</v>
      </c>
      <c r="J878" t="n">
        <v>0</v>
      </c>
      <c r="K878" t="n">
        <v>0</v>
      </c>
      <c r="L878" t="n">
        <v>0</v>
      </c>
      <c r="M878" t="n">
        <v>0</v>
      </c>
      <c r="N878" t="n">
        <v>0</v>
      </c>
      <c r="O878" t="n">
        <v>0</v>
      </c>
      <c r="P878" t="n">
        <v>0</v>
      </c>
      <c r="Q878" t="n">
        <v>0</v>
      </c>
      <c r="R878" s="2" t="inlineStr"/>
    </row>
    <row r="879" ht="15" customHeight="1">
      <c r="A879" t="inlineStr">
        <is>
          <t>A 41695-2019</t>
        </is>
      </c>
      <c r="B879" s="1" t="n">
        <v>43699</v>
      </c>
      <c r="C879" s="1" t="n">
        <v>45705</v>
      </c>
      <c r="D879" t="inlineStr">
        <is>
          <t>UPPSALA LÄN</t>
        </is>
      </c>
      <c r="E879" t="inlineStr">
        <is>
          <t>UPPSALA</t>
        </is>
      </c>
      <c r="G879" t="n">
        <v>3.1</v>
      </c>
      <c r="H879" t="n">
        <v>0</v>
      </c>
      <c r="I879" t="n">
        <v>0</v>
      </c>
      <c r="J879" t="n">
        <v>0</v>
      </c>
      <c r="K879" t="n">
        <v>0</v>
      </c>
      <c r="L879" t="n">
        <v>0</v>
      </c>
      <c r="M879" t="n">
        <v>0</v>
      </c>
      <c r="N879" t="n">
        <v>0</v>
      </c>
      <c r="O879" t="n">
        <v>0</v>
      </c>
      <c r="P879" t="n">
        <v>0</v>
      </c>
      <c r="Q879" t="n">
        <v>0</v>
      </c>
      <c r="R879" s="2" t="inlineStr"/>
    </row>
    <row r="880" ht="15" customHeight="1">
      <c r="A880" t="inlineStr">
        <is>
          <t>A 42350-2019</t>
        </is>
      </c>
      <c r="B880" s="1" t="n">
        <v>43703</v>
      </c>
      <c r="C880" s="1" t="n">
        <v>45705</v>
      </c>
      <c r="D880" t="inlineStr">
        <is>
          <t>UPPSALA LÄN</t>
        </is>
      </c>
      <c r="E880" t="inlineStr">
        <is>
          <t>ENKÖPING</t>
        </is>
      </c>
      <c r="G880" t="n">
        <v>1.1</v>
      </c>
      <c r="H880" t="n">
        <v>0</v>
      </c>
      <c r="I880" t="n">
        <v>0</v>
      </c>
      <c r="J880" t="n">
        <v>0</v>
      </c>
      <c r="K880" t="n">
        <v>0</v>
      </c>
      <c r="L880" t="n">
        <v>0</v>
      </c>
      <c r="M880" t="n">
        <v>0</v>
      </c>
      <c r="N880" t="n">
        <v>0</v>
      </c>
      <c r="O880" t="n">
        <v>0</v>
      </c>
      <c r="P880" t="n">
        <v>0</v>
      </c>
      <c r="Q880" t="n">
        <v>0</v>
      </c>
      <c r="R880" s="2" t="inlineStr"/>
    </row>
    <row r="881" ht="15" customHeight="1">
      <c r="A881" t="inlineStr">
        <is>
          <t>A 42111-2019</t>
        </is>
      </c>
      <c r="B881" s="1" t="n">
        <v>43703</v>
      </c>
      <c r="C881" s="1" t="n">
        <v>45705</v>
      </c>
      <c r="D881" t="inlineStr">
        <is>
          <t>UPPSALA LÄN</t>
        </is>
      </c>
      <c r="E881" t="inlineStr">
        <is>
          <t>UPPSALA</t>
        </is>
      </c>
      <c r="G881" t="n">
        <v>2.7</v>
      </c>
      <c r="H881" t="n">
        <v>0</v>
      </c>
      <c r="I881" t="n">
        <v>0</v>
      </c>
      <c r="J881" t="n">
        <v>0</v>
      </c>
      <c r="K881" t="n">
        <v>0</v>
      </c>
      <c r="L881" t="n">
        <v>0</v>
      </c>
      <c r="M881" t="n">
        <v>0</v>
      </c>
      <c r="N881" t="n">
        <v>0</v>
      </c>
      <c r="O881" t="n">
        <v>0</v>
      </c>
      <c r="P881" t="n">
        <v>0</v>
      </c>
      <c r="Q881" t="n">
        <v>0</v>
      </c>
      <c r="R881" s="2" t="inlineStr"/>
    </row>
    <row r="882" ht="15" customHeight="1">
      <c r="A882" t="inlineStr">
        <is>
          <t>A 42624-2019</t>
        </is>
      </c>
      <c r="B882" s="1" t="n">
        <v>43704</v>
      </c>
      <c r="C882" s="1" t="n">
        <v>45705</v>
      </c>
      <c r="D882" t="inlineStr">
        <is>
          <t>UPPSALA LÄN</t>
        </is>
      </c>
      <c r="E882" t="inlineStr">
        <is>
          <t>ENKÖPING</t>
        </is>
      </c>
      <c r="G882" t="n">
        <v>1.5</v>
      </c>
      <c r="H882" t="n">
        <v>0</v>
      </c>
      <c r="I882" t="n">
        <v>0</v>
      </c>
      <c r="J882" t="n">
        <v>0</v>
      </c>
      <c r="K882" t="n">
        <v>0</v>
      </c>
      <c r="L882" t="n">
        <v>0</v>
      </c>
      <c r="M882" t="n">
        <v>0</v>
      </c>
      <c r="N882" t="n">
        <v>0</v>
      </c>
      <c r="O882" t="n">
        <v>0</v>
      </c>
      <c r="P882" t="n">
        <v>0</v>
      </c>
      <c r="Q882" t="n">
        <v>0</v>
      </c>
      <c r="R882" s="2" t="inlineStr"/>
    </row>
    <row r="883" ht="15" customHeight="1">
      <c r="A883" t="inlineStr">
        <is>
          <t>A 42986-2019</t>
        </is>
      </c>
      <c r="B883" s="1" t="n">
        <v>43705</v>
      </c>
      <c r="C883" s="1" t="n">
        <v>45705</v>
      </c>
      <c r="D883" t="inlineStr">
        <is>
          <t>UPPSALA LÄN</t>
        </is>
      </c>
      <c r="E883" t="inlineStr">
        <is>
          <t>UPPSALA</t>
        </is>
      </c>
      <c r="G883" t="n">
        <v>1.7</v>
      </c>
      <c r="H883" t="n">
        <v>0</v>
      </c>
      <c r="I883" t="n">
        <v>0</v>
      </c>
      <c r="J883" t="n">
        <v>0</v>
      </c>
      <c r="K883" t="n">
        <v>0</v>
      </c>
      <c r="L883" t="n">
        <v>0</v>
      </c>
      <c r="M883" t="n">
        <v>0</v>
      </c>
      <c r="N883" t="n">
        <v>0</v>
      </c>
      <c r="O883" t="n">
        <v>0</v>
      </c>
      <c r="P883" t="n">
        <v>0</v>
      </c>
      <c r="Q883" t="n">
        <v>0</v>
      </c>
      <c r="R883" s="2" t="inlineStr"/>
    </row>
    <row r="884" ht="15" customHeight="1">
      <c r="A884" t="inlineStr">
        <is>
          <t>A 42841-2019</t>
        </is>
      </c>
      <c r="B884" s="1" t="n">
        <v>43705</v>
      </c>
      <c r="C884" s="1" t="n">
        <v>45705</v>
      </c>
      <c r="D884" t="inlineStr">
        <is>
          <t>UPPSALA LÄN</t>
        </is>
      </c>
      <c r="E884" t="inlineStr">
        <is>
          <t>HEBY</t>
        </is>
      </c>
      <c r="G884" t="n">
        <v>1.2</v>
      </c>
      <c r="H884" t="n">
        <v>0</v>
      </c>
      <c r="I884" t="n">
        <v>0</v>
      </c>
      <c r="J884" t="n">
        <v>0</v>
      </c>
      <c r="K884" t="n">
        <v>0</v>
      </c>
      <c r="L884" t="n">
        <v>0</v>
      </c>
      <c r="M884" t="n">
        <v>0</v>
      </c>
      <c r="N884" t="n">
        <v>0</v>
      </c>
      <c r="O884" t="n">
        <v>0</v>
      </c>
      <c r="P884" t="n">
        <v>0</v>
      </c>
      <c r="Q884" t="n">
        <v>0</v>
      </c>
      <c r="R884" s="2" t="inlineStr"/>
    </row>
    <row r="885" ht="15" customHeight="1">
      <c r="A885" t="inlineStr">
        <is>
          <t>A 43039-2019</t>
        </is>
      </c>
      <c r="B885" s="1" t="n">
        <v>43705</v>
      </c>
      <c r="C885" s="1" t="n">
        <v>45705</v>
      </c>
      <c r="D885" t="inlineStr">
        <is>
          <t>UPPSALA LÄN</t>
        </is>
      </c>
      <c r="E885" t="inlineStr">
        <is>
          <t>HEBY</t>
        </is>
      </c>
      <c r="G885" t="n">
        <v>1.4</v>
      </c>
      <c r="H885" t="n">
        <v>0</v>
      </c>
      <c r="I885" t="n">
        <v>0</v>
      </c>
      <c r="J885" t="n">
        <v>0</v>
      </c>
      <c r="K885" t="n">
        <v>0</v>
      </c>
      <c r="L885" t="n">
        <v>0</v>
      </c>
      <c r="M885" t="n">
        <v>0</v>
      </c>
      <c r="N885" t="n">
        <v>0</v>
      </c>
      <c r="O885" t="n">
        <v>0</v>
      </c>
      <c r="P885" t="n">
        <v>0</v>
      </c>
      <c r="Q885" t="n">
        <v>0</v>
      </c>
      <c r="R885" s="2" t="inlineStr"/>
    </row>
    <row r="886" ht="15" customHeight="1">
      <c r="A886" t="inlineStr">
        <is>
          <t>A 42829-2019</t>
        </is>
      </c>
      <c r="B886" s="1" t="n">
        <v>43705</v>
      </c>
      <c r="C886" s="1" t="n">
        <v>45705</v>
      </c>
      <c r="D886" t="inlineStr">
        <is>
          <t>UPPSALA LÄN</t>
        </is>
      </c>
      <c r="E886" t="inlineStr">
        <is>
          <t>ENKÖPING</t>
        </is>
      </c>
      <c r="G886" t="n">
        <v>6.7</v>
      </c>
      <c r="H886" t="n">
        <v>0</v>
      </c>
      <c r="I886" t="n">
        <v>0</v>
      </c>
      <c r="J886" t="n">
        <v>0</v>
      </c>
      <c r="K886" t="n">
        <v>0</v>
      </c>
      <c r="L886" t="n">
        <v>0</v>
      </c>
      <c r="M886" t="n">
        <v>0</v>
      </c>
      <c r="N886" t="n">
        <v>0</v>
      </c>
      <c r="O886" t="n">
        <v>0</v>
      </c>
      <c r="P886" t="n">
        <v>0</v>
      </c>
      <c r="Q886" t="n">
        <v>0</v>
      </c>
      <c r="R886" s="2" t="inlineStr"/>
    </row>
    <row r="887" ht="15" customHeight="1">
      <c r="A887" t="inlineStr">
        <is>
          <t>A 43222-2019</t>
        </is>
      </c>
      <c r="B887" s="1" t="n">
        <v>43706</v>
      </c>
      <c r="C887" s="1" t="n">
        <v>45705</v>
      </c>
      <c r="D887" t="inlineStr">
        <is>
          <t>UPPSALA LÄN</t>
        </is>
      </c>
      <c r="E887" t="inlineStr">
        <is>
          <t>UPPSALA</t>
        </is>
      </c>
      <c r="F887" t="inlineStr">
        <is>
          <t>Bergvik skog öst AB</t>
        </is>
      </c>
      <c r="G887" t="n">
        <v>3.6</v>
      </c>
      <c r="H887" t="n">
        <v>0</v>
      </c>
      <c r="I887" t="n">
        <v>0</v>
      </c>
      <c r="J887" t="n">
        <v>0</v>
      </c>
      <c r="K887" t="n">
        <v>0</v>
      </c>
      <c r="L887" t="n">
        <v>0</v>
      </c>
      <c r="M887" t="n">
        <v>0</v>
      </c>
      <c r="N887" t="n">
        <v>0</v>
      </c>
      <c r="O887" t="n">
        <v>0</v>
      </c>
      <c r="P887" t="n">
        <v>0</v>
      </c>
      <c r="Q887" t="n">
        <v>0</v>
      </c>
      <c r="R887" s="2" t="inlineStr"/>
    </row>
    <row r="888" ht="15" customHeight="1">
      <c r="A888" t="inlineStr">
        <is>
          <t>A 43426-2019</t>
        </is>
      </c>
      <c r="B888" s="1" t="n">
        <v>43706</v>
      </c>
      <c r="C888" s="1" t="n">
        <v>45705</v>
      </c>
      <c r="D888" t="inlineStr">
        <is>
          <t>UPPSALA LÄN</t>
        </is>
      </c>
      <c r="E888" t="inlineStr">
        <is>
          <t>ÖSTHAMMAR</t>
        </is>
      </c>
      <c r="F888" t="inlineStr">
        <is>
          <t>Bergvik skog öst AB</t>
        </is>
      </c>
      <c r="G888" t="n">
        <v>0.5</v>
      </c>
      <c r="H888" t="n">
        <v>0</v>
      </c>
      <c r="I888" t="n">
        <v>0</v>
      </c>
      <c r="J888" t="n">
        <v>0</v>
      </c>
      <c r="K888" t="n">
        <v>0</v>
      </c>
      <c r="L888" t="n">
        <v>0</v>
      </c>
      <c r="M888" t="n">
        <v>0</v>
      </c>
      <c r="N888" t="n">
        <v>0</v>
      </c>
      <c r="O888" t="n">
        <v>0</v>
      </c>
      <c r="P888" t="n">
        <v>0</v>
      </c>
      <c r="Q888" t="n">
        <v>0</v>
      </c>
      <c r="R888" s="2" t="inlineStr"/>
    </row>
    <row r="889" ht="15" customHeight="1">
      <c r="A889" t="inlineStr">
        <is>
          <t>A 43410-2019</t>
        </is>
      </c>
      <c r="B889" s="1" t="n">
        <v>43706</v>
      </c>
      <c r="C889" s="1" t="n">
        <v>45705</v>
      </c>
      <c r="D889" t="inlineStr">
        <is>
          <t>UPPSALA LÄN</t>
        </is>
      </c>
      <c r="E889" t="inlineStr">
        <is>
          <t>UPPSALA</t>
        </is>
      </c>
      <c r="F889" t="inlineStr">
        <is>
          <t>Övriga statliga verk och myndigheter</t>
        </is>
      </c>
      <c r="G889" t="n">
        <v>8.6</v>
      </c>
      <c r="H889" t="n">
        <v>0</v>
      </c>
      <c r="I889" t="n">
        <v>0</v>
      </c>
      <c r="J889" t="n">
        <v>0</v>
      </c>
      <c r="K889" t="n">
        <v>0</v>
      </c>
      <c r="L889" t="n">
        <v>0</v>
      </c>
      <c r="M889" t="n">
        <v>0</v>
      </c>
      <c r="N889" t="n">
        <v>0</v>
      </c>
      <c r="O889" t="n">
        <v>0</v>
      </c>
      <c r="P889" t="n">
        <v>0</v>
      </c>
      <c r="Q889" t="n">
        <v>0</v>
      </c>
      <c r="R889" s="2" t="inlineStr"/>
    </row>
    <row r="890" ht="15" customHeight="1">
      <c r="A890" t="inlineStr">
        <is>
          <t>A 43715-2019</t>
        </is>
      </c>
      <c r="B890" s="1" t="n">
        <v>43706</v>
      </c>
      <c r="C890" s="1" t="n">
        <v>45705</v>
      </c>
      <c r="D890" t="inlineStr">
        <is>
          <t>UPPSALA LÄN</t>
        </is>
      </c>
      <c r="E890" t="inlineStr">
        <is>
          <t>UPPSALA</t>
        </is>
      </c>
      <c r="F890" t="inlineStr">
        <is>
          <t>Övriga statliga verk och myndigheter</t>
        </is>
      </c>
      <c r="G890" t="n">
        <v>0.8</v>
      </c>
      <c r="H890" t="n">
        <v>0</v>
      </c>
      <c r="I890" t="n">
        <v>0</v>
      </c>
      <c r="J890" t="n">
        <v>0</v>
      </c>
      <c r="K890" t="n">
        <v>0</v>
      </c>
      <c r="L890" t="n">
        <v>0</v>
      </c>
      <c r="M890" t="n">
        <v>0</v>
      </c>
      <c r="N890" t="n">
        <v>0</v>
      </c>
      <c r="O890" t="n">
        <v>0</v>
      </c>
      <c r="P890" t="n">
        <v>0</v>
      </c>
      <c r="Q890" t="n">
        <v>0</v>
      </c>
      <c r="R890" s="2" t="inlineStr"/>
    </row>
    <row r="891" ht="15" customHeight="1">
      <c r="A891" t="inlineStr">
        <is>
          <t>A 43535-2019</t>
        </is>
      </c>
      <c r="B891" s="1" t="n">
        <v>43706</v>
      </c>
      <c r="C891" s="1" t="n">
        <v>45705</v>
      </c>
      <c r="D891" t="inlineStr">
        <is>
          <t>UPPSALA LÄN</t>
        </is>
      </c>
      <c r="E891" t="inlineStr">
        <is>
          <t>TIERP</t>
        </is>
      </c>
      <c r="G891" t="n">
        <v>2.8</v>
      </c>
      <c r="H891" t="n">
        <v>0</v>
      </c>
      <c r="I891" t="n">
        <v>0</v>
      </c>
      <c r="J891" t="n">
        <v>0</v>
      </c>
      <c r="K891" t="n">
        <v>0</v>
      </c>
      <c r="L891" t="n">
        <v>0</v>
      </c>
      <c r="M891" t="n">
        <v>0</v>
      </c>
      <c r="N891" t="n">
        <v>0</v>
      </c>
      <c r="O891" t="n">
        <v>0</v>
      </c>
      <c r="P891" t="n">
        <v>0</v>
      </c>
      <c r="Q891" t="n">
        <v>0</v>
      </c>
      <c r="R891" s="2" t="inlineStr"/>
    </row>
    <row r="892" ht="15" customHeight="1">
      <c r="A892" t="inlineStr">
        <is>
          <t>A 43224-2019</t>
        </is>
      </c>
      <c r="B892" s="1" t="n">
        <v>43706</v>
      </c>
      <c r="C892" s="1" t="n">
        <v>45705</v>
      </c>
      <c r="D892" t="inlineStr">
        <is>
          <t>UPPSALA LÄN</t>
        </is>
      </c>
      <c r="E892" t="inlineStr">
        <is>
          <t>UPPSALA</t>
        </is>
      </c>
      <c r="F892" t="inlineStr">
        <is>
          <t>Bergvik skog öst AB</t>
        </is>
      </c>
      <c r="G892" t="n">
        <v>1.3</v>
      </c>
      <c r="H892" t="n">
        <v>0</v>
      </c>
      <c r="I892" t="n">
        <v>0</v>
      </c>
      <c r="J892" t="n">
        <v>0</v>
      </c>
      <c r="K892" t="n">
        <v>0</v>
      </c>
      <c r="L892" t="n">
        <v>0</v>
      </c>
      <c r="M892" t="n">
        <v>0</v>
      </c>
      <c r="N892" t="n">
        <v>0</v>
      </c>
      <c r="O892" t="n">
        <v>0</v>
      </c>
      <c r="P892" t="n">
        <v>0</v>
      </c>
      <c r="Q892" t="n">
        <v>0</v>
      </c>
      <c r="R892" s="2" t="inlineStr"/>
    </row>
    <row r="893" ht="15" customHeight="1">
      <c r="A893" t="inlineStr">
        <is>
          <t>A 43435-2019</t>
        </is>
      </c>
      <c r="B893" s="1" t="n">
        <v>43706</v>
      </c>
      <c r="C893" s="1" t="n">
        <v>45705</v>
      </c>
      <c r="D893" t="inlineStr">
        <is>
          <t>UPPSALA LÄN</t>
        </is>
      </c>
      <c r="E893" t="inlineStr">
        <is>
          <t>UPPSALA</t>
        </is>
      </c>
      <c r="G893" t="n">
        <v>5.4</v>
      </c>
      <c r="H893" t="n">
        <v>0</v>
      </c>
      <c r="I893" t="n">
        <v>0</v>
      </c>
      <c r="J893" t="n">
        <v>0</v>
      </c>
      <c r="K893" t="n">
        <v>0</v>
      </c>
      <c r="L893" t="n">
        <v>0</v>
      </c>
      <c r="M893" t="n">
        <v>0</v>
      </c>
      <c r="N893" t="n">
        <v>0</v>
      </c>
      <c r="O893" t="n">
        <v>0</v>
      </c>
      <c r="P893" t="n">
        <v>0</v>
      </c>
      <c r="Q893" t="n">
        <v>0</v>
      </c>
      <c r="R893" s="2" t="inlineStr"/>
    </row>
    <row r="894" ht="15" customHeight="1">
      <c r="A894" t="inlineStr">
        <is>
          <t>A 43722-2019</t>
        </is>
      </c>
      <c r="B894" s="1" t="n">
        <v>43706</v>
      </c>
      <c r="C894" s="1" t="n">
        <v>45705</v>
      </c>
      <c r="D894" t="inlineStr">
        <is>
          <t>UPPSALA LÄN</t>
        </is>
      </c>
      <c r="E894" t="inlineStr">
        <is>
          <t>UPPSALA</t>
        </is>
      </c>
      <c r="F894" t="inlineStr">
        <is>
          <t>Övriga statliga verk och myndigheter</t>
        </is>
      </c>
      <c r="G894" t="n">
        <v>0.6</v>
      </c>
      <c r="H894" t="n">
        <v>0</v>
      </c>
      <c r="I894" t="n">
        <v>0</v>
      </c>
      <c r="J894" t="n">
        <v>0</v>
      </c>
      <c r="K894" t="n">
        <v>0</v>
      </c>
      <c r="L894" t="n">
        <v>0</v>
      </c>
      <c r="M894" t="n">
        <v>0</v>
      </c>
      <c r="N894" t="n">
        <v>0</v>
      </c>
      <c r="O894" t="n">
        <v>0</v>
      </c>
      <c r="P894" t="n">
        <v>0</v>
      </c>
      <c r="Q894" t="n">
        <v>0</v>
      </c>
      <c r="R894" s="2" t="inlineStr"/>
    </row>
    <row r="895" ht="15" customHeight="1">
      <c r="A895" t="inlineStr">
        <is>
          <t>A 43308-2019</t>
        </is>
      </c>
      <c r="B895" s="1" t="n">
        <v>43706</v>
      </c>
      <c r="C895" s="1" t="n">
        <v>45705</v>
      </c>
      <c r="D895" t="inlineStr">
        <is>
          <t>UPPSALA LÄN</t>
        </is>
      </c>
      <c r="E895" t="inlineStr">
        <is>
          <t>ENKÖPING</t>
        </is>
      </c>
      <c r="G895" t="n">
        <v>3.3</v>
      </c>
      <c r="H895" t="n">
        <v>0</v>
      </c>
      <c r="I895" t="n">
        <v>0</v>
      </c>
      <c r="J895" t="n">
        <v>0</v>
      </c>
      <c r="K895" t="n">
        <v>0</v>
      </c>
      <c r="L895" t="n">
        <v>0</v>
      </c>
      <c r="M895" t="n">
        <v>0</v>
      </c>
      <c r="N895" t="n">
        <v>0</v>
      </c>
      <c r="O895" t="n">
        <v>0</v>
      </c>
      <c r="P895" t="n">
        <v>0</v>
      </c>
      <c r="Q895" t="n">
        <v>0</v>
      </c>
      <c r="R895" s="2" t="inlineStr"/>
    </row>
    <row r="896" ht="15" customHeight="1">
      <c r="A896" t="inlineStr">
        <is>
          <t>A 43625-2019</t>
        </is>
      </c>
      <c r="B896" s="1" t="n">
        <v>43707</v>
      </c>
      <c r="C896" s="1" t="n">
        <v>45705</v>
      </c>
      <c r="D896" t="inlineStr">
        <is>
          <t>UPPSALA LÄN</t>
        </is>
      </c>
      <c r="E896" t="inlineStr">
        <is>
          <t>TIERP</t>
        </is>
      </c>
      <c r="F896" t="inlineStr">
        <is>
          <t>Bergvik skog väst AB</t>
        </is>
      </c>
      <c r="G896" t="n">
        <v>1.1</v>
      </c>
      <c r="H896" t="n">
        <v>0</v>
      </c>
      <c r="I896" t="n">
        <v>0</v>
      </c>
      <c r="J896" t="n">
        <v>0</v>
      </c>
      <c r="K896" t="n">
        <v>0</v>
      </c>
      <c r="L896" t="n">
        <v>0</v>
      </c>
      <c r="M896" t="n">
        <v>0</v>
      </c>
      <c r="N896" t="n">
        <v>0</v>
      </c>
      <c r="O896" t="n">
        <v>0</v>
      </c>
      <c r="P896" t="n">
        <v>0</v>
      </c>
      <c r="Q896" t="n">
        <v>0</v>
      </c>
      <c r="R896" s="2" t="inlineStr"/>
    </row>
    <row r="897" ht="15" customHeight="1">
      <c r="A897" t="inlineStr">
        <is>
          <t>A 43704-2019</t>
        </is>
      </c>
      <c r="B897" s="1" t="n">
        <v>43707</v>
      </c>
      <c r="C897" s="1" t="n">
        <v>45705</v>
      </c>
      <c r="D897" t="inlineStr">
        <is>
          <t>UPPSALA LÄN</t>
        </is>
      </c>
      <c r="E897" t="inlineStr">
        <is>
          <t>UPPSALA</t>
        </is>
      </c>
      <c r="F897" t="inlineStr">
        <is>
          <t>Bergvik skog öst AB</t>
        </is>
      </c>
      <c r="G897" t="n">
        <v>2.7</v>
      </c>
      <c r="H897" t="n">
        <v>0</v>
      </c>
      <c r="I897" t="n">
        <v>0</v>
      </c>
      <c r="J897" t="n">
        <v>0</v>
      </c>
      <c r="K897" t="n">
        <v>0</v>
      </c>
      <c r="L897" t="n">
        <v>0</v>
      </c>
      <c r="M897" t="n">
        <v>0</v>
      </c>
      <c r="N897" t="n">
        <v>0</v>
      </c>
      <c r="O897" t="n">
        <v>0</v>
      </c>
      <c r="P897" t="n">
        <v>0</v>
      </c>
      <c r="Q897" t="n">
        <v>0</v>
      </c>
      <c r="R897" s="2" t="inlineStr"/>
    </row>
    <row r="898" ht="15" customHeight="1">
      <c r="A898" t="inlineStr">
        <is>
          <t>A 43725-2019</t>
        </is>
      </c>
      <c r="B898" s="1" t="n">
        <v>43707</v>
      </c>
      <c r="C898" s="1" t="n">
        <v>45705</v>
      </c>
      <c r="D898" t="inlineStr">
        <is>
          <t>UPPSALA LÄN</t>
        </is>
      </c>
      <c r="E898" t="inlineStr">
        <is>
          <t>UPPSALA</t>
        </is>
      </c>
      <c r="G898" t="n">
        <v>1.4</v>
      </c>
      <c r="H898" t="n">
        <v>0</v>
      </c>
      <c r="I898" t="n">
        <v>0</v>
      </c>
      <c r="J898" t="n">
        <v>0</v>
      </c>
      <c r="K898" t="n">
        <v>0</v>
      </c>
      <c r="L898" t="n">
        <v>0</v>
      </c>
      <c r="M898" t="n">
        <v>0</v>
      </c>
      <c r="N898" t="n">
        <v>0</v>
      </c>
      <c r="O898" t="n">
        <v>0</v>
      </c>
      <c r="P898" t="n">
        <v>0</v>
      </c>
      <c r="Q898" t="n">
        <v>0</v>
      </c>
      <c r="R898" s="2" t="inlineStr"/>
    </row>
    <row r="899" ht="15" customHeight="1">
      <c r="A899" t="inlineStr">
        <is>
          <t>A 44109-2019</t>
        </is>
      </c>
      <c r="B899" s="1" t="n">
        <v>43707</v>
      </c>
      <c r="C899" s="1" t="n">
        <v>45705</v>
      </c>
      <c r="D899" t="inlineStr">
        <is>
          <t>UPPSALA LÄN</t>
        </is>
      </c>
      <c r="E899" t="inlineStr">
        <is>
          <t>UPPSALA</t>
        </is>
      </c>
      <c r="F899" t="inlineStr">
        <is>
          <t>Allmännings- och besparingsskogar</t>
        </is>
      </c>
      <c r="G899" t="n">
        <v>81.3</v>
      </c>
      <c r="H899" t="n">
        <v>0</v>
      </c>
      <c r="I899" t="n">
        <v>0</v>
      </c>
      <c r="J899" t="n">
        <v>0</v>
      </c>
      <c r="K899" t="n">
        <v>0</v>
      </c>
      <c r="L899" t="n">
        <v>0</v>
      </c>
      <c r="M899" t="n">
        <v>0</v>
      </c>
      <c r="N899" t="n">
        <v>0</v>
      </c>
      <c r="O899" t="n">
        <v>0</v>
      </c>
      <c r="P899" t="n">
        <v>0</v>
      </c>
      <c r="Q899" t="n">
        <v>0</v>
      </c>
      <c r="R899" s="2" t="inlineStr"/>
    </row>
    <row r="900" ht="15" customHeight="1">
      <c r="A900" t="inlineStr">
        <is>
          <t>A 43713-2019</t>
        </is>
      </c>
      <c r="B900" s="1" t="n">
        <v>43707</v>
      </c>
      <c r="C900" s="1" t="n">
        <v>45705</v>
      </c>
      <c r="D900" t="inlineStr">
        <is>
          <t>UPPSALA LÄN</t>
        </is>
      </c>
      <c r="E900" t="inlineStr">
        <is>
          <t>UPPSALA</t>
        </is>
      </c>
      <c r="F900" t="inlineStr">
        <is>
          <t>Bergvik skog öst AB</t>
        </is>
      </c>
      <c r="G900" t="n">
        <v>7.9</v>
      </c>
      <c r="H900" t="n">
        <v>0</v>
      </c>
      <c r="I900" t="n">
        <v>0</v>
      </c>
      <c r="J900" t="n">
        <v>0</v>
      </c>
      <c r="K900" t="n">
        <v>0</v>
      </c>
      <c r="L900" t="n">
        <v>0</v>
      </c>
      <c r="M900" t="n">
        <v>0</v>
      </c>
      <c r="N900" t="n">
        <v>0</v>
      </c>
      <c r="O900" t="n">
        <v>0</v>
      </c>
      <c r="P900" t="n">
        <v>0</v>
      </c>
      <c r="Q900" t="n">
        <v>0</v>
      </c>
      <c r="R900" s="2" t="inlineStr"/>
    </row>
    <row r="901" ht="15" customHeight="1">
      <c r="A901" t="inlineStr">
        <is>
          <t>A 43853-2019</t>
        </is>
      </c>
      <c r="B901" s="1" t="n">
        <v>43707</v>
      </c>
      <c r="C901" s="1" t="n">
        <v>45705</v>
      </c>
      <c r="D901" t="inlineStr">
        <is>
          <t>UPPSALA LÄN</t>
        </is>
      </c>
      <c r="E901" t="inlineStr">
        <is>
          <t>UPPSALA</t>
        </is>
      </c>
      <c r="F901" t="inlineStr">
        <is>
          <t>Övriga statliga verk och myndigheter</t>
        </is>
      </c>
      <c r="G901" t="n">
        <v>1.8</v>
      </c>
      <c r="H901" t="n">
        <v>0</v>
      </c>
      <c r="I901" t="n">
        <v>0</v>
      </c>
      <c r="J901" t="n">
        <v>0</v>
      </c>
      <c r="K901" t="n">
        <v>0</v>
      </c>
      <c r="L901" t="n">
        <v>0</v>
      </c>
      <c r="M901" t="n">
        <v>0</v>
      </c>
      <c r="N901" t="n">
        <v>0</v>
      </c>
      <c r="O901" t="n">
        <v>0</v>
      </c>
      <c r="P901" t="n">
        <v>0</v>
      </c>
      <c r="Q901" t="n">
        <v>0</v>
      </c>
      <c r="R901" s="2" t="inlineStr"/>
    </row>
    <row r="902" ht="15" customHeight="1">
      <c r="A902" t="inlineStr">
        <is>
          <t>A 43998-2019</t>
        </is>
      </c>
      <c r="B902" s="1" t="n">
        <v>43709</v>
      </c>
      <c r="C902" s="1" t="n">
        <v>45705</v>
      </c>
      <c r="D902" t="inlineStr">
        <is>
          <t>UPPSALA LÄN</t>
        </is>
      </c>
      <c r="E902" t="inlineStr">
        <is>
          <t>ENKÖPING</t>
        </is>
      </c>
      <c r="G902" t="n">
        <v>1.3</v>
      </c>
      <c r="H902" t="n">
        <v>0</v>
      </c>
      <c r="I902" t="n">
        <v>0</v>
      </c>
      <c r="J902" t="n">
        <v>0</v>
      </c>
      <c r="K902" t="n">
        <v>0</v>
      </c>
      <c r="L902" t="n">
        <v>0</v>
      </c>
      <c r="M902" t="n">
        <v>0</v>
      </c>
      <c r="N902" t="n">
        <v>0</v>
      </c>
      <c r="O902" t="n">
        <v>0</v>
      </c>
      <c r="P902" t="n">
        <v>0</v>
      </c>
      <c r="Q902" t="n">
        <v>0</v>
      </c>
      <c r="R902" s="2" t="inlineStr"/>
    </row>
    <row r="903" ht="15" customHeight="1">
      <c r="A903" t="inlineStr">
        <is>
          <t>A 43999-2019</t>
        </is>
      </c>
      <c r="B903" s="1" t="n">
        <v>43709</v>
      </c>
      <c r="C903" s="1" t="n">
        <v>45705</v>
      </c>
      <c r="D903" t="inlineStr">
        <is>
          <t>UPPSALA LÄN</t>
        </is>
      </c>
      <c r="E903" t="inlineStr">
        <is>
          <t>ENKÖPING</t>
        </is>
      </c>
      <c r="G903" t="n">
        <v>0.1</v>
      </c>
      <c r="H903" t="n">
        <v>0</v>
      </c>
      <c r="I903" t="n">
        <v>0</v>
      </c>
      <c r="J903" t="n">
        <v>0</v>
      </c>
      <c r="K903" t="n">
        <v>0</v>
      </c>
      <c r="L903" t="n">
        <v>0</v>
      </c>
      <c r="M903" t="n">
        <v>0</v>
      </c>
      <c r="N903" t="n">
        <v>0</v>
      </c>
      <c r="O903" t="n">
        <v>0</v>
      </c>
      <c r="P903" t="n">
        <v>0</v>
      </c>
      <c r="Q903" t="n">
        <v>0</v>
      </c>
      <c r="R903" s="2" t="inlineStr"/>
    </row>
    <row r="904" ht="15" customHeight="1">
      <c r="A904" t="inlineStr">
        <is>
          <t>A 44141-2019</t>
        </is>
      </c>
      <c r="B904" s="1" t="n">
        <v>43710</v>
      </c>
      <c r="C904" s="1" t="n">
        <v>45705</v>
      </c>
      <c r="D904" t="inlineStr">
        <is>
          <t>UPPSALA LÄN</t>
        </is>
      </c>
      <c r="E904" t="inlineStr">
        <is>
          <t>UPPSALA</t>
        </is>
      </c>
      <c r="G904" t="n">
        <v>2.2</v>
      </c>
      <c r="H904" t="n">
        <v>0</v>
      </c>
      <c r="I904" t="n">
        <v>0</v>
      </c>
      <c r="J904" t="n">
        <v>0</v>
      </c>
      <c r="K904" t="n">
        <v>0</v>
      </c>
      <c r="L904" t="n">
        <v>0</v>
      </c>
      <c r="M904" t="n">
        <v>0</v>
      </c>
      <c r="N904" t="n">
        <v>0</v>
      </c>
      <c r="O904" t="n">
        <v>0</v>
      </c>
      <c r="P904" t="n">
        <v>0</v>
      </c>
      <c r="Q904" t="n">
        <v>0</v>
      </c>
      <c r="R904" s="2" t="inlineStr"/>
    </row>
    <row r="905" ht="15" customHeight="1">
      <c r="A905" t="inlineStr">
        <is>
          <t>A 45500-2019</t>
        </is>
      </c>
      <c r="B905" s="1" t="n">
        <v>43710</v>
      </c>
      <c r="C905" s="1" t="n">
        <v>45705</v>
      </c>
      <c r="D905" t="inlineStr">
        <is>
          <t>UPPSALA LÄN</t>
        </is>
      </c>
      <c r="E905" t="inlineStr">
        <is>
          <t>HEBY</t>
        </is>
      </c>
      <c r="G905" t="n">
        <v>4</v>
      </c>
      <c r="H905" t="n">
        <v>0</v>
      </c>
      <c r="I905" t="n">
        <v>0</v>
      </c>
      <c r="J905" t="n">
        <v>0</v>
      </c>
      <c r="K905" t="n">
        <v>0</v>
      </c>
      <c r="L905" t="n">
        <v>0</v>
      </c>
      <c r="M905" t="n">
        <v>0</v>
      </c>
      <c r="N905" t="n">
        <v>0</v>
      </c>
      <c r="O905" t="n">
        <v>0</v>
      </c>
      <c r="P905" t="n">
        <v>0</v>
      </c>
      <c r="Q905" t="n">
        <v>0</v>
      </c>
      <c r="R905" s="2" t="inlineStr"/>
    </row>
    <row r="906" ht="15" customHeight="1">
      <c r="A906" t="inlineStr">
        <is>
          <t>A 45493-2019</t>
        </is>
      </c>
      <c r="B906" s="1" t="n">
        <v>43710</v>
      </c>
      <c r="C906" s="1" t="n">
        <v>45705</v>
      </c>
      <c r="D906" t="inlineStr">
        <is>
          <t>UPPSALA LÄN</t>
        </is>
      </c>
      <c r="E906" t="inlineStr">
        <is>
          <t>HEBY</t>
        </is>
      </c>
      <c r="G906" t="n">
        <v>3.4</v>
      </c>
      <c r="H906" t="n">
        <v>0</v>
      </c>
      <c r="I906" t="n">
        <v>0</v>
      </c>
      <c r="J906" t="n">
        <v>0</v>
      </c>
      <c r="K906" t="n">
        <v>0</v>
      </c>
      <c r="L906" t="n">
        <v>0</v>
      </c>
      <c r="M906" t="n">
        <v>0</v>
      </c>
      <c r="N906" t="n">
        <v>0</v>
      </c>
      <c r="O906" t="n">
        <v>0</v>
      </c>
      <c r="P906" t="n">
        <v>0</v>
      </c>
      <c r="Q906" t="n">
        <v>0</v>
      </c>
      <c r="R906" s="2" t="inlineStr"/>
    </row>
    <row r="907" ht="15" customHeight="1">
      <c r="A907" t="inlineStr">
        <is>
          <t>A 44497-2019</t>
        </is>
      </c>
      <c r="B907" s="1" t="n">
        <v>43711</v>
      </c>
      <c r="C907" s="1" t="n">
        <v>45705</v>
      </c>
      <c r="D907" t="inlineStr">
        <is>
          <t>UPPSALA LÄN</t>
        </is>
      </c>
      <c r="E907" t="inlineStr">
        <is>
          <t>HEBY</t>
        </is>
      </c>
      <c r="G907" t="n">
        <v>0.5</v>
      </c>
      <c r="H907" t="n">
        <v>0</v>
      </c>
      <c r="I907" t="n">
        <v>0</v>
      </c>
      <c r="J907" t="n">
        <v>0</v>
      </c>
      <c r="K907" t="n">
        <v>0</v>
      </c>
      <c r="L907" t="n">
        <v>0</v>
      </c>
      <c r="M907" t="n">
        <v>0</v>
      </c>
      <c r="N907" t="n">
        <v>0</v>
      </c>
      <c r="O907" t="n">
        <v>0</v>
      </c>
      <c r="P907" t="n">
        <v>0</v>
      </c>
      <c r="Q907" t="n">
        <v>0</v>
      </c>
      <c r="R907" s="2" t="inlineStr"/>
    </row>
    <row r="908" ht="15" customHeight="1">
      <c r="A908" t="inlineStr">
        <is>
          <t>A 44569-2019</t>
        </is>
      </c>
      <c r="B908" s="1" t="n">
        <v>43711</v>
      </c>
      <c r="C908" s="1" t="n">
        <v>45705</v>
      </c>
      <c r="D908" t="inlineStr">
        <is>
          <t>UPPSALA LÄN</t>
        </is>
      </c>
      <c r="E908" t="inlineStr">
        <is>
          <t>TIERP</t>
        </is>
      </c>
      <c r="F908" t="inlineStr">
        <is>
          <t>Bergvik skog öst AB</t>
        </is>
      </c>
      <c r="G908" t="n">
        <v>3.3</v>
      </c>
      <c r="H908" t="n">
        <v>0</v>
      </c>
      <c r="I908" t="n">
        <v>0</v>
      </c>
      <c r="J908" t="n">
        <v>0</v>
      </c>
      <c r="K908" t="n">
        <v>0</v>
      </c>
      <c r="L908" t="n">
        <v>0</v>
      </c>
      <c r="M908" t="n">
        <v>0</v>
      </c>
      <c r="N908" t="n">
        <v>0</v>
      </c>
      <c r="O908" t="n">
        <v>0</v>
      </c>
      <c r="P908" t="n">
        <v>0</v>
      </c>
      <c r="Q908" t="n">
        <v>0</v>
      </c>
      <c r="R908" s="2" t="inlineStr"/>
    </row>
    <row r="909" ht="15" customHeight="1">
      <c r="A909" t="inlineStr">
        <is>
          <t>A 44457-2019</t>
        </is>
      </c>
      <c r="B909" s="1" t="n">
        <v>43711</v>
      </c>
      <c r="C909" s="1" t="n">
        <v>45705</v>
      </c>
      <c r="D909" t="inlineStr">
        <is>
          <t>UPPSALA LÄN</t>
        </is>
      </c>
      <c r="E909" t="inlineStr">
        <is>
          <t>ÄLVKARLEBY</t>
        </is>
      </c>
      <c r="F909" t="inlineStr">
        <is>
          <t>Bergvik skog väst AB</t>
        </is>
      </c>
      <c r="G909" t="n">
        <v>8.699999999999999</v>
      </c>
      <c r="H909" t="n">
        <v>0</v>
      </c>
      <c r="I909" t="n">
        <v>0</v>
      </c>
      <c r="J909" t="n">
        <v>0</v>
      </c>
      <c r="K909" t="n">
        <v>0</v>
      </c>
      <c r="L909" t="n">
        <v>0</v>
      </c>
      <c r="M909" t="n">
        <v>0</v>
      </c>
      <c r="N909" t="n">
        <v>0</v>
      </c>
      <c r="O909" t="n">
        <v>0</v>
      </c>
      <c r="P909" t="n">
        <v>0</v>
      </c>
      <c r="Q909" t="n">
        <v>0</v>
      </c>
      <c r="R909" s="2" t="inlineStr"/>
    </row>
    <row r="910" ht="15" customHeight="1">
      <c r="A910" t="inlineStr">
        <is>
          <t>A 44749-2019</t>
        </is>
      </c>
      <c r="B910" s="1" t="n">
        <v>43712</v>
      </c>
      <c r="C910" s="1" t="n">
        <v>45705</v>
      </c>
      <c r="D910" t="inlineStr">
        <is>
          <t>UPPSALA LÄN</t>
        </is>
      </c>
      <c r="E910" t="inlineStr">
        <is>
          <t>ENKÖPING</t>
        </is>
      </c>
      <c r="G910" t="n">
        <v>2.6</v>
      </c>
      <c r="H910" t="n">
        <v>0</v>
      </c>
      <c r="I910" t="n">
        <v>0</v>
      </c>
      <c r="J910" t="n">
        <v>0</v>
      </c>
      <c r="K910" t="n">
        <v>0</v>
      </c>
      <c r="L910" t="n">
        <v>0</v>
      </c>
      <c r="M910" t="n">
        <v>0</v>
      </c>
      <c r="N910" t="n">
        <v>0</v>
      </c>
      <c r="O910" t="n">
        <v>0</v>
      </c>
      <c r="P910" t="n">
        <v>0</v>
      </c>
      <c r="Q910" t="n">
        <v>0</v>
      </c>
      <c r="R910" s="2" t="inlineStr"/>
    </row>
    <row r="911" ht="15" customHeight="1">
      <c r="A911" t="inlineStr">
        <is>
          <t>A 44701-2019</t>
        </is>
      </c>
      <c r="B911" s="1" t="n">
        <v>43712</v>
      </c>
      <c r="C911" s="1" t="n">
        <v>45705</v>
      </c>
      <c r="D911" t="inlineStr">
        <is>
          <t>UPPSALA LÄN</t>
        </is>
      </c>
      <c r="E911" t="inlineStr">
        <is>
          <t>UPPSALA</t>
        </is>
      </c>
      <c r="G911" t="n">
        <v>3.4</v>
      </c>
      <c r="H911" t="n">
        <v>0</v>
      </c>
      <c r="I911" t="n">
        <v>0</v>
      </c>
      <c r="J911" t="n">
        <v>0</v>
      </c>
      <c r="K911" t="n">
        <v>0</v>
      </c>
      <c r="L911" t="n">
        <v>0</v>
      </c>
      <c r="M911" t="n">
        <v>0</v>
      </c>
      <c r="N911" t="n">
        <v>0</v>
      </c>
      <c r="O911" t="n">
        <v>0</v>
      </c>
      <c r="P911" t="n">
        <v>0</v>
      </c>
      <c r="Q911" t="n">
        <v>0</v>
      </c>
      <c r="R911" s="2" t="inlineStr"/>
    </row>
    <row r="912" ht="15" customHeight="1">
      <c r="A912" t="inlineStr">
        <is>
          <t>A 44687-2019</t>
        </is>
      </c>
      <c r="B912" s="1" t="n">
        <v>43712</v>
      </c>
      <c r="C912" s="1" t="n">
        <v>45705</v>
      </c>
      <c r="D912" t="inlineStr">
        <is>
          <t>UPPSALA LÄN</t>
        </is>
      </c>
      <c r="E912" t="inlineStr">
        <is>
          <t>UPPSALA</t>
        </is>
      </c>
      <c r="G912" t="n">
        <v>3.3</v>
      </c>
      <c r="H912" t="n">
        <v>0</v>
      </c>
      <c r="I912" t="n">
        <v>0</v>
      </c>
      <c r="J912" t="n">
        <v>0</v>
      </c>
      <c r="K912" t="n">
        <v>0</v>
      </c>
      <c r="L912" t="n">
        <v>0</v>
      </c>
      <c r="M912" t="n">
        <v>0</v>
      </c>
      <c r="N912" t="n">
        <v>0</v>
      </c>
      <c r="O912" t="n">
        <v>0</v>
      </c>
      <c r="P912" t="n">
        <v>0</v>
      </c>
      <c r="Q912" t="n">
        <v>0</v>
      </c>
      <c r="R912" s="2" t="inlineStr"/>
    </row>
    <row r="913" ht="15" customHeight="1">
      <c r="A913" t="inlineStr">
        <is>
          <t>A 45010-2019</t>
        </is>
      </c>
      <c r="B913" s="1" t="n">
        <v>43713</v>
      </c>
      <c r="C913" s="1" t="n">
        <v>45705</v>
      </c>
      <c r="D913" t="inlineStr">
        <is>
          <t>UPPSALA LÄN</t>
        </is>
      </c>
      <c r="E913" t="inlineStr">
        <is>
          <t>UPPSALA</t>
        </is>
      </c>
      <c r="G913" t="n">
        <v>1</v>
      </c>
      <c r="H913" t="n">
        <v>0</v>
      </c>
      <c r="I913" t="n">
        <v>0</v>
      </c>
      <c r="J913" t="n">
        <v>0</v>
      </c>
      <c r="K913" t="n">
        <v>0</v>
      </c>
      <c r="L913" t="n">
        <v>0</v>
      </c>
      <c r="M913" t="n">
        <v>0</v>
      </c>
      <c r="N913" t="n">
        <v>0</v>
      </c>
      <c r="O913" t="n">
        <v>0</v>
      </c>
      <c r="P913" t="n">
        <v>0</v>
      </c>
      <c r="Q913" t="n">
        <v>0</v>
      </c>
      <c r="R913" s="2" t="inlineStr"/>
    </row>
    <row r="914" ht="15" customHeight="1">
      <c r="A914" t="inlineStr">
        <is>
          <t>A 45140-2019</t>
        </is>
      </c>
      <c r="B914" s="1" t="n">
        <v>43713</v>
      </c>
      <c r="C914" s="1" t="n">
        <v>45705</v>
      </c>
      <c r="D914" t="inlineStr">
        <is>
          <t>UPPSALA LÄN</t>
        </is>
      </c>
      <c r="E914" t="inlineStr">
        <is>
          <t>ÖSTHAMMAR</t>
        </is>
      </c>
      <c r="G914" t="n">
        <v>0.6</v>
      </c>
      <c r="H914" t="n">
        <v>0</v>
      </c>
      <c r="I914" t="n">
        <v>0</v>
      </c>
      <c r="J914" t="n">
        <v>0</v>
      </c>
      <c r="K914" t="n">
        <v>0</v>
      </c>
      <c r="L914" t="n">
        <v>0</v>
      </c>
      <c r="M914" t="n">
        <v>0</v>
      </c>
      <c r="N914" t="n">
        <v>0</v>
      </c>
      <c r="O914" t="n">
        <v>0</v>
      </c>
      <c r="P914" t="n">
        <v>0</v>
      </c>
      <c r="Q914" t="n">
        <v>0</v>
      </c>
      <c r="R914" s="2" t="inlineStr"/>
    </row>
    <row r="915" ht="15" customHeight="1">
      <c r="A915" t="inlineStr">
        <is>
          <t>A 45007-2019</t>
        </is>
      </c>
      <c r="B915" s="1" t="n">
        <v>43713</v>
      </c>
      <c r="C915" s="1" t="n">
        <v>45705</v>
      </c>
      <c r="D915" t="inlineStr">
        <is>
          <t>UPPSALA LÄN</t>
        </is>
      </c>
      <c r="E915" t="inlineStr">
        <is>
          <t>ENKÖPING</t>
        </is>
      </c>
      <c r="G915" t="n">
        <v>0.8</v>
      </c>
      <c r="H915" t="n">
        <v>0</v>
      </c>
      <c r="I915" t="n">
        <v>0</v>
      </c>
      <c r="J915" t="n">
        <v>0</v>
      </c>
      <c r="K915" t="n">
        <v>0</v>
      </c>
      <c r="L915" t="n">
        <v>0</v>
      </c>
      <c r="M915" t="n">
        <v>0</v>
      </c>
      <c r="N915" t="n">
        <v>0</v>
      </c>
      <c r="O915" t="n">
        <v>0</v>
      </c>
      <c r="P915" t="n">
        <v>0</v>
      </c>
      <c r="Q915" t="n">
        <v>0</v>
      </c>
      <c r="R915" s="2" t="inlineStr"/>
    </row>
    <row r="916" ht="15" customHeight="1">
      <c r="A916" t="inlineStr">
        <is>
          <t>A 44991-2019</t>
        </is>
      </c>
      <c r="B916" s="1" t="n">
        <v>43713</v>
      </c>
      <c r="C916" s="1" t="n">
        <v>45705</v>
      </c>
      <c r="D916" t="inlineStr">
        <is>
          <t>UPPSALA LÄN</t>
        </is>
      </c>
      <c r="E916" t="inlineStr">
        <is>
          <t>HEBY</t>
        </is>
      </c>
      <c r="G916" t="n">
        <v>0.6</v>
      </c>
      <c r="H916" t="n">
        <v>0</v>
      </c>
      <c r="I916" t="n">
        <v>0</v>
      </c>
      <c r="J916" t="n">
        <v>0</v>
      </c>
      <c r="K916" t="n">
        <v>0</v>
      </c>
      <c r="L916" t="n">
        <v>0</v>
      </c>
      <c r="M916" t="n">
        <v>0</v>
      </c>
      <c r="N916" t="n">
        <v>0</v>
      </c>
      <c r="O916" t="n">
        <v>0</v>
      </c>
      <c r="P916" t="n">
        <v>0</v>
      </c>
      <c r="Q916" t="n">
        <v>0</v>
      </c>
      <c r="R916" s="2" t="inlineStr"/>
    </row>
    <row r="917" ht="15" customHeight="1">
      <c r="A917" t="inlineStr">
        <is>
          <t>A 45481-2019</t>
        </is>
      </c>
      <c r="B917" s="1" t="n">
        <v>43714</v>
      </c>
      <c r="C917" s="1" t="n">
        <v>45705</v>
      </c>
      <c r="D917" t="inlineStr">
        <is>
          <t>UPPSALA LÄN</t>
        </is>
      </c>
      <c r="E917" t="inlineStr">
        <is>
          <t>ENKÖPING</t>
        </is>
      </c>
      <c r="G917" t="n">
        <v>2</v>
      </c>
      <c r="H917" t="n">
        <v>0</v>
      </c>
      <c r="I917" t="n">
        <v>0</v>
      </c>
      <c r="J917" t="n">
        <v>0</v>
      </c>
      <c r="K917" t="n">
        <v>0</v>
      </c>
      <c r="L917" t="n">
        <v>0</v>
      </c>
      <c r="M917" t="n">
        <v>0</v>
      </c>
      <c r="N917" t="n">
        <v>0</v>
      </c>
      <c r="O917" t="n">
        <v>0</v>
      </c>
      <c r="P917" t="n">
        <v>0</v>
      </c>
      <c r="Q917" t="n">
        <v>0</v>
      </c>
      <c r="R917" s="2" t="inlineStr"/>
    </row>
    <row r="918" ht="15" customHeight="1">
      <c r="A918" t="inlineStr">
        <is>
          <t>A 45574-2019</t>
        </is>
      </c>
      <c r="B918" s="1" t="n">
        <v>43716</v>
      </c>
      <c r="C918" s="1" t="n">
        <v>45705</v>
      </c>
      <c r="D918" t="inlineStr">
        <is>
          <t>UPPSALA LÄN</t>
        </is>
      </c>
      <c r="E918" t="inlineStr">
        <is>
          <t>UPPSALA</t>
        </is>
      </c>
      <c r="G918" t="n">
        <v>0.8</v>
      </c>
      <c r="H918" t="n">
        <v>0</v>
      </c>
      <c r="I918" t="n">
        <v>0</v>
      </c>
      <c r="J918" t="n">
        <v>0</v>
      </c>
      <c r="K918" t="n">
        <v>0</v>
      </c>
      <c r="L918" t="n">
        <v>0</v>
      </c>
      <c r="M918" t="n">
        <v>0</v>
      </c>
      <c r="N918" t="n">
        <v>0</v>
      </c>
      <c r="O918" t="n">
        <v>0</v>
      </c>
      <c r="P918" t="n">
        <v>0</v>
      </c>
      <c r="Q918" t="n">
        <v>0</v>
      </c>
      <c r="R918" s="2" t="inlineStr"/>
    </row>
    <row r="919" ht="15" customHeight="1">
      <c r="A919" t="inlineStr">
        <is>
          <t>A 45681-2019</t>
        </is>
      </c>
      <c r="B919" s="1" t="n">
        <v>43717</v>
      </c>
      <c r="C919" s="1" t="n">
        <v>45705</v>
      </c>
      <c r="D919" t="inlineStr">
        <is>
          <t>UPPSALA LÄN</t>
        </is>
      </c>
      <c r="E919" t="inlineStr">
        <is>
          <t>ÖSTHAMMAR</t>
        </is>
      </c>
      <c r="F919" t="inlineStr">
        <is>
          <t>Bergvik skog öst AB</t>
        </is>
      </c>
      <c r="G919" t="n">
        <v>3</v>
      </c>
      <c r="H919" t="n">
        <v>0</v>
      </c>
      <c r="I919" t="n">
        <v>0</v>
      </c>
      <c r="J919" t="n">
        <v>0</v>
      </c>
      <c r="K919" t="n">
        <v>0</v>
      </c>
      <c r="L919" t="n">
        <v>0</v>
      </c>
      <c r="M919" t="n">
        <v>0</v>
      </c>
      <c r="N919" t="n">
        <v>0</v>
      </c>
      <c r="O919" t="n">
        <v>0</v>
      </c>
      <c r="P919" t="n">
        <v>0</v>
      </c>
      <c r="Q919" t="n">
        <v>0</v>
      </c>
      <c r="R919" s="2" t="inlineStr"/>
    </row>
    <row r="920" ht="15" customHeight="1">
      <c r="A920" t="inlineStr">
        <is>
          <t>A 45729-2019</t>
        </is>
      </c>
      <c r="B920" s="1" t="n">
        <v>43717</v>
      </c>
      <c r="C920" s="1" t="n">
        <v>45705</v>
      </c>
      <c r="D920" t="inlineStr">
        <is>
          <t>UPPSALA LÄN</t>
        </is>
      </c>
      <c r="E920" t="inlineStr">
        <is>
          <t>ENKÖPING</t>
        </is>
      </c>
      <c r="G920" t="n">
        <v>0.3</v>
      </c>
      <c r="H920" t="n">
        <v>0</v>
      </c>
      <c r="I920" t="n">
        <v>0</v>
      </c>
      <c r="J920" t="n">
        <v>0</v>
      </c>
      <c r="K920" t="n">
        <v>0</v>
      </c>
      <c r="L920" t="n">
        <v>0</v>
      </c>
      <c r="M920" t="n">
        <v>0</v>
      </c>
      <c r="N920" t="n">
        <v>0</v>
      </c>
      <c r="O920" t="n">
        <v>0</v>
      </c>
      <c r="P920" t="n">
        <v>0</v>
      </c>
      <c r="Q920" t="n">
        <v>0</v>
      </c>
      <c r="R920" s="2" t="inlineStr"/>
    </row>
    <row r="921" ht="15" customHeight="1">
      <c r="A921" t="inlineStr">
        <is>
          <t>A 45767-2019</t>
        </is>
      </c>
      <c r="B921" s="1" t="n">
        <v>43717</v>
      </c>
      <c r="C921" s="1" t="n">
        <v>45705</v>
      </c>
      <c r="D921" t="inlineStr">
        <is>
          <t>UPPSALA LÄN</t>
        </is>
      </c>
      <c r="E921" t="inlineStr">
        <is>
          <t>ENKÖPING</t>
        </is>
      </c>
      <c r="G921" t="n">
        <v>2.6</v>
      </c>
      <c r="H921" t="n">
        <v>0</v>
      </c>
      <c r="I921" t="n">
        <v>0</v>
      </c>
      <c r="J921" t="n">
        <v>0</v>
      </c>
      <c r="K921" t="n">
        <v>0</v>
      </c>
      <c r="L921" t="n">
        <v>0</v>
      </c>
      <c r="M921" t="n">
        <v>0</v>
      </c>
      <c r="N921" t="n">
        <v>0</v>
      </c>
      <c r="O921" t="n">
        <v>0</v>
      </c>
      <c r="P921" t="n">
        <v>0</v>
      </c>
      <c r="Q921" t="n">
        <v>0</v>
      </c>
      <c r="R921" s="2" t="inlineStr"/>
    </row>
    <row r="922" ht="15" customHeight="1">
      <c r="A922" t="inlineStr">
        <is>
          <t>A 45784-2019</t>
        </is>
      </c>
      <c r="B922" s="1" t="n">
        <v>43717</v>
      </c>
      <c r="C922" s="1" t="n">
        <v>45705</v>
      </c>
      <c r="D922" t="inlineStr">
        <is>
          <t>UPPSALA LÄN</t>
        </is>
      </c>
      <c r="E922" t="inlineStr">
        <is>
          <t>ENKÖPING</t>
        </is>
      </c>
      <c r="G922" t="n">
        <v>0.5</v>
      </c>
      <c r="H922" t="n">
        <v>0</v>
      </c>
      <c r="I922" t="n">
        <v>0</v>
      </c>
      <c r="J922" t="n">
        <v>0</v>
      </c>
      <c r="K922" t="n">
        <v>0</v>
      </c>
      <c r="L922" t="n">
        <v>0</v>
      </c>
      <c r="M922" t="n">
        <v>0</v>
      </c>
      <c r="N922" t="n">
        <v>0</v>
      </c>
      <c r="O922" t="n">
        <v>0</v>
      </c>
      <c r="P922" t="n">
        <v>0</v>
      </c>
      <c r="Q922" t="n">
        <v>0</v>
      </c>
      <c r="R922" s="2" t="inlineStr"/>
    </row>
    <row r="923" ht="15" customHeight="1">
      <c r="A923" t="inlineStr">
        <is>
          <t>A 45667-2019</t>
        </is>
      </c>
      <c r="B923" s="1" t="n">
        <v>43717</v>
      </c>
      <c r="C923" s="1" t="n">
        <v>45705</v>
      </c>
      <c r="D923" t="inlineStr">
        <is>
          <t>UPPSALA LÄN</t>
        </is>
      </c>
      <c r="E923" t="inlineStr">
        <is>
          <t>HEBY</t>
        </is>
      </c>
      <c r="G923" t="n">
        <v>0.8</v>
      </c>
      <c r="H923" t="n">
        <v>0</v>
      </c>
      <c r="I923" t="n">
        <v>0</v>
      </c>
      <c r="J923" t="n">
        <v>0</v>
      </c>
      <c r="K923" t="n">
        <v>0</v>
      </c>
      <c r="L923" t="n">
        <v>0</v>
      </c>
      <c r="M923" t="n">
        <v>0</v>
      </c>
      <c r="N923" t="n">
        <v>0</v>
      </c>
      <c r="O923" t="n">
        <v>0</v>
      </c>
      <c r="P923" t="n">
        <v>0</v>
      </c>
      <c r="Q923" t="n">
        <v>0</v>
      </c>
      <c r="R923" s="2" t="inlineStr"/>
    </row>
    <row r="924" ht="15" customHeight="1">
      <c r="A924" t="inlineStr">
        <is>
          <t>A 46292-2019</t>
        </is>
      </c>
      <c r="B924" s="1" t="n">
        <v>43718</v>
      </c>
      <c r="C924" s="1" t="n">
        <v>45705</v>
      </c>
      <c r="D924" t="inlineStr">
        <is>
          <t>UPPSALA LÄN</t>
        </is>
      </c>
      <c r="E924" t="inlineStr">
        <is>
          <t>ENKÖPING</t>
        </is>
      </c>
      <c r="G924" t="n">
        <v>1</v>
      </c>
      <c r="H924" t="n">
        <v>0</v>
      </c>
      <c r="I924" t="n">
        <v>0</v>
      </c>
      <c r="J924" t="n">
        <v>0</v>
      </c>
      <c r="K924" t="n">
        <v>0</v>
      </c>
      <c r="L924" t="n">
        <v>0</v>
      </c>
      <c r="M924" t="n">
        <v>0</v>
      </c>
      <c r="N924" t="n">
        <v>0</v>
      </c>
      <c r="O924" t="n">
        <v>0</v>
      </c>
      <c r="P924" t="n">
        <v>0</v>
      </c>
      <c r="Q924" t="n">
        <v>0</v>
      </c>
      <c r="R924" s="2" t="inlineStr"/>
    </row>
    <row r="925" ht="15" customHeight="1">
      <c r="A925" t="inlineStr">
        <is>
          <t>A 46274-2019</t>
        </is>
      </c>
      <c r="B925" s="1" t="n">
        <v>43718</v>
      </c>
      <c r="C925" s="1" t="n">
        <v>45705</v>
      </c>
      <c r="D925" t="inlineStr">
        <is>
          <t>UPPSALA LÄN</t>
        </is>
      </c>
      <c r="E925" t="inlineStr">
        <is>
          <t>ENKÖPING</t>
        </is>
      </c>
      <c r="G925" t="n">
        <v>1</v>
      </c>
      <c r="H925" t="n">
        <v>0</v>
      </c>
      <c r="I925" t="n">
        <v>0</v>
      </c>
      <c r="J925" t="n">
        <v>0</v>
      </c>
      <c r="K925" t="n">
        <v>0</v>
      </c>
      <c r="L925" t="n">
        <v>0</v>
      </c>
      <c r="M925" t="n">
        <v>0</v>
      </c>
      <c r="N925" t="n">
        <v>0</v>
      </c>
      <c r="O925" t="n">
        <v>0</v>
      </c>
      <c r="P925" t="n">
        <v>0</v>
      </c>
      <c r="Q925" t="n">
        <v>0</v>
      </c>
      <c r="R925" s="2" t="inlineStr"/>
    </row>
    <row r="926" ht="15" customHeight="1">
      <c r="A926" t="inlineStr">
        <is>
          <t>A 46311-2019</t>
        </is>
      </c>
      <c r="B926" s="1" t="n">
        <v>43718</v>
      </c>
      <c r="C926" s="1" t="n">
        <v>45705</v>
      </c>
      <c r="D926" t="inlineStr">
        <is>
          <t>UPPSALA LÄN</t>
        </is>
      </c>
      <c r="E926" t="inlineStr">
        <is>
          <t>UPPSALA</t>
        </is>
      </c>
      <c r="G926" t="n">
        <v>1.1</v>
      </c>
      <c r="H926" t="n">
        <v>0</v>
      </c>
      <c r="I926" t="n">
        <v>0</v>
      </c>
      <c r="J926" t="n">
        <v>0</v>
      </c>
      <c r="K926" t="n">
        <v>0</v>
      </c>
      <c r="L926" t="n">
        <v>0</v>
      </c>
      <c r="M926" t="n">
        <v>0</v>
      </c>
      <c r="N926" t="n">
        <v>0</v>
      </c>
      <c r="O926" t="n">
        <v>0</v>
      </c>
      <c r="P926" t="n">
        <v>0</v>
      </c>
      <c r="Q926" t="n">
        <v>0</v>
      </c>
      <c r="R926" s="2" t="inlineStr"/>
    </row>
    <row r="927" ht="15" customHeight="1">
      <c r="A927" t="inlineStr">
        <is>
          <t>A 46307-2019</t>
        </is>
      </c>
      <c r="B927" s="1" t="n">
        <v>43718</v>
      </c>
      <c r="C927" s="1" t="n">
        <v>45705</v>
      </c>
      <c r="D927" t="inlineStr">
        <is>
          <t>UPPSALA LÄN</t>
        </is>
      </c>
      <c r="E927" t="inlineStr">
        <is>
          <t>UPPSALA</t>
        </is>
      </c>
      <c r="G927" t="n">
        <v>0.5</v>
      </c>
      <c r="H927" t="n">
        <v>0</v>
      </c>
      <c r="I927" t="n">
        <v>0</v>
      </c>
      <c r="J927" t="n">
        <v>0</v>
      </c>
      <c r="K927" t="n">
        <v>0</v>
      </c>
      <c r="L927" t="n">
        <v>0</v>
      </c>
      <c r="M927" t="n">
        <v>0</v>
      </c>
      <c r="N927" t="n">
        <v>0</v>
      </c>
      <c r="O927" t="n">
        <v>0</v>
      </c>
      <c r="P927" t="n">
        <v>0</v>
      </c>
      <c r="Q927" t="n">
        <v>0</v>
      </c>
      <c r="R927" s="2" t="inlineStr"/>
    </row>
    <row r="928" ht="15" customHeight="1">
      <c r="A928" t="inlineStr">
        <is>
          <t>A 46151-2019</t>
        </is>
      </c>
      <c r="B928" s="1" t="n">
        <v>43718</v>
      </c>
      <c r="C928" s="1" t="n">
        <v>45705</v>
      </c>
      <c r="D928" t="inlineStr">
        <is>
          <t>UPPSALA LÄN</t>
        </is>
      </c>
      <c r="E928" t="inlineStr">
        <is>
          <t>UPPSALA</t>
        </is>
      </c>
      <c r="F928" t="inlineStr">
        <is>
          <t>Övriga Aktiebolag</t>
        </is>
      </c>
      <c r="G928" t="n">
        <v>0.5</v>
      </c>
      <c r="H928" t="n">
        <v>0</v>
      </c>
      <c r="I928" t="n">
        <v>0</v>
      </c>
      <c r="J928" t="n">
        <v>0</v>
      </c>
      <c r="K928" t="n">
        <v>0</v>
      </c>
      <c r="L928" t="n">
        <v>0</v>
      </c>
      <c r="M928" t="n">
        <v>0</v>
      </c>
      <c r="N928" t="n">
        <v>0</v>
      </c>
      <c r="O928" t="n">
        <v>0</v>
      </c>
      <c r="P928" t="n">
        <v>0</v>
      </c>
      <c r="Q928" t="n">
        <v>0</v>
      </c>
      <c r="R928" s="2" t="inlineStr"/>
    </row>
    <row r="929" ht="15" customHeight="1">
      <c r="A929" t="inlineStr">
        <is>
          <t>A 46157-2019</t>
        </is>
      </c>
      <c r="B929" s="1" t="n">
        <v>43718</v>
      </c>
      <c r="C929" s="1" t="n">
        <v>45705</v>
      </c>
      <c r="D929" t="inlineStr">
        <is>
          <t>UPPSALA LÄN</t>
        </is>
      </c>
      <c r="E929" t="inlineStr">
        <is>
          <t>UPPSALA</t>
        </is>
      </c>
      <c r="F929" t="inlineStr">
        <is>
          <t>Övriga Aktiebolag</t>
        </is>
      </c>
      <c r="G929" t="n">
        <v>4.5</v>
      </c>
      <c r="H929" t="n">
        <v>0</v>
      </c>
      <c r="I929" t="n">
        <v>0</v>
      </c>
      <c r="J929" t="n">
        <v>0</v>
      </c>
      <c r="K929" t="n">
        <v>0</v>
      </c>
      <c r="L929" t="n">
        <v>0</v>
      </c>
      <c r="M929" t="n">
        <v>0</v>
      </c>
      <c r="N929" t="n">
        <v>0</v>
      </c>
      <c r="O929" t="n">
        <v>0</v>
      </c>
      <c r="P929" t="n">
        <v>0</v>
      </c>
      <c r="Q929" t="n">
        <v>0</v>
      </c>
      <c r="R929" s="2" t="inlineStr"/>
    </row>
    <row r="930" ht="15" customHeight="1">
      <c r="A930" t="inlineStr">
        <is>
          <t>A 46310-2019</t>
        </is>
      </c>
      <c r="B930" s="1" t="n">
        <v>43718</v>
      </c>
      <c r="C930" s="1" t="n">
        <v>45705</v>
      </c>
      <c r="D930" t="inlineStr">
        <is>
          <t>UPPSALA LÄN</t>
        </is>
      </c>
      <c r="E930" t="inlineStr">
        <is>
          <t>UPPSALA</t>
        </is>
      </c>
      <c r="G930" t="n">
        <v>7</v>
      </c>
      <c r="H930" t="n">
        <v>0</v>
      </c>
      <c r="I930" t="n">
        <v>0</v>
      </c>
      <c r="J930" t="n">
        <v>0</v>
      </c>
      <c r="K930" t="n">
        <v>0</v>
      </c>
      <c r="L930" t="n">
        <v>0</v>
      </c>
      <c r="M930" t="n">
        <v>0</v>
      </c>
      <c r="N930" t="n">
        <v>0</v>
      </c>
      <c r="O930" t="n">
        <v>0</v>
      </c>
      <c r="P930" t="n">
        <v>0</v>
      </c>
      <c r="Q930" t="n">
        <v>0</v>
      </c>
      <c r="R930" s="2" t="inlineStr"/>
    </row>
    <row r="931" ht="15" customHeight="1">
      <c r="A931" t="inlineStr">
        <is>
          <t>A 46147-2019</t>
        </is>
      </c>
      <c r="B931" s="1" t="n">
        <v>43718</v>
      </c>
      <c r="C931" s="1" t="n">
        <v>45705</v>
      </c>
      <c r="D931" t="inlineStr">
        <is>
          <t>UPPSALA LÄN</t>
        </is>
      </c>
      <c r="E931" t="inlineStr">
        <is>
          <t>UPPSALA</t>
        </is>
      </c>
      <c r="F931" t="inlineStr">
        <is>
          <t>Övriga Aktiebolag</t>
        </is>
      </c>
      <c r="G931" t="n">
        <v>1.7</v>
      </c>
      <c r="H931" t="n">
        <v>0</v>
      </c>
      <c r="I931" t="n">
        <v>0</v>
      </c>
      <c r="J931" t="n">
        <v>0</v>
      </c>
      <c r="K931" t="n">
        <v>0</v>
      </c>
      <c r="L931" t="n">
        <v>0</v>
      </c>
      <c r="M931" t="n">
        <v>0</v>
      </c>
      <c r="N931" t="n">
        <v>0</v>
      </c>
      <c r="O931" t="n">
        <v>0</v>
      </c>
      <c r="P931" t="n">
        <v>0</v>
      </c>
      <c r="Q931" t="n">
        <v>0</v>
      </c>
      <c r="R931" s="2" t="inlineStr"/>
    </row>
    <row r="932" ht="15" customHeight="1">
      <c r="A932" t="inlineStr">
        <is>
          <t>A 46563-2019</t>
        </is>
      </c>
      <c r="B932" s="1" t="n">
        <v>43719</v>
      </c>
      <c r="C932" s="1" t="n">
        <v>45705</v>
      </c>
      <c r="D932" t="inlineStr">
        <is>
          <t>UPPSALA LÄN</t>
        </is>
      </c>
      <c r="E932" t="inlineStr">
        <is>
          <t>HEBY</t>
        </is>
      </c>
      <c r="G932" t="n">
        <v>6.7</v>
      </c>
      <c r="H932" t="n">
        <v>0</v>
      </c>
      <c r="I932" t="n">
        <v>0</v>
      </c>
      <c r="J932" t="n">
        <v>0</v>
      </c>
      <c r="K932" t="n">
        <v>0</v>
      </c>
      <c r="L932" t="n">
        <v>0</v>
      </c>
      <c r="M932" t="n">
        <v>0</v>
      </c>
      <c r="N932" t="n">
        <v>0</v>
      </c>
      <c r="O932" t="n">
        <v>0</v>
      </c>
      <c r="P932" t="n">
        <v>0</v>
      </c>
      <c r="Q932" t="n">
        <v>0</v>
      </c>
      <c r="R932" s="2" t="inlineStr"/>
    </row>
    <row r="933" ht="15" customHeight="1">
      <c r="A933" t="inlineStr">
        <is>
          <t>A 46545-2019</t>
        </is>
      </c>
      <c r="B933" s="1" t="n">
        <v>43719</v>
      </c>
      <c r="C933" s="1" t="n">
        <v>45705</v>
      </c>
      <c r="D933" t="inlineStr">
        <is>
          <t>UPPSALA LÄN</t>
        </is>
      </c>
      <c r="E933" t="inlineStr">
        <is>
          <t>HEBY</t>
        </is>
      </c>
      <c r="G933" t="n">
        <v>4.9</v>
      </c>
      <c r="H933" t="n">
        <v>0</v>
      </c>
      <c r="I933" t="n">
        <v>0</v>
      </c>
      <c r="J933" t="n">
        <v>0</v>
      </c>
      <c r="K933" t="n">
        <v>0</v>
      </c>
      <c r="L933" t="n">
        <v>0</v>
      </c>
      <c r="M933" t="n">
        <v>0</v>
      </c>
      <c r="N933" t="n">
        <v>0</v>
      </c>
      <c r="O933" t="n">
        <v>0</v>
      </c>
      <c r="P933" t="n">
        <v>0</v>
      </c>
      <c r="Q933" t="n">
        <v>0</v>
      </c>
      <c r="R933" s="2" t="inlineStr"/>
    </row>
    <row r="934" ht="15" customHeight="1">
      <c r="A934" t="inlineStr">
        <is>
          <t>A 46877-2019</t>
        </is>
      </c>
      <c r="B934" s="1" t="n">
        <v>43720</v>
      </c>
      <c r="C934" s="1" t="n">
        <v>45705</v>
      </c>
      <c r="D934" t="inlineStr">
        <is>
          <t>UPPSALA LÄN</t>
        </is>
      </c>
      <c r="E934" t="inlineStr">
        <is>
          <t>UPPSALA</t>
        </is>
      </c>
      <c r="G934" t="n">
        <v>1.9</v>
      </c>
      <c r="H934" t="n">
        <v>0</v>
      </c>
      <c r="I934" t="n">
        <v>0</v>
      </c>
      <c r="J934" t="n">
        <v>0</v>
      </c>
      <c r="K934" t="n">
        <v>0</v>
      </c>
      <c r="L934" t="n">
        <v>0</v>
      </c>
      <c r="M934" t="n">
        <v>0</v>
      </c>
      <c r="N934" t="n">
        <v>0</v>
      </c>
      <c r="O934" t="n">
        <v>0</v>
      </c>
      <c r="P934" t="n">
        <v>0</v>
      </c>
      <c r="Q934" t="n">
        <v>0</v>
      </c>
      <c r="R934" s="2" t="inlineStr"/>
    </row>
    <row r="935" ht="15" customHeight="1">
      <c r="A935" t="inlineStr">
        <is>
          <t>A 46896-2019</t>
        </is>
      </c>
      <c r="B935" s="1" t="n">
        <v>43720</v>
      </c>
      <c r="C935" s="1" t="n">
        <v>45705</v>
      </c>
      <c r="D935" t="inlineStr">
        <is>
          <t>UPPSALA LÄN</t>
        </is>
      </c>
      <c r="E935" t="inlineStr">
        <is>
          <t>UPPSALA</t>
        </is>
      </c>
      <c r="G935" t="n">
        <v>0.8</v>
      </c>
      <c r="H935" t="n">
        <v>0</v>
      </c>
      <c r="I935" t="n">
        <v>0</v>
      </c>
      <c r="J935" t="n">
        <v>0</v>
      </c>
      <c r="K935" t="n">
        <v>0</v>
      </c>
      <c r="L935" t="n">
        <v>0</v>
      </c>
      <c r="M935" t="n">
        <v>0</v>
      </c>
      <c r="N935" t="n">
        <v>0</v>
      </c>
      <c r="O935" t="n">
        <v>0</v>
      </c>
      <c r="P935" t="n">
        <v>0</v>
      </c>
      <c r="Q935" t="n">
        <v>0</v>
      </c>
      <c r="R935" s="2" t="inlineStr"/>
    </row>
    <row r="936" ht="15" customHeight="1">
      <c r="A936" t="inlineStr">
        <is>
          <t>A 46971-2019</t>
        </is>
      </c>
      <c r="B936" s="1" t="n">
        <v>43720</v>
      </c>
      <c r="C936" s="1" t="n">
        <v>45705</v>
      </c>
      <c r="D936" t="inlineStr">
        <is>
          <t>UPPSALA LÄN</t>
        </is>
      </c>
      <c r="E936" t="inlineStr">
        <is>
          <t>ENKÖPING</t>
        </is>
      </c>
      <c r="G936" t="n">
        <v>1.2</v>
      </c>
      <c r="H936" t="n">
        <v>0</v>
      </c>
      <c r="I936" t="n">
        <v>0</v>
      </c>
      <c r="J936" t="n">
        <v>0</v>
      </c>
      <c r="K936" t="n">
        <v>0</v>
      </c>
      <c r="L936" t="n">
        <v>0</v>
      </c>
      <c r="M936" t="n">
        <v>0</v>
      </c>
      <c r="N936" t="n">
        <v>0</v>
      </c>
      <c r="O936" t="n">
        <v>0</v>
      </c>
      <c r="P936" t="n">
        <v>0</v>
      </c>
      <c r="Q936" t="n">
        <v>0</v>
      </c>
      <c r="R936" s="2" t="inlineStr"/>
    </row>
    <row r="937" ht="15" customHeight="1">
      <c r="A937" t="inlineStr">
        <is>
          <t>A 47039-2019</t>
        </is>
      </c>
      <c r="B937" s="1" t="n">
        <v>43720</v>
      </c>
      <c r="C937" s="1" t="n">
        <v>45705</v>
      </c>
      <c r="D937" t="inlineStr">
        <is>
          <t>UPPSALA LÄN</t>
        </is>
      </c>
      <c r="E937" t="inlineStr">
        <is>
          <t>ENKÖPING</t>
        </is>
      </c>
      <c r="G937" t="n">
        <v>0.3</v>
      </c>
      <c r="H937" t="n">
        <v>0</v>
      </c>
      <c r="I937" t="n">
        <v>0</v>
      </c>
      <c r="J937" t="n">
        <v>0</v>
      </c>
      <c r="K937" t="n">
        <v>0</v>
      </c>
      <c r="L937" t="n">
        <v>0</v>
      </c>
      <c r="M937" t="n">
        <v>0</v>
      </c>
      <c r="N937" t="n">
        <v>0</v>
      </c>
      <c r="O937" t="n">
        <v>0</v>
      </c>
      <c r="P937" t="n">
        <v>0</v>
      </c>
      <c r="Q937" t="n">
        <v>0</v>
      </c>
      <c r="R937" s="2" t="inlineStr"/>
    </row>
    <row r="938" ht="15" customHeight="1">
      <c r="A938" t="inlineStr">
        <is>
          <t>A 47368-2019</t>
        </is>
      </c>
      <c r="B938" s="1" t="n">
        <v>43721</v>
      </c>
      <c r="C938" s="1" t="n">
        <v>45705</v>
      </c>
      <c r="D938" t="inlineStr">
        <is>
          <t>UPPSALA LÄN</t>
        </is>
      </c>
      <c r="E938" t="inlineStr">
        <is>
          <t>ENKÖPING</t>
        </is>
      </c>
      <c r="G938" t="n">
        <v>0.4</v>
      </c>
      <c r="H938" t="n">
        <v>0</v>
      </c>
      <c r="I938" t="n">
        <v>0</v>
      </c>
      <c r="J938" t="n">
        <v>0</v>
      </c>
      <c r="K938" t="n">
        <v>0</v>
      </c>
      <c r="L938" t="n">
        <v>0</v>
      </c>
      <c r="M938" t="n">
        <v>0</v>
      </c>
      <c r="N938" t="n">
        <v>0</v>
      </c>
      <c r="O938" t="n">
        <v>0</v>
      </c>
      <c r="P938" t="n">
        <v>0</v>
      </c>
      <c r="Q938" t="n">
        <v>0</v>
      </c>
      <c r="R938" s="2" t="inlineStr"/>
    </row>
    <row r="939" ht="15" customHeight="1">
      <c r="A939" t="inlineStr">
        <is>
          <t>A 47440-2019</t>
        </is>
      </c>
      <c r="B939" s="1" t="n">
        <v>43723</v>
      </c>
      <c r="C939" s="1" t="n">
        <v>45705</v>
      </c>
      <c r="D939" t="inlineStr">
        <is>
          <t>UPPSALA LÄN</t>
        </is>
      </c>
      <c r="E939" t="inlineStr">
        <is>
          <t>ÖSTHAMMAR</t>
        </is>
      </c>
      <c r="G939" t="n">
        <v>0.1</v>
      </c>
      <c r="H939" t="n">
        <v>0</v>
      </c>
      <c r="I939" t="n">
        <v>0</v>
      </c>
      <c r="J939" t="n">
        <v>0</v>
      </c>
      <c r="K939" t="n">
        <v>0</v>
      </c>
      <c r="L939" t="n">
        <v>0</v>
      </c>
      <c r="M939" t="n">
        <v>0</v>
      </c>
      <c r="N939" t="n">
        <v>0</v>
      </c>
      <c r="O939" t="n">
        <v>0</v>
      </c>
      <c r="P939" t="n">
        <v>0</v>
      </c>
      <c r="Q939" t="n">
        <v>0</v>
      </c>
      <c r="R939" s="2" t="inlineStr"/>
    </row>
    <row r="940" ht="15" customHeight="1">
      <c r="A940" t="inlineStr">
        <is>
          <t>A 47436-2019</t>
        </is>
      </c>
      <c r="B940" s="1" t="n">
        <v>43723</v>
      </c>
      <c r="C940" s="1" t="n">
        <v>45705</v>
      </c>
      <c r="D940" t="inlineStr">
        <is>
          <t>UPPSALA LÄN</t>
        </is>
      </c>
      <c r="E940" t="inlineStr">
        <is>
          <t>ÖSTHAMMAR</t>
        </is>
      </c>
      <c r="G940" t="n">
        <v>0.7</v>
      </c>
      <c r="H940" t="n">
        <v>0</v>
      </c>
      <c r="I940" t="n">
        <v>0</v>
      </c>
      <c r="J940" t="n">
        <v>0</v>
      </c>
      <c r="K940" t="n">
        <v>0</v>
      </c>
      <c r="L940" t="n">
        <v>0</v>
      </c>
      <c r="M940" t="n">
        <v>0</v>
      </c>
      <c r="N940" t="n">
        <v>0</v>
      </c>
      <c r="O940" t="n">
        <v>0</v>
      </c>
      <c r="P940" t="n">
        <v>0</v>
      </c>
      <c r="Q940" t="n">
        <v>0</v>
      </c>
      <c r="R940" s="2" t="inlineStr"/>
    </row>
    <row r="941" ht="15" customHeight="1">
      <c r="A941" t="inlineStr">
        <is>
          <t>A 47476-2019</t>
        </is>
      </c>
      <c r="B941" s="1" t="n">
        <v>43724</v>
      </c>
      <c r="C941" s="1" t="n">
        <v>45705</v>
      </c>
      <c r="D941" t="inlineStr">
        <is>
          <t>UPPSALA LÄN</t>
        </is>
      </c>
      <c r="E941" t="inlineStr">
        <is>
          <t>ENKÖPING</t>
        </is>
      </c>
      <c r="G941" t="n">
        <v>0.4</v>
      </c>
      <c r="H941" t="n">
        <v>0</v>
      </c>
      <c r="I941" t="n">
        <v>0</v>
      </c>
      <c r="J941" t="n">
        <v>0</v>
      </c>
      <c r="K941" t="n">
        <v>0</v>
      </c>
      <c r="L941" t="n">
        <v>0</v>
      </c>
      <c r="M941" t="n">
        <v>0</v>
      </c>
      <c r="N941" t="n">
        <v>0</v>
      </c>
      <c r="O941" t="n">
        <v>0</v>
      </c>
      <c r="P941" t="n">
        <v>0</v>
      </c>
      <c r="Q941" t="n">
        <v>0</v>
      </c>
      <c r="R941" s="2" t="inlineStr"/>
    </row>
    <row r="942" ht="15" customHeight="1">
      <c r="A942" t="inlineStr">
        <is>
          <t>A 48086-2019</t>
        </is>
      </c>
      <c r="B942" s="1" t="n">
        <v>43725</v>
      </c>
      <c r="C942" s="1" t="n">
        <v>45705</v>
      </c>
      <c r="D942" t="inlineStr">
        <is>
          <t>UPPSALA LÄN</t>
        </is>
      </c>
      <c r="E942" t="inlineStr">
        <is>
          <t>HEBY</t>
        </is>
      </c>
      <c r="G942" t="n">
        <v>2.5</v>
      </c>
      <c r="H942" t="n">
        <v>0</v>
      </c>
      <c r="I942" t="n">
        <v>0</v>
      </c>
      <c r="J942" t="n">
        <v>0</v>
      </c>
      <c r="K942" t="n">
        <v>0</v>
      </c>
      <c r="L942" t="n">
        <v>0</v>
      </c>
      <c r="M942" t="n">
        <v>0</v>
      </c>
      <c r="N942" t="n">
        <v>0</v>
      </c>
      <c r="O942" t="n">
        <v>0</v>
      </c>
      <c r="P942" t="n">
        <v>0</v>
      </c>
      <c r="Q942" t="n">
        <v>0</v>
      </c>
      <c r="R942" s="2" t="inlineStr"/>
    </row>
    <row r="943" ht="15" customHeight="1">
      <c r="A943" t="inlineStr">
        <is>
          <t>A 48098-2019</t>
        </is>
      </c>
      <c r="B943" s="1" t="n">
        <v>43725</v>
      </c>
      <c r="C943" s="1" t="n">
        <v>45705</v>
      </c>
      <c r="D943" t="inlineStr">
        <is>
          <t>UPPSALA LÄN</t>
        </is>
      </c>
      <c r="E943" t="inlineStr">
        <is>
          <t>ENKÖPING</t>
        </is>
      </c>
      <c r="G943" t="n">
        <v>0.5</v>
      </c>
      <c r="H943" t="n">
        <v>0</v>
      </c>
      <c r="I943" t="n">
        <v>0</v>
      </c>
      <c r="J943" t="n">
        <v>0</v>
      </c>
      <c r="K943" t="n">
        <v>0</v>
      </c>
      <c r="L943" t="n">
        <v>0</v>
      </c>
      <c r="M943" t="n">
        <v>0</v>
      </c>
      <c r="N943" t="n">
        <v>0</v>
      </c>
      <c r="O943" t="n">
        <v>0</v>
      </c>
      <c r="P943" t="n">
        <v>0</v>
      </c>
      <c r="Q943" t="n">
        <v>0</v>
      </c>
      <c r="R943" s="2" t="inlineStr"/>
    </row>
    <row r="944" ht="15" customHeight="1">
      <c r="A944" t="inlineStr">
        <is>
          <t>A 48095-2019</t>
        </is>
      </c>
      <c r="B944" s="1" t="n">
        <v>43725</v>
      </c>
      <c r="C944" s="1" t="n">
        <v>45705</v>
      </c>
      <c r="D944" t="inlineStr">
        <is>
          <t>UPPSALA LÄN</t>
        </is>
      </c>
      <c r="E944" t="inlineStr">
        <is>
          <t>ENKÖPING</t>
        </is>
      </c>
      <c r="G944" t="n">
        <v>0.5</v>
      </c>
      <c r="H944" t="n">
        <v>0</v>
      </c>
      <c r="I944" t="n">
        <v>0</v>
      </c>
      <c r="J944" t="n">
        <v>0</v>
      </c>
      <c r="K944" t="n">
        <v>0</v>
      </c>
      <c r="L944" t="n">
        <v>0</v>
      </c>
      <c r="M944" t="n">
        <v>0</v>
      </c>
      <c r="N944" t="n">
        <v>0</v>
      </c>
      <c r="O944" t="n">
        <v>0</v>
      </c>
      <c r="P944" t="n">
        <v>0</v>
      </c>
      <c r="Q944" t="n">
        <v>0</v>
      </c>
      <c r="R944" s="2" t="inlineStr"/>
    </row>
    <row r="945" ht="15" customHeight="1">
      <c r="A945" t="inlineStr">
        <is>
          <t>A 48096-2019</t>
        </is>
      </c>
      <c r="B945" s="1" t="n">
        <v>43725</v>
      </c>
      <c r="C945" s="1" t="n">
        <v>45705</v>
      </c>
      <c r="D945" t="inlineStr">
        <is>
          <t>UPPSALA LÄN</t>
        </is>
      </c>
      <c r="E945" t="inlineStr">
        <is>
          <t>ENKÖPING</t>
        </is>
      </c>
      <c r="G945" t="n">
        <v>0.2</v>
      </c>
      <c r="H945" t="n">
        <v>0</v>
      </c>
      <c r="I945" t="n">
        <v>0</v>
      </c>
      <c r="J945" t="n">
        <v>0</v>
      </c>
      <c r="K945" t="n">
        <v>0</v>
      </c>
      <c r="L945" t="n">
        <v>0</v>
      </c>
      <c r="M945" t="n">
        <v>0</v>
      </c>
      <c r="N945" t="n">
        <v>0</v>
      </c>
      <c r="O945" t="n">
        <v>0</v>
      </c>
      <c r="P945" t="n">
        <v>0</v>
      </c>
      <c r="Q945" t="n">
        <v>0</v>
      </c>
      <c r="R945" s="2" t="inlineStr"/>
    </row>
    <row r="946" ht="15" customHeight="1">
      <c r="A946" t="inlineStr">
        <is>
          <t>A 48515-2019</t>
        </is>
      </c>
      <c r="B946" s="1" t="n">
        <v>43727</v>
      </c>
      <c r="C946" s="1" t="n">
        <v>45705</v>
      </c>
      <c r="D946" t="inlineStr">
        <is>
          <t>UPPSALA LÄN</t>
        </is>
      </c>
      <c r="E946" t="inlineStr">
        <is>
          <t>ENKÖPING</t>
        </is>
      </c>
      <c r="G946" t="n">
        <v>0.4</v>
      </c>
      <c r="H946" t="n">
        <v>0</v>
      </c>
      <c r="I946" t="n">
        <v>0</v>
      </c>
      <c r="J946" t="n">
        <v>0</v>
      </c>
      <c r="K946" t="n">
        <v>0</v>
      </c>
      <c r="L946" t="n">
        <v>0</v>
      </c>
      <c r="M946" t="n">
        <v>0</v>
      </c>
      <c r="N946" t="n">
        <v>0</v>
      </c>
      <c r="O946" t="n">
        <v>0</v>
      </c>
      <c r="P946" t="n">
        <v>0</v>
      </c>
      <c r="Q946" t="n">
        <v>0</v>
      </c>
      <c r="R946" s="2" t="inlineStr"/>
    </row>
    <row r="947" ht="15" customHeight="1">
      <c r="A947" t="inlineStr">
        <is>
          <t>A 48485-2019</t>
        </is>
      </c>
      <c r="B947" s="1" t="n">
        <v>43727</v>
      </c>
      <c r="C947" s="1" t="n">
        <v>45705</v>
      </c>
      <c r="D947" t="inlineStr">
        <is>
          <t>UPPSALA LÄN</t>
        </is>
      </c>
      <c r="E947" t="inlineStr">
        <is>
          <t>UPPSALA</t>
        </is>
      </c>
      <c r="G947" t="n">
        <v>3</v>
      </c>
      <c r="H947" t="n">
        <v>0</v>
      </c>
      <c r="I947" t="n">
        <v>0</v>
      </c>
      <c r="J947" t="n">
        <v>0</v>
      </c>
      <c r="K947" t="n">
        <v>0</v>
      </c>
      <c r="L947" t="n">
        <v>0</v>
      </c>
      <c r="M947" t="n">
        <v>0</v>
      </c>
      <c r="N947" t="n">
        <v>0</v>
      </c>
      <c r="O947" t="n">
        <v>0</v>
      </c>
      <c r="P947" t="n">
        <v>0</v>
      </c>
      <c r="Q947" t="n">
        <v>0</v>
      </c>
      <c r="R947" s="2" t="inlineStr"/>
    </row>
    <row r="948" ht="15" customHeight="1">
      <c r="A948" t="inlineStr">
        <is>
          <t>A 48511-2019</t>
        </is>
      </c>
      <c r="B948" s="1" t="n">
        <v>43727</v>
      </c>
      <c r="C948" s="1" t="n">
        <v>45705</v>
      </c>
      <c r="D948" t="inlineStr">
        <is>
          <t>UPPSALA LÄN</t>
        </is>
      </c>
      <c r="E948" t="inlineStr">
        <is>
          <t>ENKÖPING</t>
        </is>
      </c>
      <c r="G948" t="n">
        <v>1.4</v>
      </c>
      <c r="H948" t="n">
        <v>0</v>
      </c>
      <c r="I948" t="n">
        <v>0</v>
      </c>
      <c r="J948" t="n">
        <v>0</v>
      </c>
      <c r="K948" t="n">
        <v>0</v>
      </c>
      <c r="L948" t="n">
        <v>0</v>
      </c>
      <c r="M948" t="n">
        <v>0</v>
      </c>
      <c r="N948" t="n">
        <v>0</v>
      </c>
      <c r="O948" t="n">
        <v>0</v>
      </c>
      <c r="P948" t="n">
        <v>0</v>
      </c>
      <c r="Q948" t="n">
        <v>0</v>
      </c>
      <c r="R948" s="2" t="inlineStr"/>
    </row>
    <row r="949" ht="15" customHeight="1">
      <c r="A949" t="inlineStr">
        <is>
          <t>A 48822-2019</t>
        </is>
      </c>
      <c r="B949" s="1" t="n">
        <v>43728</v>
      </c>
      <c r="C949" s="1" t="n">
        <v>45705</v>
      </c>
      <c r="D949" t="inlineStr">
        <is>
          <t>UPPSALA LÄN</t>
        </is>
      </c>
      <c r="E949" t="inlineStr">
        <is>
          <t>ÄLVKARLEBY</t>
        </is>
      </c>
      <c r="F949" t="inlineStr">
        <is>
          <t>Bergvik skog väst AB</t>
        </is>
      </c>
      <c r="G949" t="n">
        <v>3</v>
      </c>
      <c r="H949" t="n">
        <v>0</v>
      </c>
      <c r="I949" t="n">
        <v>0</v>
      </c>
      <c r="J949" t="n">
        <v>0</v>
      </c>
      <c r="K949" t="n">
        <v>0</v>
      </c>
      <c r="L949" t="n">
        <v>0</v>
      </c>
      <c r="M949" t="n">
        <v>0</v>
      </c>
      <c r="N949" t="n">
        <v>0</v>
      </c>
      <c r="O949" t="n">
        <v>0</v>
      </c>
      <c r="P949" t="n">
        <v>0</v>
      </c>
      <c r="Q949" t="n">
        <v>0</v>
      </c>
      <c r="R949" s="2" t="inlineStr"/>
    </row>
    <row r="950" ht="15" customHeight="1">
      <c r="A950" t="inlineStr">
        <is>
          <t>A 49567-2019</t>
        </is>
      </c>
      <c r="B950" s="1" t="n">
        <v>43730</v>
      </c>
      <c r="C950" s="1" t="n">
        <v>45705</v>
      </c>
      <c r="D950" t="inlineStr">
        <is>
          <t>UPPSALA LÄN</t>
        </is>
      </c>
      <c r="E950" t="inlineStr">
        <is>
          <t>UPPSALA</t>
        </is>
      </c>
      <c r="G950" t="n">
        <v>6</v>
      </c>
      <c r="H950" t="n">
        <v>0</v>
      </c>
      <c r="I950" t="n">
        <v>0</v>
      </c>
      <c r="J950" t="n">
        <v>0</v>
      </c>
      <c r="K950" t="n">
        <v>0</v>
      </c>
      <c r="L950" t="n">
        <v>0</v>
      </c>
      <c r="M950" t="n">
        <v>0</v>
      </c>
      <c r="N950" t="n">
        <v>0</v>
      </c>
      <c r="O950" t="n">
        <v>0</v>
      </c>
      <c r="P950" t="n">
        <v>0</v>
      </c>
      <c r="Q950" t="n">
        <v>0</v>
      </c>
      <c r="R950" s="2" t="inlineStr"/>
    </row>
    <row r="951" ht="15" customHeight="1">
      <c r="A951" t="inlineStr">
        <is>
          <t>A 49082-2019</t>
        </is>
      </c>
      <c r="B951" s="1" t="n">
        <v>43731</v>
      </c>
      <c r="C951" s="1" t="n">
        <v>45705</v>
      </c>
      <c r="D951" t="inlineStr">
        <is>
          <t>UPPSALA LÄN</t>
        </is>
      </c>
      <c r="E951" t="inlineStr">
        <is>
          <t>KNIVSTA</t>
        </is>
      </c>
      <c r="G951" t="n">
        <v>0.9</v>
      </c>
      <c r="H951" t="n">
        <v>0</v>
      </c>
      <c r="I951" t="n">
        <v>0</v>
      </c>
      <c r="J951" t="n">
        <v>0</v>
      </c>
      <c r="K951" t="n">
        <v>0</v>
      </c>
      <c r="L951" t="n">
        <v>0</v>
      </c>
      <c r="M951" t="n">
        <v>0</v>
      </c>
      <c r="N951" t="n">
        <v>0</v>
      </c>
      <c r="O951" t="n">
        <v>0</v>
      </c>
      <c r="P951" t="n">
        <v>0</v>
      </c>
      <c r="Q951" t="n">
        <v>0</v>
      </c>
      <c r="R951" s="2" t="inlineStr"/>
    </row>
    <row r="952" ht="15" customHeight="1">
      <c r="A952" t="inlineStr">
        <is>
          <t>A 50358-2019</t>
        </is>
      </c>
      <c r="B952" s="1" t="n">
        <v>43731</v>
      </c>
      <c r="C952" s="1" t="n">
        <v>45705</v>
      </c>
      <c r="D952" t="inlineStr">
        <is>
          <t>UPPSALA LÄN</t>
        </is>
      </c>
      <c r="E952" t="inlineStr">
        <is>
          <t>HEBY</t>
        </is>
      </c>
      <c r="F952" t="inlineStr">
        <is>
          <t>Bergvik skog väst AB</t>
        </is>
      </c>
      <c r="G952" t="n">
        <v>3.8</v>
      </c>
      <c r="H952" t="n">
        <v>0</v>
      </c>
      <c r="I952" t="n">
        <v>0</v>
      </c>
      <c r="J952" t="n">
        <v>0</v>
      </c>
      <c r="K952" t="n">
        <v>0</v>
      </c>
      <c r="L952" t="n">
        <v>0</v>
      </c>
      <c r="M952" t="n">
        <v>0</v>
      </c>
      <c r="N952" t="n">
        <v>0</v>
      </c>
      <c r="O952" t="n">
        <v>0</v>
      </c>
      <c r="P952" t="n">
        <v>0</v>
      </c>
      <c r="Q952" t="n">
        <v>0</v>
      </c>
      <c r="R952" s="2" t="inlineStr"/>
    </row>
    <row r="953" ht="15" customHeight="1">
      <c r="A953" t="inlineStr">
        <is>
          <t>A 50414-2019</t>
        </is>
      </c>
      <c r="B953" s="1" t="n">
        <v>43731</v>
      </c>
      <c r="C953" s="1" t="n">
        <v>45705</v>
      </c>
      <c r="D953" t="inlineStr">
        <is>
          <t>UPPSALA LÄN</t>
        </is>
      </c>
      <c r="E953" t="inlineStr">
        <is>
          <t>HEBY</t>
        </is>
      </c>
      <c r="F953" t="inlineStr">
        <is>
          <t>Bergvik skog väst AB</t>
        </is>
      </c>
      <c r="G953" t="n">
        <v>3.4</v>
      </c>
      <c r="H953" t="n">
        <v>0</v>
      </c>
      <c r="I953" t="n">
        <v>0</v>
      </c>
      <c r="J953" t="n">
        <v>0</v>
      </c>
      <c r="K953" t="n">
        <v>0</v>
      </c>
      <c r="L953" t="n">
        <v>0</v>
      </c>
      <c r="M953" t="n">
        <v>0</v>
      </c>
      <c r="N953" t="n">
        <v>0</v>
      </c>
      <c r="O953" t="n">
        <v>0</v>
      </c>
      <c r="P953" t="n">
        <v>0</v>
      </c>
      <c r="Q953" t="n">
        <v>0</v>
      </c>
      <c r="R953" s="2" t="inlineStr"/>
    </row>
    <row r="954" ht="15" customHeight="1">
      <c r="A954" t="inlineStr">
        <is>
          <t>A 49568-2019</t>
        </is>
      </c>
      <c r="B954" s="1" t="n">
        <v>43732</v>
      </c>
      <c r="C954" s="1" t="n">
        <v>45705</v>
      </c>
      <c r="D954" t="inlineStr">
        <is>
          <t>UPPSALA LÄN</t>
        </is>
      </c>
      <c r="E954" t="inlineStr">
        <is>
          <t>HÅBO</t>
        </is>
      </c>
      <c r="G954" t="n">
        <v>5.5</v>
      </c>
      <c r="H954" t="n">
        <v>0</v>
      </c>
      <c r="I954" t="n">
        <v>0</v>
      </c>
      <c r="J954" t="n">
        <v>0</v>
      </c>
      <c r="K954" t="n">
        <v>0</v>
      </c>
      <c r="L954" t="n">
        <v>0</v>
      </c>
      <c r="M954" t="n">
        <v>0</v>
      </c>
      <c r="N954" t="n">
        <v>0</v>
      </c>
      <c r="O954" t="n">
        <v>0</v>
      </c>
      <c r="P954" t="n">
        <v>0</v>
      </c>
      <c r="Q954" t="n">
        <v>0</v>
      </c>
      <c r="R954" s="2" t="inlineStr"/>
    </row>
    <row r="955" ht="15" customHeight="1">
      <c r="A955" t="inlineStr">
        <is>
          <t>A 49856-2019</t>
        </is>
      </c>
      <c r="B955" s="1" t="n">
        <v>43733</v>
      </c>
      <c r="C955" s="1" t="n">
        <v>45705</v>
      </c>
      <c r="D955" t="inlineStr">
        <is>
          <t>UPPSALA LÄN</t>
        </is>
      </c>
      <c r="E955" t="inlineStr">
        <is>
          <t>ENKÖPING</t>
        </is>
      </c>
      <c r="G955" t="n">
        <v>9.9</v>
      </c>
      <c r="H955" t="n">
        <v>0</v>
      </c>
      <c r="I955" t="n">
        <v>0</v>
      </c>
      <c r="J955" t="n">
        <v>0</v>
      </c>
      <c r="K955" t="n">
        <v>0</v>
      </c>
      <c r="L955" t="n">
        <v>0</v>
      </c>
      <c r="M955" t="n">
        <v>0</v>
      </c>
      <c r="N955" t="n">
        <v>0</v>
      </c>
      <c r="O955" t="n">
        <v>0</v>
      </c>
      <c r="P955" t="n">
        <v>0</v>
      </c>
      <c r="Q955" t="n">
        <v>0</v>
      </c>
      <c r="R955" s="2" t="inlineStr"/>
    </row>
    <row r="956" ht="15" customHeight="1">
      <c r="A956" t="inlineStr">
        <is>
          <t>A 49877-2019</t>
        </is>
      </c>
      <c r="B956" s="1" t="n">
        <v>43733</v>
      </c>
      <c r="C956" s="1" t="n">
        <v>45705</v>
      </c>
      <c r="D956" t="inlineStr">
        <is>
          <t>UPPSALA LÄN</t>
        </is>
      </c>
      <c r="E956" t="inlineStr">
        <is>
          <t>TIERP</t>
        </is>
      </c>
      <c r="G956" t="n">
        <v>2.4</v>
      </c>
      <c r="H956" t="n">
        <v>0</v>
      </c>
      <c r="I956" t="n">
        <v>0</v>
      </c>
      <c r="J956" t="n">
        <v>0</v>
      </c>
      <c r="K956" t="n">
        <v>0</v>
      </c>
      <c r="L956" t="n">
        <v>0</v>
      </c>
      <c r="M956" t="n">
        <v>0</v>
      </c>
      <c r="N956" t="n">
        <v>0</v>
      </c>
      <c r="O956" t="n">
        <v>0</v>
      </c>
      <c r="P956" t="n">
        <v>0</v>
      </c>
      <c r="Q956" t="n">
        <v>0</v>
      </c>
      <c r="R956" s="2" t="inlineStr"/>
    </row>
    <row r="957" ht="15" customHeight="1">
      <c r="A957" t="inlineStr">
        <is>
          <t>A 50180-2019</t>
        </is>
      </c>
      <c r="B957" s="1" t="n">
        <v>43733</v>
      </c>
      <c r="C957" s="1" t="n">
        <v>45705</v>
      </c>
      <c r="D957" t="inlineStr">
        <is>
          <t>UPPSALA LÄN</t>
        </is>
      </c>
      <c r="E957" t="inlineStr">
        <is>
          <t>UPPSALA</t>
        </is>
      </c>
      <c r="F957" t="inlineStr">
        <is>
          <t>Allmännings- och besparingsskogar</t>
        </is>
      </c>
      <c r="G957" t="n">
        <v>3.7</v>
      </c>
      <c r="H957" t="n">
        <v>0</v>
      </c>
      <c r="I957" t="n">
        <v>0</v>
      </c>
      <c r="J957" t="n">
        <v>0</v>
      </c>
      <c r="K957" t="n">
        <v>0</v>
      </c>
      <c r="L957" t="n">
        <v>0</v>
      </c>
      <c r="M957" t="n">
        <v>0</v>
      </c>
      <c r="N957" t="n">
        <v>0</v>
      </c>
      <c r="O957" t="n">
        <v>0</v>
      </c>
      <c r="P957" t="n">
        <v>0</v>
      </c>
      <c r="Q957" t="n">
        <v>0</v>
      </c>
      <c r="R957" s="2" t="inlineStr"/>
    </row>
    <row r="958" ht="15" customHeight="1">
      <c r="A958" t="inlineStr">
        <is>
          <t>A 49900-2019</t>
        </is>
      </c>
      <c r="B958" s="1" t="n">
        <v>43733</v>
      </c>
      <c r="C958" s="1" t="n">
        <v>45705</v>
      </c>
      <c r="D958" t="inlineStr">
        <is>
          <t>UPPSALA LÄN</t>
        </is>
      </c>
      <c r="E958" t="inlineStr">
        <is>
          <t>TIERP</t>
        </is>
      </c>
      <c r="G958" t="n">
        <v>0.7</v>
      </c>
      <c r="H958" t="n">
        <v>0</v>
      </c>
      <c r="I958" t="n">
        <v>0</v>
      </c>
      <c r="J958" t="n">
        <v>0</v>
      </c>
      <c r="K958" t="n">
        <v>0</v>
      </c>
      <c r="L958" t="n">
        <v>0</v>
      </c>
      <c r="M958" t="n">
        <v>0</v>
      </c>
      <c r="N958" t="n">
        <v>0</v>
      </c>
      <c r="O958" t="n">
        <v>0</v>
      </c>
      <c r="P958" t="n">
        <v>0</v>
      </c>
      <c r="Q958" t="n">
        <v>0</v>
      </c>
      <c r="R958" s="2" t="inlineStr"/>
    </row>
    <row r="959" ht="15" customHeight="1">
      <c r="A959" t="inlineStr">
        <is>
          <t>A 49941-2019</t>
        </is>
      </c>
      <c r="B959" s="1" t="n">
        <v>43733</v>
      </c>
      <c r="C959" s="1" t="n">
        <v>45705</v>
      </c>
      <c r="D959" t="inlineStr">
        <is>
          <t>UPPSALA LÄN</t>
        </is>
      </c>
      <c r="E959" t="inlineStr">
        <is>
          <t>ENKÖPING</t>
        </is>
      </c>
      <c r="G959" t="n">
        <v>1</v>
      </c>
      <c r="H959" t="n">
        <v>0</v>
      </c>
      <c r="I959" t="n">
        <v>0</v>
      </c>
      <c r="J959" t="n">
        <v>0</v>
      </c>
      <c r="K959" t="n">
        <v>0</v>
      </c>
      <c r="L959" t="n">
        <v>0</v>
      </c>
      <c r="M959" t="n">
        <v>0</v>
      </c>
      <c r="N959" t="n">
        <v>0</v>
      </c>
      <c r="O959" t="n">
        <v>0</v>
      </c>
      <c r="P959" t="n">
        <v>0</v>
      </c>
      <c r="Q959" t="n">
        <v>0</v>
      </c>
      <c r="R959" s="2" t="inlineStr"/>
    </row>
    <row r="960" ht="15" customHeight="1">
      <c r="A960" t="inlineStr">
        <is>
          <t>A 50156-2019</t>
        </is>
      </c>
      <c r="B960" s="1" t="n">
        <v>43734</v>
      </c>
      <c r="C960" s="1" t="n">
        <v>45705</v>
      </c>
      <c r="D960" t="inlineStr">
        <is>
          <t>UPPSALA LÄN</t>
        </is>
      </c>
      <c r="E960" t="inlineStr">
        <is>
          <t>TIERP</t>
        </is>
      </c>
      <c r="G960" t="n">
        <v>3.2</v>
      </c>
      <c r="H960" t="n">
        <v>0</v>
      </c>
      <c r="I960" t="n">
        <v>0</v>
      </c>
      <c r="J960" t="n">
        <v>0</v>
      </c>
      <c r="K960" t="n">
        <v>0</v>
      </c>
      <c r="L960" t="n">
        <v>0</v>
      </c>
      <c r="M960" t="n">
        <v>0</v>
      </c>
      <c r="N960" t="n">
        <v>0</v>
      </c>
      <c r="O960" t="n">
        <v>0</v>
      </c>
      <c r="P960" t="n">
        <v>0</v>
      </c>
      <c r="Q960" t="n">
        <v>0</v>
      </c>
      <c r="R960" s="2" t="inlineStr"/>
    </row>
    <row r="961" ht="15" customHeight="1">
      <c r="A961" t="inlineStr">
        <is>
          <t>A 50348-2019</t>
        </is>
      </c>
      <c r="B961" s="1" t="n">
        <v>43735</v>
      </c>
      <c r="C961" s="1" t="n">
        <v>45705</v>
      </c>
      <c r="D961" t="inlineStr">
        <is>
          <t>UPPSALA LÄN</t>
        </is>
      </c>
      <c r="E961" t="inlineStr">
        <is>
          <t>HEBY</t>
        </is>
      </c>
      <c r="G961" t="n">
        <v>1.9</v>
      </c>
      <c r="H961" t="n">
        <v>0</v>
      </c>
      <c r="I961" t="n">
        <v>0</v>
      </c>
      <c r="J961" t="n">
        <v>0</v>
      </c>
      <c r="K961" t="n">
        <v>0</v>
      </c>
      <c r="L961" t="n">
        <v>0</v>
      </c>
      <c r="M961" t="n">
        <v>0</v>
      </c>
      <c r="N961" t="n">
        <v>0</v>
      </c>
      <c r="O961" t="n">
        <v>0</v>
      </c>
      <c r="P961" t="n">
        <v>0</v>
      </c>
      <c r="Q961" t="n">
        <v>0</v>
      </c>
      <c r="R961" s="2" t="inlineStr"/>
    </row>
    <row r="962" ht="15" customHeight="1">
      <c r="A962" t="inlineStr">
        <is>
          <t>A 50361-2019</t>
        </is>
      </c>
      <c r="B962" s="1" t="n">
        <v>43735</v>
      </c>
      <c r="C962" s="1" t="n">
        <v>45705</v>
      </c>
      <c r="D962" t="inlineStr">
        <is>
          <t>UPPSALA LÄN</t>
        </is>
      </c>
      <c r="E962" t="inlineStr">
        <is>
          <t>HEBY</t>
        </is>
      </c>
      <c r="G962" t="n">
        <v>2.5</v>
      </c>
      <c r="H962" t="n">
        <v>0</v>
      </c>
      <c r="I962" t="n">
        <v>0</v>
      </c>
      <c r="J962" t="n">
        <v>0</v>
      </c>
      <c r="K962" t="n">
        <v>0</v>
      </c>
      <c r="L962" t="n">
        <v>0</v>
      </c>
      <c r="M962" t="n">
        <v>0</v>
      </c>
      <c r="N962" t="n">
        <v>0</v>
      </c>
      <c r="O962" t="n">
        <v>0</v>
      </c>
      <c r="P962" t="n">
        <v>0</v>
      </c>
      <c r="Q962" t="n">
        <v>0</v>
      </c>
      <c r="R962" s="2" t="inlineStr"/>
    </row>
    <row r="963" ht="15" customHeight="1">
      <c r="A963" t="inlineStr">
        <is>
          <t>A 50346-2019</t>
        </is>
      </c>
      <c r="B963" s="1" t="n">
        <v>43735</v>
      </c>
      <c r="C963" s="1" t="n">
        <v>45705</v>
      </c>
      <c r="D963" t="inlineStr">
        <is>
          <t>UPPSALA LÄN</t>
        </is>
      </c>
      <c r="E963" t="inlineStr">
        <is>
          <t>HEBY</t>
        </is>
      </c>
      <c r="G963" t="n">
        <v>2</v>
      </c>
      <c r="H963" t="n">
        <v>0</v>
      </c>
      <c r="I963" t="n">
        <v>0</v>
      </c>
      <c r="J963" t="n">
        <v>0</v>
      </c>
      <c r="K963" t="n">
        <v>0</v>
      </c>
      <c r="L963" t="n">
        <v>0</v>
      </c>
      <c r="M963" t="n">
        <v>0</v>
      </c>
      <c r="N963" t="n">
        <v>0</v>
      </c>
      <c r="O963" t="n">
        <v>0</v>
      </c>
      <c r="P963" t="n">
        <v>0</v>
      </c>
      <c r="Q963" t="n">
        <v>0</v>
      </c>
      <c r="R963" s="2" t="inlineStr"/>
    </row>
    <row r="964" ht="15" customHeight="1">
      <c r="A964" t="inlineStr">
        <is>
          <t>A 50387-2019</t>
        </is>
      </c>
      <c r="B964" s="1" t="n">
        <v>43735</v>
      </c>
      <c r="C964" s="1" t="n">
        <v>45705</v>
      </c>
      <c r="D964" t="inlineStr">
        <is>
          <t>UPPSALA LÄN</t>
        </is>
      </c>
      <c r="E964" t="inlineStr">
        <is>
          <t>UPPSALA</t>
        </is>
      </c>
      <c r="F964" t="inlineStr">
        <is>
          <t>Kyrkan</t>
        </is>
      </c>
      <c r="G964" t="n">
        <v>1</v>
      </c>
      <c r="H964" t="n">
        <v>0</v>
      </c>
      <c r="I964" t="n">
        <v>0</v>
      </c>
      <c r="J964" t="n">
        <v>0</v>
      </c>
      <c r="K964" t="n">
        <v>0</v>
      </c>
      <c r="L964" t="n">
        <v>0</v>
      </c>
      <c r="M964" t="n">
        <v>0</v>
      </c>
      <c r="N964" t="n">
        <v>0</v>
      </c>
      <c r="O964" t="n">
        <v>0</v>
      </c>
      <c r="P964" t="n">
        <v>0</v>
      </c>
      <c r="Q964" t="n">
        <v>0</v>
      </c>
      <c r="R964" s="2" t="inlineStr"/>
    </row>
    <row r="965" ht="15" customHeight="1">
      <c r="A965" t="inlineStr">
        <is>
          <t>A 50415-2019</t>
        </is>
      </c>
      <c r="B965" s="1" t="n">
        <v>43735</v>
      </c>
      <c r="C965" s="1" t="n">
        <v>45705</v>
      </c>
      <c r="D965" t="inlineStr">
        <is>
          <t>UPPSALA LÄN</t>
        </is>
      </c>
      <c r="E965" t="inlineStr">
        <is>
          <t>UPPSALA</t>
        </is>
      </c>
      <c r="F965" t="inlineStr">
        <is>
          <t>Kyrkan</t>
        </is>
      </c>
      <c r="G965" t="n">
        <v>13.6</v>
      </c>
      <c r="H965" t="n">
        <v>0</v>
      </c>
      <c r="I965" t="n">
        <v>0</v>
      </c>
      <c r="J965" t="n">
        <v>0</v>
      </c>
      <c r="K965" t="n">
        <v>0</v>
      </c>
      <c r="L965" t="n">
        <v>0</v>
      </c>
      <c r="M965" t="n">
        <v>0</v>
      </c>
      <c r="N965" t="n">
        <v>0</v>
      </c>
      <c r="O965" t="n">
        <v>0</v>
      </c>
      <c r="P965" t="n">
        <v>0</v>
      </c>
      <c r="Q965" t="n">
        <v>0</v>
      </c>
      <c r="R965" s="2" t="inlineStr"/>
    </row>
    <row r="966" ht="15" customHeight="1">
      <c r="A966" t="inlineStr">
        <is>
          <t>A 50616-2019</t>
        </is>
      </c>
      <c r="B966" s="1" t="n">
        <v>43736</v>
      </c>
      <c r="C966" s="1" t="n">
        <v>45705</v>
      </c>
      <c r="D966" t="inlineStr">
        <is>
          <t>UPPSALA LÄN</t>
        </is>
      </c>
      <c r="E966" t="inlineStr">
        <is>
          <t>UPPSALA</t>
        </is>
      </c>
      <c r="G966" t="n">
        <v>4.8</v>
      </c>
      <c r="H966" t="n">
        <v>0</v>
      </c>
      <c r="I966" t="n">
        <v>0</v>
      </c>
      <c r="J966" t="n">
        <v>0</v>
      </c>
      <c r="K966" t="n">
        <v>0</v>
      </c>
      <c r="L966" t="n">
        <v>0</v>
      </c>
      <c r="M966" t="n">
        <v>0</v>
      </c>
      <c r="N966" t="n">
        <v>0</v>
      </c>
      <c r="O966" t="n">
        <v>0</v>
      </c>
      <c r="P966" t="n">
        <v>0</v>
      </c>
      <c r="Q966" t="n">
        <v>0</v>
      </c>
      <c r="R966" s="2" t="inlineStr"/>
    </row>
    <row r="967" ht="15" customHeight="1">
      <c r="A967" t="inlineStr">
        <is>
          <t>A 50785-2019</t>
        </is>
      </c>
      <c r="B967" s="1" t="n">
        <v>43737</v>
      </c>
      <c r="C967" s="1" t="n">
        <v>45705</v>
      </c>
      <c r="D967" t="inlineStr">
        <is>
          <t>UPPSALA LÄN</t>
        </is>
      </c>
      <c r="E967" t="inlineStr">
        <is>
          <t>HEBY</t>
        </is>
      </c>
      <c r="G967" t="n">
        <v>2</v>
      </c>
      <c r="H967" t="n">
        <v>0</v>
      </c>
      <c r="I967" t="n">
        <v>0</v>
      </c>
      <c r="J967" t="n">
        <v>0</v>
      </c>
      <c r="K967" t="n">
        <v>0</v>
      </c>
      <c r="L967" t="n">
        <v>0</v>
      </c>
      <c r="M967" t="n">
        <v>0</v>
      </c>
      <c r="N967" t="n">
        <v>0</v>
      </c>
      <c r="O967" t="n">
        <v>0</v>
      </c>
      <c r="P967" t="n">
        <v>0</v>
      </c>
      <c r="Q967" t="n">
        <v>0</v>
      </c>
      <c r="R967" s="2" t="inlineStr"/>
    </row>
    <row r="968" ht="15" customHeight="1">
      <c r="A968" t="inlineStr">
        <is>
          <t>A 50858-2019</t>
        </is>
      </c>
      <c r="B968" s="1" t="n">
        <v>43738</v>
      </c>
      <c r="C968" s="1" t="n">
        <v>45705</v>
      </c>
      <c r="D968" t="inlineStr">
        <is>
          <t>UPPSALA LÄN</t>
        </is>
      </c>
      <c r="E968" t="inlineStr">
        <is>
          <t>TIERP</t>
        </is>
      </c>
      <c r="G968" t="n">
        <v>1.6</v>
      </c>
      <c r="H968" t="n">
        <v>0</v>
      </c>
      <c r="I968" t="n">
        <v>0</v>
      </c>
      <c r="J968" t="n">
        <v>0</v>
      </c>
      <c r="K968" t="n">
        <v>0</v>
      </c>
      <c r="L968" t="n">
        <v>0</v>
      </c>
      <c r="M968" t="n">
        <v>0</v>
      </c>
      <c r="N968" t="n">
        <v>0</v>
      </c>
      <c r="O968" t="n">
        <v>0</v>
      </c>
      <c r="P968" t="n">
        <v>0</v>
      </c>
      <c r="Q968" t="n">
        <v>0</v>
      </c>
      <c r="R968" s="2" t="inlineStr"/>
    </row>
    <row r="969" ht="15" customHeight="1">
      <c r="A969" t="inlineStr">
        <is>
          <t>A 50893-2019</t>
        </is>
      </c>
      <c r="B969" s="1" t="n">
        <v>43738</v>
      </c>
      <c r="C969" s="1" t="n">
        <v>45705</v>
      </c>
      <c r="D969" t="inlineStr">
        <is>
          <t>UPPSALA LÄN</t>
        </is>
      </c>
      <c r="E969" t="inlineStr">
        <is>
          <t>ENKÖPING</t>
        </is>
      </c>
      <c r="G969" t="n">
        <v>4.3</v>
      </c>
      <c r="H969" t="n">
        <v>0</v>
      </c>
      <c r="I969" t="n">
        <v>0</v>
      </c>
      <c r="J969" t="n">
        <v>0</v>
      </c>
      <c r="K969" t="n">
        <v>0</v>
      </c>
      <c r="L969" t="n">
        <v>0</v>
      </c>
      <c r="M969" t="n">
        <v>0</v>
      </c>
      <c r="N969" t="n">
        <v>0</v>
      </c>
      <c r="O969" t="n">
        <v>0</v>
      </c>
      <c r="P969" t="n">
        <v>0</v>
      </c>
      <c r="Q969" t="n">
        <v>0</v>
      </c>
      <c r="R969" s="2" t="inlineStr"/>
    </row>
    <row r="970" ht="15" customHeight="1">
      <c r="A970" t="inlineStr">
        <is>
          <t>A 50688-2019</t>
        </is>
      </c>
      <c r="B970" s="1" t="n">
        <v>43738</v>
      </c>
      <c r="C970" s="1" t="n">
        <v>45705</v>
      </c>
      <c r="D970" t="inlineStr">
        <is>
          <t>UPPSALA LÄN</t>
        </is>
      </c>
      <c r="E970" t="inlineStr">
        <is>
          <t>HEBY</t>
        </is>
      </c>
      <c r="G970" t="n">
        <v>0.8</v>
      </c>
      <c r="H970" t="n">
        <v>0</v>
      </c>
      <c r="I970" t="n">
        <v>0</v>
      </c>
      <c r="J970" t="n">
        <v>0</v>
      </c>
      <c r="K970" t="n">
        <v>0</v>
      </c>
      <c r="L970" t="n">
        <v>0</v>
      </c>
      <c r="M970" t="n">
        <v>0</v>
      </c>
      <c r="N970" t="n">
        <v>0</v>
      </c>
      <c r="O970" t="n">
        <v>0</v>
      </c>
      <c r="P970" t="n">
        <v>0</v>
      </c>
      <c r="Q970" t="n">
        <v>0</v>
      </c>
      <c r="R970" s="2" t="inlineStr"/>
    </row>
    <row r="971" ht="15" customHeight="1">
      <c r="A971" t="inlineStr">
        <is>
          <t>A 52516-2019</t>
        </is>
      </c>
      <c r="B971" s="1" t="n">
        <v>43738</v>
      </c>
      <c r="C971" s="1" t="n">
        <v>45705</v>
      </c>
      <c r="D971" t="inlineStr">
        <is>
          <t>UPPSALA LÄN</t>
        </is>
      </c>
      <c r="E971" t="inlineStr">
        <is>
          <t>ENKÖPING</t>
        </is>
      </c>
      <c r="G971" t="n">
        <v>1.7</v>
      </c>
      <c r="H971" t="n">
        <v>0</v>
      </c>
      <c r="I971" t="n">
        <v>0</v>
      </c>
      <c r="J971" t="n">
        <v>0</v>
      </c>
      <c r="K971" t="n">
        <v>0</v>
      </c>
      <c r="L971" t="n">
        <v>0</v>
      </c>
      <c r="M971" t="n">
        <v>0</v>
      </c>
      <c r="N971" t="n">
        <v>0</v>
      </c>
      <c r="O971" t="n">
        <v>0</v>
      </c>
      <c r="P971" t="n">
        <v>0</v>
      </c>
      <c r="Q971" t="n">
        <v>0</v>
      </c>
      <c r="R971" s="2" t="inlineStr"/>
    </row>
    <row r="972" ht="15" customHeight="1">
      <c r="A972" t="inlineStr">
        <is>
          <t>A 51025-2019</t>
        </is>
      </c>
      <c r="B972" s="1" t="n">
        <v>43739</v>
      </c>
      <c r="C972" s="1" t="n">
        <v>45705</v>
      </c>
      <c r="D972" t="inlineStr">
        <is>
          <t>UPPSALA LÄN</t>
        </is>
      </c>
      <c r="E972" t="inlineStr">
        <is>
          <t>ÖSTHAMMAR</t>
        </is>
      </c>
      <c r="F972" t="inlineStr">
        <is>
          <t>Bergvik skog öst AB</t>
        </is>
      </c>
      <c r="G972" t="n">
        <v>1.4</v>
      </c>
      <c r="H972" t="n">
        <v>0</v>
      </c>
      <c r="I972" t="n">
        <v>0</v>
      </c>
      <c r="J972" t="n">
        <v>0</v>
      </c>
      <c r="K972" t="n">
        <v>0</v>
      </c>
      <c r="L972" t="n">
        <v>0</v>
      </c>
      <c r="M972" t="n">
        <v>0</v>
      </c>
      <c r="N972" t="n">
        <v>0</v>
      </c>
      <c r="O972" t="n">
        <v>0</v>
      </c>
      <c r="P972" t="n">
        <v>0</v>
      </c>
      <c r="Q972" t="n">
        <v>0</v>
      </c>
      <c r="R972" s="2" t="inlineStr"/>
    </row>
    <row r="973" ht="15" customHeight="1">
      <c r="A973" t="inlineStr">
        <is>
          <t>A 51488-2019</t>
        </is>
      </c>
      <c r="B973" s="1" t="n">
        <v>43740</v>
      </c>
      <c r="C973" s="1" t="n">
        <v>45705</v>
      </c>
      <c r="D973" t="inlineStr">
        <is>
          <t>UPPSALA LÄN</t>
        </is>
      </c>
      <c r="E973" t="inlineStr">
        <is>
          <t>TIERP</t>
        </is>
      </c>
      <c r="G973" t="n">
        <v>0.6</v>
      </c>
      <c r="H973" t="n">
        <v>0</v>
      </c>
      <c r="I973" t="n">
        <v>0</v>
      </c>
      <c r="J973" t="n">
        <v>0</v>
      </c>
      <c r="K973" t="n">
        <v>0</v>
      </c>
      <c r="L973" t="n">
        <v>0</v>
      </c>
      <c r="M973" t="n">
        <v>0</v>
      </c>
      <c r="N973" t="n">
        <v>0</v>
      </c>
      <c r="O973" t="n">
        <v>0</v>
      </c>
      <c r="P973" t="n">
        <v>0</v>
      </c>
      <c r="Q973" t="n">
        <v>0</v>
      </c>
      <c r="R973" s="2" t="inlineStr"/>
    </row>
    <row r="974" ht="15" customHeight="1">
      <c r="A974" t="inlineStr">
        <is>
          <t>A 53320-2019</t>
        </is>
      </c>
      <c r="B974" s="1" t="n">
        <v>43740</v>
      </c>
      <c r="C974" s="1" t="n">
        <v>45705</v>
      </c>
      <c r="D974" t="inlineStr">
        <is>
          <t>UPPSALA LÄN</t>
        </is>
      </c>
      <c r="E974" t="inlineStr">
        <is>
          <t>HEBY</t>
        </is>
      </c>
      <c r="G974" t="n">
        <v>1</v>
      </c>
      <c r="H974" t="n">
        <v>0</v>
      </c>
      <c r="I974" t="n">
        <v>0</v>
      </c>
      <c r="J974" t="n">
        <v>0</v>
      </c>
      <c r="K974" t="n">
        <v>0</v>
      </c>
      <c r="L974" t="n">
        <v>0</v>
      </c>
      <c r="M974" t="n">
        <v>0</v>
      </c>
      <c r="N974" t="n">
        <v>0</v>
      </c>
      <c r="O974" t="n">
        <v>0</v>
      </c>
      <c r="P974" t="n">
        <v>0</v>
      </c>
      <c r="Q974" t="n">
        <v>0</v>
      </c>
      <c r="R974" s="2" t="inlineStr"/>
    </row>
    <row r="975" ht="15" customHeight="1">
      <c r="A975" t="inlineStr">
        <is>
          <t>A 51862-2019</t>
        </is>
      </c>
      <c r="B975" s="1" t="n">
        <v>43741</v>
      </c>
      <c r="C975" s="1" t="n">
        <v>45705</v>
      </c>
      <c r="D975" t="inlineStr">
        <is>
          <t>UPPSALA LÄN</t>
        </is>
      </c>
      <c r="E975" t="inlineStr">
        <is>
          <t>HEBY</t>
        </is>
      </c>
      <c r="G975" t="n">
        <v>3.4</v>
      </c>
      <c r="H975" t="n">
        <v>0</v>
      </c>
      <c r="I975" t="n">
        <v>0</v>
      </c>
      <c r="J975" t="n">
        <v>0</v>
      </c>
      <c r="K975" t="n">
        <v>0</v>
      </c>
      <c r="L975" t="n">
        <v>0</v>
      </c>
      <c r="M975" t="n">
        <v>0</v>
      </c>
      <c r="N975" t="n">
        <v>0</v>
      </c>
      <c r="O975" t="n">
        <v>0</v>
      </c>
      <c r="P975" t="n">
        <v>0</v>
      </c>
      <c r="Q975" t="n">
        <v>0</v>
      </c>
      <c r="R975" s="2" t="inlineStr"/>
    </row>
    <row r="976" ht="15" customHeight="1">
      <c r="A976" t="inlineStr">
        <is>
          <t>A 51782-2019</t>
        </is>
      </c>
      <c r="B976" s="1" t="n">
        <v>43741</v>
      </c>
      <c r="C976" s="1" t="n">
        <v>45705</v>
      </c>
      <c r="D976" t="inlineStr">
        <is>
          <t>UPPSALA LÄN</t>
        </is>
      </c>
      <c r="E976" t="inlineStr">
        <is>
          <t>ENKÖPING</t>
        </is>
      </c>
      <c r="G976" t="n">
        <v>2.5</v>
      </c>
      <c r="H976" t="n">
        <v>0</v>
      </c>
      <c r="I976" t="n">
        <v>0</v>
      </c>
      <c r="J976" t="n">
        <v>0</v>
      </c>
      <c r="K976" t="n">
        <v>0</v>
      </c>
      <c r="L976" t="n">
        <v>0</v>
      </c>
      <c r="M976" t="n">
        <v>0</v>
      </c>
      <c r="N976" t="n">
        <v>0</v>
      </c>
      <c r="O976" t="n">
        <v>0</v>
      </c>
      <c r="P976" t="n">
        <v>0</v>
      </c>
      <c r="Q976" t="n">
        <v>0</v>
      </c>
      <c r="R976" s="2" t="inlineStr"/>
    </row>
    <row r="977" ht="15" customHeight="1">
      <c r="A977" t="inlineStr">
        <is>
          <t>A 51796-2019</t>
        </is>
      </c>
      <c r="B977" s="1" t="n">
        <v>43741</v>
      </c>
      <c r="C977" s="1" t="n">
        <v>45705</v>
      </c>
      <c r="D977" t="inlineStr">
        <is>
          <t>UPPSALA LÄN</t>
        </is>
      </c>
      <c r="E977" t="inlineStr">
        <is>
          <t>TIERP</t>
        </is>
      </c>
      <c r="G977" t="n">
        <v>3.1</v>
      </c>
      <c r="H977" t="n">
        <v>0</v>
      </c>
      <c r="I977" t="n">
        <v>0</v>
      </c>
      <c r="J977" t="n">
        <v>0</v>
      </c>
      <c r="K977" t="n">
        <v>0</v>
      </c>
      <c r="L977" t="n">
        <v>0</v>
      </c>
      <c r="M977" t="n">
        <v>0</v>
      </c>
      <c r="N977" t="n">
        <v>0</v>
      </c>
      <c r="O977" t="n">
        <v>0</v>
      </c>
      <c r="P977" t="n">
        <v>0</v>
      </c>
      <c r="Q977" t="n">
        <v>0</v>
      </c>
      <c r="R977" s="2" t="inlineStr"/>
    </row>
    <row r="978" ht="15" customHeight="1">
      <c r="A978" t="inlineStr">
        <is>
          <t>A 51802-2019</t>
        </is>
      </c>
      <c r="B978" s="1" t="n">
        <v>43741</v>
      </c>
      <c r="C978" s="1" t="n">
        <v>45705</v>
      </c>
      <c r="D978" t="inlineStr">
        <is>
          <t>UPPSALA LÄN</t>
        </is>
      </c>
      <c r="E978" t="inlineStr">
        <is>
          <t>ENKÖPING</t>
        </is>
      </c>
      <c r="G978" t="n">
        <v>0.8</v>
      </c>
      <c r="H978" t="n">
        <v>0</v>
      </c>
      <c r="I978" t="n">
        <v>0</v>
      </c>
      <c r="J978" t="n">
        <v>0</v>
      </c>
      <c r="K978" t="n">
        <v>0</v>
      </c>
      <c r="L978" t="n">
        <v>0</v>
      </c>
      <c r="M978" t="n">
        <v>0</v>
      </c>
      <c r="N978" t="n">
        <v>0</v>
      </c>
      <c r="O978" t="n">
        <v>0</v>
      </c>
      <c r="P978" t="n">
        <v>0</v>
      </c>
      <c r="Q978" t="n">
        <v>0</v>
      </c>
      <c r="R978" s="2" t="inlineStr"/>
    </row>
    <row r="979" ht="15" customHeight="1">
      <c r="A979" t="inlineStr">
        <is>
          <t>A 51836-2019</t>
        </is>
      </c>
      <c r="B979" s="1" t="n">
        <v>43741</v>
      </c>
      <c r="C979" s="1" t="n">
        <v>45705</v>
      </c>
      <c r="D979" t="inlineStr">
        <is>
          <t>UPPSALA LÄN</t>
        </is>
      </c>
      <c r="E979" t="inlineStr">
        <is>
          <t>ENKÖPING</t>
        </is>
      </c>
      <c r="G979" t="n">
        <v>0.8</v>
      </c>
      <c r="H979" t="n">
        <v>0</v>
      </c>
      <c r="I979" t="n">
        <v>0</v>
      </c>
      <c r="J979" t="n">
        <v>0</v>
      </c>
      <c r="K979" t="n">
        <v>0</v>
      </c>
      <c r="L979" t="n">
        <v>0</v>
      </c>
      <c r="M979" t="n">
        <v>0</v>
      </c>
      <c r="N979" t="n">
        <v>0</v>
      </c>
      <c r="O979" t="n">
        <v>0</v>
      </c>
      <c r="P979" t="n">
        <v>0</v>
      </c>
      <c r="Q979" t="n">
        <v>0</v>
      </c>
      <c r="R979" s="2" t="inlineStr"/>
    </row>
    <row r="980" ht="15" customHeight="1">
      <c r="A980" t="inlineStr">
        <is>
          <t>A 51805-2019</t>
        </is>
      </c>
      <c r="B980" s="1" t="n">
        <v>43741</v>
      </c>
      <c r="C980" s="1" t="n">
        <v>45705</v>
      </c>
      <c r="D980" t="inlineStr">
        <is>
          <t>UPPSALA LÄN</t>
        </is>
      </c>
      <c r="E980" t="inlineStr">
        <is>
          <t>ENKÖPING</t>
        </is>
      </c>
      <c r="G980" t="n">
        <v>2.5</v>
      </c>
      <c r="H980" t="n">
        <v>0</v>
      </c>
      <c r="I980" t="n">
        <v>0</v>
      </c>
      <c r="J980" t="n">
        <v>0</v>
      </c>
      <c r="K980" t="n">
        <v>0</v>
      </c>
      <c r="L980" t="n">
        <v>0</v>
      </c>
      <c r="M980" t="n">
        <v>0</v>
      </c>
      <c r="N980" t="n">
        <v>0</v>
      </c>
      <c r="O980" t="n">
        <v>0</v>
      </c>
      <c r="P980" t="n">
        <v>0</v>
      </c>
      <c r="Q980" t="n">
        <v>0</v>
      </c>
      <c r="R980" s="2" t="inlineStr"/>
    </row>
    <row r="981" ht="15" customHeight="1">
      <c r="A981" t="inlineStr">
        <is>
          <t>A 51905-2019</t>
        </is>
      </c>
      <c r="B981" s="1" t="n">
        <v>43741</v>
      </c>
      <c r="C981" s="1" t="n">
        <v>45705</v>
      </c>
      <c r="D981" t="inlineStr">
        <is>
          <t>UPPSALA LÄN</t>
        </is>
      </c>
      <c r="E981" t="inlineStr">
        <is>
          <t>ENKÖPING</t>
        </is>
      </c>
      <c r="G981" t="n">
        <v>1.3</v>
      </c>
      <c r="H981" t="n">
        <v>0</v>
      </c>
      <c r="I981" t="n">
        <v>0</v>
      </c>
      <c r="J981" t="n">
        <v>0</v>
      </c>
      <c r="K981" t="n">
        <v>0</v>
      </c>
      <c r="L981" t="n">
        <v>0</v>
      </c>
      <c r="M981" t="n">
        <v>0</v>
      </c>
      <c r="N981" t="n">
        <v>0</v>
      </c>
      <c r="O981" t="n">
        <v>0</v>
      </c>
      <c r="P981" t="n">
        <v>0</v>
      </c>
      <c r="Q981" t="n">
        <v>0</v>
      </c>
      <c r="R981" s="2" t="inlineStr"/>
    </row>
    <row r="982" ht="15" customHeight="1">
      <c r="A982" t="inlineStr">
        <is>
          <t>A 51912-2019</t>
        </is>
      </c>
      <c r="B982" s="1" t="n">
        <v>43741</v>
      </c>
      <c r="C982" s="1" t="n">
        <v>45705</v>
      </c>
      <c r="D982" t="inlineStr">
        <is>
          <t>UPPSALA LÄN</t>
        </is>
      </c>
      <c r="E982" t="inlineStr">
        <is>
          <t>ENKÖPING</t>
        </is>
      </c>
      <c r="G982" t="n">
        <v>3</v>
      </c>
      <c r="H982" t="n">
        <v>0</v>
      </c>
      <c r="I982" t="n">
        <v>0</v>
      </c>
      <c r="J982" t="n">
        <v>0</v>
      </c>
      <c r="K982" t="n">
        <v>0</v>
      </c>
      <c r="L982" t="n">
        <v>0</v>
      </c>
      <c r="M982" t="n">
        <v>0</v>
      </c>
      <c r="N982" t="n">
        <v>0</v>
      </c>
      <c r="O982" t="n">
        <v>0</v>
      </c>
      <c r="P982" t="n">
        <v>0</v>
      </c>
      <c r="Q982" t="n">
        <v>0</v>
      </c>
      <c r="R982" s="2" t="inlineStr"/>
    </row>
    <row r="983" ht="15" customHeight="1">
      <c r="A983" t="inlineStr">
        <is>
          <t>A 52187-2019</t>
        </is>
      </c>
      <c r="B983" s="1" t="n">
        <v>43742</v>
      </c>
      <c r="C983" s="1" t="n">
        <v>45705</v>
      </c>
      <c r="D983" t="inlineStr">
        <is>
          <t>UPPSALA LÄN</t>
        </is>
      </c>
      <c r="E983" t="inlineStr">
        <is>
          <t>HEBY</t>
        </is>
      </c>
      <c r="G983" t="n">
        <v>2.9</v>
      </c>
      <c r="H983" t="n">
        <v>0</v>
      </c>
      <c r="I983" t="n">
        <v>0</v>
      </c>
      <c r="J983" t="n">
        <v>0</v>
      </c>
      <c r="K983" t="n">
        <v>0</v>
      </c>
      <c r="L983" t="n">
        <v>0</v>
      </c>
      <c r="M983" t="n">
        <v>0</v>
      </c>
      <c r="N983" t="n">
        <v>0</v>
      </c>
      <c r="O983" t="n">
        <v>0</v>
      </c>
      <c r="P983" t="n">
        <v>0</v>
      </c>
      <c r="Q983" t="n">
        <v>0</v>
      </c>
      <c r="R983" s="2" t="inlineStr"/>
    </row>
    <row r="984" ht="15" customHeight="1">
      <c r="A984" t="inlineStr">
        <is>
          <t>A 52386-2019</t>
        </is>
      </c>
      <c r="B984" s="1" t="n">
        <v>43745</v>
      </c>
      <c r="C984" s="1" t="n">
        <v>45705</v>
      </c>
      <c r="D984" t="inlineStr">
        <is>
          <t>UPPSALA LÄN</t>
        </is>
      </c>
      <c r="E984" t="inlineStr">
        <is>
          <t>UPPSALA</t>
        </is>
      </c>
      <c r="G984" t="n">
        <v>15.7</v>
      </c>
      <c r="H984" t="n">
        <v>0</v>
      </c>
      <c r="I984" t="n">
        <v>0</v>
      </c>
      <c r="J984" t="n">
        <v>0</v>
      </c>
      <c r="K984" t="n">
        <v>0</v>
      </c>
      <c r="L984" t="n">
        <v>0</v>
      </c>
      <c r="M984" t="n">
        <v>0</v>
      </c>
      <c r="N984" t="n">
        <v>0</v>
      </c>
      <c r="O984" t="n">
        <v>0</v>
      </c>
      <c r="P984" t="n">
        <v>0</v>
      </c>
      <c r="Q984" t="n">
        <v>0</v>
      </c>
      <c r="R984" s="2" t="inlineStr"/>
    </row>
    <row r="985" ht="15" customHeight="1">
      <c r="A985" t="inlineStr">
        <is>
          <t>A 52524-2019</t>
        </is>
      </c>
      <c r="B985" s="1" t="n">
        <v>43745</v>
      </c>
      <c r="C985" s="1" t="n">
        <v>45705</v>
      </c>
      <c r="D985" t="inlineStr">
        <is>
          <t>UPPSALA LÄN</t>
        </is>
      </c>
      <c r="E985" t="inlineStr">
        <is>
          <t>ENKÖPING</t>
        </is>
      </c>
      <c r="G985" t="n">
        <v>2</v>
      </c>
      <c r="H985" t="n">
        <v>0</v>
      </c>
      <c r="I985" t="n">
        <v>0</v>
      </c>
      <c r="J985" t="n">
        <v>0</v>
      </c>
      <c r="K985" t="n">
        <v>0</v>
      </c>
      <c r="L985" t="n">
        <v>0</v>
      </c>
      <c r="M985" t="n">
        <v>0</v>
      </c>
      <c r="N985" t="n">
        <v>0</v>
      </c>
      <c r="O985" t="n">
        <v>0</v>
      </c>
      <c r="P985" t="n">
        <v>0</v>
      </c>
      <c r="Q985" t="n">
        <v>0</v>
      </c>
      <c r="R985" s="2" t="inlineStr"/>
    </row>
    <row r="986" ht="15" customHeight="1">
      <c r="A986" t="inlineStr">
        <is>
          <t>A 52394-2019</t>
        </is>
      </c>
      <c r="B986" s="1" t="n">
        <v>43745</v>
      </c>
      <c r="C986" s="1" t="n">
        <v>45705</v>
      </c>
      <c r="D986" t="inlineStr">
        <is>
          <t>UPPSALA LÄN</t>
        </is>
      </c>
      <c r="E986" t="inlineStr">
        <is>
          <t>ENKÖPING</t>
        </is>
      </c>
      <c r="G986" t="n">
        <v>0.5</v>
      </c>
      <c r="H986" t="n">
        <v>0</v>
      </c>
      <c r="I986" t="n">
        <v>0</v>
      </c>
      <c r="J986" t="n">
        <v>0</v>
      </c>
      <c r="K986" t="n">
        <v>0</v>
      </c>
      <c r="L986" t="n">
        <v>0</v>
      </c>
      <c r="M986" t="n">
        <v>0</v>
      </c>
      <c r="N986" t="n">
        <v>0</v>
      </c>
      <c r="O986" t="n">
        <v>0</v>
      </c>
      <c r="P986" t="n">
        <v>0</v>
      </c>
      <c r="Q986" t="n">
        <v>0</v>
      </c>
      <c r="R986" s="2" t="inlineStr"/>
    </row>
    <row r="987" ht="15" customHeight="1">
      <c r="A987" t="inlineStr">
        <is>
          <t>A 52419-2019</t>
        </is>
      </c>
      <c r="B987" s="1" t="n">
        <v>43745</v>
      </c>
      <c r="C987" s="1" t="n">
        <v>45705</v>
      </c>
      <c r="D987" t="inlineStr">
        <is>
          <t>UPPSALA LÄN</t>
        </is>
      </c>
      <c r="E987" t="inlineStr">
        <is>
          <t>UPPSALA</t>
        </is>
      </c>
      <c r="F987" t="inlineStr">
        <is>
          <t>Allmännings- och besparingsskogar</t>
        </is>
      </c>
      <c r="G987" t="n">
        <v>5.3</v>
      </c>
      <c r="H987" t="n">
        <v>0</v>
      </c>
      <c r="I987" t="n">
        <v>0</v>
      </c>
      <c r="J987" t="n">
        <v>0</v>
      </c>
      <c r="K987" t="n">
        <v>0</v>
      </c>
      <c r="L987" t="n">
        <v>0</v>
      </c>
      <c r="M987" t="n">
        <v>0</v>
      </c>
      <c r="N987" t="n">
        <v>0</v>
      </c>
      <c r="O987" t="n">
        <v>0</v>
      </c>
      <c r="P987" t="n">
        <v>0</v>
      </c>
      <c r="Q987" t="n">
        <v>0</v>
      </c>
      <c r="R987" s="2" t="inlineStr"/>
    </row>
    <row r="988" ht="15" customHeight="1">
      <c r="A988" t="inlineStr">
        <is>
          <t>A 54280-2019</t>
        </is>
      </c>
      <c r="B988" s="1" t="n">
        <v>43745</v>
      </c>
      <c r="C988" s="1" t="n">
        <v>45705</v>
      </c>
      <c r="D988" t="inlineStr">
        <is>
          <t>UPPSALA LÄN</t>
        </is>
      </c>
      <c r="E988" t="inlineStr">
        <is>
          <t>HEBY</t>
        </is>
      </c>
      <c r="F988" t="inlineStr">
        <is>
          <t>Bergvik skog väst AB</t>
        </is>
      </c>
      <c r="G988" t="n">
        <v>2.4</v>
      </c>
      <c r="H988" t="n">
        <v>0</v>
      </c>
      <c r="I988" t="n">
        <v>0</v>
      </c>
      <c r="J988" t="n">
        <v>0</v>
      </c>
      <c r="K988" t="n">
        <v>0</v>
      </c>
      <c r="L988" t="n">
        <v>0</v>
      </c>
      <c r="M988" t="n">
        <v>0</v>
      </c>
      <c r="N988" t="n">
        <v>0</v>
      </c>
      <c r="O988" t="n">
        <v>0</v>
      </c>
      <c r="P988" t="n">
        <v>0</v>
      </c>
      <c r="Q988" t="n">
        <v>0</v>
      </c>
      <c r="R988" s="2" t="inlineStr"/>
    </row>
    <row r="989" ht="15" customHeight="1">
      <c r="A989" t="inlineStr">
        <is>
          <t>A 54258-2019</t>
        </is>
      </c>
      <c r="B989" s="1" t="n">
        <v>43745</v>
      </c>
      <c r="C989" s="1" t="n">
        <v>45705</v>
      </c>
      <c r="D989" t="inlineStr">
        <is>
          <t>UPPSALA LÄN</t>
        </is>
      </c>
      <c r="E989" t="inlineStr">
        <is>
          <t>HEBY</t>
        </is>
      </c>
      <c r="F989" t="inlineStr">
        <is>
          <t>Bergvik skog väst AB</t>
        </is>
      </c>
      <c r="G989" t="n">
        <v>1.2</v>
      </c>
      <c r="H989" t="n">
        <v>0</v>
      </c>
      <c r="I989" t="n">
        <v>0</v>
      </c>
      <c r="J989" t="n">
        <v>0</v>
      </c>
      <c r="K989" t="n">
        <v>0</v>
      </c>
      <c r="L989" t="n">
        <v>0</v>
      </c>
      <c r="M989" t="n">
        <v>0</v>
      </c>
      <c r="N989" t="n">
        <v>0</v>
      </c>
      <c r="O989" t="n">
        <v>0</v>
      </c>
      <c r="P989" t="n">
        <v>0</v>
      </c>
      <c r="Q989" t="n">
        <v>0</v>
      </c>
      <c r="R989" s="2" t="inlineStr"/>
    </row>
    <row r="990" ht="15" customHeight="1">
      <c r="A990" t="inlineStr">
        <is>
          <t>A 52726-2019</t>
        </is>
      </c>
      <c r="B990" s="1" t="n">
        <v>43746</v>
      </c>
      <c r="C990" s="1" t="n">
        <v>45705</v>
      </c>
      <c r="D990" t="inlineStr">
        <is>
          <t>UPPSALA LÄN</t>
        </is>
      </c>
      <c r="E990" t="inlineStr">
        <is>
          <t>ENKÖPING</t>
        </is>
      </c>
      <c r="G990" t="n">
        <v>1.2</v>
      </c>
      <c r="H990" t="n">
        <v>0</v>
      </c>
      <c r="I990" t="n">
        <v>0</v>
      </c>
      <c r="J990" t="n">
        <v>0</v>
      </c>
      <c r="K990" t="n">
        <v>0</v>
      </c>
      <c r="L990" t="n">
        <v>0</v>
      </c>
      <c r="M990" t="n">
        <v>0</v>
      </c>
      <c r="N990" t="n">
        <v>0</v>
      </c>
      <c r="O990" t="n">
        <v>0</v>
      </c>
      <c r="P990" t="n">
        <v>0</v>
      </c>
      <c r="Q990" t="n">
        <v>0</v>
      </c>
      <c r="R990" s="2" t="inlineStr"/>
    </row>
    <row r="991" ht="15" customHeight="1">
      <c r="A991" t="inlineStr">
        <is>
          <t>A 52831-2019</t>
        </is>
      </c>
      <c r="B991" s="1" t="n">
        <v>43746</v>
      </c>
      <c r="C991" s="1" t="n">
        <v>45705</v>
      </c>
      <c r="D991" t="inlineStr">
        <is>
          <t>UPPSALA LÄN</t>
        </is>
      </c>
      <c r="E991" t="inlineStr">
        <is>
          <t>TIERP</t>
        </is>
      </c>
      <c r="G991" t="n">
        <v>0.9</v>
      </c>
      <c r="H991" t="n">
        <v>0</v>
      </c>
      <c r="I991" t="n">
        <v>0</v>
      </c>
      <c r="J991" t="n">
        <v>0</v>
      </c>
      <c r="K991" t="n">
        <v>0</v>
      </c>
      <c r="L991" t="n">
        <v>0</v>
      </c>
      <c r="M991" t="n">
        <v>0</v>
      </c>
      <c r="N991" t="n">
        <v>0</v>
      </c>
      <c r="O991" t="n">
        <v>0</v>
      </c>
      <c r="P991" t="n">
        <v>0</v>
      </c>
      <c r="Q991" t="n">
        <v>0</v>
      </c>
      <c r="R991" s="2" t="inlineStr"/>
    </row>
    <row r="992" ht="15" customHeight="1">
      <c r="A992" t="inlineStr">
        <is>
          <t>A 52955-2019</t>
        </is>
      </c>
      <c r="B992" s="1" t="n">
        <v>43747</v>
      </c>
      <c r="C992" s="1" t="n">
        <v>45705</v>
      </c>
      <c r="D992" t="inlineStr">
        <is>
          <t>UPPSALA LÄN</t>
        </is>
      </c>
      <c r="E992" t="inlineStr">
        <is>
          <t>TIERP</t>
        </is>
      </c>
      <c r="G992" t="n">
        <v>1.1</v>
      </c>
      <c r="H992" t="n">
        <v>0</v>
      </c>
      <c r="I992" t="n">
        <v>0</v>
      </c>
      <c r="J992" t="n">
        <v>0</v>
      </c>
      <c r="K992" t="n">
        <v>0</v>
      </c>
      <c r="L992" t="n">
        <v>0</v>
      </c>
      <c r="M992" t="n">
        <v>0</v>
      </c>
      <c r="N992" t="n">
        <v>0</v>
      </c>
      <c r="O992" t="n">
        <v>0</v>
      </c>
      <c r="P992" t="n">
        <v>0</v>
      </c>
      <c r="Q992" t="n">
        <v>0</v>
      </c>
      <c r="R992" s="2" t="inlineStr"/>
    </row>
    <row r="993" ht="15" customHeight="1">
      <c r="A993" t="inlineStr">
        <is>
          <t>A 52950-2019</t>
        </is>
      </c>
      <c r="B993" s="1" t="n">
        <v>43747</v>
      </c>
      <c r="C993" s="1" t="n">
        <v>45705</v>
      </c>
      <c r="D993" t="inlineStr">
        <is>
          <t>UPPSALA LÄN</t>
        </is>
      </c>
      <c r="E993" t="inlineStr">
        <is>
          <t>UPPSALA</t>
        </is>
      </c>
      <c r="G993" t="n">
        <v>0.2</v>
      </c>
      <c r="H993" t="n">
        <v>0</v>
      </c>
      <c r="I993" t="n">
        <v>0</v>
      </c>
      <c r="J993" t="n">
        <v>0</v>
      </c>
      <c r="K993" t="n">
        <v>0</v>
      </c>
      <c r="L993" t="n">
        <v>0</v>
      </c>
      <c r="M993" t="n">
        <v>0</v>
      </c>
      <c r="N993" t="n">
        <v>0</v>
      </c>
      <c r="O993" t="n">
        <v>0</v>
      </c>
      <c r="P993" t="n">
        <v>0</v>
      </c>
      <c r="Q993" t="n">
        <v>0</v>
      </c>
      <c r="R993" s="2" t="inlineStr"/>
    </row>
    <row r="994" ht="15" customHeight="1">
      <c r="A994" t="inlineStr">
        <is>
          <t>A 53303-2019</t>
        </is>
      </c>
      <c r="B994" s="1" t="n">
        <v>43747</v>
      </c>
      <c r="C994" s="1" t="n">
        <v>45705</v>
      </c>
      <c r="D994" t="inlineStr">
        <is>
          <t>UPPSALA LÄN</t>
        </is>
      </c>
      <c r="E994" t="inlineStr">
        <is>
          <t>UPPSALA</t>
        </is>
      </c>
      <c r="F994" t="inlineStr">
        <is>
          <t>Allmännings- och besparingsskogar</t>
        </is>
      </c>
      <c r="G994" t="n">
        <v>17.5</v>
      </c>
      <c r="H994" t="n">
        <v>0</v>
      </c>
      <c r="I994" t="n">
        <v>0</v>
      </c>
      <c r="J994" t="n">
        <v>0</v>
      </c>
      <c r="K994" t="n">
        <v>0</v>
      </c>
      <c r="L994" t="n">
        <v>0</v>
      </c>
      <c r="M994" t="n">
        <v>0</v>
      </c>
      <c r="N994" t="n">
        <v>0</v>
      </c>
      <c r="O994" t="n">
        <v>0</v>
      </c>
      <c r="P994" t="n">
        <v>0</v>
      </c>
      <c r="Q994" t="n">
        <v>0</v>
      </c>
      <c r="R994" s="2" t="inlineStr"/>
    </row>
    <row r="995" ht="15" customHeight="1">
      <c r="A995" t="inlineStr">
        <is>
          <t>A 54479-2019</t>
        </is>
      </c>
      <c r="B995" s="1" t="n">
        <v>43747</v>
      </c>
      <c r="C995" s="1" t="n">
        <v>45705</v>
      </c>
      <c r="D995" t="inlineStr">
        <is>
          <t>UPPSALA LÄN</t>
        </is>
      </c>
      <c r="E995" t="inlineStr">
        <is>
          <t>HEBY</t>
        </is>
      </c>
      <c r="F995" t="inlineStr">
        <is>
          <t>Bergvik skog väst AB</t>
        </is>
      </c>
      <c r="G995" t="n">
        <v>7.4</v>
      </c>
      <c r="H995" t="n">
        <v>0</v>
      </c>
      <c r="I995" t="n">
        <v>0</v>
      </c>
      <c r="J995" t="n">
        <v>0</v>
      </c>
      <c r="K995" t="n">
        <v>0</v>
      </c>
      <c r="L995" t="n">
        <v>0</v>
      </c>
      <c r="M995" t="n">
        <v>0</v>
      </c>
      <c r="N995" t="n">
        <v>0</v>
      </c>
      <c r="O995" t="n">
        <v>0</v>
      </c>
      <c r="P995" t="n">
        <v>0</v>
      </c>
      <c r="Q995" t="n">
        <v>0</v>
      </c>
      <c r="R995" s="2" t="inlineStr"/>
    </row>
    <row r="996" ht="15" customHeight="1">
      <c r="A996" t="inlineStr">
        <is>
          <t>A 53316-2019</t>
        </is>
      </c>
      <c r="B996" s="1" t="n">
        <v>43748</v>
      </c>
      <c r="C996" s="1" t="n">
        <v>45705</v>
      </c>
      <c r="D996" t="inlineStr">
        <is>
          <t>UPPSALA LÄN</t>
        </is>
      </c>
      <c r="E996" t="inlineStr">
        <is>
          <t>UPPSALA</t>
        </is>
      </c>
      <c r="G996" t="n">
        <v>2.3</v>
      </c>
      <c r="H996" t="n">
        <v>0</v>
      </c>
      <c r="I996" t="n">
        <v>0</v>
      </c>
      <c r="J996" t="n">
        <v>0</v>
      </c>
      <c r="K996" t="n">
        <v>0</v>
      </c>
      <c r="L996" t="n">
        <v>0</v>
      </c>
      <c r="M996" t="n">
        <v>0</v>
      </c>
      <c r="N996" t="n">
        <v>0</v>
      </c>
      <c r="O996" t="n">
        <v>0</v>
      </c>
      <c r="P996" t="n">
        <v>0</v>
      </c>
      <c r="Q996" t="n">
        <v>0</v>
      </c>
      <c r="R996" s="2" t="inlineStr"/>
    </row>
    <row r="997" ht="15" customHeight="1">
      <c r="A997" t="inlineStr">
        <is>
          <t>A 53442-2019</t>
        </is>
      </c>
      <c r="B997" s="1" t="n">
        <v>43748</v>
      </c>
      <c r="C997" s="1" t="n">
        <v>45705</v>
      </c>
      <c r="D997" t="inlineStr">
        <is>
          <t>UPPSALA LÄN</t>
        </is>
      </c>
      <c r="E997" t="inlineStr">
        <is>
          <t>ÖSTHAMMAR</t>
        </is>
      </c>
      <c r="F997" t="inlineStr">
        <is>
          <t>Bergvik skog öst AB</t>
        </is>
      </c>
      <c r="G997" t="n">
        <v>1.9</v>
      </c>
      <c r="H997" t="n">
        <v>0</v>
      </c>
      <c r="I997" t="n">
        <v>0</v>
      </c>
      <c r="J997" t="n">
        <v>0</v>
      </c>
      <c r="K997" t="n">
        <v>0</v>
      </c>
      <c r="L997" t="n">
        <v>0</v>
      </c>
      <c r="M997" t="n">
        <v>0</v>
      </c>
      <c r="N997" t="n">
        <v>0</v>
      </c>
      <c r="O997" t="n">
        <v>0</v>
      </c>
      <c r="P997" t="n">
        <v>0</v>
      </c>
      <c r="Q997" t="n">
        <v>0</v>
      </c>
      <c r="R997" s="2" t="inlineStr"/>
    </row>
    <row r="998" ht="15" customHeight="1">
      <c r="A998" t="inlineStr">
        <is>
          <t>A 53733-2019</t>
        </is>
      </c>
      <c r="B998" s="1" t="n">
        <v>43749</v>
      </c>
      <c r="C998" s="1" t="n">
        <v>45705</v>
      </c>
      <c r="D998" t="inlineStr">
        <is>
          <t>UPPSALA LÄN</t>
        </is>
      </c>
      <c r="E998" t="inlineStr">
        <is>
          <t>HEBY</t>
        </is>
      </c>
      <c r="G998" t="n">
        <v>4.9</v>
      </c>
      <c r="H998" t="n">
        <v>0</v>
      </c>
      <c r="I998" t="n">
        <v>0</v>
      </c>
      <c r="J998" t="n">
        <v>0</v>
      </c>
      <c r="K998" t="n">
        <v>0</v>
      </c>
      <c r="L998" t="n">
        <v>0</v>
      </c>
      <c r="M998" t="n">
        <v>0</v>
      </c>
      <c r="N998" t="n">
        <v>0</v>
      </c>
      <c r="O998" t="n">
        <v>0</v>
      </c>
      <c r="P998" t="n">
        <v>0</v>
      </c>
      <c r="Q998" t="n">
        <v>0</v>
      </c>
      <c r="R998" s="2" t="inlineStr"/>
    </row>
    <row r="999" ht="15" customHeight="1">
      <c r="A999" t="inlineStr">
        <is>
          <t>A 53738-2019</t>
        </is>
      </c>
      <c r="B999" s="1" t="n">
        <v>43749</v>
      </c>
      <c r="C999" s="1" t="n">
        <v>45705</v>
      </c>
      <c r="D999" t="inlineStr">
        <is>
          <t>UPPSALA LÄN</t>
        </is>
      </c>
      <c r="E999" t="inlineStr">
        <is>
          <t>HEBY</t>
        </is>
      </c>
      <c r="G999" t="n">
        <v>0.5</v>
      </c>
      <c r="H999" t="n">
        <v>0</v>
      </c>
      <c r="I999" t="n">
        <v>0</v>
      </c>
      <c r="J999" t="n">
        <v>0</v>
      </c>
      <c r="K999" t="n">
        <v>0</v>
      </c>
      <c r="L999" t="n">
        <v>0</v>
      </c>
      <c r="M999" t="n">
        <v>0</v>
      </c>
      <c r="N999" t="n">
        <v>0</v>
      </c>
      <c r="O999" t="n">
        <v>0</v>
      </c>
      <c r="P999" t="n">
        <v>0</v>
      </c>
      <c r="Q999" t="n">
        <v>0</v>
      </c>
      <c r="R999" s="2" t="inlineStr"/>
    </row>
    <row r="1000" ht="15" customHeight="1">
      <c r="A1000" t="inlineStr">
        <is>
          <t>A 53840-2019</t>
        </is>
      </c>
      <c r="B1000" s="1" t="n">
        <v>43752</v>
      </c>
      <c r="C1000" s="1" t="n">
        <v>45705</v>
      </c>
      <c r="D1000" t="inlineStr">
        <is>
          <t>UPPSALA LÄN</t>
        </is>
      </c>
      <c r="E1000" t="inlineStr">
        <is>
          <t>ENKÖPING</t>
        </is>
      </c>
      <c r="G1000" t="n">
        <v>10.1</v>
      </c>
      <c r="H1000" t="n">
        <v>0</v>
      </c>
      <c r="I1000" t="n">
        <v>0</v>
      </c>
      <c r="J1000" t="n">
        <v>0</v>
      </c>
      <c r="K1000" t="n">
        <v>0</v>
      </c>
      <c r="L1000" t="n">
        <v>0</v>
      </c>
      <c r="M1000" t="n">
        <v>0</v>
      </c>
      <c r="N1000" t="n">
        <v>0</v>
      </c>
      <c r="O1000" t="n">
        <v>0</v>
      </c>
      <c r="P1000" t="n">
        <v>0</v>
      </c>
      <c r="Q1000" t="n">
        <v>0</v>
      </c>
      <c r="R1000" s="2" t="inlineStr"/>
    </row>
    <row r="1001" ht="15" customHeight="1">
      <c r="A1001" t="inlineStr">
        <is>
          <t>A 55369-2019</t>
        </is>
      </c>
      <c r="B1001" s="1" t="n">
        <v>43754</v>
      </c>
      <c r="C1001" s="1" t="n">
        <v>45705</v>
      </c>
      <c r="D1001" t="inlineStr">
        <is>
          <t>UPPSALA LÄN</t>
        </is>
      </c>
      <c r="E1001" t="inlineStr">
        <is>
          <t>HEBY</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54757-2019</t>
        </is>
      </c>
      <c r="B1002" s="1" t="n">
        <v>43755</v>
      </c>
      <c r="C1002" s="1" t="n">
        <v>45705</v>
      </c>
      <c r="D1002" t="inlineStr">
        <is>
          <t>UPPSALA LÄN</t>
        </is>
      </c>
      <c r="E1002" t="inlineStr">
        <is>
          <t>UPPSALA</t>
        </is>
      </c>
      <c r="F1002" t="inlineStr">
        <is>
          <t>Övriga statliga verk och myndigheter</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55382-2019</t>
        </is>
      </c>
      <c r="B1003" s="1" t="n">
        <v>43755</v>
      </c>
      <c r="C1003" s="1" t="n">
        <v>45705</v>
      </c>
      <c r="D1003" t="inlineStr">
        <is>
          <t>UPPSALA LÄN</t>
        </is>
      </c>
      <c r="E1003" t="inlineStr">
        <is>
          <t>ÖSTHAMMAR</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55170-2019</t>
        </is>
      </c>
      <c r="B1004" s="1" t="n">
        <v>43756</v>
      </c>
      <c r="C1004" s="1" t="n">
        <v>45705</v>
      </c>
      <c r="D1004" t="inlineStr">
        <is>
          <t>UPPSALA LÄN</t>
        </is>
      </c>
      <c r="E1004" t="inlineStr">
        <is>
          <t>KNIVSTA</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56380-2019</t>
        </is>
      </c>
      <c r="B1005" s="1" t="n">
        <v>43756</v>
      </c>
      <c r="C1005" s="1" t="n">
        <v>45705</v>
      </c>
      <c r="D1005" t="inlineStr">
        <is>
          <t>UPPSALA LÄN</t>
        </is>
      </c>
      <c r="E1005" t="inlineStr">
        <is>
          <t>TIERP</t>
        </is>
      </c>
      <c r="F1005" t="inlineStr">
        <is>
          <t>Bergvik skog väst AB</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56153-2019</t>
        </is>
      </c>
      <c r="B1006" s="1" t="n">
        <v>43756</v>
      </c>
      <c r="C1006" s="1" t="n">
        <v>45705</v>
      </c>
      <c r="D1006" t="inlineStr">
        <is>
          <t>UPPSALA LÄN</t>
        </is>
      </c>
      <c r="E1006" t="inlineStr">
        <is>
          <t>ENKÖPING</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55516-2019</t>
        </is>
      </c>
      <c r="B1007" s="1" t="n">
        <v>43759</v>
      </c>
      <c r="C1007" s="1" t="n">
        <v>45705</v>
      </c>
      <c r="D1007" t="inlineStr">
        <is>
          <t>UPPSALA LÄN</t>
        </is>
      </c>
      <c r="E1007" t="inlineStr">
        <is>
          <t>ENKÖPING</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55872-2019</t>
        </is>
      </c>
      <c r="B1008" s="1" t="n">
        <v>43759</v>
      </c>
      <c r="C1008" s="1" t="n">
        <v>45705</v>
      </c>
      <c r="D1008" t="inlineStr">
        <is>
          <t>UPPSALA LÄN</t>
        </is>
      </c>
      <c r="E1008" t="inlineStr">
        <is>
          <t>ENKÖPING</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55876-2019</t>
        </is>
      </c>
      <c r="B1009" s="1" t="n">
        <v>43759</v>
      </c>
      <c r="C1009" s="1" t="n">
        <v>45705</v>
      </c>
      <c r="D1009" t="inlineStr">
        <is>
          <t>UPPSALA LÄN</t>
        </is>
      </c>
      <c r="E1009" t="inlineStr">
        <is>
          <t>HÅBO</t>
        </is>
      </c>
      <c r="G1009" t="n">
        <v>5.4</v>
      </c>
      <c r="H1009" t="n">
        <v>0</v>
      </c>
      <c r="I1009" t="n">
        <v>0</v>
      </c>
      <c r="J1009" t="n">
        <v>0</v>
      </c>
      <c r="K1009" t="n">
        <v>0</v>
      </c>
      <c r="L1009" t="n">
        <v>0</v>
      </c>
      <c r="M1009" t="n">
        <v>0</v>
      </c>
      <c r="N1009" t="n">
        <v>0</v>
      </c>
      <c r="O1009" t="n">
        <v>0</v>
      </c>
      <c r="P1009" t="n">
        <v>0</v>
      </c>
      <c r="Q1009" t="n">
        <v>0</v>
      </c>
      <c r="R1009" s="2" t="inlineStr"/>
    </row>
    <row r="1010" ht="15" customHeight="1">
      <c r="A1010" t="inlineStr">
        <is>
          <t>A 55512-2019</t>
        </is>
      </c>
      <c r="B1010" s="1" t="n">
        <v>43759</v>
      </c>
      <c r="C1010" s="1" t="n">
        <v>45705</v>
      </c>
      <c r="D1010" t="inlineStr">
        <is>
          <t>UPPSALA LÄN</t>
        </is>
      </c>
      <c r="E1010" t="inlineStr">
        <is>
          <t>ENKÖPING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56041-2019</t>
        </is>
      </c>
      <c r="B1011" s="1" t="n">
        <v>43759</v>
      </c>
      <c r="C1011" s="1" t="n">
        <v>45705</v>
      </c>
      <c r="D1011" t="inlineStr">
        <is>
          <t>UPPSALA LÄN</t>
        </is>
      </c>
      <c r="E1011" t="inlineStr">
        <is>
          <t>UPPSALA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55944-2019</t>
        </is>
      </c>
      <c r="B1012" s="1" t="n">
        <v>43761</v>
      </c>
      <c r="C1012" s="1" t="n">
        <v>45705</v>
      </c>
      <c r="D1012" t="inlineStr">
        <is>
          <t>UPPSALA LÄN</t>
        </is>
      </c>
      <c r="E1012" t="inlineStr">
        <is>
          <t>TIERP</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57686-2019</t>
        </is>
      </c>
      <c r="B1013" s="1" t="n">
        <v>43761</v>
      </c>
      <c r="C1013" s="1" t="n">
        <v>45705</v>
      </c>
      <c r="D1013" t="inlineStr">
        <is>
          <t>UPPSALA LÄN</t>
        </is>
      </c>
      <c r="E1013" t="inlineStr">
        <is>
          <t>ÖSTHAMMAR</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56309-2019</t>
        </is>
      </c>
      <c r="B1014" s="1" t="n">
        <v>43762</v>
      </c>
      <c r="C1014" s="1" t="n">
        <v>45705</v>
      </c>
      <c r="D1014" t="inlineStr">
        <is>
          <t>UPPSALA LÄN</t>
        </is>
      </c>
      <c r="E1014" t="inlineStr">
        <is>
          <t>ENKÖPING</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56634-2019</t>
        </is>
      </c>
      <c r="B1015" s="1" t="n">
        <v>43763</v>
      </c>
      <c r="C1015" s="1" t="n">
        <v>45705</v>
      </c>
      <c r="D1015" t="inlineStr">
        <is>
          <t>UPPSALA LÄN</t>
        </is>
      </c>
      <c r="E1015" t="inlineStr">
        <is>
          <t>UPPSALA</t>
        </is>
      </c>
      <c r="F1015" t="inlineStr">
        <is>
          <t>Övriga Aktiebolag</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56932-2019</t>
        </is>
      </c>
      <c r="B1016" s="1" t="n">
        <v>43766</v>
      </c>
      <c r="C1016" s="1" t="n">
        <v>45705</v>
      </c>
      <c r="D1016" t="inlineStr">
        <is>
          <t>UPPSALA LÄN</t>
        </is>
      </c>
      <c r="E1016" t="inlineStr">
        <is>
          <t>ENKÖPING</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56910-2019</t>
        </is>
      </c>
      <c r="B1017" s="1" t="n">
        <v>43766</v>
      </c>
      <c r="C1017" s="1" t="n">
        <v>45705</v>
      </c>
      <c r="D1017" t="inlineStr">
        <is>
          <t>UPPSALA LÄN</t>
        </is>
      </c>
      <c r="E1017" t="inlineStr">
        <is>
          <t>ENKÖPING</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57023-2019</t>
        </is>
      </c>
      <c r="B1018" s="1" t="n">
        <v>43766</v>
      </c>
      <c r="C1018" s="1" t="n">
        <v>45705</v>
      </c>
      <c r="D1018" t="inlineStr">
        <is>
          <t>UPPSALA LÄN</t>
        </is>
      </c>
      <c r="E1018" t="inlineStr">
        <is>
          <t>HEBY</t>
        </is>
      </c>
      <c r="G1018" t="n">
        <v>6.4</v>
      </c>
      <c r="H1018" t="n">
        <v>0</v>
      </c>
      <c r="I1018" t="n">
        <v>0</v>
      </c>
      <c r="J1018" t="n">
        <v>0</v>
      </c>
      <c r="K1018" t="n">
        <v>0</v>
      </c>
      <c r="L1018" t="n">
        <v>0</v>
      </c>
      <c r="M1018" t="n">
        <v>0</v>
      </c>
      <c r="N1018" t="n">
        <v>0</v>
      </c>
      <c r="O1018" t="n">
        <v>0</v>
      </c>
      <c r="P1018" t="n">
        <v>0</v>
      </c>
      <c r="Q1018" t="n">
        <v>0</v>
      </c>
      <c r="R1018" s="2" t="inlineStr"/>
    </row>
    <row r="1019" ht="15" customHeight="1">
      <c r="A1019" t="inlineStr">
        <is>
          <t>A 57066-2019</t>
        </is>
      </c>
      <c r="B1019" s="1" t="n">
        <v>43766</v>
      </c>
      <c r="C1019" s="1" t="n">
        <v>45705</v>
      </c>
      <c r="D1019" t="inlineStr">
        <is>
          <t>UPPSALA LÄN</t>
        </is>
      </c>
      <c r="E1019" t="inlineStr">
        <is>
          <t>ENKÖPING</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56897-2019</t>
        </is>
      </c>
      <c r="B1020" s="1" t="n">
        <v>43766</v>
      </c>
      <c r="C1020" s="1" t="n">
        <v>45705</v>
      </c>
      <c r="D1020" t="inlineStr">
        <is>
          <t>UPPSALA LÄN</t>
        </is>
      </c>
      <c r="E1020" t="inlineStr">
        <is>
          <t>ENKÖPING</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57126-2019</t>
        </is>
      </c>
      <c r="B1021" s="1" t="n">
        <v>43766</v>
      </c>
      <c r="C1021" s="1" t="n">
        <v>45705</v>
      </c>
      <c r="D1021" t="inlineStr">
        <is>
          <t>UPPSALA LÄN</t>
        </is>
      </c>
      <c r="E1021" t="inlineStr">
        <is>
          <t>ENKÖPING</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57134-2019</t>
        </is>
      </c>
      <c r="B1022" s="1" t="n">
        <v>43766</v>
      </c>
      <c r="C1022" s="1" t="n">
        <v>45705</v>
      </c>
      <c r="D1022" t="inlineStr">
        <is>
          <t>UPPSALA LÄN</t>
        </is>
      </c>
      <c r="E1022" t="inlineStr">
        <is>
          <t>HEBY</t>
        </is>
      </c>
      <c r="G1022" t="n">
        <v>6.9</v>
      </c>
      <c r="H1022" t="n">
        <v>0</v>
      </c>
      <c r="I1022" t="n">
        <v>0</v>
      </c>
      <c r="J1022" t="n">
        <v>0</v>
      </c>
      <c r="K1022" t="n">
        <v>0</v>
      </c>
      <c r="L1022" t="n">
        <v>0</v>
      </c>
      <c r="M1022" t="n">
        <v>0</v>
      </c>
      <c r="N1022" t="n">
        <v>0</v>
      </c>
      <c r="O1022" t="n">
        <v>0</v>
      </c>
      <c r="P1022" t="n">
        <v>0</v>
      </c>
      <c r="Q1022" t="n">
        <v>0</v>
      </c>
      <c r="R1022" s="2" t="inlineStr"/>
      <c r="U1022">
        <f>HYPERLINK("https://klasma.github.io/Logging_0331/knärot/A 57134-2019 karta knärot.png", "A 57134-2019")</f>
        <v/>
      </c>
      <c r="V1022">
        <f>HYPERLINK("https://klasma.github.io/Logging_0331/klagomål/A 57134-2019 FSC-klagomål.docx", "A 57134-2019")</f>
        <v/>
      </c>
      <c r="W1022">
        <f>HYPERLINK("https://klasma.github.io/Logging_0331/klagomålsmail/A 57134-2019 FSC-klagomål mail.docx", "A 57134-2019")</f>
        <v/>
      </c>
      <c r="X1022">
        <f>HYPERLINK("https://klasma.github.io/Logging_0331/tillsyn/A 57134-2019 tillsynsbegäran.docx", "A 57134-2019")</f>
        <v/>
      </c>
      <c r="Y1022">
        <f>HYPERLINK("https://klasma.github.io/Logging_0331/tillsynsmail/A 57134-2019 tillsynsbegäran mail.docx", "A 57134-2019")</f>
        <v/>
      </c>
    </row>
    <row r="1023" ht="15" customHeight="1">
      <c r="A1023" t="inlineStr">
        <is>
          <t>A 57304-2019</t>
        </is>
      </c>
      <c r="B1023" s="1" t="n">
        <v>43767</v>
      </c>
      <c r="C1023" s="1" t="n">
        <v>45705</v>
      </c>
      <c r="D1023" t="inlineStr">
        <is>
          <t>UPPSALA LÄN</t>
        </is>
      </c>
      <c r="E1023" t="inlineStr">
        <is>
          <t>ÖSTHAMMAR</t>
        </is>
      </c>
      <c r="F1023" t="inlineStr">
        <is>
          <t>Bergvik skog öst AB</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57813-2019</t>
        </is>
      </c>
      <c r="B1024" s="1" t="n">
        <v>43768</v>
      </c>
      <c r="C1024" s="1" t="n">
        <v>45705</v>
      </c>
      <c r="D1024" t="inlineStr">
        <is>
          <t>UPPSALA LÄN</t>
        </is>
      </c>
      <c r="E1024" t="inlineStr">
        <is>
          <t>ENKÖPING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57792-2019</t>
        </is>
      </c>
      <c r="B1025" s="1" t="n">
        <v>43768</v>
      </c>
      <c r="C1025" s="1" t="n">
        <v>45705</v>
      </c>
      <c r="D1025" t="inlineStr">
        <is>
          <t>UPPSALA LÄN</t>
        </is>
      </c>
      <c r="E1025" t="inlineStr">
        <is>
          <t>HEBY</t>
        </is>
      </c>
      <c r="G1025" t="n">
        <v>6.7</v>
      </c>
      <c r="H1025" t="n">
        <v>0</v>
      </c>
      <c r="I1025" t="n">
        <v>0</v>
      </c>
      <c r="J1025" t="n">
        <v>0</v>
      </c>
      <c r="K1025" t="n">
        <v>0</v>
      </c>
      <c r="L1025" t="n">
        <v>0</v>
      </c>
      <c r="M1025" t="n">
        <v>0</v>
      </c>
      <c r="N1025" t="n">
        <v>0</v>
      </c>
      <c r="O1025" t="n">
        <v>0</v>
      </c>
      <c r="P1025" t="n">
        <v>0</v>
      </c>
      <c r="Q1025" t="n">
        <v>0</v>
      </c>
      <c r="R1025" s="2" t="inlineStr"/>
    </row>
    <row r="1026" ht="15" customHeight="1">
      <c r="A1026" t="inlineStr">
        <is>
          <t>A 57821-2019</t>
        </is>
      </c>
      <c r="B1026" s="1" t="n">
        <v>43768</v>
      </c>
      <c r="C1026" s="1" t="n">
        <v>45705</v>
      </c>
      <c r="D1026" t="inlineStr">
        <is>
          <t>UPPSALA LÄN</t>
        </is>
      </c>
      <c r="E1026" t="inlineStr">
        <is>
          <t>ENKÖPING</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57820-2019</t>
        </is>
      </c>
      <c r="B1027" s="1" t="n">
        <v>43768</v>
      </c>
      <c r="C1027" s="1" t="n">
        <v>45705</v>
      </c>
      <c r="D1027" t="inlineStr">
        <is>
          <t>UPPSALA LÄN</t>
        </is>
      </c>
      <c r="E1027" t="inlineStr">
        <is>
          <t>ENKÖPING</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57745-2019</t>
        </is>
      </c>
      <c r="B1028" s="1" t="n">
        <v>43768</v>
      </c>
      <c r="C1028" s="1" t="n">
        <v>45705</v>
      </c>
      <c r="D1028" t="inlineStr">
        <is>
          <t>UPPSALA LÄN</t>
        </is>
      </c>
      <c r="E1028" t="inlineStr">
        <is>
          <t>ÄLVKARLEBY</t>
        </is>
      </c>
      <c r="F1028" t="inlineStr">
        <is>
          <t>Bergvik skog väst AB</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58146-2019</t>
        </is>
      </c>
      <c r="B1029" s="1" t="n">
        <v>43769</v>
      </c>
      <c r="C1029" s="1" t="n">
        <v>45705</v>
      </c>
      <c r="D1029" t="inlineStr">
        <is>
          <t>UPPSALA LÄN</t>
        </is>
      </c>
      <c r="E1029" t="inlineStr">
        <is>
          <t>KNIVSTA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59227-2019</t>
        </is>
      </c>
      <c r="B1030" s="1" t="n">
        <v>43770</v>
      </c>
      <c r="C1030" s="1" t="n">
        <v>45705</v>
      </c>
      <c r="D1030" t="inlineStr">
        <is>
          <t>UPPSALA LÄN</t>
        </is>
      </c>
      <c r="E1030" t="inlineStr">
        <is>
          <t>TIERP</t>
        </is>
      </c>
      <c r="F1030" t="inlineStr">
        <is>
          <t>Bergvik skog väst AB</t>
        </is>
      </c>
      <c r="G1030" t="n">
        <v>8.4</v>
      </c>
      <c r="H1030" t="n">
        <v>0</v>
      </c>
      <c r="I1030" t="n">
        <v>0</v>
      </c>
      <c r="J1030" t="n">
        <v>0</v>
      </c>
      <c r="K1030" t="n">
        <v>0</v>
      </c>
      <c r="L1030" t="n">
        <v>0</v>
      </c>
      <c r="M1030" t="n">
        <v>0</v>
      </c>
      <c r="N1030" t="n">
        <v>0</v>
      </c>
      <c r="O1030" t="n">
        <v>0</v>
      </c>
      <c r="P1030" t="n">
        <v>0</v>
      </c>
      <c r="Q1030" t="n">
        <v>0</v>
      </c>
      <c r="R1030" s="2" t="inlineStr"/>
    </row>
    <row r="1031" ht="15" customHeight="1">
      <c r="A1031" t="inlineStr">
        <is>
          <t>A 58276-2019</t>
        </is>
      </c>
      <c r="B1031" s="1" t="n">
        <v>43770</v>
      </c>
      <c r="C1031" s="1" t="n">
        <v>45705</v>
      </c>
      <c r="D1031" t="inlineStr">
        <is>
          <t>UPPSALA LÄN</t>
        </is>
      </c>
      <c r="E1031" t="inlineStr">
        <is>
          <t>TIERP</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58491-2019</t>
        </is>
      </c>
      <c r="B1032" s="1" t="n">
        <v>43773</v>
      </c>
      <c r="C1032" s="1" t="n">
        <v>45705</v>
      </c>
      <c r="D1032" t="inlineStr">
        <is>
          <t>UPPSALA LÄN</t>
        </is>
      </c>
      <c r="E1032" t="inlineStr">
        <is>
          <t>ENKÖPING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58445-2019</t>
        </is>
      </c>
      <c r="B1033" s="1" t="n">
        <v>43773</v>
      </c>
      <c r="C1033" s="1" t="n">
        <v>45705</v>
      </c>
      <c r="D1033" t="inlineStr">
        <is>
          <t>UPPSALA LÄN</t>
        </is>
      </c>
      <c r="E1033" t="inlineStr">
        <is>
          <t>UPPSALA</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58527-2019</t>
        </is>
      </c>
      <c r="B1034" s="1" t="n">
        <v>43773</v>
      </c>
      <c r="C1034" s="1" t="n">
        <v>45705</v>
      </c>
      <c r="D1034" t="inlineStr">
        <is>
          <t>UPPSALA LÄN</t>
        </is>
      </c>
      <c r="E1034" t="inlineStr">
        <is>
          <t>UPPSALA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58558-2019</t>
        </is>
      </c>
      <c r="B1035" s="1" t="n">
        <v>43773</v>
      </c>
      <c r="C1035" s="1" t="n">
        <v>45705</v>
      </c>
      <c r="D1035" t="inlineStr">
        <is>
          <t>UPPSALA LÄN</t>
        </is>
      </c>
      <c r="E1035" t="inlineStr">
        <is>
          <t>ENKÖPING</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58903-2019</t>
        </is>
      </c>
      <c r="B1036" s="1" t="n">
        <v>43773</v>
      </c>
      <c r="C1036" s="1" t="n">
        <v>45705</v>
      </c>
      <c r="D1036" t="inlineStr">
        <is>
          <t>UPPSALA LÄN</t>
        </is>
      </c>
      <c r="E1036" t="inlineStr">
        <is>
          <t>UPPSALA</t>
        </is>
      </c>
      <c r="F1036" t="inlineStr">
        <is>
          <t>Övriga Aktiebolag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59283-2019</t>
        </is>
      </c>
      <c r="B1037" s="1" t="n">
        <v>43773</v>
      </c>
      <c r="C1037" s="1" t="n">
        <v>45705</v>
      </c>
      <c r="D1037" t="inlineStr">
        <is>
          <t>UPPSALA LÄN</t>
        </is>
      </c>
      <c r="E1037" t="inlineStr">
        <is>
          <t>HÅBO</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58665-2019</t>
        </is>
      </c>
      <c r="B1038" s="1" t="n">
        <v>43773</v>
      </c>
      <c r="C1038" s="1" t="n">
        <v>45705</v>
      </c>
      <c r="D1038" t="inlineStr">
        <is>
          <t>UPPSALA LÄN</t>
        </is>
      </c>
      <c r="E1038" t="inlineStr">
        <is>
          <t>ÖSTHAMMAR</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59058-2019</t>
        </is>
      </c>
      <c r="B1039" s="1" t="n">
        <v>43774</v>
      </c>
      <c r="C1039" s="1" t="n">
        <v>45705</v>
      </c>
      <c r="D1039" t="inlineStr">
        <is>
          <t>UPPSALA LÄN</t>
        </is>
      </c>
      <c r="E1039" t="inlineStr">
        <is>
          <t>TIERP</t>
        </is>
      </c>
      <c r="F1039" t="inlineStr">
        <is>
          <t>Bergvik skog väst AB</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59239-2019</t>
        </is>
      </c>
      <c r="B1040" s="1" t="n">
        <v>43775</v>
      </c>
      <c r="C1040" s="1" t="n">
        <v>45705</v>
      </c>
      <c r="D1040" t="inlineStr">
        <is>
          <t>UPPSALA LÄN</t>
        </is>
      </c>
      <c r="E1040" t="inlineStr">
        <is>
          <t>HEBY</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60054-2019</t>
        </is>
      </c>
      <c r="B1041" s="1" t="n">
        <v>43775</v>
      </c>
      <c r="C1041" s="1" t="n">
        <v>45705</v>
      </c>
      <c r="D1041" t="inlineStr">
        <is>
          <t>UPPSALA LÄN</t>
        </is>
      </c>
      <c r="E1041" t="inlineStr">
        <is>
          <t>ENKÖPING</t>
        </is>
      </c>
      <c r="G1041" t="n">
        <v>18.4</v>
      </c>
      <c r="H1041" t="n">
        <v>0</v>
      </c>
      <c r="I1041" t="n">
        <v>0</v>
      </c>
      <c r="J1041" t="n">
        <v>0</v>
      </c>
      <c r="K1041" t="n">
        <v>0</v>
      </c>
      <c r="L1041" t="n">
        <v>0</v>
      </c>
      <c r="M1041" t="n">
        <v>0</v>
      </c>
      <c r="N1041" t="n">
        <v>0</v>
      </c>
      <c r="O1041" t="n">
        <v>0</v>
      </c>
      <c r="P1041" t="n">
        <v>0</v>
      </c>
      <c r="Q1041" t="n">
        <v>0</v>
      </c>
      <c r="R1041" s="2" t="inlineStr"/>
    </row>
    <row r="1042" ht="15" customHeight="1">
      <c r="A1042" t="inlineStr">
        <is>
          <t>A 59600-2019</t>
        </is>
      </c>
      <c r="B1042" s="1" t="n">
        <v>43776</v>
      </c>
      <c r="C1042" s="1" t="n">
        <v>45705</v>
      </c>
      <c r="D1042" t="inlineStr">
        <is>
          <t>UPPSALA LÄN</t>
        </is>
      </c>
      <c r="E1042" t="inlineStr">
        <is>
          <t>ENKÖPING</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60070-2019</t>
        </is>
      </c>
      <c r="B1043" s="1" t="n">
        <v>43777</v>
      </c>
      <c r="C1043" s="1" t="n">
        <v>45705</v>
      </c>
      <c r="D1043" t="inlineStr">
        <is>
          <t>UPPSALA LÄN</t>
        </is>
      </c>
      <c r="E1043" t="inlineStr">
        <is>
          <t>ENKÖPING</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60011-2019</t>
        </is>
      </c>
      <c r="B1044" s="1" t="n">
        <v>43777</v>
      </c>
      <c r="C1044" s="1" t="n">
        <v>45705</v>
      </c>
      <c r="D1044" t="inlineStr">
        <is>
          <t>UPPSALA LÄN</t>
        </is>
      </c>
      <c r="E1044" t="inlineStr">
        <is>
          <t>UPPSALA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60062-2019</t>
        </is>
      </c>
      <c r="B1045" s="1" t="n">
        <v>43777</v>
      </c>
      <c r="C1045" s="1" t="n">
        <v>45705</v>
      </c>
      <c r="D1045" t="inlineStr">
        <is>
          <t>UPPSALA LÄN</t>
        </is>
      </c>
      <c r="E1045" t="inlineStr">
        <is>
          <t>ENKÖPING</t>
        </is>
      </c>
      <c r="G1045" t="n">
        <v>6.4</v>
      </c>
      <c r="H1045" t="n">
        <v>0</v>
      </c>
      <c r="I1045" t="n">
        <v>0</v>
      </c>
      <c r="J1045" t="n">
        <v>0</v>
      </c>
      <c r="K1045" t="n">
        <v>0</v>
      </c>
      <c r="L1045" t="n">
        <v>0</v>
      </c>
      <c r="M1045" t="n">
        <v>0</v>
      </c>
      <c r="N1045" t="n">
        <v>0</v>
      </c>
      <c r="O1045" t="n">
        <v>0</v>
      </c>
      <c r="P1045" t="n">
        <v>0</v>
      </c>
      <c r="Q1045" t="n">
        <v>0</v>
      </c>
      <c r="R1045" s="2" t="inlineStr"/>
    </row>
    <row r="1046" ht="15" customHeight="1">
      <c r="A1046" t="inlineStr">
        <is>
          <t>A 60159-2019</t>
        </is>
      </c>
      <c r="B1046" s="1" t="n">
        <v>43777</v>
      </c>
      <c r="C1046" s="1" t="n">
        <v>45705</v>
      </c>
      <c r="D1046" t="inlineStr">
        <is>
          <t>UPPSALA LÄN</t>
        </is>
      </c>
      <c r="E1046" t="inlineStr">
        <is>
          <t>UPPSALA</t>
        </is>
      </c>
      <c r="F1046" t="inlineStr">
        <is>
          <t>Övriga Aktiebolag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60230-2019</t>
        </is>
      </c>
      <c r="B1047" s="1" t="n">
        <v>43780</v>
      </c>
      <c r="C1047" s="1" t="n">
        <v>45705</v>
      </c>
      <c r="D1047" t="inlineStr">
        <is>
          <t>UPPSALA LÄN</t>
        </is>
      </c>
      <c r="E1047" t="inlineStr">
        <is>
          <t>TIERP</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60163-2019</t>
        </is>
      </c>
      <c r="B1048" s="1" t="n">
        <v>43780</v>
      </c>
      <c r="C1048" s="1" t="n">
        <v>45705</v>
      </c>
      <c r="D1048" t="inlineStr">
        <is>
          <t>UPPSALA LÄN</t>
        </is>
      </c>
      <c r="E1048" t="inlineStr">
        <is>
          <t>UPPSALA</t>
        </is>
      </c>
      <c r="F1048" t="inlineStr">
        <is>
          <t>Övriga Aktiebolag</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60222-2019</t>
        </is>
      </c>
      <c r="B1049" s="1" t="n">
        <v>43780</v>
      </c>
      <c r="C1049" s="1" t="n">
        <v>45705</v>
      </c>
      <c r="D1049" t="inlineStr">
        <is>
          <t>UPPSALA LÄN</t>
        </is>
      </c>
      <c r="E1049" t="inlineStr">
        <is>
          <t>TIERP</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61322-2019</t>
        </is>
      </c>
      <c r="B1050" s="1" t="n">
        <v>43780</v>
      </c>
      <c r="C1050" s="1" t="n">
        <v>45705</v>
      </c>
      <c r="D1050" t="inlineStr">
        <is>
          <t>UPPSALA LÄN</t>
        </is>
      </c>
      <c r="E1050" t="inlineStr">
        <is>
          <t>TIERP</t>
        </is>
      </c>
      <c r="F1050" t="inlineStr">
        <is>
          <t>Bergvik skog väst AB</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60579-2019</t>
        </is>
      </c>
      <c r="B1051" s="1" t="n">
        <v>43780</v>
      </c>
      <c r="C1051" s="1" t="n">
        <v>45705</v>
      </c>
      <c r="D1051" t="inlineStr">
        <is>
          <t>UPPSALA LÄN</t>
        </is>
      </c>
      <c r="E1051" t="inlineStr">
        <is>
          <t>UPPSALA</t>
        </is>
      </c>
      <c r="F1051" t="inlineStr">
        <is>
          <t>Övriga Aktiebolag</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60806-2019</t>
        </is>
      </c>
      <c r="B1052" s="1" t="n">
        <v>43781</v>
      </c>
      <c r="C1052" s="1" t="n">
        <v>45705</v>
      </c>
      <c r="D1052" t="inlineStr">
        <is>
          <t>UPPSALA LÄN</t>
        </is>
      </c>
      <c r="E1052" t="inlineStr">
        <is>
          <t>HEBY</t>
        </is>
      </c>
      <c r="F1052" t="inlineStr">
        <is>
          <t>Allmännings- och besparingsskogar</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60977-2019</t>
        </is>
      </c>
      <c r="B1053" s="1" t="n">
        <v>43782</v>
      </c>
      <c r="C1053" s="1" t="n">
        <v>45705</v>
      </c>
      <c r="D1053" t="inlineStr">
        <is>
          <t>UPPSALA LÄN</t>
        </is>
      </c>
      <c r="E1053" t="inlineStr">
        <is>
          <t>ÖSTHAMMAR</t>
        </is>
      </c>
      <c r="F1053" t="inlineStr">
        <is>
          <t>Bergvik skog öst AB</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61005-2019</t>
        </is>
      </c>
      <c r="B1054" s="1" t="n">
        <v>43782</v>
      </c>
      <c r="C1054" s="1" t="n">
        <v>45705</v>
      </c>
      <c r="D1054" t="inlineStr">
        <is>
          <t>UPPSALA LÄN</t>
        </is>
      </c>
      <c r="E1054" t="inlineStr">
        <is>
          <t>ENKÖPING</t>
        </is>
      </c>
      <c r="G1054" t="n">
        <v>11.8</v>
      </c>
      <c r="H1054" t="n">
        <v>0</v>
      </c>
      <c r="I1054" t="n">
        <v>0</v>
      </c>
      <c r="J1054" t="n">
        <v>0</v>
      </c>
      <c r="K1054" t="n">
        <v>0</v>
      </c>
      <c r="L1054" t="n">
        <v>0</v>
      </c>
      <c r="M1054" t="n">
        <v>0</v>
      </c>
      <c r="N1054" t="n">
        <v>0</v>
      </c>
      <c r="O1054" t="n">
        <v>0</v>
      </c>
      <c r="P1054" t="n">
        <v>0</v>
      </c>
      <c r="Q1054" t="n">
        <v>0</v>
      </c>
      <c r="R1054" s="2" t="inlineStr"/>
    </row>
    <row r="1055" ht="15" customHeight="1">
      <c r="A1055" t="inlineStr">
        <is>
          <t>A 62096-2019</t>
        </is>
      </c>
      <c r="B1055" s="1" t="n">
        <v>43782</v>
      </c>
      <c r="C1055" s="1" t="n">
        <v>45705</v>
      </c>
      <c r="D1055" t="inlineStr">
        <is>
          <t>UPPSALA LÄN</t>
        </is>
      </c>
      <c r="E1055" t="inlineStr">
        <is>
          <t>HEBY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62308-2019</t>
        </is>
      </c>
      <c r="B1056" s="1" t="n">
        <v>43782</v>
      </c>
      <c r="C1056" s="1" t="n">
        <v>45705</v>
      </c>
      <c r="D1056" t="inlineStr">
        <is>
          <t>UPPSALA LÄN</t>
        </is>
      </c>
      <c r="E1056" t="inlineStr">
        <is>
          <t>UPPSALA</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61351-2019</t>
        </is>
      </c>
      <c r="B1057" s="1" t="n">
        <v>43783</v>
      </c>
      <c r="C1057" s="1" t="n">
        <v>45705</v>
      </c>
      <c r="D1057" t="inlineStr">
        <is>
          <t>UPPSALA LÄN</t>
        </is>
      </c>
      <c r="E1057" t="inlineStr">
        <is>
          <t>HEBY</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61395-2019</t>
        </is>
      </c>
      <c r="B1058" s="1" t="n">
        <v>43783</v>
      </c>
      <c r="C1058" s="1" t="n">
        <v>45705</v>
      </c>
      <c r="D1058" t="inlineStr">
        <is>
          <t>UPPSALA LÄN</t>
        </is>
      </c>
      <c r="E1058" t="inlineStr">
        <is>
          <t>HEBY</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61388-2019</t>
        </is>
      </c>
      <c r="B1059" s="1" t="n">
        <v>43783</v>
      </c>
      <c r="C1059" s="1" t="n">
        <v>45705</v>
      </c>
      <c r="D1059" t="inlineStr">
        <is>
          <t>UPPSALA LÄN</t>
        </is>
      </c>
      <c r="E1059" t="inlineStr">
        <is>
          <t>HEBY</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61667-2019</t>
        </is>
      </c>
      <c r="B1060" s="1" t="n">
        <v>43784</v>
      </c>
      <c r="C1060" s="1" t="n">
        <v>45705</v>
      </c>
      <c r="D1060" t="inlineStr">
        <is>
          <t>UPPSALA LÄN</t>
        </is>
      </c>
      <c r="E1060" t="inlineStr">
        <is>
          <t>UPPSALA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61924-2019</t>
        </is>
      </c>
      <c r="B1061" s="1" t="n">
        <v>43787</v>
      </c>
      <c r="C1061" s="1" t="n">
        <v>45705</v>
      </c>
      <c r="D1061" t="inlineStr">
        <is>
          <t>UPPSALA LÄN</t>
        </is>
      </c>
      <c r="E1061" t="inlineStr">
        <is>
          <t>HEBY</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61866-2019</t>
        </is>
      </c>
      <c r="B1062" s="1" t="n">
        <v>43787</v>
      </c>
      <c r="C1062" s="1" t="n">
        <v>45705</v>
      </c>
      <c r="D1062" t="inlineStr">
        <is>
          <t>UPPSALA LÄN</t>
        </is>
      </c>
      <c r="E1062" t="inlineStr">
        <is>
          <t>ÖSTHAMMAR</t>
        </is>
      </c>
      <c r="F1062" t="inlineStr">
        <is>
          <t>Bergvik skog öst AB</t>
        </is>
      </c>
      <c r="G1062" t="n">
        <v>6.6</v>
      </c>
      <c r="H1062" t="n">
        <v>0</v>
      </c>
      <c r="I1062" t="n">
        <v>0</v>
      </c>
      <c r="J1062" t="n">
        <v>0</v>
      </c>
      <c r="K1062" t="n">
        <v>0</v>
      </c>
      <c r="L1062" t="n">
        <v>0</v>
      </c>
      <c r="M1062" t="n">
        <v>0</v>
      </c>
      <c r="N1062" t="n">
        <v>0</v>
      </c>
      <c r="O1062" t="n">
        <v>0</v>
      </c>
      <c r="P1062" t="n">
        <v>0</v>
      </c>
      <c r="Q1062" t="n">
        <v>0</v>
      </c>
      <c r="R1062" s="2" t="inlineStr"/>
    </row>
    <row r="1063" ht="15" customHeight="1">
      <c r="A1063" t="inlineStr">
        <is>
          <t>A 62026-2019</t>
        </is>
      </c>
      <c r="B1063" s="1" t="n">
        <v>43787</v>
      </c>
      <c r="C1063" s="1" t="n">
        <v>45705</v>
      </c>
      <c r="D1063" t="inlineStr">
        <is>
          <t>UPPSALA LÄN</t>
        </is>
      </c>
      <c r="E1063" t="inlineStr">
        <is>
          <t>HEBY</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62022-2019</t>
        </is>
      </c>
      <c r="B1064" s="1" t="n">
        <v>43787</v>
      </c>
      <c r="C1064" s="1" t="n">
        <v>45705</v>
      </c>
      <c r="D1064" t="inlineStr">
        <is>
          <t>UPPSALA LÄN</t>
        </is>
      </c>
      <c r="E1064" t="inlineStr">
        <is>
          <t>HEBY</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62808-2019</t>
        </is>
      </c>
      <c r="B1065" s="1" t="n">
        <v>43790</v>
      </c>
      <c r="C1065" s="1" t="n">
        <v>45705</v>
      </c>
      <c r="D1065" t="inlineStr">
        <is>
          <t>UPPSALA LÄN</t>
        </is>
      </c>
      <c r="E1065" t="inlineStr">
        <is>
          <t>ÖSTHAMMAR</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62868-2019</t>
        </is>
      </c>
      <c r="B1066" s="1" t="n">
        <v>43790</v>
      </c>
      <c r="C1066" s="1" t="n">
        <v>45705</v>
      </c>
      <c r="D1066" t="inlineStr">
        <is>
          <t>UPPSALA LÄN</t>
        </is>
      </c>
      <c r="E1066" t="inlineStr">
        <is>
          <t>ENKÖPING</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63145-2019</t>
        </is>
      </c>
      <c r="B1067" s="1" t="n">
        <v>43791</v>
      </c>
      <c r="C1067" s="1" t="n">
        <v>45705</v>
      </c>
      <c r="D1067" t="inlineStr">
        <is>
          <t>UPPSALA LÄN</t>
        </is>
      </c>
      <c r="E1067" t="inlineStr">
        <is>
          <t>UPPSALA</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63091-2019</t>
        </is>
      </c>
      <c r="B1068" s="1" t="n">
        <v>43791</v>
      </c>
      <c r="C1068" s="1" t="n">
        <v>45705</v>
      </c>
      <c r="D1068" t="inlineStr">
        <is>
          <t>UPPSALA LÄN</t>
        </is>
      </c>
      <c r="E1068" t="inlineStr">
        <is>
          <t>UPPSALA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63099-2019</t>
        </is>
      </c>
      <c r="B1069" s="1" t="n">
        <v>43791</v>
      </c>
      <c r="C1069" s="1" t="n">
        <v>45705</v>
      </c>
      <c r="D1069" t="inlineStr">
        <is>
          <t>UPPSALA LÄN</t>
        </is>
      </c>
      <c r="E1069" t="inlineStr">
        <is>
          <t>UPPSALA</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63118-2019</t>
        </is>
      </c>
      <c r="B1070" s="1" t="n">
        <v>43791</v>
      </c>
      <c r="C1070" s="1" t="n">
        <v>45705</v>
      </c>
      <c r="D1070" t="inlineStr">
        <is>
          <t>UPPSALA LÄN</t>
        </is>
      </c>
      <c r="E1070" t="inlineStr">
        <is>
          <t>UPPSALA</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63376-2019</t>
        </is>
      </c>
      <c r="B1071" s="1" t="n">
        <v>43794</v>
      </c>
      <c r="C1071" s="1" t="n">
        <v>45705</v>
      </c>
      <c r="D1071" t="inlineStr">
        <is>
          <t>UPPSALA LÄN</t>
        </is>
      </c>
      <c r="E1071" t="inlineStr">
        <is>
          <t>HEBY</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63589-2019</t>
        </is>
      </c>
      <c r="B1072" s="1" t="n">
        <v>43795</v>
      </c>
      <c r="C1072" s="1" t="n">
        <v>45705</v>
      </c>
      <c r="D1072" t="inlineStr">
        <is>
          <t>UPPSALA LÄN</t>
        </is>
      </c>
      <c r="E1072" t="inlineStr">
        <is>
          <t>UPPSALA</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63564-2019</t>
        </is>
      </c>
      <c r="B1073" s="1" t="n">
        <v>43795</v>
      </c>
      <c r="C1073" s="1" t="n">
        <v>45705</v>
      </c>
      <c r="D1073" t="inlineStr">
        <is>
          <t>UPPSALA LÄN</t>
        </is>
      </c>
      <c r="E1073" t="inlineStr">
        <is>
          <t>ÖSTHAMMAR</t>
        </is>
      </c>
      <c r="F1073" t="inlineStr">
        <is>
          <t>Övriga Aktiebolag</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63769-2019</t>
        </is>
      </c>
      <c r="B1074" s="1" t="n">
        <v>43795</v>
      </c>
      <c r="C1074" s="1" t="n">
        <v>45705</v>
      </c>
      <c r="D1074" t="inlineStr">
        <is>
          <t>UPPSALA LÄN</t>
        </is>
      </c>
      <c r="E1074" t="inlineStr">
        <is>
          <t>TIERP</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63757-2019</t>
        </is>
      </c>
      <c r="B1075" s="1" t="n">
        <v>43795</v>
      </c>
      <c r="C1075" s="1" t="n">
        <v>45705</v>
      </c>
      <c r="D1075" t="inlineStr">
        <is>
          <t>UPPSALA LÄN</t>
        </is>
      </c>
      <c r="E1075" t="inlineStr">
        <is>
          <t>UPPSALA</t>
        </is>
      </c>
      <c r="G1075" t="n">
        <v>6.9</v>
      </c>
      <c r="H1075" t="n">
        <v>0</v>
      </c>
      <c r="I1075" t="n">
        <v>0</v>
      </c>
      <c r="J1075" t="n">
        <v>0</v>
      </c>
      <c r="K1075" t="n">
        <v>0</v>
      </c>
      <c r="L1075" t="n">
        <v>0</v>
      </c>
      <c r="M1075" t="n">
        <v>0</v>
      </c>
      <c r="N1075" t="n">
        <v>0</v>
      </c>
      <c r="O1075" t="n">
        <v>0</v>
      </c>
      <c r="P1075" t="n">
        <v>0</v>
      </c>
      <c r="Q1075" t="n">
        <v>0</v>
      </c>
      <c r="R1075" s="2" t="inlineStr"/>
    </row>
    <row r="1076" ht="15" customHeight="1">
      <c r="A1076" t="inlineStr">
        <is>
          <t>A 63756-2019</t>
        </is>
      </c>
      <c r="B1076" s="1" t="n">
        <v>43795</v>
      </c>
      <c r="C1076" s="1" t="n">
        <v>45705</v>
      </c>
      <c r="D1076" t="inlineStr">
        <is>
          <t>UPPSALA LÄN</t>
        </is>
      </c>
      <c r="E1076" t="inlineStr">
        <is>
          <t>UPPSALA</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63872-2019</t>
        </is>
      </c>
      <c r="B1077" s="1" t="n">
        <v>43796</v>
      </c>
      <c r="C1077" s="1" t="n">
        <v>45705</v>
      </c>
      <c r="D1077" t="inlineStr">
        <is>
          <t>UPPSALA LÄN</t>
        </is>
      </c>
      <c r="E1077" t="inlineStr">
        <is>
          <t>TIERP</t>
        </is>
      </c>
      <c r="F1077" t="inlineStr">
        <is>
          <t>Bergvik skog väst AB</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64252-2019</t>
        </is>
      </c>
      <c r="B1078" s="1" t="n">
        <v>43797</v>
      </c>
      <c r="C1078" s="1" t="n">
        <v>45705</v>
      </c>
      <c r="D1078" t="inlineStr">
        <is>
          <t>UPPSALA LÄN</t>
        </is>
      </c>
      <c r="E1078" t="inlineStr">
        <is>
          <t>TIERP</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64250-2019</t>
        </is>
      </c>
      <c r="B1079" s="1" t="n">
        <v>43797</v>
      </c>
      <c r="C1079" s="1" t="n">
        <v>45705</v>
      </c>
      <c r="D1079" t="inlineStr">
        <is>
          <t>UPPSALA LÄN</t>
        </is>
      </c>
      <c r="E1079" t="inlineStr">
        <is>
          <t>HEBY</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64271-2019</t>
        </is>
      </c>
      <c r="B1080" s="1" t="n">
        <v>43797</v>
      </c>
      <c r="C1080" s="1" t="n">
        <v>45705</v>
      </c>
      <c r="D1080" t="inlineStr">
        <is>
          <t>UPPSALA LÄN</t>
        </is>
      </c>
      <c r="E1080" t="inlineStr">
        <is>
          <t>TIERP</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64344-2019</t>
        </is>
      </c>
      <c r="B1081" s="1" t="n">
        <v>43797</v>
      </c>
      <c r="C1081" s="1" t="n">
        <v>45705</v>
      </c>
      <c r="D1081" t="inlineStr">
        <is>
          <t>UPPSALA LÄN</t>
        </is>
      </c>
      <c r="E1081" t="inlineStr">
        <is>
          <t>ÖSTHAMMAR</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65903-2019</t>
        </is>
      </c>
      <c r="B1082" s="1" t="n">
        <v>43800</v>
      </c>
      <c r="C1082" s="1" t="n">
        <v>45705</v>
      </c>
      <c r="D1082" t="inlineStr">
        <is>
          <t>UPPSALA LÄN</t>
        </is>
      </c>
      <c r="E1082" t="inlineStr">
        <is>
          <t>KNIVSTA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64836-2019</t>
        </is>
      </c>
      <c r="B1083" s="1" t="n">
        <v>43801</v>
      </c>
      <c r="C1083" s="1" t="n">
        <v>45705</v>
      </c>
      <c r="D1083" t="inlineStr">
        <is>
          <t>UPPSALA LÄN</t>
        </is>
      </c>
      <c r="E1083" t="inlineStr">
        <is>
          <t>UPPSALA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64834-2019</t>
        </is>
      </c>
      <c r="B1084" s="1" t="n">
        <v>43801</v>
      </c>
      <c r="C1084" s="1" t="n">
        <v>45705</v>
      </c>
      <c r="D1084" t="inlineStr">
        <is>
          <t>UPPSALA LÄN</t>
        </is>
      </c>
      <c r="E1084" t="inlineStr">
        <is>
          <t>UPPSALA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64986-2019</t>
        </is>
      </c>
      <c r="B1085" s="1" t="n">
        <v>43801</v>
      </c>
      <c r="C1085" s="1" t="n">
        <v>45705</v>
      </c>
      <c r="D1085" t="inlineStr">
        <is>
          <t>UPPSALA LÄN</t>
        </is>
      </c>
      <c r="E1085" t="inlineStr">
        <is>
          <t>TIERP</t>
        </is>
      </c>
      <c r="G1085" t="n">
        <v>0.2</v>
      </c>
      <c r="H1085" t="n">
        <v>0</v>
      </c>
      <c r="I1085" t="n">
        <v>0</v>
      </c>
      <c r="J1085" t="n">
        <v>0</v>
      </c>
      <c r="K1085" t="n">
        <v>0</v>
      </c>
      <c r="L1085" t="n">
        <v>0</v>
      </c>
      <c r="M1085" t="n">
        <v>0</v>
      </c>
      <c r="N1085" t="n">
        <v>0</v>
      </c>
      <c r="O1085" t="n">
        <v>0</v>
      </c>
      <c r="P1085" t="n">
        <v>0</v>
      </c>
      <c r="Q1085" t="n">
        <v>0</v>
      </c>
      <c r="R1085" s="2" t="inlineStr"/>
    </row>
    <row r="1086" ht="15" customHeight="1">
      <c r="A1086" t="inlineStr">
        <is>
          <t>A 64983-2019</t>
        </is>
      </c>
      <c r="B1086" s="1" t="n">
        <v>43801</v>
      </c>
      <c r="C1086" s="1" t="n">
        <v>45705</v>
      </c>
      <c r="D1086" t="inlineStr">
        <is>
          <t>UPPSALA LÄN</t>
        </is>
      </c>
      <c r="E1086" t="inlineStr">
        <is>
          <t>TIERP</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65087-2019</t>
        </is>
      </c>
      <c r="B1087" s="1" t="n">
        <v>43802</v>
      </c>
      <c r="C1087" s="1" t="n">
        <v>45705</v>
      </c>
      <c r="D1087" t="inlineStr">
        <is>
          <t>UPPSALA LÄN</t>
        </is>
      </c>
      <c r="E1087" t="inlineStr">
        <is>
          <t>TIERP</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65111-2019</t>
        </is>
      </c>
      <c r="B1088" s="1" t="n">
        <v>43802</v>
      </c>
      <c r="C1088" s="1" t="n">
        <v>45705</v>
      </c>
      <c r="D1088" t="inlineStr">
        <is>
          <t>UPPSALA LÄN</t>
        </is>
      </c>
      <c r="E1088" t="inlineStr">
        <is>
          <t>HEBY</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65182-2019</t>
        </is>
      </c>
      <c r="B1089" s="1" t="n">
        <v>43802</v>
      </c>
      <c r="C1089" s="1" t="n">
        <v>45705</v>
      </c>
      <c r="D1089" t="inlineStr">
        <is>
          <t>UPPSALA LÄN</t>
        </is>
      </c>
      <c r="E1089" t="inlineStr">
        <is>
          <t>ENKÖPING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65107-2019</t>
        </is>
      </c>
      <c r="B1090" s="1" t="n">
        <v>43802</v>
      </c>
      <c r="C1090" s="1" t="n">
        <v>45705</v>
      </c>
      <c r="D1090" t="inlineStr">
        <is>
          <t>UPPSALA LÄN</t>
        </is>
      </c>
      <c r="E1090" t="inlineStr">
        <is>
          <t>ÖSTHAMMAR</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65527-2019</t>
        </is>
      </c>
      <c r="B1091" s="1" t="n">
        <v>43803</v>
      </c>
      <c r="C1091" s="1" t="n">
        <v>45705</v>
      </c>
      <c r="D1091" t="inlineStr">
        <is>
          <t>UPPSALA LÄN</t>
        </is>
      </c>
      <c r="E1091" t="inlineStr">
        <is>
          <t>UPPSALA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66556-2019</t>
        </is>
      </c>
      <c r="B1092" s="1" t="n">
        <v>43803</v>
      </c>
      <c r="C1092" s="1" t="n">
        <v>45705</v>
      </c>
      <c r="D1092" t="inlineStr">
        <is>
          <t>UPPSALA LÄN</t>
        </is>
      </c>
      <c r="E1092" t="inlineStr">
        <is>
          <t>ENKÖPING</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65668-2019</t>
        </is>
      </c>
      <c r="B1093" s="1" t="n">
        <v>43804</v>
      </c>
      <c r="C1093" s="1" t="n">
        <v>45705</v>
      </c>
      <c r="D1093" t="inlineStr">
        <is>
          <t>UPPSALA LÄN</t>
        </is>
      </c>
      <c r="E1093" t="inlineStr">
        <is>
          <t>UPPSALA</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66125-2019</t>
        </is>
      </c>
      <c r="B1094" s="1" t="n">
        <v>43808</v>
      </c>
      <c r="C1094" s="1" t="n">
        <v>45705</v>
      </c>
      <c r="D1094" t="inlineStr">
        <is>
          <t>UPPSALA LÄN</t>
        </is>
      </c>
      <c r="E1094" t="inlineStr">
        <is>
          <t>HEBY</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66167-2019</t>
        </is>
      </c>
      <c r="B1095" s="1" t="n">
        <v>43808</v>
      </c>
      <c r="C1095" s="1" t="n">
        <v>45705</v>
      </c>
      <c r="D1095" t="inlineStr">
        <is>
          <t>UPPSALA LÄN</t>
        </is>
      </c>
      <c r="E1095" t="inlineStr">
        <is>
          <t>UPPSALA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66270-2019</t>
        </is>
      </c>
      <c r="B1096" s="1" t="n">
        <v>43808</v>
      </c>
      <c r="C1096" s="1" t="n">
        <v>45705</v>
      </c>
      <c r="D1096" t="inlineStr">
        <is>
          <t>UPPSALA LÄN</t>
        </is>
      </c>
      <c r="E1096" t="inlineStr">
        <is>
          <t>UPPSALA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66298-2019</t>
        </is>
      </c>
      <c r="B1097" s="1" t="n">
        <v>43808</v>
      </c>
      <c r="C1097" s="1" t="n">
        <v>45705</v>
      </c>
      <c r="D1097" t="inlineStr">
        <is>
          <t>UPPSALA LÄN</t>
        </is>
      </c>
      <c r="E1097" t="inlineStr">
        <is>
          <t>ENKÖPING</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67647-2019</t>
        </is>
      </c>
      <c r="B1098" s="1" t="n">
        <v>43808</v>
      </c>
      <c r="C1098" s="1" t="n">
        <v>45705</v>
      </c>
      <c r="D1098" t="inlineStr">
        <is>
          <t>UPPSALA LÄN</t>
        </is>
      </c>
      <c r="E1098" t="inlineStr">
        <is>
          <t>ÖSTHAMMAR</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66641-2019</t>
        </is>
      </c>
      <c r="B1099" s="1" t="n">
        <v>43809</v>
      </c>
      <c r="C1099" s="1" t="n">
        <v>45705</v>
      </c>
      <c r="D1099" t="inlineStr">
        <is>
          <t>UPPSALA LÄN</t>
        </is>
      </c>
      <c r="E1099" t="inlineStr">
        <is>
          <t>TIERP</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66640-2019</t>
        </is>
      </c>
      <c r="B1100" s="1" t="n">
        <v>43809</v>
      </c>
      <c r="C1100" s="1" t="n">
        <v>45705</v>
      </c>
      <c r="D1100" t="inlineStr">
        <is>
          <t>UPPSALA LÄN</t>
        </is>
      </c>
      <c r="E1100" t="inlineStr">
        <is>
          <t>TIERP</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66607-2019</t>
        </is>
      </c>
      <c r="B1101" s="1" t="n">
        <v>43809</v>
      </c>
      <c r="C1101" s="1" t="n">
        <v>45705</v>
      </c>
      <c r="D1101" t="inlineStr">
        <is>
          <t>UPPSALA LÄN</t>
        </is>
      </c>
      <c r="E1101" t="inlineStr">
        <is>
          <t>KNIVSTA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66802-2019</t>
        </is>
      </c>
      <c r="B1102" s="1" t="n">
        <v>43810</v>
      </c>
      <c r="C1102" s="1" t="n">
        <v>45705</v>
      </c>
      <c r="D1102" t="inlineStr">
        <is>
          <t>UPPSALA LÄN</t>
        </is>
      </c>
      <c r="E1102" t="inlineStr">
        <is>
          <t>ÖSTHAMMAR</t>
        </is>
      </c>
      <c r="F1102" t="inlineStr">
        <is>
          <t>Bergvik skog öst AB</t>
        </is>
      </c>
      <c r="G1102" t="n">
        <v>34.8</v>
      </c>
      <c r="H1102" t="n">
        <v>0</v>
      </c>
      <c r="I1102" t="n">
        <v>0</v>
      </c>
      <c r="J1102" t="n">
        <v>0</v>
      </c>
      <c r="K1102" t="n">
        <v>0</v>
      </c>
      <c r="L1102" t="n">
        <v>0</v>
      </c>
      <c r="M1102" t="n">
        <v>0</v>
      </c>
      <c r="N1102" t="n">
        <v>0</v>
      </c>
      <c r="O1102" t="n">
        <v>0</v>
      </c>
      <c r="P1102" t="n">
        <v>0</v>
      </c>
      <c r="Q1102" t="n">
        <v>0</v>
      </c>
      <c r="R1102" s="2" t="inlineStr"/>
    </row>
    <row r="1103" ht="15" customHeight="1">
      <c r="A1103" t="inlineStr">
        <is>
          <t>A 67165-2019</t>
        </is>
      </c>
      <c r="B1103" s="1" t="n">
        <v>43811</v>
      </c>
      <c r="C1103" s="1" t="n">
        <v>45705</v>
      </c>
      <c r="D1103" t="inlineStr">
        <is>
          <t>UPPSALA LÄN</t>
        </is>
      </c>
      <c r="E1103" t="inlineStr">
        <is>
          <t>KNIVSTA</t>
        </is>
      </c>
      <c r="G1103" t="n">
        <v>8.9</v>
      </c>
      <c r="H1103" t="n">
        <v>0</v>
      </c>
      <c r="I1103" t="n">
        <v>0</v>
      </c>
      <c r="J1103" t="n">
        <v>0</v>
      </c>
      <c r="K1103" t="n">
        <v>0</v>
      </c>
      <c r="L1103" t="n">
        <v>0</v>
      </c>
      <c r="M1103" t="n">
        <v>0</v>
      </c>
      <c r="N1103" t="n">
        <v>0</v>
      </c>
      <c r="O1103" t="n">
        <v>0</v>
      </c>
      <c r="P1103" t="n">
        <v>0</v>
      </c>
      <c r="Q1103" t="n">
        <v>0</v>
      </c>
      <c r="R1103" s="2" t="inlineStr"/>
    </row>
    <row r="1104" ht="15" customHeight="1">
      <c r="A1104" t="inlineStr">
        <is>
          <t>A 67166-2019</t>
        </is>
      </c>
      <c r="B1104" s="1" t="n">
        <v>43811</v>
      </c>
      <c r="C1104" s="1" t="n">
        <v>45705</v>
      </c>
      <c r="D1104" t="inlineStr">
        <is>
          <t>UPPSALA LÄN</t>
        </is>
      </c>
      <c r="E1104" t="inlineStr">
        <is>
          <t>KNIVSTA</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67190-2019</t>
        </is>
      </c>
      <c r="B1105" s="1" t="n">
        <v>43811</v>
      </c>
      <c r="C1105" s="1" t="n">
        <v>45705</v>
      </c>
      <c r="D1105" t="inlineStr">
        <is>
          <t>UPPSALA LÄN</t>
        </is>
      </c>
      <c r="E1105" t="inlineStr">
        <is>
          <t>ENKÖPING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67196-2019</t>
        </is>
      </c>
      <c r="B1106" s="1" t="n">
        <v>43811</v>
      </c>
      <c r="C1106" s="1" t="n">
        <v>45705</v>
      </c>
      <c r="D1106" t="inlineStr">
        <is>
          <t>UPPSALA LÄN</t>
        </is>
      </c>
      <c r="E1106" t="inlineStr">
        <is>
          <t>ENKÖPING</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67108-2019</t>
        </is>
      </c>
      <c r="B1107" s="1" t="n">
        <v>43811</v>
      </c>
      <c r="C1107" s="1" t="n">
        <v>45705</v>
      </c>
      <c r="D1107" t="inlineStr">
        <is>
          <t>UPPSALA LÄN</t>
        </is>
      </c>
      <c r="E1107" t="inlineStr">
        <is>
          <t>UPPSALA</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67253-2019</t>
        </is>
      </c>
      <c r="B1108" s="1" t="n">
        <v>43812</v>
      </c>
      <c r="C1108" s="1" t="n">
        <v>45705</v>
      </c>
      <c r="D1108" t="inlineStr">
        <is>
          <t>UPPSALA LÄN</t>
        </is>
      </c>
      <c r="E1108" t="inlineStr">
        <is>
          <t>TIERP</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67281-2019</t>
        </is>
      </c>
      <c r="B1109" s="1" t="n">
        <v>43812</v>
      </c>
      <c r="C1109" s="1" t="n">
        <v>45705</v>
      </c>
      <c r="D1109" t="inlineStr">
        <is>
          <t>UPPSALA LÄN</t>
        </is>
      </c>
      <c r="E1109" t="inlineStr">
        <is>
          <t>UPPSALA</t>
        </is>
      </c>
      <c r="F1109" t="inlineStr">
        <is>
          <t>Allmännings- och besparingsskogar</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67244-2019</t>
        </is>
      </c>
      <c r="B1110" s="1" t="n">
        <v>43812</v>
      </c>
      <c r="C1110" s="1" t="n">
        <v>45705</v>
      </c>
      <c r="D1110" t="inlineStr">
        <is>
          <t>UPPSALA LÄN</t>
        </is>
      </c>
      <c r="E1110" t="inlineStr">
        <is>
          <t>ENKÖPING</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67448-2019</t>
        </is>
      </c>
      <c r="B1111" s="1" t="n">
        <v>43812</v>
      </c>
      <c r="C1111" s="1" t="n">
        <v>45705</v>
      </c>
      <c r="D1111" t="inlineStr">
        <is>
          <t>UPPSALA LÄN</t>
        </is>
      </c>
      <c r="E1111" t="inlineStr">
        <is>
          <t>ENKÖPING</t>
        </is>
      </c>
      <c r="F1111" t="inlineStr">
        <is>
          <t>Allmännings- och besparingsskogar</t>
        </is>
      </c>
      <c r="G1111" t="n">
        <v>15.1</v>
      </c>
      <c r="H1111" t="n">
        <v>0</v>
      </c>
      <c r="I1111" t="n">
        <v>0</v>
      </c>
      <c r="J1111" t="n">
        <v>0</v>
      </c>
      <c r="K1111" t="n">
        <v>0</v>
      </c>
      <c r="L1111" t="n">
        <v>0</v>
      </c>
      <c r="M1111" t="n">
        <v>0</v>
      </c>
      <c r="N1111" t="n">
        <v>0</v>
      </c>
      <c r="O1111" t="n">
        <v>0</v>
      </c>
      <c r="P1111" t="n">
        <v>0</v>
      </c>
      <c r="Q1111" t="n">
        <v>0</v>
      </c>
      <c r="R1111" s="2" t="inlineStr"/>
    </row>
    <row r="1112" ht="15" customHeight="1">
      <c r="A1112" t="inlineStr">
        <is>
          <t>A 67254-2019</t>
        </is>
      </c>
      <c r="B1112" s="1" t="n">
        <v>43812</v>
      </c>
      <c r="C1112" s="1" t="n">
        <v>45705</v>
      </c>
      <c r="D1112" t="inlineStr">
        <is>
          <t>UPPSALA LÄN</t>
        </is>
      </c>
      <c r="E1112" t="inlineStr">
        <is>
          <t>ÖSTHAMMAR</t>
        </is>
      </c>
      <c r="F1112" t="inlineStr">
        <is>
          <t>Allmännings- och besparingsskogar</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67508-2019</t>
        </is>
      </c>
      <c r="B1113" s="1" t="n">
        <v>43814</v>
      </c>
      <c r="C1113" s="1" t="n">
        <v>45705</v>
      </c>
      <c r="D1113" t="inlineStr">
        <is>
          <t>UPPSALA LÄN</t>
        </is>
      </c>
      <c r="E1113" t="inlineStr">
        <is>
          <t>UPPSALA</t>
        </is>
      </c>
      <c r="F1113" t="inlineStr">
        <is>
          <t>Allmännings- och besparingsskogar</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67504-2019</t>
        </is>
      </c>
      <c r="B1114" s="1" t="n">
        <v>43814</v>
      </c>
      <c r="C1114" s="1" t="n">
        <v>45705</v>
      </c>
      <c r="D1114" t="inlineStr">
        <is>
          <t>UPPSALA LÄN</t>
        </is>
      </c>
      <c r="E1114" t="inlineStr">
        <is>
          <t>UPPSALA</t>
        </is>
      </c>
      <c r="F1114" t="inlineStr">
        <is>
          <t>Allmännings- och besparingsskogar</t>
        </is>
      </c>
      <c r="G1114" t="n">
        <v>21.9</v>
      </c>
      <c r="H1114" t="n">
        <v>0</v>
      </c>
      <c r="I1114" t="n">
        <v>0</v>
      </c>
      <c r="J1114" t="n">
        <v>0</v>
      </c>
      <c r="K1114" t="n">
        <v>0</v>
      </c>
      <c r="L1114" t="n">
        <v>0</v>
      </c>
      <c r="M1114" t="n">
        <v>0</v>
      </c>
      <c r="N1114" t="n">
        <v>0</v>
      </c>
      <c r="O1114" t="n">
        <v>0</v>
      </c>
      <c r="P1114" t="n">
        <v>0</v>
      </c>
      <c r="Q1114" t="n">
        <v>0</v>
      </c>
      <c r="R1114" s="2" t="inlineStr"/>
    </row>
    <row r="1115" ht="15" customHeight="1">
      <c r="A1115" t="inlineStr">
        <is>
          <t>A 67720-2019</t>
        </is>
      </c>
      <c r="B1115" s="1" t="n">
        <v>43815</v>
      </c>
      <c r="C1115" s="1" t="n">
        <v>45705</v>
      </c>
      <c r="D1115" t="inlineStr">
        <is>
          <t>UPPSALA LÄN</t>
        </is>
      </c>
      <c r="E1115" t="inlineStr">
        <is>
          <t>UPPSALA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67592-2019</t>
        </is>
      </c>
      <c r="B1116" s="1" t="n">
        <v>43815</v>
      </c>
      <c r="C1116" s="1" t="n">
        <v>45705</v>
      </c>
      <c r="D1116" t="inlineStr">
        <is>
          <t>UPPSALA LÄN</t>
        </is>
      </c>
      <c r="E1116" t="inlineStr">
        <is>
          <t>UPPSALA</t>
        </is>
      </c>
      <c r="F1116" t="inlineStr">
        <is>
          <t>Övriga statliga verk och myndigheter</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67598-2019</t>
        </is>
      </c>
      <c r="B1117" s="1" t="n">
        <v>43815</v>
      </c>
      <c r="C1117" s="1" t="n">
        <v>45705</v>
      </c>
      <c r="D1117" t="inlineStr">
        <is>
          <t>UPPSALA LÄN</t>
        </is>
      </c>
      <c r="E1117" t="inlineStr">
        <is>
          <t>KNIVSTA</t>
        </is>
      </c>
      <c r="F1117" t="inlineStr">
        <is>
          <t>Övriga Aktiebolag</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68196-2019</t>
        </is>
      </c>
      <c r="B1118" s="1" t="n">
        <v>43817</v>
      </c>
      <c r="C1118" s="1" t="n">
        <v>45705</v>
      </c>
      <c r="D1118" t="inlineStr">
        <is>
          <t>UPPSALA LÄN</t>
        </is>
      </c>
      <c r="E1118" t="inlineStr">
        <is>
          <t>HEBY</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618-2020</t>
        </is>
      </c>
      <c r="B1119" s="1" t="n">
        <v>43817</v>
      </c>
      <c r="C1119" s="1" t="n">
        <v>45705</v>
      </c>
      <c r="D1119" t="inlineStr">
        <is>
          <t>UPPSALA LÄN</t>
        </is>
      </c>
      <c r="E1119" t="inlineStr">
        <is>
          <t>ÖSTHAMMAR</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68186-2019</t>
        </is>
      </c>
      <c r="B1120" s="1" t="n">
        <v>43817</v>
      </c>
      <c r="C1120" s="1" t="n">
        <v>45705</v>
      </c>
      <c r="D1120" t="inlineStr">
        <is>
          <t>UPPSALA LÄN</t>
        </is>
      </c>
      <c r="E1120" t="inlineStr">
        <is>
          <t>ENKÖPING</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68188-2019</t>
        </is>
      </c>
      <c r="B1121" s="1" t="n">
        <v>43817</v>
      </c>
      <c r="C1121" s="1" t="n">
        <v>45705</v>
      </c>
      <c r="D1121" t="inlineStr">
        <is>
          <t>UPPSALA LÄN</t>
        </is>
      </c>
      <c r="E1121" t="inlineStr">
        <is>
          <t>ENKÖPING</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68264-2019</t>
        </is>
      </c>
      <c r="B1122" s="1" t="n">
        <v>43817</v>
      </c>
      <c r="C1122" s="1" t="n">
        <v>45705</v>
      </c>
      <c r="D1122" t="inlineStr">
        <is>
          <t>UPPSALA LÄN</t>
        </is>
      </c>
      <c r="E1122" t="inlineStr">
        <is>
          <t>UPPSALA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68265-2019</t>
        </is>
      </c>
      <c r="B1123" s="1" t="n">
        <v>43817</v>
      </c>
      <c r="C1123" s="1" t="n">
        <v>45705</v>
      </c>
      <c r="D1123" t="inlineStr">
        <is>
          <t>UPPSALA LÄN</t>
        </is>
      </c>
      <c r="E1123" t="inlineStr">
        <is>
          <t>UPPSALA</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68317-2019</t>
        </is>
      </c>
      <c r="B1124" s="1" t="n">
        <v>43818</v>
      </c>
      <c r="C1124" s="1" t="n">
        <v>45705</v>
      </c>
      <c r="D1124" t="inlineStr">
        <is>
          <t>UPPSALA LÄN</t>
        </is>
      </c>
      <c r="E1124" t="inlineStr">
        <is>
          <t>UPPSALA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68412-2019</t>
        </is>
      </c>
      <c r="B1125" s="1" t="n">
        <v>43818</v>
      </c>
      <c r="C1125" s="1" t="n">
        <v>45705</v>
      </c>
      <c r="D1125" t="inlineStr">
        <is>
          <t>UPPSALA LÄN</t>
        </is>
      </c>
      <c r="E1125" t="inlineStr">
        <is>
          <t>HEBY</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68316-2019</t>
        </is>
      </c>
      <c r="B1126" s="1" t="n">
        <v>43818</v>
      </c>
      <c r="C1126" s="1" t="n">
        <v>45705</v>
      </c>
      <c r="D1126" t="inlineStr">
        <is>
          <t>UPPSALA LÄN</t>
        </is>
      </c>
      <c r="E1126" t="inlineStr">
        <is>
          <t>UPPSALA</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68870-2019</t>
        </is>
      </c>
      <c r="B1127" s="1" t="n">
        <v>43821</v>
      </c>
      <c r="C1127" s="1" t="n">
        <v>45705</v>
      </c>
      <c r="D1127" t="inlineStr">
        <is>
          <t>UPPSALA LÄN</t>
        </is>
      </c>
      <c r="E1127" t="inlineStr">
        <is>
          <t>ÖSTHAMMAR</t>
        </is>
      </c>
      <c r="F1127" t="inlineStr">
        <is>
          <t>Bergvik skog öst AB</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68871-2019</t>
        </is>
      </c>
      <c r="B1128" s="1" t="n">
        <v>43821</v>
      </c>
      <c r="C1128" s="1" t="n">
        <v>45705</v>
      </c>
      <c r="D1128" t="inlineStr">
        <is>
          <t>UPPSALA LÄN</t>
        </is>
      </c>
      <c r="E1128" t="inlineStr">
        <is>
          <t>ÖSTHAMMAR</t>
        </is>
      </c>
      <c r="F1128" t="inlineStr">
        <is>
          <t>Bergvik skog öst AB</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68868-2019</t>
        </is>
      </c>
      <c r="B1129" s="1" t="n">
        <v>43821</v>
      </c>
      <c r="C1129" s="1" t="n">
        <v>45705</v>
      </c>
      <c r="D1129" t="inlineStr">
        <is>
          <t>UPPSALA LÄN</t>
        </is>
      </c>
      <c r="E1129" t="inlineStr">
        <is>
          <t>ÖSTHAMMAR</t>
        </is>
      </c>
      <c r="F1129" t="inlineStr">
        <is>
          <t>Bergvik skog öst AB</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68908-2019</t>
        </is>
      </c>
      <c r="B1130" s="1" t="n">
        <v>43822</v>
      </c>
      <c r="C1130" s="1" t="n">
        <v>45705</v>
      </c>
      <c r="D1130" t="inlineStr">
        <is>
          <t>UPPSALA LÄN</t>
        </is>
      </c>
      <c r="E1130" t="inlineStr">
        <is>
          <t>UPPSALA</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69015-2019</t>
        </is>
      </c>
      <c r="B1131" s="1" t="n">
        <v>43826</v>
      </c>
      <c r="C1131" s="1" t="n">
        <v>45705</v>
      </c>
      <c r="D1131" t="inlineStr">
        <is>
          <t>UPPSALA LÄN</t>
        </is>
      </c>
      <c r="E1131" t="inlineStr">
        <is>
          <t>ENKÖPING</t>
        </is>
      </c>
      <c r="G1131" t="n">
        <v>15.7</v>
      </c>
      <c r="H1131" t="n">
        <v>0</v>
      </c>
      <c r="I1131" t="n">
        <v>0</v>
      </c>
      <c r="J1131" t="n">
        <v>0</v>
      </c>
      <c r="K1131" t="n">
        <v>0</v>
      </c>
      <c r="L1131" t="n">
        <v>0</v>
      </c>
      <c r="M1131" t="n">
        <v>0</v>
      </c>
      <c r="N1131" t="n">
        <v>0</v>
      </c>
      <c r="O1131" t="n">
        <v>0</v>
      </c>
      <c r="P1131" t="n">
        <v>0</v>
      </c>
      <c r="Q1131" t="n">
        <v>0</v>
      </c>
      <c r="R1131" s="2" t="inlineStr"/>
    </row>
    <row r="1132" ht="15" customHeight="1">
      <c r="A1132" t="inlineStr">
        <is>
          <t>A 69029-2019</t>
        </is>
      </c>
      <c r="B1132" s="1" t="n">
        <v>43826</v>
      </c>
      <c r="C1132" s="1" t="n">
        <v>45705</v>
      </c>
      <c r="D1132" t="inlineStr">
        <is>
          <t>UPPSALA LÄN</t>
        </is>
      </c>
      <c r="E1132" t="inlineStr">
        <is>
          <t>ENKÖPING</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69016-2019</t>
        </is>
      </c>
      <c r="B1133" s="1" t="n">
        <v>43826</v>
      </c>
      <c r="C1133" s="1" t="n">
        <v>45705</v>
      </c>
      <c r="D1133" t="inlineStr">
        <is>
          <t>UPPSALA LÄN</t>
        </is>
      </c>
      <c r="E1133" t="inlineStr">
        <is>
          <t>ENKÖPING</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69020-2019</t>
        </is>
      </c>
      <c r="B1134" s="1" t="n">
        <v>43826</v>
      </c>
      <c r="C1134" s="1" t="n">
        <v>45705</v>
      </c>
      <c r="D1134" t="inlineStr">
        <is>
          <t>UPPSALA LÄN</t>
        </is>
      </c>
      <c r="E1134" t="inlineStr">
        <is>
          <t>ENKÖPING</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69141-2019</t>
        </is>
      </c>
      <c r="B1135" s="1" t="n">
        <v>43829</v>
      </c>
      <c r="C1135" s="1" t="n">
        <v>45705</v>
      </c>
      <c r="D1135" t="inlineStr">
        <is>
          <t>UPPSALA LÄN</t>
        </is>
      </c>
      <c r="E1135" t="inlineStr">
        <is>
          <t>TIERP</t>
        </is>
      </c>
      <c r="F1135" t="inlineStr">
        <is>
          <t>Bergvik skog väst AB</t>
        </is>
      </c>
      <c r="G1135" t="n">
        <v>20.5</v>
      </c>
      <c r="H1135" t="n">
        <v>0</v>
      </c>
      <c r="I1135" t="n">
        <v>0</v>
      </c>
      <c r="J1135" t="n">
        <v>0</v>
      </c>
      <c r="K1135" t="n">
        <v>0</v>
      </c>
      <c r="L1135" t="n">
        <v>0</v>
      </c>
      <c r="M1135" t="n">
        <v>0</v>
      </c>
      <c r="N1135" t="n">
        <v>0</v>
      </c>
      <c r="O1135" t="n">
        <v>0</v>
      </c>
      <c r="P1135" t="n">
        <v>0</v>
      </c>
      <c r="Q1135" t="n">
        <v>0</v>
      </c>
      <c r="R1135" s="2" t="inlineStr"/>
    </row>
    <row r="1136" ht="15" customHeight="1">
      <c r="A1136" t="inlineStr">
        <is>
          <t>A 38-2020</t>
        </is>
      </c>
      <c r="B1136" s="1" t="n">
        <v>43832</v>
      </c>
      <c r="C1136" s="1" t="n">
        <v>45705</v>
      </c>
      <c r="D1136" t="inlineStr">
        <is>
          <t>UPPSALA LÄN</t>
        </is>
      </c>
      <c r="E1136" t="inlineStr">
        <is>
          <t>ENKÖPING</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529-2020</t>
        </is>
      </c>
      <c r="B1137" s="1" t="n">
        <v>43837</v>
      </c>
      <c r="C1137" s="1" t="n">
        <v>45705</v>
      </c>
      <c r="D1137" t="inlineStr">
        <is>
          <t>UPPSALA LÄN</t>
        </is>
      </c>
      <c r="E1137" t="inlineStr">
        <is>
          <t>UPPSALA</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499-2020</t>
        </is>
      </c>
      <c r="B1138" s="1" t="n">
        <v>43837</v>
      </c>
      <c r="C1138" s="1" t="n">
        <v>45705</v>
      </c>
      <c r="D1138" t="inlineStr">
        <is>
          <t>UPPSALA LÄN</t>
        </is>
      </c>
      <c r="E1138" t="inlineStr">
        <is>
          <t>ENKÖPING</t>
        </is>
      </c>
      <c r="G1138" t="n">
        <v>4.9</v>
      </c>
      <c r="H1138" t="n">
        <v>0</v>
      </c>
      <c r="I1138" t="n">
        <v>0</v>
      </c>
      <c r="J1138" t="n">
        <v>0</v>
      </c>
      <c r="K1138" t="n">
        <v>0</v>
      </c>
      <c r="L1138" t="n">
        <v>0</v>
      </c>
      <c r="M1138" t="n">
        <v>0</v>
      </c>
      <c r="N1138" t="n">
        <v>0</v>
      </c>
      <c r="O1138" t="n">
        <v>0</v>
      </c>
      <c r="P1138" t="n">
        <v>0</v>
      </c>
      <c r="Q1138" t="n">
        <v>0</v>
      </c>
      <c r="R1138" s="2" t="inlineStr"/>
    </row>
    <row r="1139" ht="15" customHeight="1">
      <c r="A1139" t="inlineStr">
        <is>
          <t>A 1891-2020</t>
        </is>
      </c>
      <c r="B1139" s="1" t="n">
        <v>43837</v>
      </c>
      <c r="C1139" s="1" t="n">
        <v>45705</v>
      </c>
      <c r="D1139" t="inlineStr">
        <is>
          <t>UPPSALA LÄN</t>
        </is>
      </c>
      <c r="E1139" t="inlineStr">
        <is>
          <t>UPPSALA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701-2020</t>
        </is>
      </c>
      <c r="B1140" s="1" t="n">
        <v>43838</v>
      </c>
      <c r="C1140" s="1" t="n">
        <v>45705</v>
      </c>
      <c r="D1140" t="inlineStr">
        <is>
          <t>UPPSALA LÄN</t>
        </is>
      </c>
      <c r="E1140" t="inlineStr">
        <is>
          <t>UPPSALA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685-2020</t>
        </is>
      </c>
      <c r="B1141" s="1" t="n">
        <v>43838</v>
      </c>
      <c r="C1141" s="1" t="n">
        <v>45705</v>
      </c>
      <c r="D1141" t="inlineStr">
        <is>
          <t>UPPSALA LÄN</t>
        </is>
      </c>
      <c r="E1141" t="inlineStr">
        <is>
          <t>ÖSTHAMMAR</t>
        </is>
      </c>
      <c r="F1141" t="inlineStr">
        <is>
          <t>Bergvik skog öst AB</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724-2020</t>
        </is>
      </c>
      <c r="B1142" s="1" t="n">
        <v>43838</v>
      </c>
      <c r="C1142" s="1" t="n">
        <v>45705</v>
      </c>
      <c r="D1142" t="inlineStr">
        <is>
          <t>UPPSALA LÄN</t>
        </is>
      </c>
      <c r="E1142" t="inlineStr">
        <is>
          <t>ENKÖPING</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962-2020</t>
        </is>
      </c>
      <c r="B1143" s="1" t="n">
        <v>43839</v>
      </c>
      <c r="C1143" s="1" t="n">
        <v>45705</v>
      </c>
      <c r="D1143" t="inlineStr">
        <is>
          <t>UPPSALA LÄN</t>
        </is>
      </c>
      <c r="E1143" t="inlineStr">
        <is>
          <t>TIERP</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892-2020</t>
        </is>
      </c>
      <c r="B1144" s="1" t="n">
        <v>43839</v>
      </c>
      <c r="C1144" s="1" t="n">
        <v>45705</v>
      </c>
      <c r="D1144" t="inlineStr">
        <is>
          <t>UPPSALA LÄN</t>
        </is>
      </c>
      <c r="E1144" t="inlineStr">
        <is>
          <t>ENKÖPING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1171-2020</t>
        </is>
      </c>
      <c r="B1145" s="1" t="n">
        <v>43840</v>
      </c>
      <c r="C1145" s="1" t="n">
        <v>45705</v>
      </c>
      <c r="D1145" t="inlineStr">
        <is>
          <t>UPPSALA LÄN</t>
        </is>
      </c>
      <c r="E1145" t="inlineStr">
        <is>
          <t>UPPSALA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1348-2020</t>
        </is>
      </c>
      <c r="B1146" s="1" t="n">
        <v>43843</v>
      </c>
      <c r="C1146" s="1" t="n">
        <v>45705</v>
      </c>
      <c r="D1146" t="inlineStr">
        <is>
          <t>UPPSALA LÄN</t>
        </is>
      </c>
      <c r="E1146" t="inlineStr">
        <is>
          <t>ENKÖPING</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1387-2020</t>
        </is>
      </c>
      <c r="B1147" s="1" t="n">
        <v>43843</v>
      </c>
      <c r="C1147" s="1" t="n">
        <v>45705</v>
      </c>
      <c r="D1147" t="inlineStr">
        <is>
          <t>UPPSALA LÄN</t>
        </is>
      </c>
      <c r="E1147" t="inlineStr">
        <is>
          <t>HEBY</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1432-2020</t>
        </is>
      </c>
      <c r="B1148" s="1" t="n">
        <v>43843</v>
      </c>
      <c r="C1148" s="1" t="n">
        <v>45705</v>
      </c>
      <c r="D1148" t="inlineStr">
        <is>
          <t>UPPSALA LÄN</t>
        </is>
      </c>
      <c r="E1148" t="inlineStr">
        <is>
          <t>TIERP</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1685-2020</t>
        </is>
      </c>
      <c r="B1149" s="1" t="n">
        <v>43844</v>
      </c>
      <c r="C1149" s="1" t="n">
        <v>45705</v>
      </c>
      <c r="D1149" t="inlineStr">
        <is>
          <t>UPPSALA LÄN</t>
        </is>
      </c>
      <c r="E1149" t="inlineStr">
        <is>
          <t>ÖSTHAMMAR</t>
        </is>
      </c>
      <c r="F1149" t="inlineStr">
        <is>
          <t>Övriga Aktiebolag</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1681-2020</t>
        </is>
      </c>
      <c r="B1150" s="1" t="n">
        <v>43844</v>
      </c>
      <c r="C1150" s="1" t="n">
        <v>45705</v>
      </c>
      <c r="D1150" t="inlineStr">
        <is>
          <t>UPPSALA LÄN</t>
        </is>
      </c>
      <c r="E1150" t="inlineStr">
        <is>
          <t>ÖSTHAMMAR</t>
        </is>
      </c>
      <c r="F1150" t="inlineStr">
        <is>
          <t>Övriga Aktiebolag</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1717-2020</t>
        </is>
      </c>
      <c r="B1151" s="1" t="n">
        <v>43844</v>
      </c>
      <c r="C1151" s="1" t="n">
        <v>45705</v>
      </c>
      <c r="D1151" t="inlineStr">
        <is>
          <t>UPPSALA LÄN</t>
        </is>
      </c>
      <c r="E1151" t="inlineStr">
        <is>
          <t>HEBY</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1688-2020</t>
        </is>
      </c>
      <c r="B1152" s="1" t="n">
        <v>43844</v>
      </c>
      <c r="C1152" s="1" t="n">
        <v>45705</v>
      </c>
      <c r="D1152" t="inlineStr">
        <is>
          <t>UPPSALA LÄN</t>
        </is>
      </c>
      <c r="E1152" t="inlineStr">
        <is>
          <t>UPPSALA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1929-2020</t>
        </is>
      </c>
      <c r="B1153" s="1" t="n">
        <v>43845</v>
      </c>
      <c r="C1153" s="1" t="n">
        <v>45705</v>
      </c>
      <c r="D1153" t="inlineStr">
        <is>
          <t>UPPSALA LÄN</t>
        </is>
      </c>
      <c r="E1153" t="inlineStr">
        <is>
          <t>HEBY</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2182-2020</t>
        </is>
      </c>
      <c r="B1154" s="1" t="n">
        <v>43846</v>
      </c>
      <c r="C1154" s="1" t="n">
        <v>45705</v>
      </c>
      <c r="D1154" t="inlineStr">
        <is>
          <t>UPPSALA LÄN</t>
        </is>
      </c>
      <c r="E1154" t="inlineStr">
        <is>
          <t>ENKÖPING</t>
        </is>
      </c>
      <c r="F1154" t="inlineStr">
        <is>
          <t>Övriga statliga verk och myndigheter</t>
        </is>
      </c>
      <c r="G1154" t="n">
        <v>7.7</v>
      </c>
      <c r="H1154" t="n">
        <v>0</v>
      </c>
      <c r="I1154" t="n">
        <v>0</v>
      </c>
      <c r="J1154" t="n">
        <v>0</v>
      </c>
      <c r="K1154" t="n">
        <v>0</v>
      </c>
      <c r="L1154" t="n">
        <v>0</v>
      </c>
      <c r="M1154" t="n">
        <v>0</v>
      </c>
      <c r="N1154" t="n">
        <v>0</v>
      </c>
      <c r="O1154" t="n">
        <v>0</v>
      </c>
      <c r="P1154" t="n">
        <v>0</v>
      </c>
      <c r="Q1154" t="n">
        <v>0</v>
      </c>
      <c r="R1154" s="2" t="inlineStr"/>
    </row>
    <row r="1155" ht="15" customHeight="1">
      <c r="A1155" t="inlineStr">
        <is>
          <t>A 2205-2020</t>
        </is>
      </c>
      <c r="B1155" s="1" t="n">
        <v>43846</v>
      </c>
      <c r="C1155" s="1" t="n">
        <v>45705</v>
      </c>
      <c r="D1155" t="inlineStr">
        <is>
          <t>UPPSALA LÄN</t>
        </is>
      </c>
      <c r="E1155" t="inlineStr">
        <is>
          <t>ENKÖPING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2162-2020</t>
        </is>
      </c>
      <c r="B1156" s="1" t="n">
        <v>43846</v>
      </c>
      <c r="C1156" s="1" t="n">
        <v>45705</v>
      </c>
      <c r="D1156" t="inlineStr">
        <is>
          <t>UPPSALA LÄN</t>
        </is>
      </c>
      <c r="E1156" t="inlineStr">
        <is>
          <t>UPPSALA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2177-2020</t>
        </is>
      </c>
      <c r="B1157" s="1" t="n">
        <v>43846</v>
      </c>
      <c r="C1157" s="1" t="n">
        <v>45705</v>
      </c>
      <c r="D1157" t="inlineStr">
        <is>
          <t>UPPSALA LÄN</t>
        </is>
      </c>
      <c r="E1157" t="inlineStr">
        <is>
          <t>ENKÖPING</t>
        </is>
      </c>
      <c r="F1157" t="inlineStr">
        <is>
          <t>Övriga statliga verk och myndigheter</t>
        </is>
      </c>
      <c r="G1157" t="n">
        <v>10.2</v>
      </c>
      <c r="H1157" t="n">
        <v>0</v>
      </c>
      <c r="I1157" t="n">
        <v>0</v>
      </c>
      <c r="J1157" t="n">
        <v>0</v>
      </c>
      <c r="K1157" t="n">
        <v>0</v>
      </c>
      <c r="L1157" t="n">
        <v>0</v>
      </c>
      <c r="M1157" t="n">
        <v>0</v>
      </c>
      <c r="N1157" t="n">
        <v>0</v>
      </c>
      <c r="O1157" t="n">
        <v>0</v>
      </c>
      <c r="P1157" t="n">
        <v>0</v>
      </c>
      <c r="Q1157" t="n">
        <v>0</v>
      </c>
      <c r="R1157" s="2" t="inlineStr"/>
    </row>
    <row r="1158" ht="15" customHeight="1">
      <c r="A1158" t="inlineStr">
        <is>
          <t>A 2220-2020</t>
        </is>
      </c>
      <c r="B1158" s="1" t="n">
        <v>43846</v>
      </c>
      <c r="C1158" s="1" t="n">
        <v>45705</v>
      </c>
      <c r="D1158" t="inlineStr">
        <is>
          <t>UPPSALA LÄN</t>
        </is>
      </c>
      <c r="E1158" t="inlineStr">
        <is>
          <t>ENKÖPING</t>
        </is>
      </c>
      <c r="F1158" t="inlineStr">
        <is>
          <t>Övriga statliga verk och myndigheter</t>
        </is>
      </c>
      <c r="G1158" t="n">
        <v>11.8</v>
      </c>
      <c r="H1158" t="n">
        <v>0</v>
      </c>
      <c r="I1158" t="n">
        <v>0</v>
      </c>
      <c r="J1158" t="n">
        <v>0</v>
      </c>
      <c r="K1158" t="n">
        <v>0</v>
      </c>
      <c r="L1158" t="n">
        <v>0</v>
      </c>
      <c r="M1158" t="n">
        <v>0</v>
      </c>
      <c r="N1158" t="n">
        <v>0</v>
      </c>
      <c r="O1158" t="n">
        <v>0</v>
      </c>
      <c r="P1158" t="n">
        <v>0</v>
      </c>
      <c r="Q1158" t="n">
        <v>0</v>
      </c>
      <c r="R1158" s="2" t="inlineStr"/>
    </row>
    <row r="1159" ht="15" customHeight="1">
      <c r="A1159" t="inlineStr">
        <is>
          <t>A 2186-2020</t>
        </is>
      </c>
      <c r="B1159" s="1" t="n">
        <v>43846</v>
      </c>
      <c r="C1159" s="1" t="n">
        <v>45705</v>
      </c>
      <c r="D1159" t="inlineStr">
        <is>
          <t>UPPSALA LÄN</t>
        </is>
      </c>
      <c r="E1159" t="inlineStr">
        <is>
          <t>ENKÖPING</t>
        </is>
      </c>
      <c r="F1159" t="inlineStr">
        <is>
          <t>Övriga statliga verk och myndigheter</t>
        </is>
      </c>
      <c r="G1159" t="n">
        <v>12.3</v>
      </c>
      <c r="H1159" t="n">
        <v>0</v>
      </c>
      <c r="I1159" t="n">
        <v>0</v>
      </c>
      <c r="J1159" t="n">
        <v>0</v>
      </c>
      <c r="K1159" t="n">
        <v>0</v>
      </c>
      <c r="L1159" t="n">
        <v>0</v>
      </c>
      <c r="M1159" t="n">
        <v>0</v>
      </c>
      <c r="N1159" t="n">
        <v>0</v>
      </c>
      <c r="O1159" t="n">
        <v>0</v>
      </c>
      <c r="P1159" t="n">
        <v>0</v>
      </c>
      <c r="Q1159" t="n">
        <v>0</v>
      </c>
      <c r="R1159" s="2" t="inlineStr"/>
    </row>
    <row r="1160" ht="15" customHeight="1">
      <c r="A1160" t="inlineStr">
        <is>
          <t>A 2225-2020</t>
        </is>
      </c>
      <c r="B1160" s="1" t="n">
        <v>43846</v>
      </c>
      <c r="C1160" s="1" t="n">
        <v>45705</v>
      </c>
      <c r="D1160" t="inlineStr">
        <is>
          <t>UPPSALA LÄN</t>
        </is>
      </c>
      <c r="E1160" t="inlineStr">
        <is>
          <t>ENKÖPING</t>
        </is>
      </c>
      <c r="F1160" t="inlineStr">
        <is>
          <t>Övriga statliga verk och myndigheter</t>
        </is>
      </c>
      <c r="G1160" t="n">
        <v>5.2</v>
      </c>
      <c r="H1160" t="n">
        <v>0</v>
      </c>
      <c r="I1160" t="n">
        <v>0</v>
      </c>
      <c r="J1160" t="n">
        <v>0</v>
      </c>
      <c r="K1160" t="n">
        <v>0</v>
      </c>
      <c r="L1160" t="n">
        <v>0</v>
      </c>
      <c r="M1160" t="n">
        <v>0</v>
      </c>
      <c r="N1160" t="n">
        <v>0</v>
      </c>
      <c r="O1160" t="n">
        <v>0</v>
      </c>
      <c r="P1160" t="n">
        <v>0</v>
      </c>
      <c r="Q1160" t="n">
        <v>0</v>
      </c>
      <c r="R1160" s="2" t="inlineStr"/>
    </row>
    <row r="1161" ht="15" customHeight="1">
      <c r="A1161" t="inlineStr">
        <is>
          <t>A 2306-2020</t>
        </is>
      </c>
      <c r="B1161" s="1" t="n">
        <v>43846</v>
      </c>
      <c r="C1161" s="1" t="n">
        <v>45705</v>
      </c>
      <c r="D1161" t="inlineStr">
        <is>
          <t>UPPSALA LÄN</t>
        </is>
      </c>
      <c r="E1161" t="inlineStr">
        <is>
          <t>HEBY</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2315-2020</t>
        </is>
      </c>
      <c r="B1162" s="1" t="n">
        <v>43846</v>
      </c>
      <c r="C1162" s="1" t="n">
        <v>45705</v>
      </c>
      <c r="D1162" t="inlineStr">
        <is>
          <t>UPPSALA LÄN</t>
        </is>
      </c>
      <c r="E1162" t="inlineStr">
        <is>
          <t>HEBY</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2217-2020</t>
        </is>
      </c>
      <c r="B1163" s="1" t="n">
        <v>43846</v>
      </c>
      <c r="C1163" s="1" t="n">
        <v>45705</v>
      </c>
      <c r="D1163" t="inlineStr">
        <is>
          <t>UPPSALA LÄN</t>
        </is>
      </c>
      <c r="E1163" t="inlineStr">
        <is>
          <t>ENKÖPING</t>
        </is>
      </c>
      <c r="F1163" t="inlineStr">
        <is>
          <t>Övriga statliga verk och myndigheter</t>
        </is>
      </c>
      <c r="G1163" t="n">
        <v>7.7</v>
      </c>
      <c r="H1163" t="n">
        <v>0</v>
      </c>
      <c r="I1163" t="n">
        <v>0</v>
      </c>
      <c r="J1163" t="n">
        <v>0</v>
      </c>
      <c r="K1163" t="n">
        <v>0</v>
      </c>
      <c r="L1163" t="n">
        <v>0</v>
      </c>
      <c r="M1163" t="n">
        <v>0</v>
      </c>
      <c r="N1163" t="n">
        <v>0</v>
      </c>
      <c r="O1163" t="n">
        <v>0</v>
      </c>
      <c r="P1163" t="n">
        <v>0</v>
      </c>
      <c r="Q1163" t="n">
        <v>0</v>
      </c>
      <c r="R1163" s="2" t="inlineStr"/>
    </row>
    <row r="1164" ht="15" customHeight="1">
      <c r="A1164" t="inlineStr">
        <is>
          <t>A 2222-2020</t>
        </is>
      </c>
      <c r="B1164" s="1" t="n">
        <v>43846</v>
      </c>
      <c r="C1164" s="1" t="n">
        <v>45705</v>
      </c>
      <c r="D1164" t="inlineStr">
        <is>
          <t>UPPSALA LÄN</t>
        </is>
      </c>
      <c r="E1164" t="inlineStr">
        <is>
          <t>ENKÖPING</t>
        </is>
      </c>
      <c r="F1164" t="inlineStr">
        <is>
          <t>Övriga statliga verk och myndigheter</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2499-2020</t>
        </is>
      </c>
      <c r="B1165" s="1" t="n">
        <v>43847</v>
      </c>
      <c r="C1165" s="1" t="n">
        <v>45705</v>
      </c>
      <c r="D1165" t="inlineStr">
        <is>
          <t>UPPSALA LÄN</t>
        </is>
      </c>
      <c r="E1165" t="inlineStr">
        <is>
          <t>HEBY</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4265-2020</t>
        </is>
      </c>
      <c r="B1166" s="1" t="n">
        <v>43847</v>
      </c>
      <c r="C1166" s="1" t="n">
        <v>45705</v>
      </c>
      <c r="D1166" t="inlineStr">
        <is>
          <t>UPPSALA LÄN</t>
        </is>
      </c>
      <c r="E1166" t="inlineStr">
        <is>
          <t>HÅBO</t>
        </is>
      </c>
      <c r="F1166" t="inlineStr">
        <is>
          <t>Övriga statliga verk och myndigheter</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2663-2020</t>
        </is>
      </c>
      <c r="B1167" s="1" t="n">
        <v>43849</v>
      </c>
      <c r="C1167" s="1" t="n">
        <v>45705</v>
      </c>
      <c r="D1167" t="inlineStr">
        <is>
          <t>UPPSALA LÄN</t>
        </is>
      </c>
      <c r="E1167" t="inlineStr">
        <is>
          <t>KNIVSTA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2895-2020</t>
        </is>
      </c>
      <c r="B1168" s="1" t="n">
        <v>43850</v>
      </c>
      <c r="C1168" s="1" t="n">
        <v>45705</v>
      </c>
      <c r="D1168" t="inlineStr">
        <is>
          <t>UPPSALA LÄN</t>
        </is>
      </c>
      <c r="E1168" t="inlineStr">
        <is>
          <t>UPPSALA</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4473-2020</t>
        </is>
      </c>
      <c r="B1169" s="1" t="n">
        <v>43850</v>
      </c>
      <c r="C1169" s="1" t="n">
        <v>45705</v>
      </c>
      <c r="D1169" t="inlineStr">
        <is>
          <t>UPPSALA LÄN</t>
        </is>
      </c>
      <c r="E1169" t="inlineStr">
        <is>
          <t>ÖSTHAMMAR</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3276-2020</t>
        </is>
      </c>
      <c r="B1170" s="1" t="n">
        <v>43852</v>
      </c>
      <c r="C1170" s="1" t="n">
        <v>45705</v>
      </c>
      <c r="D1170" t="inlineStr">
        <is>
          <t>UPPSALA LÄN</t>
        </is>
      </c>
      <c r="E1170" t="inlineStr">
        <is>
          <t>HEBY</t>
        </is>
      </c>
      <c r="F1170" t="inlineStr">
        <is>
          <t>Bergvik skog väst AB</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3242-2020</t>
        </is>
      </c>
      <c r="B1171" s="1" t="n">
        <v>43852</v>
      </c>
      <c r="C1171" s="1" t="n">
        <v>45705</v>
      </c>
      <c r="D1171" t="inlineStr">
        <is>
          <t>UPPSALA LÄN</t>
        </is>
      </c>
      <c r="E1171" t="inlineStr">
        <is>
          <t>HEBY</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3334-2020</t>
        </is>
      </c>
      <c r="B1172" s="1" t="n">
        <v>43852</v>
      </c>
      <c r="C1172" s="1" t="n">
        <v>45705</v>
      </c>
      <c r="D1172" t="inlineStr">
        <is>
          <t>UPPSALA LÄN</t>
        </is>
      </c>
      <c r="E1172" t="inlineStr">
        <is>
          <t>ÖSTHAMMAR</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3522-2020</t>
        </is>
      </c>
      <c r="B1173" s="1" t="n">
        <v>43853</v>
      </c>
      <c r="C1173" s="1" t="n">
        <v>45705</v>
      </c>
      <c r="D1173" t="inlineStr">
        <is>
          <t>UPPSALA LÄN</t>
        </is>
      </c>
      <c r="E1173" t="inlineStr">
        <is>
          <t>TIERP</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3693-2020</t>
        </is>
      </c>
      <c r="B1174" s="1" t="n">
        <v>43853</v>
      </c>
      <c r="C1174" s="1" t="n">
        <v>45705</v>
      </c>
      <c r="D1174" t="inlineStr">
        <is>
          <t>UPPSALA LÄN</t>
        </is>
      </c>
      <c r="E1174" t="inlineStr">
        <is>
          <t>UPPSALA</t>
        </is>
      </c>
      <c r="F1174" t="inlineStr">
        <is>
          <t>Bergvik skog öst AB</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3734-2020</t>
        </is>
      </c>
      <c r="B1175" s="1" t="n">
        <v>43853</v>
      </c>
      <c r="C1175" s="1" t="n">
        <v>45705</v>
      </c>
      <c r="D1175" t="inlineStr">
        <is>
          <t>UPPSALA LÄN</t>
        </is>
      </c>
      <c r="E1175" t="inlineStr">
        <is>
          <t>TIERP</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3516-2020</t>
        </is>
      </c>
      <c r="B1176" s="1" t="n">
        <v>43853</v>
      </c>
      <c r="C1176" s="1" t="n">
        <v>45705</v>
      </c>
      <c r="D1176" t="inlineStr">
        <is>
          <t>UPPSALA LÄN</t>
        </is>
      </c>
      <c r="E1176" t="inlineStr">
        <is>
          <t>UPPSALA</t>
        </is>
      </c>
      <c r="G1176" t="n">
        <v>9.4</v>
      </c>
      <c r="H1176" t="n">
        <v>0</v>
      </c>
      <c r="I1176" t="n">
        <v>0</v>
      </c>
      <c r="J1176" t="n">
        <v>0</v>
      </c>
      <c r="K1176" t="n">
        <v>0</v>
      </c>
      <c r="L1176" t="n">
        <v>0</v>
      </c>
      <c r="M1176" t="n">
        <v>0</v>
      </c>
      <c r="N1176" t="n">
        <v>0</v>
      </c>
      <c r="O1176" t="n">
        <v>0</v>
      </c>
      <c r="P1176" t="n">
        <v>0</v>
      </c>
      <c r="Q1176" t="n">
        <v>0</v>
      </c>
      <c r="R1176" s="2" t="inlineStr"/>
    </row>
    <row r="1177" ht="15" customHeight="1">
      <c r="A1177" t="inlineStr">
        <is>
          <t>A 3984-2020</t>
        </is>
      </c>
      <c r="B1177" s="1" t="n">
        <v>43855</v>
      </c>
      <c r="C1177" s="1" t="n">
        <v>45705</v>
      </c>
      <c r="D1177" t="inlineStr">
        <is>
          <t>UPPSALA LÄN</t>
        </is>
      </c>
      <c r="E1177" t="inlineStr">
        <is>
          <t>ÖSTHAMMAR</t>
        </is>
      </c>
      <c r="F1177" t="inlineStr">
        <is>
          <t>Bergvik skog öst AB</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4073-2020</t>
        </is>
      </c>
      <c r="B1178" s="1" t="n">
        <v>43857</v>
      </c>
      <c r="C1178" s="1" t="n">
        <v>45705</v>
      </c>
      <c r="D1178" t="inlineStr">
        <is>
          <t>UPPSALA LÄN</t>
        </is>
      </c>
      <c r="E1178" t="inlineStr">
        <is>
          <t>ENKÖPING</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4549-2020</t>
        </is>
      </c>
      <c r="B1179" s="1" t="n">
        <v>43858</v>
      </c>
      <c r="C1179" s="1" t="n">
        <v>45705</v>
      </c>
      <c r="D1179" t="inlineStr">
        <is>
          <t>UPPSALA LÄN</t>
        </is>
      </c>
      <c r="E1179" t="inlineStr">
        <is>
          <t>HEBY</t>
        </is>
      </c>
      <c r="F1179" t="inlineStr">
        <is>
          <t>Kyrkan</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4567-2020</t>
        </is>
      </c>
      <c r="B1180" s="1" t="n">
        <v>43858</v>
      </c>
      <c r="C1180" s="1" t="n">
        <v>45705</v>
      </c>
      <c r="D1180" t="inlineStr">
        <is>
          <t>UPPSALA LÄN</t>
        </is>
      </c>
      <c r="E1180" t="inlineStr">
        <is>
          <t>KNIVSTA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4899-2020</t>
        </is>
      </c>
      <c r="B1181" s="1" t="n">
        <v>43859</v>
      </c>
      <c r="C1181" s="1" t="n">
        <v>45705</v>
      </c>
      <c r="D1181" t="inlineStr">
        <is>
          <t>UPPSALA LÄN</t>
        </is>
      </c>
      <c r="E1181" t="inlineStr">
        <is>
          <t>TIERP</t>
        </is>
      </c>
      <c r="F1181" t="inlineStr">
        <is>
          <t>Bergvik skog väst AB</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5032-2020</t>
        </is>
      </c>
      <c r="B1182" s="1" t="n">
        <v>43859</v>
      </c>
      <c r="C1182" s="1" t="n">
        <v>45705</v>
      </c>
      <c r="D1182" t="inlineStr">
        <is>
          <t>UPPSALA LÄN</t>
        </is>
      </c>
      <c r="E1182" t="inlineStr">
        <is>
          <t>ENKÖPING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5048-2020</t>
        </is>
      </c>
      <c r="B1183" s="1" t="n">
        <v>43859</v>
      </c>
      <c r="C1183" s="1" t="n">
        <v>45705</v>
      </c>
      <c r="D1183" t="inlineStr">
        <is>
          <t>UPPSALA LÄN</t>
        </is>
      </c>
      <c r="E1183" t="inlineStr">
        <is>
          <t>TIERP</t>
        </is>
      </c>
      <c r="F1183" t="inlineStr">
        <is>
          <t>Bergvik skog öst AB</t>
        </is>
      </c>
      <c r="G1183" t="n">
        <v>6.3</v>
      </c>
      <c r="H1183" t="n">
        <v>0</v>
      </c>
      <c r="I1183" t="n">
        <v>0</v>
      </c>
      <c r="J1183" t="n">
        <v>0</v>
      </c>
      <c r="K1183" t="n">
        <v>0</v>
      </c>
      <c r="L1183" t="n">
        <v>0</v>
      </c>
      <c r="M1183" t="n">
        <v>0</v>
      </c>
      <c r="N1183" t="n">
        <v>0</v>
      </c>
      <c r="O1183" t="n">
        <v>0</v>
      </c>
      <c r="P1183" t="n">
        <v>0</v>
      </c>
      <c r="Q1183" t="n">
        <v>0</v>
      </c>
      <c r="R1183" s="2" t="inlineStr"/>
    </row>
    <row r="1184" ht="15" customHeight="1">
      <c r="A1184" t="inlineStr">
        <is>
          <t>A 5395-2020</t>
        </is>
      </c>
      <c r="B1184" s="1" t="n">
        <v>43860</v>
      </c>
      <c r="C1184" s="1" t="n">
        <v>45705</v>
      </c>
      <c r="D1184" t="inlineStr">
        <is>
          <t>UPPSALA LÄN</t>
        </is>
      </c>
      <c r="E1184" t="inlineStr">
        <is>
          <t>HEBY</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5345-2020</t>
        </is>
      </c>
      <c r="B1185" s="1" t="n">
        <v>43860</v>
      </c>
      <c r="C1185" s="1" t="n">
        <v>45705</v>
      </c>
      <c r="D1185" t="inlineStr">
        <is>
          <t>UPPSALA LÄN</t>
        </is>
      </c>
      <c r="E1185" t="inlineStr">
        <is>
          <t>ENKÖPING</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5178-2020</t>
        </is>
      </c>
      <c r="B1186" s="1" t="n">
        <v>43860</v>
      </c>
      <c r="C1186" s="1" t="n">
        <v>45705</v>
      </c>
      <c r="D1186" t="inlineStr">
        <is>
          <t>UPPSALA LÄN</t>
        </is>
      </c>
      <c r="E1186" t="inlineStr">
        <is>
          <t>ENKÖPING</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5511-2020</t>
        </is>
      </c>
      <c r="B1187" s="1" t="n">
        <v>43861</v>
      </c>
      <c r="C1187" s="1" t="n">
        <v>45705</v>
      </c>
      <c r="D1187" t="inlineStr">
        <is>
          <t>UPPSALA LÄN</t>
        </is>
      </c>
      <c r="E1187" t="inlineStr">
        <is>
          <t>ÄLVKARLEBY</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5539-2020</t>
        </is>
      </c>
      <c r="B1188" s="1" t="n">
        <v>43861</v>
      </c>
      <c r="C1188" s="1" t="n">
        <v>45705</v>
      </c>
      <c r="D1188" t="inlineStr">
        <is>
          <t>UPPSALA LÄN</t>
        </is>
      </c>
      <c r="E1188" t="inlineStr">
        <is>
          <t>HEBY</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5740-2020</t>
        </is>
      </c>
      <c r="B1189" s="1" t="n">
        <v>43863</v>
      </c>
      <c r="C1189" s="1" t="n">
        <v>45705</v>
      </c>
      <c r="D1189" t="inlineStr">
        <is>
          <t>UPPSALA LÄN</t>
        </is>
      </c>
      <c r="E1189" t="inlineStr">
        <is>
          <t>HEBY</t>
        </is>
      </c>
      <c r="G1189" t="n">
        <v>5.9</v>
      </c>
      <c r="H1189" t="n">
        <v>0</v>
      </c>
      <c r="I1189" t="n">
        <v>0</v>
      </c>
      <c r="J1189" t="n">
        <v>0</v>
      </c>
      <c r="K1189" t="n">
        <v>0</v>
      </c>
      <c r="L1189" t="n">
        <v>0</v>
      </c>
      <c r="M1189" t="n">
        <v>0</v>
      </c>
      <c r="N1189" t="n">
        <v>0</v>
      </c>
      <c r="O1189" t="n">
        <v>0</v>
      </c>
      <c r="P1189" t="n">
        <v>0</v>
      </c>
      <c r="Q1189" t="n">
        <v>0</v>
      </c>
      <c r="R1189" s="2" t="inlineStr"/>
    </row>
    <row r="1190" ht="15" customHeight="1">
      <c r="A1190" t="inlineStr">
        <is>
          <t>A 5774-2020</t>
        </is>
      </c>
      <c r="B1190" s="1" t="n">
        <v>43864</v>
      </c>
      <c r="C1190" s="1" t="n">
        <v>45705</v>
      </c>
      <c r="D1190" t="inlineStr">
        <is>
          <t>UPPSALA LÄN</t>
        </is>
      </c>
      <c r="E1190" t="inlineStr">
        <is>
          <t>HEBY</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6052-2020</t>
        </is>
      </c>
      <c r="B1191" s="1" t="n">
        <v>43864</v>
      </c>
      <c r="C1191" s="1" t="n">
        <v>45705</v>
      </c>
      <c r="D1191" t="inlineStr">
        <is>
          <t>UPPSALA LÄN</t>
        </is>
      </c>
      <c r="E1191" t="inlineStr">
        <is>
          <t>ÖSTHAMMAR</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5759-2020</t>
        </is>
      </c>
      <c r="B1192" s="1" t="n">
        <v>43864</v>
      </c>
      <c r="C1192" s="1" t="n">
        <v>45705</v>
      </c>
      <c r="D1192" t="inlineStr">
        <is>
          <t>UPPSALA LÄN</t>
        </is>
      </c>
      <c r="E1192" t="inlineStr">
        <is>
          <t>HEBY</t>
        </is>
      </c>
      <c r="F1192" t="inlineStr">
        <is>
          <t>Övriga Aktiebolag</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6026-2020</t>
        </is>
      </c>
      <c r="B1193" s="1" t="n">
        <v>43865</v>
      </c>
      <c r="C1193" s="1" t="n">
        <v>45705</v>
      </c>
      <c r="D1193" t="inlineStr">
        <is>
          <t>UPPSALA LÄN</t>
        </is>
      </c>
      <c r="E1193" t="inlineStr">
        <is>
          <t>ÖSTHAMMAR</t>
        </is>
      </c>
      <c r="F1193" t="inlineStr">
        <is>
          <t>Övriga Aktiebolag</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6045-2020</t>
        </is>
      </c>
      <c r="B1194" s="1" t="n">
        <v>43865</v>
      </c>
      <c r="C1194" s="1" t="n">
        <v>45705</v>
      </c>
      <c r="D1194" t="inlineStr">
        <is>
          <t>UPPSALA LÄN</t>
        </is>
      </c>
      <c r="E1194" t="inlineStr">
        <is>
          <t>ENKÖPING</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6313-2020</t>
        </is>
      </c>
      <c r="B1195" s="1" t="n">
        <v>43866</v>
      </c>
      <c r="C1195" s="1" t="n">
        <v>45705</v>
      </c>
      <c r="D1195" t="inlineStr">
        <is>
          <t>UPPSALA LÄN</t>
        </is>
      </c>
      <c r="E1195" t="inlineStr">
        <is>
          <t>UPPSALA</t>
        </is>
      </c>
      <c r="F1195" t="inlineStr">
        <is>
          <t>Övriga statliga verk och myndigheter</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6315-2020</t>
        </is>
      </c>
      <c r="B1196" s="1" t="n">
        <v>43866</v>
      </c>
      <c r="C1196" s="1" t="n">
        <v>45705</v>
      </c>
      <c r="D1196" t="inlineStr">
        <is>
          <t>UPPSALA LÄN</t>
        </is>
      </c>
      <c r="E1196" t="inlineStr">
        <is>
          <t>UPPSALA</t>
        </is>
      </c>
      <c r="F1196" t="inlineStr">
        <is>
          <t>Övriga statliga verk och myndigheter</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6320-2020</t>
        </is>
      </c>
      <c r="B1197" s="1" t="n">
        <v>43866</v>
      </c>
      <c r="C1197" s="1" t="n">
        <v>45705</v>
      </c>
      <c r="D1197" t="inlineStr">
        <is>
          <t>UPPSALA LÄN</t>
        </is>
      </c>
      <c r="E1197" t="inlineStr">
        <is>
          <t>ENKÖPING</t>
        </is>
      </c>
      <c r="F1197" t="inlineStr">
        <is>
          <t>Övriga statliga verk och myndigheter</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6345-2020</t>
        </is>
      </c>
      <c r="B1198" s="1" t="n">
        <v>43866</v>
      </c>
      <c r="C1198" s="1" t="n">
        <v>45705</v>
      </c>
      <c r="D1198" t="inlineStr">
        <is>
          <t>UPPSALA LÄN</t>
        </is>
      </c>
      <c r="E1198" t="inlineStr">
        <is>
          <t>ENKÖPING</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6754-2020</t>
        </is>
      </c>
      <c r="B1199" s="1" t="n">
        <v>43866</v>
      </c>
      <c r="C1199" s="1" t="n">
        <v>45705</v>
      </c>
      <c r="D1199" t="inlineStr">
        <is>
          <t>UPPSALA LÄN</t>
        </is>
      </c>
      <c r="E1199" t="inlineStr">
        <is>
          <t>HEBY</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6700-2020</t>
        </is>
      </c>
      <c r="B1200" s="1" t="n">
        <v>43866</v>
      </c>
      <c r="C1200" s="1" t="n">
        <v>45705</v>
      </c>
      <c r="D1200" t="inlineStr">
        <is>
          <t>UPPSALA LÄN</t>
        </is>
      </c>
      <c r="E1200" t="inlineStr">
        <is>
          <t>ENKÖPING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6434-2020</t>
        </is>
      </c>
      <c r="B1201" s="1" t="n">
        <v>43866</v>
      </c>
      <c r="C1201" s="1" t="n">
        <v>45705</v>
      </c>
      <c r="D1201" t="inlineStr">
        <is>
          <t>UPPSALA LÄN</t>
        </is>
      </c>
      <c r="E1201" t="inlineStr">
        <is>
          <t>ENKÖPING</t>
        </is>
      </c>
      <c r="G1201" t="n">
        <v>8.4</v>
      </c>
      <c r="H1201" t="n">
        <v>0</v>
      </c>
      <c r="I1201" t="n">
        <v>0</v>
      </c>
      <c r="J1201" t="n">
        <v>0</v>
      </c>
      <c r="K1201" t="n">
        <v>0</v>
      </c>
      <c r="L1201" t="n">
        <v>0</v>
      </c>
      <c r="M1201" t="n">
        <v>0</v>
      </c>
      <c r="N1201" t="n">
        <v>0</v>
      </c>
      <c r="O1201" t="n">
        <v>0</v>
      </c>
      <c r="P1201" t="n">
        <v>0</v>
      </c>
      <c r="Q1201" t="n">
        <v>0</v>
      </c>
      <c r="R1201" s="2" t="inlineStr"/>
    </row>
    <row r="1202" ht="15" customHeight="1">
      <c r="A1202" t="inlineStr">
        <is>
          <t>A 6536-2020</t>
        </is>
      </c>
      <c r="B1202" s="1" t="n">
        <v>43867</v>
      </c>
      <c r="C1202" s="1" t="n">
        <v>45705</v>
      </c>
      <c r="D1202" t="inlineStr">
        <is>
          <t>UPPSALA LÄN</t>
        </is>
      </c>
      <c r="E1202" t="inlineStr">
        <is>
          <t>HEBY</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6676-2020</t>
        </is>
      </c>
      <c r="B1203" s="1" t="n">
        <v>43867</v>
      </c>
      <c r="C1203" s="1" t="n">
        <v>45705</v>
      </c>
      <c r="D1203" t="inlineStr">
        <is>
          <t>UPPSALA LÄN</t>
        </is>
      </c>
      <c r="E1203" t="inlineStr">
        <is>
          <t>HEBY</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6791-2020</t>
        </is>
      </c>
      <c r="B1204" s="1" t="n">
        <v>43867</v>
      </c>
      <c r="C1204" s="1" t="n">
        <v>45705</v>
      </c>
      <c r="D1204" t="inlineStr">
        <is>
          <t>UPPSALA LÄN</t>
        </is>
      </c>
      <c r="E1204" t="inlineStr">
        <is>
          <t>ÖSTHAMMAR</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6655-2020</t>
        </is>
      </c>
      <c r="B1205" s="1" t="n">
        <v>43867</v>
      </c>
      <c r="C1205" s="1" t="n">
        <v>45705</v>
      </c>
      <c r="D1205" t="inlineStr">
        <is>
          <t>UPPSALA LÄN</t>
        </is>
      </c>
      <c r="E1205" t="inlineStr">
        <is>
          <t>UPPSALA</t>
        </is>
      </c>
      <c r="G1205" t="n">
        <v>7.3</v>
      </c>
      <c r="H1205" t="n">
        <v>0</v>
      </c>
      <c r="I1205" t="n">
        <v>0</v>
      </c>
      <c r="J1205" t="n">
        <v>0</v>
      </c>
      <c r="K1205" t="n">
        <v>0</v>
      </c>
      <c r="L1205" t="n">
        <v>0</v>
      </c>
      <c r="M1205" t="n">
        <v>0</v>
      </c>
      <c r="N1205" t="n">
        <v>0</v>
      </c>
      <c r="O1205" t="n">
        <v>0</v>
      </c>
      <c r="P1205" t="n">
        <v>0</v>
      </c>
      <c r="Q1205" t="n">
        <v>0</v>
      </c>
      <c r="R1205" s="2" t="inlineStr"/>
    </row>
    <row r="1206" ht="15" customHeight="1">
      <c r="A1206" t="inlineStr">
        <is>
          <t>A 6990-2020</t>
        </is>
      </c>
      <c r="B1206" s="1" t="n">
        <v>43868</v>
      </c>
      <c r="C1206" s="1" t="n">
        <v>45705</v>
      </c>
      <c r="D1206" t="inlineStr">
        <is>
          <t>UPPSALA LÄN</t>
        </is>
      </c>
      <c r="E1206" t="inlineStr">
        <is>
          <t>ENKÖPING</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7329-2020</t>
        </is>
      </c>
      <c r="B1207" s="1" t="n">
        <v>43871</v>
      </c>
      <c r="C1207" s="1" t="n">
        <v>45705</v>
      </c>
      <c r="D1207" t="inlineStr">
        <is>
          <t>UPPSALA LÄN</t>
        </is>
      </c>
      <c r="E1207" t="inlineStr">
        <is>
          <t>HEBY</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7397-2020</t>
        </is>
      </c>
      <c r="B1208" s="1" t="n">
        <v>43871</v>
      </c>
      <c r="C1208" s="1" t="n">
        <v>45705</v>
      </c>
      <c r="D1208" t="inlineStr">
        <is>
          <t>UPPSALA LÄN</t>
        </is>
      </c>
      <c r="E1208" t="inlineStr">
        <is>
          <t>HEBY</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7847-2020</t>
        </is>
      </c>
      <c r="B1209" s="1" t="n">
        <v>43873</v>
      </c>
      <c r="C1209" s="1" t="n">
        <v>45705</v>
      </c>
      <c r="D1209" t="inlineStr">
        <is>
          <t>UPPSALA LÄN</t>
        </is>
      </c>
      <c r="E1209" t="inlineStr">
        <is>
          <t>ÖSTHAMMAR</t>
        </is>
      </c>
      <c r="F1209" t="inlineStr">
        <is>
          <t>Övriga Aktiebolag</t>
        </is>
      </c>
      <c r="G1209" t="n">
        <v>15.3</v>
      </c>
      <c r="H1209" t="n">
        <v>0</v>
      </c>
      <c r="I1209" t="n">
        <v>0</v>
      </c>
      <c r="J1209" t="n">
        <v>0</v>
      </c>
      <c r="K1209" t="n">
        <v>0</v>
      </c>
      <c r="L1209" t="n">
        <v>0</v>
      </c>
      <c r="M1209" t="n">
        <v>0</v>
      </c>
      <c r="N1209" t="n">
        <v>0</v>
      </c>
      <c r="O1209" t="n">
        <v>0</v>
      </c>
      <c r="P1209" t="n">
        <v>0</v>
      </c>
      <c r="Q1209" t="n">
        <v>0</v>
      </c>
      <c r="R1209" s="2" t="inlineStr"/>
    </row>
    <row r="1210" ht="15" customHeight="1">
      <c r="A1210" t="inlineStr">
        <is>
          <t>A 8185-2020</t>
        </is>
      </c>
      <c r="B1210" s="1" t="n">
        <v>43874</v>
      </c>
      <c r="C1210" s="1" t="n">
        <v>45705</v>
      </c>
      <c r="D1210" t="inlineStr">
        <is>
          <t>UPPSALA LÄN</t>
        </is>
      </c>
      <c r="E1210" t="inlineStr">
        <is>
          <t>ENKÖPING</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8214-2020</t>
        </is>
      </c>
      <c r="B1211" s="1" t="n">
        <v>43874</v>
      </c>
      <c r="C1211" s="1" t="n">
        <v>45705</v>
      </c>
      <c r="D1211" t="inlineStr">
        <is>
          <t>UPPSALA LÄN</t>
        </is>
      </c>
      <c r="E1211" t="inlineStr">
        <is>
          <t>TIERP</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8261-2020</t>
        </is>
      </c>
      <c r="B1212" s="1" t="n">
        <v>43874</v>
      </c>
      <c r="C1212" s="1" t="n">
        <v>45705</v>
      </c>
      <c r="D1212" t="inlineStr">
        <is>
          <t>UPPSALA LÄN</t>
        </is>
      </c>
      <c r="E1212" t="inlineStr">
        <is>
          <t>UPPSALA</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8320-2020</t>
        </is>
      </c>
      <c r="B1213" s="1" t="n">
        <v>43875</v>
      </c>
      <c r="C1213" s="1" t="n">
        <v>45705</v>
      </c>
      <c r="D1213" t="inlineStr">
        <is>
          <t>UPPSALA LÄN</t>
        </is>
      </c>
      <c r="E1213" t="inlineStr">
        <is>
          <t>ENKÖPING</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8344-2020</t>
        </is>
      </c>
      <c r="B1214" s="1" t="n">
        <v>43875</v>
      </c>
      <c r="C1214" s="1" t="n">
        <v>45705</v>
      </c>
      <c r="D1214" t="inlineStr">
        <is>
          <t>UPPSALA LÄN</t>
        </is>
      </c>
      <c r="E1214" t="inlineStr">
        <is>
          <t>ENKÖPING</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8703-2020</t>
        </is>
      </c>
      <c r="B1215" s="1" t="n">
        <v>43875</v>
      </c>
      <c r="C1215" s="1" t="n">
        <v>45705</v>
      </c>
      <c r="D1215" t="inlineStr">
        <is>
          <t>UPPSALA LÄN</t>
        </is>
      </c>
      <c r="E1215" t="inlineStr">
        <is>
          <t>TIERP</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8692-2020</t>
        </is>
      </c>
      <c r="B1216" s="1" t="n">
        <v>43878</v>
      </c>
      <c r="C1216" s="1" t="n">
        <v>45705</v>
      </c>
      <c r="D1216" t="inlineStr">
        <is>
          <t>UPPSALA LÄN</t>
        </is>
      </c>
      <c r="E1216" t="inlineStr">
        <is>
          <t>ENKÖPING</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8646-2020</t>
        </is>
      </c>
      <c r="B1217" s="1" t="n">
        <v>43878</v>
      </c>
      <c r="C1217" s="1" t="n">
        <v>45705</v>
      </c>
      <c r="D1217" t="inlineStr">
        <is>
          <t>UPPSALA LÄN</t>
        </is>
      </c>
      <c r="E1217" t="inlineStr">
        <is>
          <t>UPPSALA</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8700-2020</t>
        </is>
      </c>
      <c r="B1218" s="1" t="n">
        <v>43878</v>
      </c>
      <c r="C1218" s="1" t="n">
        <v>45705</v>
      </c>
      <c r="D1218" t="inlineStr">
        <is>
          <t>UPPSALA LÄN</t>
        </is>
      </c>
      <c r="E1218" t="inlineStr">
        <is>
          <t>ENKÖPING</t>
        </is>
      </c>
      <c r="F1218" t="inlineStr">
        <is>
          <t>Kyrkan</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8757-2020</t>
        </is>
      </c>
      <c r="B1219" s="1" t="n">
        <v>43878</v>
      </c>
      <c r="C1219" s="1" t="n">
        <v>45705</v>
      </c>
      <c r="D1219" t="inlineStr">
        <is>
          <t>UPPSALA LÄN</t>
        </is>
      </c>
      <c r="E1219" t="inlineStr">
        <is>
          <t>TIERP</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8902-2020</t>
        </is>
      </c>
      <c r="B1220" s="1" t="n">
        <v>43878</v>
      </c>
      <c r="C1220" s="1" t="n">
        <v>45705</v>
      </c>
      <c r="D1220" t="inlineStr">
        <is>
          <t>UPPSALA LÄN</t>
        </is>
      </c>
      <c r="E1220" t="inlineStr">
        <is>
          <t>UPPSALA</t>
        </is>
      </c>
      <c r="F1220" t="inlineStr">
        <is>
          <t>Kyrkan</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9011-2020</t>
        </is>
      </c>
      <c r="B1221" s="1" t="n">
        <v>43879</v>
      </c>
      <c r="C1221" s="1" t="n">
        <v>45705</v>
      </c>
      <c r="D1221" t="inlineStr">
        <is>
          <t>UPPSALA LÄN</t>
        </is>
      </c>
      <c r="E1221" t="inlineStr">
        <is>
          <t>UPPSALA</t>
        </is>
      </c>
      <c r="F1221" t="inlineStr">
        <is>
          <t>Övriga statliga verk och myndigheter</t>
        </is>
      </c>
      <c r="G1221" t="n">
        <v>9.699999999999999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9084-2020</t>
        </is>
      </c>
      <c r="B1222" s="1" t="n">
        <v>43879</v>
      </c>
      <c r="C1222" s="1" t="n">
        <v>45705</v>
      </c>
      <c r="D1222" t="inlineStr">
        <is>
          <t>UPPSALA LÄN</t>
        </is>
      </c>
      <c r="E1222" t="inlineStr">
        <is>
          <t>UPPSALA</t>
        </is>
      </c>
      <c r="F1222" t="inlineStr">
        <is>
          <t>Bergvik skog öst AB</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9122-2020</t>
        </is>
      </c>
      <c r="B1223" s="1" t="n">
        <v>43879</v>
      </c>
      <c r="C1223" s="1" t="n">
        <v>45705</v>
      </c>
      <c r="D1223" t="inlineStr">
        <is>
          <t>UPPSALA LÄN</t>
        </is>
      </c>
      <c r="E1223" t="inlineStr">
        <is>
          <t>ENKÖPING</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9257-2020</t>
        </is>
      </c>
      <c r="B1224" s="1" t="n">
        <v>43879</v>
      </c>
      <c r="C1224" s="1" t="n">
        <v>45705</v>
      </c>
      <c r="D1224" t="inlineStr">
        <is>
          <t>UPPSALA LÄN</t>
        </is>
      </c>
      <c r="E1224" t="inlineStr">
        <is>
          <t>UPPSALA</t>
        </is>
      </c>
      <c r="F1224" t="inlineStr">
        <is>
          <t>Bergvik skog öst AB</t>
        </is>
      </c>
      <c r="G1224" t="n">
        <v>5.8</v>
      </c>
      <c r="H1224" t="n">
        <v>0</v>
      </c>
      <c r="I1224" t="n">
        <v>0</v>
      </c>
      <c r="J1224" t="n">
        <v>0</v>
      </c>
      <c r="K1224" t="n">
        <v>0</v>
      </c>
      <c r="L1224" t="n">
        <v>0</v>
      </c>
      <c r="M1224" t="n">
        <v>0</v>
      </c>
      <c r="N1224" t="n">
        <v>0</v>
      </c>
      <c r="O1224" t="n">
        <v>0</v>
      </c>
      <c r="P1224" t="n">
        <v>0</v>
      </c>
      <c r="Q1224" t="n">
        <v>0</v>
      </c>
      <c r="R1224" s="2" t="inlineStr"/>
    </row>
    <row r="1225" ht="15" customHeight="1">
      <c r="A1225" t="inlineStr">
        <is>
          <t>A 9351-2020</t>
        </is>
      </c>
      <c r="B1225" s="1" t="n">
        <v>43880</v>
      </c>
      <c r="C1225" s="1" t="n">
        <v>45705</v>
      </c>
      <c r="D1225" t="inlineStr">
        <is>
          <t>UPPSALA LÄN</t>
        </is>
      </c>
      <c r="E1225" t="inlineStr">
        <is>
          <t>ENKÖPING</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9380-2020</t>
        </is>
      </c>
      <c r="B1226" s="1" t="n">
        <v>43880</v>
      </c>
      <c r="C1226" s="1" t="n">
        <v>45705</v>
      </c>
      <c r="D1226" t="inlineStr">
        <is>
          <t>UPPSALA LÄN</t>
        </is>
      </c>
      <c r="E1226" t="inlineStr">
        <is>
          <t>ENKÖPING</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9334-2020</t>
        </is>
      </c>
      <c r="B1227" s="1" t="n">
        <v>43880</v>
      </c>
      <c r="C1227" s="1" t="n">
        <v>45705</v>
      </c>
      <c r="D1227" t="inlineStr">
        <is>
          <t>UPPSALA LÄN</t>
        </is>
      </c>
      <c r="E1227" t="inlineStr">
        <is>
          <t>TIERP</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9658-2020</t>
        </is>
      </c>
      <c r="B1228" s="1" t="n">
        <v>43881</v>
      </c>
      <c r="C1228" s="1" t="n">
        <v>45705</v>
      </c>
      <c r="D1228" t="inlineStr">
        <is>
          <t>UPPSALA LÄN</t>
        </is>
      </c>
      <c r="E1228" t="inlineStr">
        <is>
          <t>UPPSALA</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9927-2020</t>
        </is>
      </c>
      <c r="B1229" s="1" t="n">
        <v>43882</v>
      </c>
      <c r="C1229" s="1" t="n">
        <v>45705</v>
      </c>
      <c r="D1229" t="inlineStr">
        <is>
          <t>UPPSALA LÄN</t>
        </is>
      </c>
      <c r="E1229" t="inlineStr">
        <is>
          <t>HEBY</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10003-2020</t>
        </is>
      </c>
      <c r="B1230" s="1" t="n">
        <v>43882</v>
      </c>
      <c r="C1230" s="1" t="n">
        <v>45705</v>
      </c>
      <c r="D1230" t="inlineStr">
        <is>
          <t>UPPSALA LÄN</t>
        </is>
      </c>
      <c r="E1230" t="inlineStr">
        <is>
          <t>UPPSALA</t>
        </is>
      </c>
      <c r="F1230" t="inlineStr">
        <is>
          <t>Kyrkan</t>
        </is>
      </c>
      <c r="G1230" t="n">
        <v>5.2</v>
      </c>
      <c r="H1230" t="n">
        <v>0</v>
      </c>
      <c r="I1230" t="n">
        <v>0</v>
      </c>
      <c r="J1230" t="n">
        <v>0</v>
      </c>
      <c r="K1230" t="n">
        <v>0</v>
      </c>
      <c r="L1230" t="n">
        <v>0</v>
      </c>
      <c r="M1230" t="n">
        <v>0</v>
      </c>
      <c r="N1230" t="n">
        <v>0</v>
      </c>
      <c r="O1230" t="n">
        <v>0</v>
      </c>
      <c r="P1230" t="n">
        <v>0</v>
      </c>
      <c r="Q1230" t="n">
        <v>0</v>
      </c>
      <c r="R1230" s="2" t="inlineStr"/>
    </row>
    <row r="1231" ht="15" customHeight="1">
      <c r="A1231" t="inlineStr">
        <is>
          <t>A 10039-2020</t>
        </is>
      </c>
      <c r="B1231" s="1" t="n">
        <v>43882</v>
      </c>
      <c r="C1231" s="1" t="n">
        <v>45705</v>
      </c>
      <c r="D1231" t="inlineStr">
        <is>
          <t>UPPSALA LÄN</t>
        </is>
      </c>
      <c r="E1231" t="inlineStr">
        <is>
          <t>TIERP</t>
        </is>
      </c>
      <c r="F1231" t="inlineStr">
        <is>
          <t>Bergvik skog väst AB</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9914-2020</t>
        </is>
      </c>
      <c r="B1232" s="1" t="n">
        <v>43882</v>
      </c>
      <c r="C1232" s="1" t="n">
        <v>45705</v>
      </c>
      <c r="D1232" t="inlineStr">
        <is>
          <t>UPPSALA LÄN</t>
        </is>
      </c>
      <c r="E1232" t="inlineStr">
        <is>
          <t>HEBY</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9949-2020</t>
        </is>
      </c>
      <c r="B1233" s="1" t="n">
        <v>43882</v>
      </c>
      <c r="C1233" s="1" t="n">
        <v>45705</v>
      </c>
      <c r="D1233" t="inlineStr">
        <is>
          <t>UPPSALA LÄN</t>
        </is>
      </c>
      <c r="E1233" t="inlineStr">
        <is>
          <t>UPPSALA</t>
        </is>
      </c>
      <c r="F1233" t="inlineStr">
        <is>
          <t>Kyrkan</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10033-2020</t>
        </is>
      </c>
      <c r="B1234" s="1" t="n">
        <v>43882</v>
      </c>
      <c r="C1234" s="1" t="n">
        <v>45705</v>
      </c>
      <c r="D1234" t="inlineStr">
        <is>
          <t>UPPSALA LÄN</t>
        </is>
      </c>
      <c r="E1234" t="inlineStr">
        <is>
          <t>UPPSALA</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10008-2020</t>
        </is>
      </c>
      <c r="B1235" s="1" t="n">
        <v>43882</v>
      </c>
      <c r="C1235" s="1" t="n">
        <v>45705</v>
      </c>
      <c r="D1235" t="inlineStr">
        <is>
          <t>UPPSALA LÄN</t>
        </is>
      </c>
      <c r="E1235" t="inlineStr">
        <is>
          <t>ÖSTHAMMAR</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10345-2020</t>
        </is>
      </c>
      <c r="B1236" s="1" t="n">
        <v>43885</v>
      </c>
      <c r="C1236" s="1" t="n">
        <v>45705</v>
      </c>
      <c r="D1236" t="inlineStr">
        <is>
          <t>UPPSALA LÄN</t>
        </is>
      </c>
      <c r="E1236" t="inlineStr">
        <is>
          <t>ÖSTHAMMAR</t>
        </is>
      </c>
      <c r="F1236" t="inlineStr">
        <is>
          <t>Allmännings- och besparingsskogar</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10347-2020</t>
        </is>
      </c>
      <c r="B1237" s="1" t="n">
        <v>43885</v>
      </c>
      <c r="C1237" s="1" t="n">
        <v>45705</v>
      </c>
      <c r="D1237" t="inlineStr">
        <is>
          <t>UPPSALA LÄN</t>
        </is>
      </c>
      <c r="E1237" t="inlineStr">
        <is>
          <t>ÖSTHAMMAR</t>
        </is>
      </c>
      <c r="F1237" t="inlineStr">
        <is>
          <t>Allmännings- och besparingsskogar</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10478-2020</t>
        </is>
      </c>
      <c r="B1238" s="1" t="n">
        <v>43886</v>
      </c>
      <c r="C1238" s="1" t="n">
        <v>45705</v>
      </c>
      <c r="D1238" t="inlineStr">
        <is>
          <t>UPPSALA LÄN</t>
        </is>
      </c>
      <c r="E1238" t="inlineStr">
        <is>
          <t>UPPSALA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11540-2020</t>
        </is>
      </c>
      <c r="B1239" s="1" t="n">
        <v>43887</v>
      </c>
      <c r="C1239" s="1" t="n">
        <v>45705</v>
      </c>
      <c r="D1239" t="inlineStr">
        <is>
          <t>UPPSALA LÄN</t>
        </is>
      </c>
      <c r="E1239" t="inlineStr">
        <is>
          <t>UPPSALA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10795-2020</t>
        </is>
      </c>
      <c r="B1240" s="1" t="n">
        <v>43888</v>
      </c>
      <c r="C1240" s="1" t="n">
        <v>45705</v>
      </c>
      <c r="D1240" t="inlineStr">
        <is>
          <t>UPPSALA LÄN</t>
        </is>
      </c>
      <c r="E1240" t="inlineStr">
        <is>
          <t>ENKÖPING</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11060-2020</t>
        </is>
      </c>
      <c r="B1241" s="1" t="n">
        <v>43889</v>
      </c>
      <c r="C1241" s="1" t="n">
        <v>45705</v>
      </c>
      <c r="D1241" t="inlineStr">
        <is>
          <t>UPPSALA LÄN</t>
        </is>
      </c>
      <c r="E1241" t="inlineStr">
        <is>
          <t>ENKÖPING</t>
        </is>
      </c>
      <c r="G1241" t="n">
        <v>22.7</v>
      </c>
      <c r="H1241" t="n">
        <v>0</v>
      </c>
      <c r="I1241" t="n">
        <v>0</v>
      </c>
      <c r="J1241" t="n">
        <v>0</v>
      </c>
      <c r="K1241" t="n">
        <v>0</v>
      </c>
      <c r="L1241" t="n">
        <v>0</v>
      </c>
      <c r="M1241" t="n">
        <v>0</v>
      </c>
      <c r="N1241" t="n">
        <v>0</v>
      </c>
      <c r="O1241" t="n">
        <v>0</v>
      </c>
      <c r="P1241" t="n">
        <v>0</v>
      </c>
      <c r="Q1241" t="n">
        <v>0</v>
      </c>
      <c r="R1241" s="2" t="inlineStr"/>
    </row>
    <row r="1242" ht="15" customHeight="1">
      <c r="A1242" t="inlineStr">
        <is>
          <t>A 11152-2020</t>
        </is>
      </c>
      <c r="B1242" s="1" t="n">
        <v>43891</v>
      </c>
      <c r="C1242" s="1" t="n">
        <v>45705</v>
      </c>
      <c r="D1242" t="inlineStr">
        <is>
          <t>UPPSALA LÄN</t>
        </is>
      </c>
      <c r="E1242" t="inlineStr">
        <is>
          <t>HEBY</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11151-2020</t>
        </is>
      </c>
      <c r="B1243" s="1" t="n">
        <v>43891</v>
      </c>
      <c r="C1243" s="1" t="n">
        <v>45705</v>
      </c>
      <c r="D1243" t="inlineStr">
        <is>
          <t>UPPSALA LÄN</t>
        </is>
      </c>
      <c r="E1243" t="inlineStr">
        <is>
          <t>HEBY</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11174-2020</t>
        </is>
      </c>
      <c r="B1244" s="1" t="n">
        <v>43891</v>
      </c>
      <c r="C1244" s="1" t="n">
        <v>45705</v>
      </c>
      <c r="D1244" t="inlineStr">
        <is>
          <t>UPPSALA LÄN</t>
        </is>
      </c>
      <c r="E1244" t="inlineStr">
        <is>
          <t>UPPSALA</t>
        </is>
      </c>
      <c r="F1244" t="inlineStr">
        <is>
          <t>Övriga statliga verk och myndigheter</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11166-2020</t>
        </is>
      </c>
      <c r="B1245" s="1" t="n">
        <v>43891</v>
      </c>
      <c r="C1245" s="1" t="n">
        <v>45705</v>
      </c>
      <c r="D1245" t="inlineStr">
        <is>
          <t>UPPSALA LÄN</t>
        </is>
      </c>
      <c r="E1245" t="inlineStr">
        <is>
          <t>HEBY</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11165-2020</t>
        </is>
      </c>
      <c r="B1246" s="1" t="n">
        <v>43891</v>
      </c>
      <c r="C1246" s="1" t="n">
        <v>45705</v>
      </c>
      <c r="D1246" t="inlineStr">
        <is>
          <t>UPPSALA LÄN</t>
        </is>
      </c>
      <c r="E1246" t="inlineStr">
        <is>
          <t>HEBY</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11281-2020</t>
        </is>
      </c>
      <c r="B1247" s="1" t="n">
        <v>43892</v>
      </c>
      <c r="C1247" s="1" t="n">
        <v>45705</v>
      </c>
      <c r="D1247" t="inlineStr">
        <is>
          <t>UPPSALA LÄN</t>
        </is>
      </c>
      <c r="E1247" t="inlineStr">
        <is>
          <t>HÅBO</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12626-2020</t>
        </is>
      </c>
      <c r="B1248" s="1" t="n">
        <v>43892</v>
      </c>
      <c r="C1248" s="1" t="n">
        <v>45705</v>
      </c>
      <c r="D1248" t="inlineStr">
        <is>
          <t>UPPSALA LÄN</t>
        </is>
      </c>
      <c r="E1248" t="inlineStr">
        <is>
          <t>UPPSALA</t>
        </is>
      </c>
      <c r="G1248" t="n">
        <v>11.4</v>
      </c>
      <c r="H1248" t="n">
        <v>0</v>
      </c>
      <c r="I1248" t="n">
        <v>0</v>
      </c>
      <c r="J1248" t="n">
        <v>0</v>
      </c>
      <c r="K1248" t="n">
        <v>0</v>
      </c>
      <c r="L1248" t="n">
        <v>0</v>
      </c>
      <c r="M1248" t="n">
        <v>0</v>
      </c>
      <c r="N1248" t="n">
        <v>0</v>
      </c>
      <c r="O1248" t="n">
        <v>0</v>
      </c>
      <c r="P1248" t="n">
        <v>0</v>
      </c>
      <c r="Q1248" t="n">
        <v>0</v>
      </c>
      <c r="R1248" s="2" t="inlineStr"/>
    </row>
    <row r="1249" ht="15" customHeight="1">
      <c r="A1249" t="inlineStr">
        <is>
          <t>A 11336-2020</t>
        </is>
      </c>
      <c r="B1249" s="1" t="n">
        <v>43892</v>
      </c>
      <c r="C1249" s="1" t="n">
        <v>45705</v>
      </c>
      <c r="D1249" t="inlineStr">
        <is>
          <t>UPPSALA LÄN</t>
        </is>
      </c>
      <c r="E1249" t="inlineStr">
        <is>
          <t>UPPSALA</t>
        </is>
      </c>
      <c r="F1249" t="inlineStr">
        <is>
          <t>Kyrkan</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11320-2020</t>
        </is>
      </c>
      <c r="B1250" s="1" t="n">
        <v>43892</v>
      </c>
      <c r="C1250" s="1" t="n">
        <v>45705</v>
      </c>
      <c r="D1250" t="inlineStr">
        <is>
          <t>UPPSALA LÄN</t>
        </is>
      </c>
      <c r="E1250" t="inlineStr">
        <is>
          <t>UPPSALA</t>
        </is>
      </c>
      <c r="F1250" t="inlineStr">
        <is>
          <t>Kyrkan</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11228-2020</t>
        </is>
      </c>
      <c r="B1251" s="1" t="n">
        <v>43892</v>
      </c>
      <c r="C1251" s="1" t="n">
        <v>45705</v>
      </c>
      <c r="D1251" t="inlineStr">
        <is>
          <t>UPPSALA LÄN</t>
        </is>
      </c>
      <c r="E1251" t="inlineStr">
        <is>
          <t>ENKÖPING</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11433-2020</t>
        </is>
      </c>
      <c r="B1252" s="1" t="n">
        <v>43893</v>
      </c>
      <c r="C1252" s="1" t="n">
        <v>45705</v>
      </c>
      <c r="D1252" t="inlineStr">
        <is>
          <t>UPPSALA LÄN</t>
        </is>
      </c>
      <c r="E1252" t="inlineStr">
        <is>
          <t>TIERP</t>
        </is>
      </c>
      <c r="F1252" t="inlineStr">
        <is>
          <t>Bergvik skog väst AB</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12028-2020</t>
        </is>
      </c>
      <c r="B1253" s="1" t="n">
        <v>43894</v>
      </c>
      <c r="C1253" s="1" t="n">
        <v>45705</v>
      </c>
      <c r="D1253" t="inlineStr">
        <is>
          <t>UPPSALA LÄN</t>
        </is>
      </c>
      <c r="E1253" t="inlineStr">
        <is>
          <t>UPPSALA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12055-2020</t>
        </is>
      </c>
      <c r="B1254" s="1" t="n">
        <v>43894</v>
      </c>
      <c r="C1254" s="1" t="n">
        <v>45705</v>
      </c>
      <c r="D1254" t="inlineStr">
        <is>
          <t>UPPSALA LÄN</t>
        </is>
      </c>
      <c r="E1254" t="inlineStr">
        <is>
          <t>UPPSALA</t>
        </is>
      </c>
      <c r="G1254" t="n">
        <v>6.2</v>
      </c>
      <c r="H1254" t="n">
        <v>0</v>
      </c>
      <c r="I1254" t="n">
        <v>0</v>
      </c>
      <c r="J1254" t="n">
        <v>0</v>
      </c>
      <c r="K1254" t="n">
        <v>0</v>
      </c>
      <c r="L1254" t="n">
        <v>0</v>
      </c>
      <c r="M1254" t="n">
        <v>0</v>
      </c>
      <c r="N1254" t="n">
        <v>0</v>
      </c>
      <c r="O1254" t="n">
        <v>0</v>
      </c>
      <c r="P1254" t="n">
        <v>0</v>
      </c>
      <c r="Q1254" t="n">
        <v>0</v>
      </c>
      <c r="R1254" s="2" t="inlineStr"/>
    </row>
    <row r="1255" ht="15" customHeight="1">
      <c r="A1255" t="inlineStr">
        <is>
          <t>A 12080-2020</t>
        </is>
      </c>
      <c r="B1255" s="1" t="n">
        <v>43895</v>
      </c>
      <c r="C1255" s="1" t="n">
        <v>45705</v>
      </c>
      <c r="D1255" t="inlineStr">
        <is>
          <t>UPPSALA LÄN</t>
        </is>
      </c>
      <c r="E1255" t="inlineStr">
        <is>
          <t>ÖSTHAMMAR</t>
        </is>
      </c>
      <c r="F1255" t="inlineStr">
        <is>
          <t>Övriga Aktiebolag</t>
        </is>
      </c>
      <c r="G1255" t="n">
        <v>13.9</v>
      </c>
      <c r="H1255" t="n">
        <v>0</v>
      </c>
      <c r="I1255" t="n">
        <v>0</v>
      </c>
      <c r="J1255" t="n">
        <v>0</v>
      </c>
      <c r="K1255" t="n">
        <v>0</v>
      </c>
      <c r="L1255" t="n">
        <v>0</v>
      </c>
      <c r="M1255" t="n">
        <v>0</v>
      </c>
      <c r="N1255" t="n">
        <v>0</v>
      </c>
      <c r="O1255" t="n">
        <v>0</v>
      </c>
      <c r="P1255" t="n">
        <v>0</v>
      </c>
      <c r="Q1255" t="n">
        <v>0</v>
      </c>
      <c r="R1255" s="2" t="inlineStr"/>
    </row>
    <row r="1256" ht="15" customHeight="1">
      <c r="A1256" t="inlineStr">
        <is>
          <t>A 12272-2020</t>
        </is>
      </c>
      <c r="B1256" s="1" t="n">
        <v>43895</v>
      </c>
      <c r="C1256" s="1" t="n">
        <v>45705</v>
      </c>
      <c r="D1256" t="inlineStr">
        <is>
          <t>UPPSALA LÄN</t>
        </is>
      </c>
      <c r="E1256" t="inlineStr">
        <is>
          <t>ENKÖPING</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12427-2020</t>
        </is>
      </c>
      <c r="B1257" s="1" t="n">
        <v>43896</v>
      </c>
      <c r="C1257" s="1" t="n">
        <v>45705</v>
      </c>
      <c r="D1257" t="inlineStr">
        <is>
          <t>UPPSALA LÄN</t>
        </is>
      </c>
      <c r="E1257" t="inlineStr">
        <is>
          <t>TIERP</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12848-2020</t>
        </is>
      </c>
      <c r="B1258" s="1" t="n">
        <v>43899</v>
      </c>
      <c r="C1258" s="1" t="n">
        <v>45705</v>
      </c>
      <c r="D1258" t="inlineStr">
        <is>
          <t>UPPSALA LÄN</t>
        </is>
      </c>
      <c r="E1258" t="inlineStr">
        <is>
          <t>UPPSALA</t>
        </is>
      </c>
      <c r="G1258" t="n">
        <v>10.3</v>
      </c>
      <c r="H1258" t="n">
        <v>0</v>
      </c>
      <c r="I1258" t="n">
        <v>0</v>
      </c>
      <c r="J1258" t="n">
        <v>0</v>
      </c>
      <c r="K1258" t="n">
        <v>0</v>
      </c>
      <c r="L1258" t="n">
        <v>0</v>
      </c>
      <c r="M1258" t="n">
        <v>0</v>
      </c>
      <c r="N1258" t="n">
        <v>0</v>
      </c>
      <c r="O1258" t="n">
        <v>0</v>
      </c>
      <c r="P1258" t="n">
        <v>0</v>
      </c>
      <c r="Q1258" t="n">
        <v>0</v>
      </c>
      <c r="R1258" s="2" t="inlineStr"/>
    </row>
    <row r="1259" ht="15" customHeight="1">
      <c r="A1259" t="inlineStr">
        <is>
          <t>A 12781-2020</t>
        </is>
      </c>
      <c r="B1259" s="1" t="n">
        <v>43899</v>
      </c>
      <c r="C1259" s="1" t="n">
        <v>45705</v>
      </c>
      <c r="D1259" t="inlineStr">
        <is>
          <t>UPPSALA LÄN</t>
        </is>
      </c>
      <c r="E1259" t="inlineStr">
        <is>
          <t>UPPSALA</t>
        </is>
      </c>
      <c r="F1259" t="inlineStr">
        <is>
          <t>Kyrkan</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13447-2020</t>
        </is>
      </c>
      <c r="B1260" s="1" t="n">
        <v>43900</v>
      </c>
      <c r="C1260" s="1" t="n">
        <v>45705</v>
      </c>
      <c r="D1260" t="inlineStr">
        <is>
          <t>UPPSALA LÄN</t>
        </is>
      </c>
      <c r="E1260" t="inlineStr">
        <is>
          <t>HÅBO</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12912-2020</t>
        </is>
      </c>
      <c r="B1261" s="1" t="n">
        <v>43900</v>
      </c>
      <c r="C1261" s="1" t="n">
        <v>45705</v>
      </c>
      <c r="D1261" t="inlineStr">
        <is>
          <t>UPPSALA LÄN</t>
        </is>
      </c>
      <c r="E1261" t="inlineStr">
        <is>
          <t>TIERP</t>
        </is>
      </c>
      <c r="F1261" t="inlineStr">
        <is>
          <t>Bergvik skog väst AB</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13140-2020</t>
        </is>
      </c>
      <c r="B1262" s="1" t="n">
        <v>43901</v>
      </c>
      <c r="C1262" s="1" t="n">
        <v>45705</v>
      </c>
      <c r="D1262" t="inlineStr">
        <is>
          <t>UPPSALA LÄN</t>
        </is>
      </c>
      <c r="E1262" t="inlineStr">
        <is>
          <t>HEBY</t>
        </is>
      </c>
      <c r="F1262" t="inlineStr">
        <is>
          <t>Kyrkan</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13175-2020</t>
        </is>
      </c>
      <c r="B1263" s="1" t="n">
        <v>43901</v>
      </c>
      <c r="C1263" s="1" t="n">
        <v>45705</v>
      </c>
      <c r="D1263" t="inlineStr">
        <is>
          <t>UPPSALA LÄN</t>
        </is>
      </c>
      <c r="E1263" t="inlineStr">
        <is>
          <t>HEBY</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13141-2020</t>
        </is>
      </c>
      <c r="B1264" s="1" t="n">
        <v>43901</v>
      </c>
      <c r="C1264" s="1" t="n">
        <v>45705</v>
      </c>
      <c r="D1264" t="inlineStr">
        <is>
          <t>UPPSALA LÄN</t>
        </is>
      </c>
      <c r="E1264" t="inlineStr">
        <is>
          <t>HEBY</t>
        </is>
      </c>
      <c r="F1264" t="inlineStr">
        <is>
          <t>Kyrkan</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13180-2020</t>
        </is>
      </c>
      <c r="B1265" s="1" t="n">
        <v>43901</v>
      </c>
      <c r="C1265" s="1" t="n">
        <v>45705</v>
      </c>
      <c r="D1265" t="inlineStr">
        <is>
          <t>UPPSALA LÄN</t>
        </is>
      </c>
      <c r="E1265" t="inlineStr">
        <is>
          <t>HEBY</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13112-2020</t>
        </is>
      </c>
      <c r="B1266" s="1" t="n">
        <v>43901</v>
      </c>
      <c r="C1266" s="1" t="n">
        <v>45705</v>
      </c>
      <c r="D1266" t="inlineStr">
        <is>
          <t>UPPSALA LÄN</t>
        </is>
      </c>
      <c r="E1266" t="inlineStr">
        <is>
          <t>ÖSTHAMMAR</t>
        </is>
      </c>
      <c r="F1266" t="inlineStr">
        <is>
          <t>Övriga Aktiebolag</t>
        </is>
      </c>
      <c r="G1266" t="n">
        <v>6.5</v>
      </c>
      <c r="H1266" t="n">
        <v>0</v>
      </c>
      <c r="I1266" t="n">
        <v>0</v>
      </c>
      <c r="J1266" t="n">
        <v>0</v>
      </c>
      <c r="K1266" t="n">
        <v>0</v>
      </c>
      <c r="L1266" t="n">
        <v>0</v>
      </c>
      <c r="M1266" t="n">
        <v>0</v>
      </c>
      <c r="N1266" t="n">
        <v>0</v>
      </c>
      <c r="O1266" t="n">
        <v>0</v>
      </c>
      <c r="P1266" t="n">
        <v>0</v>
      </c>
      <c r="Q1266" t="n">
        <v>0</v>
      </c>
      <c r="R1266" s="2" t="inlineStr"/>
    </row>
    <row r="1267" ht="15" customHeight="1">
      <c r="A1267" t="inlineStr">
        <is>
          <t>A 13582-2020</t>
        </is>
      </c>
      <c r="B1267" s="1" t="n">
        <v>43901</v>
      </c>
      <c r="C1267" s="1" t="n">
        <v>45705</v>
      </c>
      <c r="D1267" t="inlineStr">
        <is>
          <t>UPPSALA LÄN</t>
        </is>
      </c>
      <c r="E1267" t="inlineStr">
        <is>
          <t>HÅBO</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14627-2020</t>
        </is>
      </c>
      <c r="B1268" s="1" t="n">
        <v>43901</v>
      </c>
      <c r="C1268" s="1" t="n">
        <v>45705</v>
      </c>
      <c r="D1268" t="inlineStr">
        <is>
          <t>UPPSALA LÄN</t>
        </is>
      </c>
      <c r="E1268" t="inlineStr">
        <is>
          <t>TIERP</t>
        </is>
      </c>
      <c r="F1268" t="inlineStr">
        <is>
          <t>Bergvik skog väst AB</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13310-2020</t>
        </is>
      </c>
      <c r="B1269" s="1" t="n">
        <v>43902</v>
      </c>
      <c r="C1269" s="1" t="n">
        <v>45705</v>
      </c>
      <c r="D1269" t="inlineStr">
        <is>
          <t>UPPSALA LÄN</t>
        </is>
      </c>
      <c r="E1269" t="inlineStr">
        <is>
          <t>ÖSTHAMMAR</t>
        </is>
      </c>
      <c r="F1269" t="inlineStr">
        <is>
          <t>Bergvik skog öst AB</t>
        </is>
      </c>
      <c r="G1269" t="n">
        <v>14.4</v>
      </c>
      <c r="H1269" t="n">
        <v>0</v>
      </c>
      <c r="I1269" t="n">
        <v>0</v>
      </c>
      <c r="J1269" t="n">
        <v>0</v>
      </c>
      <c r="K1269" t="n">
        <v>0</v>
      </c>
      <c r="L1269" t="n">
        <v>0</v>
      </c>
      <c r="M1269" t="n">
        <v>0</v>
      </c>
      <c r="N1269" t="n">
        <v>0</v>
      </c>
      <c r="O1269" t="n">
        <v>0</v>
      </c>
      <c r="P1269" t="n">
        <v>0</v>
      </c>
      <c r="Q1269" t="n">
        <v>0</v>
      </c>
      <c r="R1269" s="2" t="inlineStr"/>
    </row>
    <row r="1270" ht="15" customHeight="1">
      <c r="A1270" t="inlineStr">
        <is>
          <t>A 13547-2020</t>
        </is>
      </c>
      <c r="B1270" s="1" t="n">
        <v>43902</v>
      </c>
      <c r="C1270" s="1" t="n">
        <v>45705</v>
      </c>
      <c r="D1270" t="inlineStr">
        <is>
          <t>UPPSALA LÄN</t>
        </is>
      </c>
      <c r="E1270" t="inlineStr">
        <is>
          <t>KNIVSTA</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13636-2020</t>
        </is>
      </c>
      <c r="B1271" s="1" t="n">
        <v>43903</v>
      </c>
      <c r="C1271" s="1" t="n">
        <v>45705</v>
      </c>
      <c r="D1271" t="inlineStr">
        <is>
          <t>UPPSALA LÄN</t>
        </is>
      </c>
      <c r="E1271" t="inlineStr">
        <is>
          <t>UPPSALA</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13595-2020</t>
        </is>
      </c>
      <c r="B1272" s="1" t="n">
        <v>43903</v>
      </c>
      <c r="C1272" s="1" t="n">
        <v>45705</v>
      </c>
      <c r="D1272" t="inlineStr">
        <is>
          <t>UPPSALA LÄN</t>
        </is>
      </c>
      <c r="E1272" t="inlineStr">
        <is>
          <t>ÖSTHAMMAR</t>
        </is>
      </c>
      <c r="F1272" t="inlineStr">
        <is>
          <t>Bergvik skog öst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13996-2020</t>
        </is>
      </c>
      <c r="B1273" s="1" t="n">
        <v>43906</v>
      </c>
      <c r="C1273" s="1" t="n">
        <v>45705</v>
      </c>
      <c r="D1273" t="inlineStr">
        <is>
          <t>UPPSALA LÄN</t>
        </is>
      </c>
      <c r="E1273" t="inlineStr">
        <is>
          <t>KNIVSTA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13865-2020</t>
        </is>
      </c>
      <c r="B1274" s="1" t="n">
        <v>43906</v>
      </c>
      <c r="C1274" s="1" t="n">
        <v>45705</v>
      </c>
      <c r="D1274" t="inlineStr">
        <is>
          <t>UPPSALA LÄN</t>
        </is>
      </c>
      <c r="E1274" t="inlineStr">
        <is>
          <t>HEBY</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14005-2020</t>
        </is>
      </c>
      <c r="B1275" s="1" t="n">
        <v>43906</v>
      </c>
      <c r="C1275" s="1" t="n">
        <v>45705</v>
      </c>
      <c r="D1275" t="inlineStr">
        <is>
          <t>UPPSALA LÄN</t>
        </is>
      </c>
      <c r="E1275" t="inlineStr">
        <is>
          <t>KNIVSTA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13945-2020</t>
        </is>
      </c>
      <c r="B1276" s="1" t="n">
        <v>43906</v>
      </c>
      <c r="C1276" s="1" t="n">
        <v>45705</v>
      </c>
      <c r="D1276" t="inlineStr">
        <is>
          <t>UPPSALA LÄN</t>
        </is>
      </c>
      <c r="E1276" t="inlineStr">
        <is>
          <t>ÖSTHAMMAR</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14017-2020</t>
        </is>
      </c>
      <c r="B1277" s="1" t="n">
        <v>43906</v>
      </c>
      <c r="C1277" s="1" t="n">
        <v>45705</v>
      </c>
      <c r="D1277" t="inlineStr">
        <is>
          <t>UPPSALA LÄN</t>
        </is>
      </c>
      <c r="E1277" t="inlineStr">
        <is>
          <t>TIERP</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14469-2020</t>
        </is>
      </c>
      <c r="B1278" s="1" t="n">
        <v>43908</v>
      </c>
      <c r="C1278" s="1" t="n">
        <v>45705</v>
      </c>
      <c r="D1278" t="inlineStr">
        <is>
          <t>UPPSALA LÄN</t>
        </is>
      </c>
      <c r="E1278" t="inlineStr">
        <is>
          <t>UPPSALA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14423-2020</t>
        </is>
      </c>
      <c r="B1279" s="1" t="n">
        <v>43908</v>
      </c>
      <c r="C1279" s="1" t="n">
        <v>45705</v>
      </c>
      <c r="D1279" t="inlineStr">
        <is>
          <t>UPPSALA LÄN</t>
        </is>
      </c>
      <c r="E1279" t="inlineStr">
        <is>
          <t>UPPSALA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14472-2020</t>
        </is>
      </c>
      <c r="B1280" s="1" t="n">
        <v>43908</v>
      </c>
      <c r="C1280" s="1" t="n">
        <v>45705</v>
      </c>
      <c r="D1280" t="inlineStr">
        <is>
          <t>UPPSALA LÄN</t>
        </is>
      </c>
      <c r="E1280" t="inlineStr">
        <is>
          <t>UPPSALA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14427-2020</t>
        </is>
      </c>
      <c r="B1281" s="1" t="n">
        <v>43908</v>
      </c>
      <c r="C1281" s="1" t="n">
        <v>45705</v>
      </c>
      <c r="D1281" t="inlineStr">
        <is>
          <t>UPPSALA LÄN</t>
        </is>
      </c>
      <c r="E1281" t="inlineStr">
        <is>
          <t>UPPSALA</t>
        </is>
      </c>
      <c r="F1281" t="inlineStr">
        <is>
          <t>Bergvik skog öst AB</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14783-2020</t>
        </is>
      </c>
      <c r="B1282" s="1" t="n">
        <v>43909</v>
      </c>
      <c r="C1282" s="1" t="n">
        <v>45705</v>
      </c>
      <c r="D1282" t="inlineStr">
        <is>
          <t>UPPSALA LÄN</t>
        </is>
      </c>
      <c r="E1282" t="inlineStr">
        <is>
          <t>HEBY</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14802-2020</t>
        </is>
      </c>
      <c r="B1283" s="1" t="n">
        <v>43909</v>
      </c>
      <c r="C1283" s="1" t="n">
        <v>45705</v>
      </c>
      <c r="D1283" t="inlineStr">
        <is>
          <t>UPPSALA LÄN</t>
        </is>
      </c>
      <c r="E1283" t="inlineStr">
        <is>
          <t>ÖSTHAMMAR</t>
        </is>
      </c>
      <c r="F1283" t="inlineStr">
        <is>
          <t>Allmännings- och besparingsskogar</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14817-2020</t>
        </is>
      </c>
      <c r="B1284" s="1" t="n">
        <v>43909</v>
      </c>
      <c r="C1284" s="1" t="n">
        <v>45705</v>
      </c>
      <c r="D1284" t="inlineStr">
        <is>
          <t>UPPSALA LÄN</t>
        </is>
      </c>
      <c r="E1284" t="inlineStr">
        <is>
          <t>ÖSTHAMMAR</t>
        </is>
      </c>
      <c r="F1284" t="inlineStr">
        <is>
          <t>Bergvik skog öst AB</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14823-2020</t>
        </is>
      </c>
      <c r="B1285" s="1" t="n">
        <v>43909</v>
      </c>
      <c r="C1285" s="1" t="n">
        <v>45705</v>
      </c>
      <c r="D1285" t="inlineStr">
        <is>
          <t>UPPSALA LÄN</t>
        </is>
      </c>
      <c r="E1285" t="inlineStr">
        <is>
          <t>HEBY</t>
        </is>
      </c>
      <c r="G1285" t="n">
        <v>6.3</v>
      </c>
      <c r="H1285" t="n">
        <v>0</v>
      </c>
      <c r="I1285" t="n">
        <v>0</v>
      </c>
      <c r="J1285" t="n">
        <v>0</v>
      </c>
      <c r="K1285" t="n">
        <v>0</v>
      </c>
      <c r="L1285" t="n">
        <v>0</v>
      </c>
      <c r="M1285" t="n">
        <v>0</v>
      </c>
      <c r="N1285" t="n">
        <v>0</v>
      </c>
      <c r="O1285" t="n">
        <v>0</v>
      </c>
      <c r="P1285" t="n">
        <v>0</v>
      </c>
      <c r="Q1285" t="n">
        <v>0</v>
      </c>
      <c r="R1285" s="2" t="inlineStr"/>
    </row>
    <row r="1286" ht="15" customHeight="1">
      <c r="A1286" t="inlineStr">
        <is>
          <t>A 14777-2020</t>
        </is>
      </c>
      <c r="B1286" s="1" t="n">
        <v>43909</v>
      </c>
      <c r="C1286" s="1" t="n">
        <v>45705</v>
      </c>
      <c r="D1286" t="inlineStr">
        <is>
          <t>UPPSALA LÄN</t>
        </is>
      </c>
      <c r="E1286" t="inlineStr">
        <is>
          <t>HEBY</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14814-2020</t>
        </is>
      </c>
      <c r="B1287" s="1" t="n">
        <v>43909</v>
      </c>
      <c r="C1287" s="1" t="n">
        <v>45705</v>
      </c>
      <c r="D1287" t="inlineStr">
        <is>
          <t>UPPSALA LÄN</t>
        </is>
      </c>
      <c r="E1287" t="inlineStr">
        <is>
          <t>HEBY</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15067-2020</t>
        </is>
      </c>
      <c r="B1288" s="1" t="n">
        <v>43910</v>
      </c>
      <c r="C1288" s="1" t="n">
        <v>45705</v>
      </c>
      <c r="D1288" t="inlineStr">
        <is>
          <t>UPPSALA LÄN</t>
        </is>
      </c>
      <c r="E1288" t="inlineStr">
        <is>
          <t>ÖSTHAMMAR</t>
        </is>
      </c>
      <c r="F1288" t="inlineStr">
        <is>
          <t>Bergvik skog öst AB</t>
        </is>
      </c>
      <c r="G1288" t="n">
        <v>20.5</v>
      </c>
      <c r="H1288" t="n">
        <v>0</v>
      </c>
      <c r="I1288" t="n">
        <v>0</v>
      </c>
      <c r="J1288" t="n">
        <v>0</v>
      </c>
      <c r="K1288" t="n">
        <v>0</v>
      </c>
      <c r="L1288" t="n">
        <v>0</v>
      </c>
      <c r="M1288" t="n">
        <v>0</v>
      </c>
      <c r="N1288" t="n">
        <v>0</v>
      </c>
      <c r="O1288" t="n">
        <v>0</v>
      </c>
      <c r="P1288" t="n">
        <v>0</v>
      </c>
      <c r="Q1288" t="n">
        <v>0</v>
      </c>
      <c r="R1288" s="2" t="inlineStr"/>
    </row>
    <row r="1289" ht="15" customHeight="1">
      <c r="A1289" t="inlineStr">
        <is>
          <t>A 15213-2020</t>
        </is>
      </c>
      <c r="B1289" s="1" t="n">
        <v>43913</v>
      </c>
      <c r="C1289" s="1" t="n">
        <v>45705</v>
      </c>
      <c r="D1289" t="inlineStr">
        <is>
          <t>UPPSALA LÄN</t>
        </is>
      </c>
      <c r="E1289" t="inlineStr">
        <is>
          <t>ÄLVKARLEBY</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15326-2020</t>
        </is>
      </c>
      <c r="B1290" s="1" t="n">
        <v>43913</v>
      </c>
      <c r="C1290" s="1" t="n">
        <v>45705</v>
      </c>
      <c r="D1290" t="inlineStr">
        <is>
          <t>UPPSALA LÄN</t>
        </is>
      </c>
      <c r="E1290" t="inlineStr">
        <is>
          <t>TIERP</t>
        </is>
      </c>
      <c r="F1290" t="inlineStr">
        <is>
          <t>Bergvik skog väst AB</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15344-2020</t>
        </is>
      </c>
      <c r="B1291" s="1" t="n">
        <v>43913</v>
      </c>
      <c r="C1291" s="1" t="n">
        <v>45705</v>
      </c>
      <c r="D1291" t="inlineStr">
        <is>
          <t>UPPSALA LÄN</t>
        </is>
      </c>
      <c r="E1291" t="inlineStr">
        <is>
          <t>UPPSALA</t>
        </is>
      </c>
      <c r="F1291" t="inlineStr">
        <is>
          <t>Holmen skog AB</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15233-2020</t>
        </is>
      </c>
      <c r="B1292" s="1" t="n">
        <v>43913</v>
      </c>
      <c r="C1292" s="1" t="n">
        <v>45705</v>
      </c>
      <c r="D1292" t="inlineStr">
        <is>
          <t>UPPSALA LÄN</t>
        </is>
      </c>
      <c r="E1292" t="inlineStr">
        <is>
          <t>TIERP</t>
        </is>
      </c>
      <c r="F1292" t="inlineStr">
        <is>
          <t>Bergvik skog väst AB</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15389-2020</t>
        </is>
      </c>
      <c r="B1293" s="1" t="n">
        <v>43913</v>
      </c>
      <c r="C1293" s="1" t="n">
        <v>45705</v>
      </c>
      <c r="D1293" t="inlineStr">
        <is>
          <t>UPPSALA LÄN</t>
        </is>
      </c>
      <c r="E1293" t="inlineStr">
        <is>
          <t>HEBY</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15805-2020</t>
        </is>
      </c>
      <c r="B1294" s="1" t="n">
        <v>43915</v>
      </c>
      <c r="C1294" s="1" t="n">
        <v>45705</v>
      </c>
      <c r="D1294" t="inlineStr">
        <is>
          <t>UPPSALA LÄN</t>
        </is>
      </c>
      <c r="E1294" t="inlineStr">
        <is>
          <t>HEBY</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16071-2020</t>
        </is>
      </c>
      <c r="B1295" s="1" t="n">
        <v>43916</v>
      </c>
      <c r="C1295" s="1" t="n">
        <v>45705</v>
      </c>
      <c r="D1295" t="inlineStr">
        <is>
          <t>UPPSALA LÄN</t>
        </is>
      </c>
      <c r="E1295" t="inlineStr">
        <is>
          <t>HEBY</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16320-2020</t>
        </is>
      </c>
      <c r="B1296" s="1" t="n">
        <v>43917</v>
      </c>
      <c r="C1296" s="1" t="n">
        <v>45705</v>
      </c>
      <c r="D1296" t="inlineStr">
        <is>
          <t>UPPSALA LÄN</t>
        </is>
      </c>
      <c r="E1296" t="inlineStr">
        <is>
          <t>ENKÖPING</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16758-2020</t>
        </is>
      </c>
      <c r="B1297" s="1" t="n">
        <v>43920</v>
      </c>
      <c r="C1297" s="1" t="n">
        <v>45705</v>
      </c>
      <c r="D1297" t="inlineStr">
        <is>
          <t>UPPSALA LÄN</t>
        </is>
      </c>
      <c r="E1297" t="inlineStr">
        <is>
          <t>HEBY</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17549-2020</t>
        </is>
      </c>
      <c r="B1298" s="1" t="n">
        <v>43920</v>
      </c>
      <c r="C1298" s="1" t="n">
        <v>45705</v>
      </c>
      <c r="D1298" t="inlineStr">
        <is>
          <t>UPPSALA LÄN</t>
        </is>
      </c>
      <c r="E1298" t="inlineStr">
        <is>
          <t>ÖSTHAMMAR</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17468-2020</t>
        </is>
      </c>
      <c r="B1299" s="1" t="n">
        <v>43920</v>
      </c>
      <c r="C1299" s="1" t="n">
        <v>45705</v>
      </c>
      <c r="D1299" t="inlineStr">
        <is>
          <t>UPPSALA LÄN</t>
        </is>
      </c>
      <c r="E1299" t="inlineStr">
        <is>
          <t>HEBY</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17888-2020</t>
        </is>
      </c>
      <c r="B1300" s="1" t="n">
        <v>43924</v>
      </c>
      <c r="C1300" s="1" t="n">
        <v>45705</v>
      </c>
      <c r="D1300" t="inlineStr">
        <is>
          <t>UPPSALA LÄN</t>
        </is>
      </c>
      <c r="E1300" t="inlineStr">
        <is>
          <t>ENKÖPING</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18106-2020</t>
        </is>
      </c>
      <c r="B1301" s="1" t="n">
        <v>43927</v>
      </c>
      <c r="C1301" s="1" t="n">
        <v>45705</v>
      </c>
      <c r="D1301" t="inlineStr">
        <is>
          <t>UPPSALA LÄN</t>
        </is>
      </c>
      <c r="E1301" t="inlineStr">
        <is>
          <t>UPPSALA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18101-2020</t>
        </is>
      </c>
      <c r="B1302" s="1" t="n">
        <v>43927</v>
      </c>
      <c r="C1302" s="1" t="n">
        <v>45705</v>
      </c>
      <c r="D1302" t="inlineStr">
        <is>
          <t>UPPSALA LÄN</t>
        </is>
      </c>
      <c r="E1302" t="inlineStr">
        <is>
          <t>ENKÖPING</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18114-2020</t>
        </is>
      </c>
      <c r="B1303" s="1" t="n">
        <v>43927</v>
      </c>
      <c r="C1303" s="1" t="n">
        <v>45705</v>
      </c>
      <c r="D1303" t="inlineStr">
        <is>
          <t>UPPSALA LÄN</t>
        </is>
      </c>
      <c r="E1303" t="inlineStr">
        <is>
          <t>UPPSALA</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18097-2020</t>
        </is>
      </c>
      <c r="B1304" s="1" t="n">
        <v>43927</v>
      </c>
      <c r="C1304" s="1" t="n">
        <v>45705</v>
      </c>
      <c r="D1304" t="inlineStr">
        <is>
          <t>UPPSALA LÄN</t>
        </is>
      </c>
      <c r="E1304" t="inlineStr">
        <is>
          <t>ENKÖPING</t>
        </is>
      </c>
      <c r="G1304" t="n">
        <v>4.6</v>
      </c>
      <c r="H1304" t="n">
        <v>0</v>
      </c>
      <c r="I1304" t="n">
        <v>0</v>
      </c>
      <c r="J1304" t="n">
        <v>0</v>
      </c>
      <c r="K1304" t="n">
        <v>0</v>
      </c>
      <c r="L1304" t="n">
        <v>0</v>
      </c>
      <c r="M1304" t="n">
        <v>0</v>
      </c>
      <c r="N1304" t="n">
        <v>0</v>
      </c>
      <c r="O1304" t="n">
        <v>0</v>
      </c>
      <c r="P1304" t="n">
        <v>0</v>
      </c>
      <c r="Q1304" t="n">
        <v>0</v>
      </c>
      <c r="R1304" s="2" t="inlineStr"/>
    </row>
    <row r="1305" ht="15" customHeight="1">
      <c r="A1305" t="inlineStr">
        <is>
          <t>A 18489-2020</t>
        </is>
      </c>
      <c r="B1305" s="1" t="n">
        <v>43929</v>
      </c>
      <c r="C1305" s="1" t="n">
        <v>45705</v>
      </c>
      <c r="D1305" t="inlineStr">
        <is>
          <t>UPPSALA LÄN</t>
        </is>
      </c>
      <c r="E1305" t="inlineStr">
        <is>
          <t>ENKÖPING</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18486-2020</t>
        </is>
      </c>
      <c r="B1306" s="1" t="n">
        <v>43929</v>
      </c>
      <c r="C1306" s="1" t="n">
        <v>45705</v>
      </c>
      <c r="D1306" t="inlineStr">
        <is>
          <t>UPPSALA LÄN</t>
        </is>
      </c>
      <c r="E1306" t="inlineStr">
        <is>
          <t>ENKÖPING</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18469-2020</t>
        </is>
      </c>
      <c r="B1307" s="1" t="n">
        <v>43929</v>
      </c>
      <c r="C1307" s="1" t="n">
        <v>45705</v>
      </c>
      <c r="D1307" t="inlineStr">
        <is>
          <t>UPPSALA LÄN</t>
        </is>
      </c>
      <c r="E1307" t="inlineStr">
        <is>
          <t>UPPSALA</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18774-2020</t>
        </is>
      </c>
      <c r="B1308" s="1" t="n">
        <v>43930</v>
      </c>
      <c r="C1308" s="1" t="n">
        <v>45705</v>
      </c>
      <c r="D1308" t="inlineStr">
        <is>
          <t>UPPSALA LÄN</t>
        </is>
      </c>
      <c r="E1308" t="inlineStr">
        <is>
          <t>TIERP</t>
        </is>
      </c>
      <c r="F1308" t="inlineStr">
        <is>
          <t>Bergvik skog väst AB</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19556-2020</t>
        </is>
      </c>
      <c r="B1309" s="1" t="n">
        <v>43936</v>
      </c>
      <c r="C1309" s="1" t="n">
        <v>45705</v>
      </c>
      <c r="D1309" t="inlineStr">
        <is>
          <t>UPPSALA LÄN</t>
        </is>
      </c>
      <c r="E1309" t="inlineStr">
        <is>
          <t>ÖSTHAMMAR</t>
        </is>
      </c>
      <c r="G1309" t="n">
        <v>6.3</v>
      </c>
      <c r="H1309" t="n">
        <v>0</v>
      </c>
      <c r="I1309" t="n">
        <v>0</v>
      </c>
      <c r="J1309" t="n">
        <v>0</v>
      </c>
      <c r="K1309" t="n">
        <v>0</v>
      </c>
      <c r="L1309" t="n">
        <v>0</v>
      </c>
      <c r="M1309" t="n">
        <v>0</v>
      </c>
      <c r="N1309" t="n">
        <v>0</v>
      </c>
      <c r="O1309" t="n">
        <v>0</v>
      </c>
      <c r="P1309" t="n">
        <v>0</v>
      </c>
      <c r="Q1309" t="n">
        <v>0</v>
      </c>
      <c r="R1309" s="2" t="inlineStr"/>
    </row>
    <row r="1310" ht="15" customHeight="1">
      <c r="A1310" t="inlineStr">
        <is>
          <t>A 19136-2020</t>
        </is>
      </c>
      <c r="B1310" s="1" t="n">
        <v>43936</v>
      </c>
      <c r="C1310" s="1" t="n">
        <v>45705</v>
      </c>
      <c r="D1310" t="inlineStr">
        <is>
          <t>UPPSALA LÄN</t>
        </is>
      </c>
      <c r="E1310" t="inlineStr">
        <is>
          <t>TIERP</t>
        </is>
      </c>
      <c r="F1310" t="inlineStr">
        <is>
          <t>Bergvik skog väst AB</t>
        </is>
      </c>
      <c r="G1310" t="n">
        <v>6.2</v>
      </c>
      <c r="H1310" t="n">
        <v>0</v>
      </c>
      <c r="I1310" t="n">
        <v>0</v>
      </c>
      <c r="J1310" t="n">
        <v>0</v>
      </c>
      <c r="K1310" t="n">
        <v>0</v>
      </c>
      <c r="L1310" t="n">
        <v>0</v>
      </c>
      <c r="M1310" t="n">
        <v>0</v>
      </c>
      <c r="N1310" t="n">
        <v>0</v>
      </c>
      <c r="O1310" t="n">
        <v>0</v>
      </c>
      <c r="P1310" t="n">
        <v>0</v>
      </c>
      <c r="Q1310" t="n">
        <v>0</v>
      </c>
      <c r="R1310" s="2" t="inlineStr"/>
    </row>
    <row r="1311" ht="15" customHeight="1">
      <c r="A1311" t="inlineStr">
        <is>
          <t>A 19210-2020</t>
        </is>
      </c>
      <c r="B1311" s="1" t="n">
        <v>43937</v>
      </c>
      <c r="C1311" s="1" t="n">
        <v>45705</v>
      </c>
      <c r="D1311" t="inlineStr">
        <is>
          <t>UPPSALA LÄN</t>
        </is>
      </c>
      <c r="E1311" t="inlineStr">
        <is>
          <t>UPPSALA</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19332-2020</t>
        </is>
      </c>
      <c r="B1312" s="1" t="n">
        <v>43938</v>
      </c>
      <c r="C1312" s="1" t="n">
        <v>45705</v>
      </c>
      <c r="D1312" t="inlineStr">
        <is>
          <t>UPPSALA LÄN</t>
        </is>
      </c>
      <c r="E1312" t="inlineStr">
        <is>
          <t>TIERP</t>
        </is>
      </c>
      <c r="F1312" t="inlineStr">
        <is>
          <t>Bergvik skog väst AB</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19499-2020</t>
        </is>
      </c>
      <c r="B1313" s="1" t="n">
        <v>43938</v>
      </c>
      <c r="C1313" s="1" t="n">
        <v>45705</v>
      </c>
      <c r="D1313" t="inlineStr">
        <is>
          <t>UPPSALA LÄN</t>
        </is>
      </c>
      <c r="E1313" t="inlineStr">
        <is>
          <t>ENKÖPING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19463-2020</t>
        </is>
      </c>
      <c r="B1314" s="1" t="n">
        <v>43938</v>
      </c>
      <c r="C1314" s="1" t="n">
        <v>45705</v>
      </c>
      <c r="D1314" t="inlineStr">
        <is>
          <t>UPPSALA LÄN</t>
        </is>
      </c>
      <c r="E1314" t="inlineStr">
        <is>
          <t>ENKÖPING</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19914-2020</t>
        </is>
      </c>
      <c r="B1315" s="1" t="n">
        <v>43943</v>
      </c>
      <c r="C1315" s="1" t="n">
        <v>45705</v>
      </c>
      <c r="D1315" t="inlineStr">
        <is>
          <t>UPPSALA LÄN</t>
        </is>
      </c>
      <c r="E1315" t="inlineStr">
        <is>
          <t>HEBY</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20175-2020</t>
        </is>
      </c>
      <c r="B1316" s="1" t="n">
        <v>43944</v>
      </c>
      <c r="C1316" s="1" t="n">
        <v>45705</v>
      </c>
      <c r="D1316" t="inlineStr">
        <is>
          <t>UPPSALA LÄN</t>
        </is>
      </c>
      <c r="E1316" t="inlineStr">
        <is>
          <t>HEBY</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20218-2020</t>
        </is>
      </c>
      <c r="B1317" s="1" t="n">
        <v>43944</v>
      </c>
      <c r="C1317" s="1" t="n">
        <v>45705</v>
      </c>
      <c r="D1317" t="inlineStr">
        <is>
          <t>UPPSALA LÄN</t>
        </is>
      </c>
      <c r="E1317" t="inlineStr">
        <is>
          <t>UPPSALA</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20395-2020</t>
        </is>
      </c>
      <c r="B1318" s="1" t="n">
        <v>43945</v>
      </c>
      <c r="C1318" s="1" t="n">
        <v>45705</v>
      </c>
      <c r="D1318" t="inlineStr">
        <is>
          <t>UPPSALA LÄN</t>
        </is>
      </c>
      <c r="E1318" t="inlineStr">
        <is>
          <t>KNIVSTA</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20286-2020</t>
        </is>
      </c>
      <c r="B1319" s="1" t="n">
        <v>43945</v>
      </c>
      <c r="C1319" s="1" t="n">
        <v>45705</v>
      </c>
      <c r="D1319" t="inlineStr">
        <is>
          <t>UPPSALA LÄN</t>
        </is>
      </c>
      <c r="E1319" t="inlineStr">
        <is>
          <t>ENKÖPING</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20552-2020</t>
        </is>
      </c>
      <c r="B1320" s="1" t="n">
        <v>43948</v>
      </c>
      <c r="C1320" s="1" t="n">
        <v>45705</v>
      </c>
      <c r="D1320" t="inlineStr">
        <is>
          <t>UPPSALA LÄN</t>
        </is>
      </c>
      <c r="E1320" t="inlineStr">
        <is>
          <t>ENKÖPING</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20506-2020</t>
        </is>
      </c>
      <c r="B1321" s="1" t="n">
        <v>43948</v>
      </c>
      <c r="C1321" s="1" t="n">
        <v>45705</v>
      </c>
      <c r="D1321" t="inlineStr">
        <is>
          <t>UPPSALA LÄN</t>
        </is>
      </c>
      <c r="E1321" t="inlineStr">
        <is>
          <t>UPPSALA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20490-2020</t>
        </is>
      </c>
      <c r="B1322" s="1" t="n">
        <v>43948</v>
      </c>
      <c r="C1322" s="1" t="n">
        <v>45705</v>
      </c>
      <c r="D1322" t="inlineStr">
        <is>
          <t>UPPSALA LÄN</t>
        </is>
      </c>
      <c r="E1322" t="inlineStr">
        <is>
          <t>UPPSALA</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20877-2020</t>
        </is>
      </c>
      <c r="B1323" s="1" t="n">
        <v>43950</v>
      </c>
      <c r="C1323" s="1" t="n">
        <v>45705</v>
      </c>
      <c r="D1323" t="inlineStr">
        <is>
          <t>UPPSALA LÄN</t>
        </is>
      </c>
      <c r="E1323" t="inlineStr">
        <is>
          <t>HEBY</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20928-2020</t>
        </is>
      </c>
      <c r="B1324" s="1" t="n">
        <v>43950</v>
      </c>
      <c r="C1324" s="1" t="n">
        <v>45705</v>
      </c>
      <c r="D1324" t="inlineStr">
        <is>
          <t>UPPSALA LÄN</t>
        </is>
      </c>
      <c r="E1324" t="inlineStr">
        <is>
          <t>HEBY</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20960-2020</t>
        </is>
      </c>
      <c r="B1325" s="1" t="n">
        <v>43950</v>
      </c>
      <c r="C1325" s="1" t="n">
        <v>45705</v>
      </c>
      <c r="D1325" t="inlineStr">
        <is>
          <t>UPPSALA LÄN</t>
        </is>
      </c>
      <c r="E1325" t="inlineStr">
        <is>
          <t>UPPSALA</t>
        </is>
      </c>
      <c r="F1325" t="inlineStr">
        <is>
          <t>Holmen skog AB</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21573-2020</t>
        </is>
      </c>
      <c r="B1326" s="1" t="n">
        <v>43956</v>
      </c>
      <c r="C1326" s="1" t="n">
        <v>45705</v>
      </c>
      <c r="D1326" t="inlineStr">
        <is>
          <t>UPPSALA LÄN</t>
        </is>
      </c>
      <c r="E1326" t="inlineStr">
        <is>
          <t>ENKÖPING</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21466-2020</t>
        </is>
      </c>
      <c r="B1327" s="1" t="n">
        <v>43956</v>
      </c>
      <c r="C1327" s="1" t="n">
        <v>45705</v>
      </c>
      <c r="D1327" t="inlineStr">
        <is>
          <t>UPPSALA LÄN</t>
        </is>
      </c>
      <c r="E1327" t="inlineStr">
        <is>
          <t>HEBY</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21651-2020</t>
        </is>
      </c>
      <c r="B1328" s="1" t="n">
        <v>43957</v>
      </c>
      <c r="C1328" s="1" t="n">
        <v>45705</v>
      </c>
      <c r="D1328" t="inlineStr">
        <is>
          <t>UPPSALA LÄN</t>
        </is>
      </c>
      <c r="E1328" t="inlineStr">
        <is>
          <t>ENKÖPING</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21730-2020</t>
        </is>
      </c>
      <c r="B1329" s="1" t="n">
        <v>43957</v>
      </c>
      <c r="C1329" s="1" t="n">
        <v>45705</v>
      </c>
      <c r="D1329" t="inlineStr">
        <is>
          <t>UPPSALA LÄN</t>
        </is>
      </c>
      <c r="E1329" t="inlineStr">
        <is>
          <t>TIERP</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21666-2020</t>
        </is>
      </c>
      <c r="B1330" s="1" t="n">
        <v>43957</v>
      </c>
      <c r="C1330" s="1" t="n">
        <v>45705</v>
      </c>
      <c r="D1330" t="inlineStr">
        <is>
          <t>UPPSALA LÄN</t>
        </is>
      </c>
      <c r="E1330" t="inlineStr">
        <is>
          <t>ENKÖPING</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21708-2020</t>
        </is>
      </c>
      <c r="B1331" s="1" t="n">
        <v>43957</v>
      </c>
      <c r="C1331" s="1" t="n">
        <v>45705</v>
      </c>
      <c r="D1331" t="inlineStr">
        <is>
          <t>UPPSALA LÄN</t>
        </is>
      </c>
      <c r="E1331" t="inlineStr">
        <is>
          <t>HÅBO</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21896-2020</t>
        </is>
      </c>
      <c r="B1332" s="1" t="n">
        <v>43958</v>
      </c>
      <c r="C1332" s="1" t="n">
        <v>45705</v>
      </c>
      <c r="D1332" t="inlineStr">
        <is>
          <t>UPPSALA LÄN</t>
        </is>
      </c>
      <c r="E1332" t="inlineStr">
        <is>
          <t>ENKÖPING</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21916-2020</t>
        </is>
      </c>
      <c r="B1333" s="1" t="n">
        <v>43958</v>
      </c>
      <c r="C1333" s="1" t="n">
        <v>45705</v>
      </c>
      <c r="D1333" t="inlineStr">
        <is>
          <t>UPPSALA LÄN</t>
        </is>
      </c>
      <c r="E1333" t="inlineStr">
        <is>
          <t>HEBY</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21814-2020</t>
        </is>
      </c>
      <c r="B1334" s="1" t="n">
        <v>43958</v>
      </c>
      <c r="C1334" s="1" t="n">
        <v>45705</v>
      </c>
      <c r="D1334" t="inlineStr">
        <is>
          <t>UPPSALA LÄN</t>
        </is>
      </c>
      <c r="E1334" t="inlineStr">
        <is>
          <t>TIERP</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21973-2020</t>
        </is>
      </c>
      <c r="B1335" s="1" t="n">
        <v>43959</v>
      </c>
      <c r="C1335" s="1" t="n">
        <v>45705</v>
      </c>
      <c r="D1335" t="inlineStr">
        <is>
          <t>UPPSALA LÄN</t>
        </is>
      </c>
      <c r="E1335" t="inlineStr">
        <is>
          <t>HEBY</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22056-2020</t>
        </is>
      </c>
      <c r="B1336" s="1" t="n">
        <v>43959</v>
      </c>
      <c r="C1336" s="1" t="n">
        <v>45705</v>
      </c>
      <c r="D1336" t="inlineStr">
        <is>
          <t>UPPSALA LÄN</t>
        </is>
      </c>
      <c r="E1336" t="inlineStr">
        <is>
          <t>HEBY</t>
        </is>
      </c>
      <c r="F1336" t="inlineStr">
        <is>
          <t>Bergvik skog väst AB</t>
        </is>
      </c>
      <c r="G1336" t="n">
        <v>6.7</v>
      </c>
      <c r="H1336" t="n">
        <v>0</v>
      </c>
      <c r="I1336" t="n">
        <v>0</v>
      </c>
      <c r="J1336" t="n">
        <v>0</v>
      </c>
      <c r="K1336" t="n">
        <v>0</v>
      </c>
      <c r="L1336" t="n">
        <v>0</v>
      </c>
      <c r="M1336" t="n">
        <v>0</v>
      </c>
      <c r="N1336" t="n">
        <v>0</v>
      </c>
      <c r="O1336" t="n">
        <v>0</v>
      </c>
      <c r="P1336" t="n">
        <v>0</v>
      </c>
      <c r="Q1336" t="n">
        <v>0</v>
      </c>
      <c r="R1336" s="2" t="inlineStr"/>
    </row>
    <row r="1337" ht="15" customHeight="1">
      <c r="A1337" t="inlineStr">
        <is>
          <t>A 22152-2020</t>
        </is>
      </c>
      <c r="B1337" s="1" t="n">
        <v>43962</v>
      </c>
      <c r="C1337" s="1" t="n">
        <v>45705</v>
      </c>
      <c r="D1337" t="inlineStr">
        <is>
          <t>UPPSALA LÄN</t>
        </is>
      </c>
      <c r="E1337" t="inlineStr">
        <is>
          <t>HEBY</t>
        </is>
      </c>
      <c r="G1337" t="n">
        <v>10.8</v>
      </c>
      <c r="H1337" t="n">
        <v>0</v>
      </c>
      <c r="I1337" t="n">
        <v>0</v>
      </c>
      <c r="J1337" t="n">
        <v>0</v>
      </c>
      <c r="K1337" t="n">
        <v>0</v>
      </c>
      <c r="L1337" t="n">
        <v>0</v>
      </c>
      <c r="M1337" t="n">
        <v>0</v>
      </c>
      <c r="N1337" t="n">
        <v>0</v>
      </c>
      <c r="O1337" t="n">
        <v>0</v>
      </c>
      <c r="P1337" t="n">
        <v>0</v>
      </c>
      <c r="Q1337" t="n">
        <v>0</v>
      </c>
      <c r="R1337" s="2" t="inlineStr"/>
    </row>
    <row r="1338" ht="15" customHeight="1">
      <c r="A1338" t="inlineStr">
        <is>
          <t>A 22763-2020</t>
        </is>
      </c>
      <c r="B1338" s="1" t="n">
        <v>43963</v>
      </c>
      <c r="C1338" s="1" t="n">
        <v>45705</v>
      </c>
      <c r="D1338" t="inlineStr">
        <is>
          <t>UPPSALA LÄN</t>
        </is>
      </c>
      <c r="E1338" t="inlineStr">
        <is>
          <t>TIERP</t>
        </is>
      </c>
      <c r="F1338" t="inlineStr">
        <is>
          <t>Kommuner</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22737-2020</t>
        </is>
      </c>
      <c r="B1339" s="1" t="n">
        <v>43963</v>
      </c>
      <c r="C1339" s="1" t="n">
        <v>45705</v>
      </c>
      <c r="D1339" t="inlineStr">
        <is>
          <t>UPPSALA LÄN</t>
        </is>
      </c>
      <c r="E1339" t="inlineStr">
        <is>
          <t>HEBY</t>
        </is>
      </c>
      <c r="G1339" t="n">
        <v>5.6</v>
      </c>
      <c r="H1339" t="n">
        <v>0</v>
      </c>
      <c r="I1339" t="n">
        <v>0</v>
      </c>
      <c r="J1339" t="n">
        <v>0</v>
      </c>
      <c r="K1339" t="n">
        <v>0</v>
      </c>
      <c r="L1339" t="n">
        <v>0</v>
      </c>
      <c r="M1339" t="n">
        <v>0</v>
      </c>
      <c r="N1339" t="n">
        <v>0</v>
      </c>
      <c r="O1339" t="n">
        <v>0</v>
      </c>
      <c r="P1339" t="n">
        <v>0</v>
      </c>
      <c r="Q1339" t="n">
        <v>0</v>
      </c>
      <c r="R1339" s="2" t="inlineStr"/>
    </row>
    <row r="1340" ht="15" customHeight="1">
      <c r="A1340" t="inlineStr">
        <is>
          <t>A 22772-2020</t>
        </is>
      </c>
      <c r="B1340" s="1" t="n">
        <v>43964</v>
      </c>
      <c r="C1340" s="1" t="n">
        <v>45705</v>
      </c>
      <c r="D1340" t="inlineStr">
        <is>
          <t>UPPSALA LÄN</t>
        </is>
      </c>
      <c r="E1340" t="inlineStr">
        <is>
          <t>ENKÖPING</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22802-2020</t>
        </is>
      </c>
      <c r="B1341" s="1" t="n">
        <v>43964</v>
      </c>
      <c r="C1341" s="1" t="n">
        <v>45705</v>
      </c>
      <c r="D1341" t="inlineStr">
        <is>
          <t>UPPSALA LÄN</t>
        </is>
      </c>
      <c r="E1341" t="inlineStr">
        <is>
          <t>TIERP</t>
        </is>
      </c>
      <c r="F1341" t="inlineStr">
        <is>
          <t>Bergvik skog öst AB</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22816-2020</t>
        </is>
      </c>
      <c r="B1342" s="1" t="n">
        <v>43964</v>
      </c>
      <c r="C1342" s="1" t="n">
        <v>45705</v>
      </c>
      <c r="D1342" t="inlineStr">
        <is>
          <t>UPPSALA LÄN</t>
        </is>
      </c>
      <c r="E1342" t="inlineStr">
        <is>
          <t>ENKÖPING</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22970-2020</t>
        </is>
      </c>
      <c r="B1343" s="1" t="n">
        <v>43965</v>
      </c>
      <c r="C1343" s="1" t="n">
        <v>45705</v>
      </c>
      <c r="D1343" t="inlineStr">
        <is>
          <t>UPPSALA LÄN</t>
        </is>
      </c>
      <c r="E1343" t="inlineStr">
        <is>
          <t>ENKÖPING</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22961-2020</t>
        </is>
      </c>
      <c r="B1344" s="1" t="n">
        <v>43965</v>
      </c>
      <c r="C1344" s="1" t="n">
        <v>45705</v>
      </c>
      <c r="D1344" t="inlineStr">
        <is>
          <t>UPPSALA LÄN</t>
        </is>
      </c>
      <c r="E1344" t="inlineStr">
        <is>
          <t>TIERP</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23621-2020</t>
        </is>
      </c>
      <c r="B1345" s="1" t="n">
        <v>43969</v>
      </c>
      <c r="C1345" s="1" t="n">
        <v>45705</v>
      </c>
      <c r="D1345" t="inlineStr">
        <is>
          <t>UPPSALA LÄN</t>
        </is>
      </c>
      <c r="E1345" t="inlineStr">
        <is>
          <t>ÖSTHAMMAR</t>
        </is>
      </c>
      <c r="F1345" t="inlineStr">
        <is>
          <t>Bergvik skog väst AB</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23782-2020</t>
        </is>
      </c>
      <c r="B1346" s="1" t="n">
        <v>43970</v>
      </c>
      <c r="C1346" s="1" t="n">
        <v>45705</v>
      </c>
      <c r="D1346" t="inlineStr">
        <is>
          <t>UPPSALA LÄN</t>
        </is>
      </c>
      <c r="E1346" t="inlineStr">
        <is>
          <t>ENKÖPING</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23809-2020</t>
        </is>
      </c>
      <c r="B1347" s="1" t="n">
        <v>43970</v>
      </c>
      <c r="C1347" s="1" t="n">
        <v>45705</v>
      </c>
      <c r="D1347" t="inlineStr">
        <is>
          <t>UPPSALA LÄN</t>
        </is>
      </c>
      <c r="E1347" t="inlineStr">
        <is>
          <t>ENKÖPING</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23808-2020</t>
        </is>
      </c>
      <c r="B1348" s="1" t="n">
        <v>43970</v>
      </c>
      <c r="C1348" s="1" t="n">
        <v>45705</v>
      </c>
      <c r="D1348" t="inlineStr">
        <is>
          <t>UPPSALA LÄN</t>
        </is>
      </c>
      <c r="E1348" t="inlineStr">
        <is>
          <t>ENKÖPING</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23906-2020</t>
        </is>
      </c>
      <c r="B1349" s="1" t="n">
        <v>43971</v>
      </c>
      <c r="C1349" s="1" t="n">
        <v>45705</v>
      </c>
      <c r="D1349" t="inlineStr">
        <is>
          <t>UPPSALA LÄN</t>
        </is>
      </c>
      <c r="E1349" t="inlineStr">
        <is>
          <t>HÅBO</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24300-2020</t>
        </is>
      </c>
      <c r="B1350" s="1" t="n">
        <v>43973</v>
      </c>
      <c r="C1350" s="1" t="n">
        <v>45705</v>
      </c>
      <c r="D1350" t="inlineStr">
        <is>
          <t>UPPSALA LÄN</t>
        </is>
      </c>
      <c r="E1350" t="inlineStr">
        <is>
          <t>UPPSALA</t>
        </is>
      </c>
      <c r="F1350" t="inlineStr">
        <is>
          <t>Övriga Aktiebolag</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24287-2020</t>
        </is>
      </c>
      <c r="B1351" s="1" t="n">
        <v>43976</v>
      </c>
      <c r="C1351" s="1" t="n">
        <v>45705</v>
      </c>
      <c r="D1351" t="inlineStr">
        <is>
          <t>UPPSALA LÄN</t>
        </is>
      </c>
      <c r="E1351" t="inlineStr">
        <is>
          <t>UPPSALA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24476-2020</t>
        </is>
      </c>
      <c r="B1352" s="1" t="n">
        <v>43977</v>
      </c>
      <c r="C1352" s="1" t="n">
        <v>45705</v>
      </c>
      <c r="D1352" t="inlineStr">
        <is>
          <t>UPPSALA LÄN</t>
        </is>
      </c>
      <c r="E1352" t="inlineStr">
        <is>
          <t>ENKÖPING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24496-2020</t>
        </is>
      </c>
      <c r="B1353" s="1" t="n">
        <v>43977</v>
      </c>
      <c r="C1353" s="1" t="n">
        <v>45705</v>
      </c>
      <c r="D1353" t="inlineStr">
        <is>
          <t>UPPSALA LÄN</t>
        </is>
      </c>
      <c r="E1353" t="inlineStr">
        <is>
          <t>ENKÖPING</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25081-2020</t>
        </is>
      </c>
      <c r="B1354" s="1" t="n">
        <v>43979</v>
      </c>
      <c r="C1354" s="1" t="n">
        <v>45705</v>
      </c>
      <c r="D1354" t="inlineStr">
        <is>
          <t>UPPSALA LÄN</t>
        </is>
      </c>
      <c r="E1354" t="inlineStr">
        <is>
          <t>ENKÖPING</t>
        </is>
      </c>
      <c r="G1354" t="n">
        <v>5.5</v>
      </c>
      <c r="H1354" t="n">
        <v>0</v>
      </c>
      <c r="I1354" t="n">
        <v>0</v>
      </c>
      <c r="J1354" t="n">
        <v>0</v>
      </c>
      <c r="K1354" t="n">
        <v>0</v>
      </c>
      <c r="L1354" t="n">
        <v>0</v>
      </c>
      <c r="M1354" t="n">
        <v>0</v>
      </c>
      <c r="N1354" t="n">
        <v>0</v>
      </c>
      <c r="O1354" t="n">
        <v>0</v>
      </c>
      <c r="P1354" t="n">
        <v>0</v>
      </c>
      <c r="Q1354" t="n">
        <v>0</v>
      </c>
      <c r="R1354" s="2" t="inlineStr"/>
    </row>
    <row r="1355" ht="15" customHeight="1">
      <c r="A1355" t="inlineStr">
        <is>
          <t>A 25588-2020</t>
        </is>
      </c>
      <c r="B1355" s="1" t="n">
        <v>43983</v>
      </c>
      <c r="C1355" s="1" t="n">
        <v>45705</v>
      </c>
      <c r="D1355" t="inlineStr">
        <is>
          <t>UPPSALA LÄN</t>
        </is>
      </c>
      <c r="E1355" t="inlineStr">
        <is>
          <t>HEBY</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25544-2020</t>
        </is>
      </c>
      <c r="B1356" s="1" t="n">
        <v>43983</v>
      </c>
      <c r="C1356" s="1" t="n">
        <v>45705</v>
      </c>
      <c r="D1356" t="inlineStr">
        <is>
          <t>UPPSALA LÄN</t>
        </is>
      </c>
      <c r="E1356" t="inlineStr">
        <is>
          <t>HEBY</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25641-2020</t>
        </is>
      </c>
      <c r="B1357" s="1" t="n">
        <v>43983</v>
      </c>
      <c r="C1357" s="1" t="n">
        <v>45705</v>
      </c>
      <c r="D1357" t="inlineStr">
        <is>
          <t>UPPSALA LÄN</t>
        </is>
      </c>
      <c r="E1357" t="inlineStr">
        <is>
          <t>TIERP</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25658-2020</t>
        </is>
      </c>
      <c r="B1358" s="1" t="n">
        <v>43983</v>
      </c>
      <c r="C1358" s="1" t="n">
        <v>45705</v>
      </c>
      <c r="D1358" t="inlineStr">
        <is>
          <t>UPPSALA LÄN</t>
        </is>
      </c>
      <c r="E1358" t="inlineStr">
        <is>
          <t>KNIVSTA</t>
        </is>
      </c>
      <c r="G1358" t="n">
        <v>15.2</v>
      </c>
      <c r="H1358" t="n">
        <v>0</v>
      </c>
      <c r="I1358" t="n">
        <v>0</v>
      </c>
      <c r="J1358" t="n">
        <v>0</v>
      </c>
      <c r="K1358" t="n">
        <v>0</v>
      </c>
      <c r="L1358" t="n">
        <v>0</v>
      </c>
      <c r="M1358" t="n">
        <v>0</v>
      </c>
      <c r="N1358" t="n">
        <v>0</v>
      </c>
      <c r="O1358" t="n">
        <v>0</v>
      </c>
      <c r="P1358" t="n">
        <v>0</v>
      </c>
      <c r="Q1358" t="n">
        <v>0</v>
      </c>
      <c r="R1358" s="2" t="inlineStr"/>
    </row>
    <row r="1359" ht="15" customHeight="1">
      <c r="A1359" t="inlineStr">
        <is>
          <t>A 25687-2020</t>
        </is>
      </c>
      <c r="B1359" s="1" t="n">
        <v>43984</v>
      </c>
      <c r="C1359" s="1" t="n">
        <v>45705</v>
      </c>
      <c r="D1359" t="inlineStr">
        <is>
          <t>UPPSALA LÄN</t>
        </is>
      </c>
      <c r="E1359" t="inlineStr">
        <is>
          <t>HEBY</t>
        </is>
      </c>
      <c r="F1359" t="inlineStr">
        <is>
          <t>Bergvik skog väst AB</t>
        </is>
      </c>
      <c r="G1359" t="n">
        <v>13.6</v>
      </c>
      <c r="H1359" t="n">
        <v>0</v>
      </c>
      <c r="I1359" t="n">
        <v>0</v>
      </c>
      <c r="J1359" t="n">
        <v>0</v>
      </c>
      <c r="K1359" t="n">
        <v>0</v>
      </c>
      <c r="L1359" t="n">
        <v>0</v>
      </c>
      <c r="M1359" t="n">
        <v>0</v>
      </c>
      <c r="N1359" t="n">
        <v>0</v>
      </c>
      <c r="O1359" t="n">
        <v>0</v>
      </c>
      <c r="P1359" t="n">
        <v>0</v>
      </c>
      <c r="Q1359" t="n">
        <v>0</v>
      </c>
      <c r="R1359" s="2" t="inlineStr"/>
    </row>
    <row r="1360" ht="15" customHeight="1">
      <c r="A1360" t="inlineStr">
        <is>
          <t>A 25798-2020</t>
        </is>
      </c>
      <c r="B1360" s="1" t="n">
        <v>43984</v>
      </c>
      <c r="C1360" s="1" t="n">
        <v>45705</v>
      </c>
      <c r="D1360" t="inlineStr">
        <is>
          <t>UPPSALA LÄN</t>
        </is>
      </c>
      <c r="E1360" t="inlineStr">
        <is>
          <t>UPPSALA</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25895-2020</t>
        </is>
      </c>
      <c r="B1361" s="1" t="n">
        <v>43984</v>
      </c>
      <c r="C1361" s="1" t="n">
        <v>45705</v>
      </c>
      <c r="D1361" t="inlineStr">
        <is>
          <t>UPPSALA LÄN</t>
        </is>
      </c>
      <c r="E1361" t="inlineStr">
        <is>
          <t>ENKÖPING</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26090-2020</t>
        </is>
      </c>
      <c r="B1362" s="1" t="n">
        <v>43985</v>
      </c>
      <c r="C1362" s="1" t="n">
        <v>45705</v>
      </c>
      <c r="D1362" t="inlineStr">
        <is>
          <t>UPPSALA LÄN</t>
        </is>
      </c>
      <c r="E1362" t="inlineStr">
        <is>
          <t>TIERP</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26101-2020</t>
        </is>
      </c>
      <c r="B1363" s="1" t="n">
        <v>43985</v>
      </c>
      <c r="C1363" s="1" t="n">
        <v>45705</v>
      </c>
      <c r="D1363" t="inlineStr">
        <is>
          <t>UPPSALA LÄN</t>
        </is>
      </c>
      <c r="E1363" t="inlineStr">
        <is>
          <t>TIERP</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26032-2020</t>
        </is>
      </c>
      <c r="B1364" s="1" t="n">
        <v>43985</v>
      </c>
      <c r="C1364" s="1" t="n">
        <v>45705</v>
      </c>
      <c r="D1364" t="inlineStr">
        <is>
          <t>UPPSALA LÄN</t>
        </is>
      </c>
      <c r="E1364" t="inlineStr">
        <is>
          <t>ENKÖPING</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26095-2020</t>
        </is>
      </c>
      <c r="B1365" s="1" t="n">
        <v>43985</v>
      </c>
      <c r="C1365" s="1" t="n">
        <v>45705</v>
      </c>
      <c r="D1365" t="inlineStr">
        <is>
          <t>UPPSALA LÄN</t>
        </is>
      </c>
      <c r="E1365" t="inlineStr">
        <is>
          <t>TIERP</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26151-2020</t>
        </is>
      </c>
      <c r="B1366" s="1" t="n">
        <v>43985</v>
      </c>
      <c r="C1366" s="1" t="n">
        <v>45705</v>
      </c>
      <c r="D1366" t="inlineStr">
        <is>
          <t>UPPSALA LÄN</t>
        </is>
      </c>
      <c r="E1366" t="inlineStr">
        <is>
          <t>ENKÖPING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26198-2020</t>
        </is>
      </c>
      <c r="B1367" s="1" t="n">
        <v>43986</v>
      </c>
      <c r="C1367" s="1" t="n">
        <v>45705</v>
      </c>
      <c r="D1367" t="inlineStr">
        <is>
          <t>UPPSALA LÄN</t>
        </is>
      </c>
      <c r="E1367" t="inlineStr">
        <is>
          <t>ÖSTHAMMAR</t>
        </is>
      </c>
      <c r="F1367" t="inlineStr">
        <is>
          <t>Bergvik skog öst AB</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26389-2020</t>
        </is>
      </c>
      <c r="B1368" s="1" t="n">
        <v>43987</v>
      </c>
      <c r="C1368" s="1" t="n">
        <v>45705</v>
      </c>
      <c r="D1368" t="inlineStr">
        <is>
          <t>UPPSALA LÄN</t>
        </is>
      </c>
      <c r="E1368" t="inlineStr">
        <is>
          <t>HEBY</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26488-2020</t>
        </is>
      </c>
      <c r="B1369" s="1" t="n">
        <v>43987</v>
      </c>
      <c r="C1369" s="1" t="n">
        <v>45705</v>
      </c>
      <c r="D1369" t="inlineStr">
        <is>
          <t>UPPSALA LÄN</t>
        </is>
      </c>
      <c r="E1369" t="inlineStr">
        <is>
          <t>UPPSALA</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26492-2020</t>
        </is>
      </c>
      <c r="B1370" s="1" t="n">
        <v>43987</v>
      </c>
      <c r="C1370" s="1" t="n">
        <v>45705</v>
      </c>
      <c r="D1370" t="inlineStr">
        <is>
          <t>UPPSALA LÄN</t>
        </is>
      </c>
      <c r="E1370" t="inlineStr">
        <is>
          <t>UPPSALA</t>
        </is>
      </c>
      <c r="G1370" t="n">
        <v>9.5</v>
      </c>
      <c r="H1370" t="n">
        <v>0</v>
      </c>
      <c r="I1370" t="n">
        <v>0</v>
      </c>
      <c r="J1370" t="n">
        <v>0</v>
      </c>
      <c r="K1370" t="n">
        <v>0</v>
      </c>
      <c r="L1370" t="n">
        <v>0</v>
      </c>
      <c r="M1370" t="n">
        <v>0</v>
      </c>
      <c r="N1370" t="n">
        <v>0</v>
      </c>
      <c r="O1370" t="n">
        <v>0</v>
      </c>
      <c r="P1370" t="n">
        <v>0</v>
      </c>
      <c r="Q1370" t="n">
        <v>0</v>
      </c>
      <c r="R1370" s="2" t="inlineStr"/>
    </row>
    <row r="1371" ht="15" customHeight="1">
      <c r="A1371" t="inlineStr">
        <is>
          <t>A 26856-2020</t>
        </is>
      </c>
      <c r="B1371" s="1" t="n">
        <v>43990</v>
      </c>
      <c r="C1371" s="1" t="n">
        <v>45705</v>
      </c>
      <c r="D1371" t="inlineStr">
        <is>
          <t>UPPSALA LÄN</t>
        </is>
      </c>
      <c r="E1371" t="inlineStr">
        <is>
          <t>UPPSALA</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26860-2020</t>
        </is>
      </c>
      <c r="B1372" s="1" t="n">
        <v>43990</v>
      </c>
      <c r="C1372" s="1" t="n">
        <v>45705</v>
      </c>
      <c r="D1372" t="inlineStr">
        <is>
          <t>UPPSALA LÄN</t>
        </is>
      </c>
      <c r="E1372" t="inlineStr">
        <is>
          <t>ENKÖPING</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27462-2020</t>
        </is>
      </c>
      <c r="B1373" s="1" t="n">
        <v>43993</v>
      </c>
      <c r="C1373" s="1" t="n">
        <v>45705</v>
      </c>
      <c r="D1373" t="inlineStr">
        <is>
          <t>UPPSALA LÄN</t>
        </is>
      </c>
      <c r="E1373" t="inlineStr">
        <is>
          <t>TIERP</t>
        </is>
      </c>
      <c r="F1373" t="inlineStr">
        <is>
          <t>Bergvik skog öst AB</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28565-2020</t>
        </is>
      </c>
      <c r="B1374" s="1" t="n">
        <v>43999</v>
      </c>
      <c r="C1374" s="1" t="n">
        <v>45705</v>
      </c>
      <c r="D1374" t="inlineStr">
        <is>
          <t>UPPSALA LÄN</t>
        </is>
      </c>
      <c r="E1374" t="inlineStr">
        <is>
          <t>UPPSALA</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28514-2020</t>
        </is>
      </c>
      <c r="B1375" s="1" t="n">
        <v>43999</v>
      </c>
      <c r="C1375" s="1" t="n">
        <v>45705</v>
      </c>
      <c r="D1375" t="inlineStr">
        <is>
          <t>UPPSALA LÄN</t>
        </is>
      </c>
      <c r="E1375" t="inlineStr">
        <is>
          <t>UPPSALA</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28799-2020</t>
        </is>
      </c>
      <c r="B1376" s="1" t="n">
        <v>44000</v>
      </c>
      <c r="C1376" s="1" t="n">
        <v>45705</v>
      </c>
      <c r="D1376" t="inlineStr">
        <is>
          <t>UPPSALA LÄN</t>
        </is>
      </c>
      <c r="E1376" t="inlineStr">
        <is>
          <t>ENKÖPING</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28993-2020</t>
        </is>
      </c>
      <c r="B1377" s="1" t="n">
        <v>44000</v>
      </c>
      <c r="C1377" s="1" t="n">
        <v>45705</v>
      </c>
      <c r="D1377" t="inlineStr">
        <is>
          <t>UPPSALA LÄN</t>
        </is>
      </c>
      <c r="E1377" t="inlineStr">
        <is>
          <t>UPPSALA</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29034-2020</t>
        </is>
      </c>
      <c r="B1378" s="1" t="n">
        <v>44000</v>
      </c>
      <c r="C1378" s="1" t="n">
        <v>45705</v>
      </c>
      <c r="D1378" t="inlineStr">
        <is>
          <t>UPPSALA LÄN</t>
        </is>
      </c>
      <c r="E1378" t="inlineStr">
        <is>
          <t>UPPSALA</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28801-2020</t>
        </is>
      </c>
      <c r="B1379" s="1" t="n">
        <v>44000</v>
      </c>
      <c r="C1379" s="1" t="n">
        <v>45705</v>
      </c>
      <c r="D1379" t="inlineStr">
        <is>
          <t>UPPSALA LÄN</t>
        </is>
      </c>
      <c r="E1379" t="inlineStr">
        <is>
          <t>ENKÖPING</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29934-2020</t>
        </is>
      </c>
      <c r="B1380" s="1" t="n">
        <v>44006</v>
      </c>
      <c r="C1380" s="1" t="n">
        <v>45705</v>
      </c>
      <c r="D1380" t="inlineStr">
        <is>
          <t>UPPSALA LÄN</t>
        </is>
      </c>
      <c r="E1380" t="inlineStr">
        <is>
          <t>ENKÖPING</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29948-2020</t>
        </is>
      </c>
      <c r="B1381" s="1" t="n">
        <v>44006</v>
      </c>
      <c r="C1381" s="1" t="n">
        <v>45705</v>
      </c>
      <c r="D1381" t="inlineStr">
        <is>
          <t>UPPSALA LÄN</t>
        </is>
      </c>
      <c r="E1381" t="inlineStr">
        <is>
          <t>ENKÖPING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29989-2020</t>
        </is>
      </c>
      <c r="B1382" s="1" t="n">
        <v>44006</v>
      </c>
      <c r="C1382" s="1" t="n">
        <v>45705</v>
      </c>
      <c r="D1382" t="inlineStr">
        <is>
          <t>UPPSALA LÄN</t>
        </is>
      </c>
      <c r="E1382" t="inlineStr">
        <is>
          <t>TIERP</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30196-2020</t>
        </is>
      </c>
      <c r="B1383" s="1" t="n">
        <v>44007</v>
      </c>
      <c r="C1383" s="1" t="n">
        <v>45705</v>
      </c>
      <c r="D1383" t="inlineStr">
        <is>
          <t>UPPSALA LÄN</t>
        </is>
      </c>
      <c r="E1383" t="inlineStr">
        <is>
          <t>UPPSALA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30208-2020</t>
        </is>
      </c>
      <c r="B1384" s="1" t="n">
        <v>44007</v>
      </c>
      <c r="C1384" s="1" t="n">
        <v>45705</v>
      </c>
      <c r="D1384" t="inlineStr">
        <is>
          <t>UPPSALA LÄN</t>
        </is>
      </c>
      <c r="E1384" t="inlineStr">
        <is>
          <t>UPPSALA</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30245-2020</t>
        </is>
      </c>
      <c r="B1385" s="1" t="n">
        <v>44007</v>
      </c>
      <c r="C1385" s="1" t="n">
        <v>45705</v>
      </c>
      <c r="D1385" t="inlineStr">
        <is>
          <t>UPPSALA LÄN</t>
        </is>
      </c>
      <c r="E1385" t="inlineStr">
        <is>
          <t>TIERP</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30338-2020</t>
        </is>
      </c>
      <c r="B1386" s="1" t="n">
        <v>44007</v>
      </c>
      <c r="C1386" s="1" t="n">
        <v>45705</v>
      </c>
      <c r="D1386" t="inlineStr">
        <is>
          <t>UPPSALA LÄN</t>
        </is>
      </c>
      <c r="E1386" t="inlineStr">
        <is>
          <t>ÖSTHAMMAR</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30280-2020</t>
        </is>
      </c>
      <c r="B1387" s="1" t="n">
        <v>44007</v>
      </c>
      <c r="C1387" s="1" t="n">
        <v>45705</v>
      </c>
      <c r="D1387" t="inlineStr">
        <is>
          <t>UPPSALA LÄN</t>
        </is>
      </c>
      <c r="E1387" t="inlineStr">
        <is>
          <t>ENKÖPING</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30419-2020</t>
        </is>
      </c>
      <c r="B1388" s="1" t="n">
        <v>44007</v>
      </c>
      <c r="C1388" s="1" t="n">
        <v>45705</v>
      </c>
      <c r="D1388" t="inlineStr">
        <is>
          <t>UPPSALA LÄN</t>
        </is>
      </c>
      <c r="E1388" t="inlineStr">
        <is>
          <t>ÖSTHAMMAR</t>
        </is>
      </c>
      <c r="G1388" t="n">
        <v>5.6</v>
      </c>
      <c r="H1388" t="n">
        <v>0</v>
      </c>
      <c r="I1388" t="n">
        <v>0</v>
      </c>
      <c r="J1388" t="n">
        <v>0</v>
      </c>
      <c r="K1388" t="n">
        <v>0</v>
      </c>
      <c r="L1388" t="n">
        <v>0</v>
      </c>
      <c r="M1388" t="n">
        <v>0</v>
      </c>
      <c r="N1388" t="n">
        <v>0</v>
      </c>
      <c r="O1388" t="n">
        <v>0</v>
      </c>
      <c r="P1388" t="n">
        <v>0</v>
      </c>
      <c r="Q1388" t="n">
        <v>0</v>
      </c>
      <c r="R1388" s="2" t="inlineStr"/>
    </row>
    <row r="1389" ht="15" customHeight="1">
      <c r="A1389" t="inlineStr">
        <is>
          <t>A 30176-2020</t>
        </is>
      </c>
      <c r="B1389" s="1" t="n">
        <v>44007</v>
      </c>
      <c r="C1389" s="1" t="n">
        <v>45705</v>
      </c>
      <c r="D1389" t="inlineStr">
        <is>
          <t>UPPSALA LÄN</t>
        </is>
      </c>
      <c r="E1389" t="inlineStr">
        <is>
          <t>HEBY</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30544-2020</t>
        </is>
      </c>
      <c r="B1390" s="1" t="n">
        <v>44008</v>
      </c>
      <c r="C1390" s="1" t="n">
        <v>45705</v>
      </c>
      <c r="D1390" t="inlineStr">
        <is>
          <t>UPPSALA LÄN</t>
        </is>
      </c>
      <c r="E1390" t="inlineStr">
        <is>
          <t>TIERP</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30571-2020</t>
        </is>
      </c>
      <c r="B1391" s="1" t="n">
        <v>44008</v>
      </c>
      <c r="C1391" s="1" t="n">
        <v>45705</v>
      </c>
      <c r="D1391" t="inlineStr">
        <is>
          <t>UPPSALA LÄN</t>
        </is>
      </c>
      <c r="E1391" t="inlineStr">
        <is>
          <t>ENKÖPING</t>
        </is>
      </c>
      <c r="G1391" t="n">
        <v>8.9</v>
      </c>
      <c r="H1391" t="n">
        <v>0</v>
      </c>
      <c r="I1391" t="n">
        <v>0</v>
      </c>
      <c r="J1391" t="n">
        <v>0</v>
      </c>
      <c r="K1391" t="n">
        <v>0</v>
      </c>
      <c r="L1391" t="n">
        <v>0</v>
      </c>
      <c r="M1391" t="n">
        <v>0</v>
      </c>
      <c r="N1391" t="n">
        <v>0</v>
      </c>
      <c r="O1391" t="n">
        <v>0</v>
      </c>
      <c r="P1391" t="n">
        <v>0</v>
      </c>
      <c r="Q1391" t="n">
        <v>0</v>
      </c>
      <c r="R1391" s="2" t="inlineStr"/>
    </row>
    <row r="1392" ht="15" customHeight="1">
      <c r="A1392" t="inlineStr">
        <is>
          <t>A 31219-2020</t>
        </is>
      </c>
      <c r="B1392" s="1" t="n">
        <v>44012</v>
      </c>
      <c r="C1392" s="1" t="n">
        <v>45705</v>
      </c>
      <c r="D1392" t="inlineStr">
        <is>
          <t>UPPSALA LÄN</t>
        </is>
      </c>
      <c r="E1392" t="inlineStr">
        <is>
          <t>UPPSALA</t>
        </is>
      </c>
      <c r="F1392" t="inlineStr">
        <is>
          <t>Bergvik skog öst AB</t>
        </is>
      </c>
      <c r="G1392" t="n">
        <v>7.4</v>
      </c>
      <c r="H1392" t="n">
        <v>0</v>
      </c>
      <c r="I1392" t="n">
        <v>0</v>
      </c>
      <c r="J1392" t="n">
        <v>0</v>
      </c>
      <c r="K1392" t="n">
        <v>0</v>
      </c>
      <c r="L1392" t="n">
        <v>0</v>
      </c>
      <c r="M1392" t="n">
        <v>0</v>
      </c>
      <c r="N1392" t="n">
        <v>0</v>
      </c>
      <c r="O1392" t="n">
        <v>0</v>
      </c>
      <c r="P1392" t="n">
        <v>0</v>
      </c>
      <c r="Q1392" t="n">
        <v>0</v>
      </c>
      <c r="R1392" s="2" t="inlineStr"/>
    </row>
    <row r="1393" ht="15" customHeight="1">
      <c r="A1393" t="inlineStr">
        <is>
          <t>A 31472-2020</t>
        </is>
      </c>
      <c r="B1393" s="1" t="n">
        <v>44013</v>
      </c>
      <c r="C1393" s="1" t="n">
        <v>45705</v>
      </c>
      <c r="D1393" t="inlineStr">
        <is>
          <t>UPPSALA LÄN</t>
        </is>
      </c>
      <c r="E1393" t="inlineStr">
        <is>
          <t>ENKÖPING</t>
        </is>
      </c>
      <c r="F1393" t="inlineStr">
        <is>
          <t>Kyrkan</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31430-2020</t>
        </is>
      </c>
      <c r="B1394" s="1" t="n">
        <v>44013</v>
      </c>
      <c r="C1394" s="1" t="n">
        <v>45705</v>
      </c>
      <c r="D1394" t="inlineStr">
        <is>
          <t>UPPSALA LÄN</t>
        </is>
      </c>
      <c r="E1394" t="inlineStr">
        <is>
          <t>UPPSALA</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31473-2020</t>
        </is>
      </c>
      <c r="B1395" s="1" t="n">
        <v>44013</v>
      </c>
      <c r="C1395" s="1" t="n">
        <v>45705</v>
      </c>
      <c r="D1395" t="inlineStr">
        <is>
          <t>UPPSALA LÄN</t>
        </is>
      </c>
      <c r="E1395" t="inlineStr">
        <is>
          <t>ENKÖPING</t>
        </is>
      </c>
      <c r="F1395" t="inlineStr">
        <is>
          <t>Kyrkan</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31539-2020</t>
        </is>
      </c>
      <c r="B1396" s="1" t="n">
        <v>44013</v>
      </c>
      <c r="C1396" s="1" t="n">
        <v>45705</v>
      </c>
      <c r="D1396" t="inlineStr">
        <is>
          <t>UPPSALA LÄN</t>
        </is>
      </c>
      <c r="E1396" t="inlineStr">
        <is>
          <t>HEBY</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31685-2020</t>
        </is>
      </c>
      <c r="B1397" s="1" t="n">
        <v>44013</v>
      </c>
      <c r="C1397" s="1" t="n">
        <v>45705</v>
      </c>
      <c r="D1397" t="inlineStr">
        <is>
          <t>UPPSALA LÄN</t>
        </is>
      </c>
      <c r="E1397" t="inlineStr">
        <is>
          <t>TIERP</t>
        </is>
      </c>
      <c r="F1397" t="inlineStr">
        <is>
          <t>Bergvik skog väst AB</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31932-2020</t>
        </is>
      </c>
      <c r="B1398" s="1" t="n">
        <v>44014</v>
      </c>
      <c r="C1398" s="1" t="n">
        <v>45705</v>
      </c>
      <c r="D1398" t="inlineStr">
        <is>
          <t>UPPSALA LÄN</t>
        </is>
      </c>
      <c r="E1398" t="inlineStr">
        <is>
          <t>UPPSALA</t>
        </is>
      </c>
      <c r="G1398" t="n">
        <v>5.6</v>
      </c>
      <c r="H1398" t="n">
        <v>0</v>
      </c>
      <c r="I1398" t="n">
        <v>0</v>
      </c>
      <c r="J1398" t="n">
        <v>0</v>
      </c>
      <c r="K1398" t="n">
        <v>0</v>
      </c>
      <c r="L1398" t="n">
        <v>0</v>
      </c>
      <c r="M1398" t="n">
        <v>0</v>
      </c>
      <c r="N1398" t="n">
        <v>0</v>
      </c>
      <c r="O1398" t="n">
        <v>0</v>
      </c>
      <c r="P1398" t="n">
        <v>0</v>
      </c>
      <c r="Q1398" t="n">
        <v>0</v>
      </c>
      <c r="R1398" s="2" t="inlineStr"/>
    </row>
    <row r="1399" ht="15" customHeight="1">
      <c r="A1399" t="inlineStr">
        <is>
          <t>A 32192-2020</t>
        </is>
      </c>
      <c r="B1399" s="1" t="n">
        <v>44015</v>
      </c>
      <c r="C1399" s="1" t="n">
        <v>45705</v>
      </c>
      <c r="D1399" t="inlineStr">
        <is>
          <t>UPPSALA LÄN</t>
        </is>
      </c>
      <c r="E1399" t="inlineStr">
        <is>
          <t>ÖSTHAMMAR</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32209-2020</t>
        </is>
      </c>
      <c r="B1400" s="1" t="n">
        <v>44015</v>
      </c>
      <c r="C1400" s="1" t="n">
        <v>45705</v>
      </c>
      <c r="D1400" t="inlineStr">
        <is>
          <t>UPPSALA LÄN</t>
        </is>
      </c>
      <c r="E1400" t="inlineStr">
        <is>
          <t>ENKÖPING</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32047-2020</t>
        </is>
      </c>
      <c r="B1401" s="1" t="n">
        <v>44015</v>
      </c>
      <c r="C1401" s="1" t="n">
        <v>45705</v>
      </c>
      <c r="D1401" t="inlineStr">
        <is>
          <t>UPPSALA LÄN</t>
        </is>
      </c>
      <c r="E1401" t="inlineStr">
        <is>
          <t>ENKÖPING</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32235-2020</t>
        </is>
      </c>
      <c r="B1402" s="1" t="n">
        <v>44015</v>
      </c>
      <c r="C1402" s="1" t="n">
        <v>45705</v>
      </c>
      <c r="D1402" t="inlineStr">
        <is>
          <t>UPPSALA LÄN</t>
        </is>
      </c>
      <c r="E1402" t="inlineStr">
        <is>
          <t>UPPSALA</t>
        </is>
      </c>
      <c r="F1402" t="inlineStr">
        <is>
          <t>Bergvik skog öst AB</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32340-2020</t>
        </is>
      </c>
      <c r="B1403" s="1" t="n">
        <v>44016</v>
      </c>
      <c r="C1403" s="1" t="n">
        <v>45705</v>
      </c>
      <c r="D1403" t="inlineStr">
        <is>
          <t>UPPSALA LÄN</t>
        </is>
      </c>
      <c r="E1403" t="inlineStr">
        <is>
          <t>UPPSALA</t>
        </is>
      </c>
      <c r="F1403" t="inlineStr">
        <is>
          <t>Bergvik skog öst AB</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32416-2020</t>
        </is>
      </c>
      <c r="B1404" s="1" t="n">
        <v>44018</v>
      </c>
      <c r="C1404" s="1" t="n">
        <v>45705</v>
      </c>
      <c r="D1404" t="inlineStr">
        <is>
          <t>UPPSALA LÄN</t>
        </is>
      </c>
      <c r="E1404" t="inlineStr">
        <is>
          <t>ÄLVKARLEBY</t>
        </is>
      </c>
      <c r="F1404" t="inlineStr">
        <is>
          <t>Bergvik skog väst AB</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32454-2020</t>
        </is>
      </c>
      <c r="B1405" s="1" t="n">
        <v>44018</v>
      </c>
      <c r="C1405" s="1" t="n">
        <v>45705</v>
      </c>
      <c r="D1405" t="inlineStr">
        <is>
          <t>UPPSALA LÄN</t>
        </is>
      </c>
      <c r="E1405" t="inlineStr">
        <is>
          <t>ENKÖPING</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32497-2020</t>
        </is>
      </c>
      <c r="B1406" s="1" t="n">
        <v>44018</v>
      </c>
      <c r="C1406" s="1" t="n">
        <v>45705</v>
      </c>
      <c r="D1406" t="inlineStr">
        <is>
          <t>UPPSALA LÄN</t>
        </is>
      </c>
      <c r="E1406" t="inlineStr">
        <is>
          <t>ENKÖPING</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32608-2020</t>
        </is>
      </c>
      <c r="B1407" s="1" t="n">
        <v>44019</v>
      </c>
      <c r="C1407" s="1" t="n">
        <v>45705</v>
      </c>
      <c r="D1407" t="inlineStr">
        <is>
          <t>UPPSALA LÄN</t>
        </is>
      </c>
      <c r="E1407" t="inlineStr">
        <is>
          <t>UPPSALA</t>
        </is>
      </c>
      <c r="F1407" t="inlineStr">
        <is>
          <t>Bergvik skog öst AB</t>
        </is>
      </c>
      <c r="G1407" t="n">
        <v>5.7</v>
      </c>
      <c r="H1407" t="n">
        <v>0</v>
      </c>
      <c r="I1407" t="n">
        <v>0</v>
      </c>
      <c r="J1407" t="n">
        <v>0</v>
      </c>
      <c r="K1407" t="n">
        <v>0</v>
      </c>
      <c r="L1407" t="n">
        <v>0</v>
      </c>
      <c r="M1407" t="n">
        <v>0</v>
      </c>
      <c r="N1407" t="n">
        <v>0</v>
      </c>
      <c r="O1407" t="n">
        <v>0</v>
      </c>
      <c r="P1407" t="n">
        <v>0</v>
      </c>
      <c r="Q1407" t="n">
        <v>0</v>
      </c>
      <c r="R1407" s="2" t="inlineStr"/>
    </row>
    <row r="1408" ht="15" customHeight="1">
      <c r="A1408" t="inlineStr">
        <is>
          <t>A 32953-2020</t>
        </is>
      </c>
      <c r="B1408" s="1" t="n">
        <v>44020</v>
      </c>
      <c r="C1408" s="1" t="n">
        <v>45705</v>
      </c>
      <c r="D1408" t="inlineStr">
        <is>
          <t>UPPSALA LÄN</t>
        </is>
      </c>
      <c r="E1408" t="inlineStr">
        <is>
          <t>KNIVSTA</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33076-2020</t>
        </is>
      </c>
      <c r="B1409" s="1" t="n">
        <v>44021</v>
      </c>
      <c r="C1409" s="1" t="n">
        <v>45705</v>
      </c>
      <c r="D1409" t="inlineStr">
        <is>
          <t>UPPSALA LÄN</t>
        </is>
      </c>
      <c r="E1409" t="inlineStr">
        <is>
          <t>TIERP</t>
        </is>
      </c>
      <c r="F1409" t="inlineStr">
        <is>
          <t>Bergvik skog väst AB</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33098-2020</t>
        </is>
      </c>
      <c r="B1410" s="1" t="n">
        <v>44021</v>
      </c>
      <c r="C1410" s="1" t="n">
        <v>45705</v>
      </c>
      <c r="D1410" t="inlineStr">
        <is>
          <t>UPPSALA LÄN</t>
        </is>
      </c>
      <c r="E1410" t="inlineStr">
        <is>
          <t>ÖSTHAMMAR</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33026-2020</t>
        </is>
      </c>
      <c r="B1411" s="1" t="n">
        <v>44021</v>
      </c>
      <c r="C1411" s="1" t="n">
        <v>45705</v>
      </c>
      <c r="D1411" t="inlineStr">
        <is>
          <t>UPPSALA LÄN</t>
        </is>
      </c>
      <c r="E1411" t="inlineStr">
        <is>
          <t>HEBY</t>
        </is>
      </c>
      <c r="G1411" t="n">
        <v>5.4</v>
      </c>
      <c r="H1411" t="n">
        <v>0</v>
      </c>
      <c r="I1411" t="n">
        <v>0</v>
      </c>
      <c r="J1411" t="n">
        <v>0</v>
      </c>
      <c r="K1411" t="n">
        <v>0</v>
      </c>
      <c r="L1411" t="n">
        <v>0</v>
      </c>
      <c r="M1411" t="n">
        <v>0</v>
      </c>
      <c r="N1411" t="n">
        <v>0</v>
      </c>
      <c r="O1411" t="n">
        <v>0</v>
      </c>
      <c r="P1411" t="n">
        <v>0</v>
      </c>
      <c r="Q1411" t="n">
        <v>0</v>
      </c>
      <c r="R1411" s="2" t="inlineStr"/>
    </row>
    <row r="1412" ht="15" customHeight="1">
      <c r="A1412" t="inlineStr">
        <is>
          <t>A 33585-2020</t>
        </is>
      </c>
      <c r="B1412" s="1" t="n">
        <v>44022</v>
      </c>
      <c r="C1412" s="1" t="n">
        <v>45705</v>
      </c>
      <c r="D1412" t="inlineStr">
        <is>
          <t>UPPSALA LÄN</t>
        </is>
      </c>
      <c r="E1412" t="inlineStr">
        <is>
          <t>ENKÖPING</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33378-2020</t>
        </is>
      </c>
      <c r="B1413" s="1" t="n">
        <v>44022</v>
      </c>
      <c r="C1413" s="1" t="n">
        <v>45705</v>
      </c>
      <c r="D1413" t="inlineStr">
        <is>
          <t>UPPSALA LÄN</t>
        </is>
      </c>
      <c r="E1413" t="inlineStr">
        <is>
          <t>TIERP</t>
        </is>
      </c>
      <c r="G1413" t="n">
        <v>9</v>
      </c>
      <c r="H1413" t="n">
        <v>0</v>
      </c>
      <c r="I1413" t="n">
        <v>0</v>
      </c>
      <c r="J1413" t="n">
        <v>0</v>
      </c>
      <c r="K1413" t="n">
        <v>0</v>
      </c>
      <c r="L1413" t="n">
        <v>0</v>
      </c>
      <c r="M1413" t="n">
        <v>0</v>
      </c>
      <c r="N1413" t="n">
        <v>0</v>
      </c>
      <c r="O1413" t="n">
        <v>0</v>
      </c>
      <c r="P1413" t="n">
        <v>0</v>
      </c>
      <c r="Q1413" t="n">
        <v>0</v>
      </c>
      <c r="R1413" s="2" t="inlineStr"/>
    </row>
    <row r="1414" ht="15" customHeight="1">
      <c r="A1414" t="inlineStr">
        <is>
          <t>A 33545-2020</t>
        </is>
      </c>
      <c r="B1414" s="1" t="n">
        <v>44025</v>
      </c>
      <c r="C1414" s="1" t="n">
        <v>45705</v>
      </c>
      <c r="D1414" t="inlineStr">
        <is>
          <t>UPPSALA LÄN</t>
        </is>
      </c>
      <c r="E1414" t="inlineStr">
        <is>
          <t>HEBY</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33873-2020</t>
        </is>
      </c>
      <c r="B1415" s="1" t="n">
        <v>44025</v>
      </c>
      <c r="C1415" s="1" t="n">
        <v>45705</v>
      </c>
      <c r="D1415" t="inlineStr">
        <is>
          <t>UPPSALA LÄN</t>
        </is>
      </c>
      <c r="E1415" t="inlineStr">
        <is>
          <t>TIERP</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33671-2020</t>
        </is>
      </c>
      <c r="B1416" s="1" t="n">
        <v>44026</v>
      </c>
      <c r="C1416" s="1" t="n">
        <v>45705</v>
      </c>
      <c r="D1416" t="inlineStr">
        <is>
          <t>UPPSALA LÄN</t>
        </is>
      </c>
      <c r="E1416" t="inlineStr">
        <is>
          <t>HEBY</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33658-2020</t>
        </is>
      </c>
      <c r="B1417" s="1" t="n">
        <v>44026</v>
      </c>
      <c r="C1417" s="1" t="n">
        <v>45705</v>
      </c>
      <c r="D1417" t="inlineStr">
        <is>
          <t>UPPSALA LÄN</t>
        </is>
      </c>
      <c r="E1417" t="inlineStr">
        <is>
          <t>UPPSALA</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34205-2020</t>
        </is>
      </c>
      <c r="B1418" s="1" t="n">
        <v>44029</v>
      </c>
      <c r="C1418" s="1" t="n">
        <v>45705</v>
      </c>
      <c r="D1418" t="inlineStr">
        <is>
          <t>UPPSALA LÄN</t>
        </is>
      </c>
      <c r="E1418" t="inlineStr">
        <is>
          <t>UPPSALA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34490-2020</t>
        </is>
      </c>
      <c r="B1419" s="1" t="n">
        <v>44029</v>
      </c>
      <c r="C1419" s="1" t="n">
        <v>45705</v>
      </c>
      <c r="D1419" t="inlineStr">
        <is>
          <t>UPPSALA LÄN</t>
        </is>
      </c>
      <c r="E1419" t="inlineStr">
        <is>
          <t>HÅBO</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34494-2020</t>
        </is>
      </c>
      <c r="B1420" s="1" t="n">
        <v>44029</v>
      </c>
      <c r="C1420" s="1" t="n">
        <v>45705</v>
      </c>
      <c r="D1420" t="inlineStr">
        <is>
          <t>UPPSALA LÄN</t>
        </is>
      </c>
      <c r="E1420" t="inlineStr">
        <is>
          <t>TIERP</t>
        </is>
      </c>
      <c r="F1420" t="inlineStr">
        <is>
          <t>Bergvik skog väst AB</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34497-2020</t>
        </is>
      </c>
      <c r="B1421" s="1" t="n">
        <v>44033</v>
      </c>
      <c r="C1421" s="1" t="n">
        <v>45705</v>
      </c>
      <c r="D1421" t="inlineStr">
        <is>
          <t>UPPSALA LÄN</t>
        </is>
      </c>
      <c r="E1421" t="inlineStr">
        <is>
          <t>HÅBO</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34565-2020</t>
        </is>
      </c>
      <c r="B1422" s="1" t="n">
        <v>44033</v>
      </c>
      <c r="C1422" s="1" t="n">
        <v>45705</v>
      </c>
      <c r="D1422" t="inlineStr">
        <is>
          <t>UPPSALA LÄN</t>
        </is>
      </c>
      <c r="E1422" t="inlineStr">
        <is>
          <t>UPPSALA</t>
        </is>
      </c>
      <c r="F1422" t="inlineStr">
        <is>
          <t>Bergvik skog öst AB</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34700-2020</t>
        </is>
      </c>
      <c r="B1423" s="1" t="n">
        <v>44035</v>
      </c>
      <c r="C1423" s="1" t="n">
        <v>45705</v>
      </c>
      <c r="D1423" t="inlineStr">
        <is>
          <t>UPPSALA LÄN</t>
        </is>
      </c>
      <c r="E1423" t="inlineStr">
        <is>
          <t>HEBY</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34729-2020</t>
        </is>
      </c>
      <c r="B1424" s="1" t="n">
        <v>44035</v>
      </c>
      <c r="C1424" s="1" t="n">
        <v>45705</v>
      </c>
      <c r="D1424" t="inlineStr">
        <is>
          <t>UPPSALA LÄN</t>
        </is>
      </c>
      <c r="E1424" t="inlineStr">
        <is>
          <t>HEBY</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34753-2020</t>
        </is>
      </c>
      <c r="B1425" s="1" t="n">
        <v>44035</v>
      </c>
      <c r="C1425" s="1" t="n">
        <v>45705</v>
      </c>
      <c r="D1425" t="inlineStr">
        <is>
          <t>UPPSALA LÄN</t>
        </is>
      </c>
      <c r="E1425" t="inlineStr">
        <is>
          <t>UPPSALA</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34697-2020</t>
        </is>
      </c>
      <c r="B1426" s="1" t="n">
        <v>44035</v>
      </c>
      <c r="C1426" s="1" t="n">
        <v>45705</v>
      </c>
      <c r="D1426" t="inlineStr">
        <is>
          <t>UPPSALA LÄN</t>
        </is>
      </c>
      <c r="E1426" t="inlineStr">
        <is>
          <t>HEBY</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34749-2020</t>
        </is>
      </c>
      <c r="B1427" s="1" t="n">
        <v>44035</v>
      </c>
      <c r="C1427" s="1" t="n">
        <v>45705</v>
      </c>
      <c r="D1427" t="inlineStr">
        <is>
          <t>UPPSALA LÄN</t>
        </is>
      </c>
      <c r="E1427" t="inlineStr">
        <is>
          <t>UPPSALA</t>
        </is>
      </c>
      <c r="G1427" t="n">
        <v>5.5</v>
      </c>
      <c r="H1427" t="n">
        <v>0</v>
      </c>
      <c r="I1427" t="n">
        <v>0</v>
      </c>
      <c r="J1427" t="n">
        <v>0</v>
      </c>
      <c r="K1427" t="n">
        <v>0</v>
      </c>
      <c r="L1427" t="n">
        <v>0</v>
      </c>
      <c r="M1427" t="n">
        <v>0</v>
      </c>
      <c r="N1427" t="n">
        <v>0</v>
      </c>
      <c r="O1427" t="n">
        <v>0</v>
      </c>
      <c r="P1427" t="n">
        <v>0</v>
      </c>
      <c r="Q1427" t="n">
        <v>0</v>
      </c>
      <c r="R1427" s="2" t="inlineStr"/>
    </row>
    <row r="1428" ht="15" customHeight="1">
      <c r="A1428" t="inlineStr">
        <is>
          <t>A 34943-2020</t>
        </is>
      </c>
      <c r="B1428" s="1" t="n">
        <v>44038</v>
      </c>
      <c r="C1428" s="1" t="n">
        <v>45705</v>
      </c>
      <c r="D1428" t="inlineStr">
        <is>
          <t>UPPSALA LÄN</t>
        </is>
      </c>
      <c r="E1428" t="inlineStr">
        <is>
          <t>ÖSTHAMMAR</t>
        </is>
      </c>
      <c r="F1428" t="inlineStr">
        <is>
          <t>Bergvik skog öst AB</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34941-2020</t>
        </is>
      </c>
      <c r="B1429" s="1" t="n">
        <v>44038</v>
      </c>
      <c r="C1429" s="1" t="n">
        <v>45705</v>
      </c>
      <c r="D1429" t="inlineStr">
        <is>
          <t>UPPSALA LÄN</t>
        </is>
      </c>
      <c r="E1429" t="inlineStr">
        <is>
          <t>ÖSTHAMMAR</t>
        </is>
      </c>
      <c r="F1429" t="inlineStr">
        <is>
          <t>Bergvik skog öst AB</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34940-2020</t>
        </is>
      </c>
      <c r="B1430" s="1" t="n">
        <v>44038</v>
      </c>
      <c r="C1430" s="1" t="n">
        <v>45705</v>
      </c>
      <c r="D1430" t="inlineStr">
        <is>
          <t>UPPSALA LÄN</t>
        </is>
      </c>
      <c r="E1430" t="inlineStr">
        <is>
          <t>ÖSTHAMMAR</t>
        </is>
      </c>
      <c r="F1430" t="inlineStr">
        <is>
          <t>Bergvik skog öst AB</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35094-2020</t>
        </is>
      </c>
      <c r="B1431" s="1" t="n">
        <v>44040</v>
      </c>
      <c r="C1431" s="1" t="n">
        <v>45705</v>
      </c>
      <c r="D1431" t="inlineStr">
        <is>
          <t>UPPSALA LÄN</t>
        </is>
      </c>
      <c r="E1431" t="inlineStr">
        <is>
          <t>ÖSTHAMMAR</t>
        </is>
      </c>
      <c r="F1431" t="inlineStr">
        <is>
          <t>Bergvik skog öst AB</t>
        </is>
      </c>
      <c r="G1431" t="n">
        <v>14.5</v>
      </c>
      <c r="H1431" t="n">
        <v>0</v>
      </c>
      <c r="I1431" t="n">
        <v>0</v>
      </c>
      <c r="J1431" t="n">
        <v>0</v>
      </c>
      <c r="K1431" t="n">
        <v>0</v>
      </c>
      <c r="L1431" t="n">
        <v>0</v>
      </c>
      <c r="M1431" t="n">
        <v>0</v>
      </c>
      <c r="N1431" t="n">
        <v>0</v>
      </c>
      <c r="O1431" t="n">
        <v>0</v>
      </c>
      <c r="P1431" t="n">
        <v>0</v>
      </c>
      <c r="Q1431" t="n">
        <v>0</v>
      </c>
      <c r="R1431" s="2" t="inlineStr"/>
    </row>
    <row r="1432" ht="15" customHeight="1">
      <c r="A1432" t="inlineStr">
        <is>
          <t>A 35096-2020</t>
        </is>
      </c>
      <c r="B1432" s="1" t="n">
        <v>44040</v>
      </c>
      <c r="C1432" s="1" t="n">
        <v>45705</v>
      </c>
      <c r="D1432" t="inlineStr">
        <is>
          <t>UPPSALA LÄN</t>
        </is>
      </c>
      <c r="E1432" t="inlineStr">
        <is>
          <t>ÖSTHAMMAR</t>
        </is>
      </c>
      <c r="F1432" t="inlineStr">
        <is>
          <t>Bergvik skog öst AB</t>
        </is>
      </c>
      <c r="G1432" t="n">
        <v>7.6</v>
      </c>
      <c r="H1432" t="n">
        <v>0</v>
      </c>
      <c r="I1432" t="n">
        <v>0</v>
      </c>
      <c r="J1432" t="n">
        <v>0</v>
      </c>
      <c r="K1432" t="n">
        <v>0</v>
      </c>
      <c r="L1432" t="n">
        <v>0</v>
      </c>
      <c r="M1432" t="n">
        <v>0</v>
      </c>
      <c r="N1432" t="n">
        <v>0</v>
      </c>
      <c r="O1432" t="n">
        <v>0</v>
      </c>
      <c r="P1432" t="n">
        <v>0</v>
      </c>
      <c r="Q1432" t="n">
        <v>0</v>
      </c>
      <c r="R1432" s="2" t="inlineStr"/>
    </row>
    <row r="1433" ht="15" customHeight="1">
      <c r="A1433" t="inlineStr">
        <is>
          <t>A 35281-2020</t>
        </is>
      </c>
      <c r="B1433" s="1" t="n">
        <v>44041</v>
      </c>
      <c r="C1433" s="1" t="n">
        <v>45705</v>
      </c>
      <c r="D1433" t="inlineStr">
        <is>
          <t>UPPSALA LÄN</t>
        </is>
      </c>
      <c r="E1433" t="inlineStr">
        <is>
          <t>UPPSALA</t>
        </is>
      </c>
      <c r="F1433" t="inlineStr">
        <is>
          <t>Bergvik skog öst AB</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35573-2020</t>
        </is>
      </c>
      <c r="B1434" s="1" t="n">
        <v>44043</v>
      </c>
      <c r="C1434" s="1" t="n">
        <v>45705</v>
      </c>
      <c r="D1434" t="inlineStr">
        <is>
          <t>UPPSALA LÄN</t>
        </is>
      </c>
      <c r="E1434" t="inlineStr">
        <is>
          <t>TIERP</t>
        </is>
      </c>
      <c r="F1434" t="inlineStr">
        <is>
          <t>Bergvik skog öst AB</t>
        </is>
      </c>
      <c r="G1434" t="n">
        <v>30.2</v>
      </c>
      <c r="H1434" t="n">
        <v>0</v>
      </c>
      <c r="I1434" t="n">
        <v>0</v>
      </c>
      <c r="J1434" t="n">
        <v>0</v>
      </c>
      <c r="K1434" t="n">
        <v>0</v>
      </c>
      <c r="L1434" t="n">
        <v>0</v>
      </c>
      <c r="M1434" t="n">
        <v>0</v>
      </c>
      <c r="N1434" t="n">
        <v>0</v>
      </c>
      <c r="O1434" t="n">
        <v>0</v>
      </c>
      <c r="P1434" t="n">
        <v>0</v>
      </c>
      <c r="Q1434" t="n">
        <v>0</v>
      </c>
      <c r="R1434" s="2" t="inlineStr"/>
    </row>
    <row r="1435" ht="15" customHeight="1">
      <c r="A1435" t="inlineStr">
        <is>
          <t>A 36035-2020</t>
        </is>
      </c>
      <c r="B1435" s="1" t="n">
        <v>44048</v>
      </c>
      <c r="C1435" s="1" t="n">
        <v>45705</v>
      </c>
      <c r="D1435" t="inlineStr">
        <is>
          <t>UPPSALA LÄN</t>
        </is>
      </c>
      <c r="E1435" t="inlineStr">
        <is>
          <t>UPPSALA</t>
        </is>
      </c>
      <c r="F1435" t="inlineStr">
        <is>
          <t>Bergvik skog öst AB</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36061-2020</t>
        </is>
      </c>
      <c r="B1436" s="1" t="n">
        <v>44048</v>
      </c>
      <c r="C1436" s="1" t="n">
        <v>45705</v>
      </c>
      <c r="D1436" t="inlineStr">
        <is>
          <t>UPPSALA LÄN</t>
        </is>
      </c>
      <c r="E1436" t="inlineStr">
        <is>
          <t>HEBY</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36202-2020</t>
        </is>
      </c>
      <c r="B1437" s="1" t="n">
        <v>44048</v>
      </c>
      <c r="C1437" s="1" t="n">
        <v>45705</v>
      </c>
      <c r="D1437" t="inlineStr">
        <is>
          <t>UPPSALA LÄN</t>
        </is>
      </c>
      <c r="E1437" t="inlineStr">
        <is>
          <t>UPPSALA</t>
        </is>
      </c>
      <c r="F1437" t="inlineStr">
        <is>
          <t>Bergvik skog öst AB</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36075-2020</t>
        </is>
      </c>
      <c r="B1438" s="1" t="n">
        <v>44048</v>
      </c>
      <c r="C1438" s="1" t="n">
        <v>45705</v>
      </c>
      <c r="D1438" t="inlineStr">
        <is>
          <t>UPPSALA LÄN</t>
        </is>
      </c>
      <c r="E1438" t="inlineStr">
        <is>
          <t>HEBY</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36198-2020</t>
        </is>
      </c>
      <c r="B1439" s="1" t="n">
        <v>44048</v>
      </c>
      <c r="C1439" s="1" t="n">
        <v>45705</v>
      </c>
      <c r="D1439" t="inlineStr">
        <is>
          <t>UPPSALA LÄN</t>
        </is>
      </c>
      <c r="E1439" t="inlineStr">
        <is>
          <t>UPPSALA</t>
        </is>
      </c>
      <c r="F1439" t="inlineStr">
        <is>
          <t>Bergvik skog öst AB</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36350-2020</t>
        </is>
      </c>
      <c r="B1440" s="1" t="n">
        <v>44049</v>
      </c>
      <c r="C1440" s="1" t="n">
        <v>45705</v>
      </c>
      <c r="D1440" t="inlineStr">
        <is>
          <t>UPPSALA LÄN</t>
        </is>
      </c>
      <c r="E1440" t="inlineStr">
        <is>
          <t>UPPSALA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36412-2020</t>
        </is>
      </c>
      <c r="B1441" s="1" t="n">
        <v>44049</v>
      </c>
      <c r="C1441" s="1" t="n">
        <v>45705</v>
      </c>
      <c r="D1441" t="inlineStr">
        <is>
          <t>UPPSALA LÄN</t>
        </is>
      </c>
      <c r="E1441" t="inlineStr">
        <is>
          <t>TIERP</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36512-2020</t>
        </is>
      </c>
      <c r="B1442" s="1" t="n">
        <v>44050</v>
      </c>
      <c r="C1442" s="1" t="n">
        <v>45705</v>
      </c>
      <c r="D1442" t="inlineStr">
        <is>
          <t>UPPSALA LÄN</t>
        </is>
      </c>
      <c r="E1442" t="inlineStr">
        <is>
          <t>UPPSALA</t>
        </is>
      </c>
      <c r="G1442" t="n">
        <v>5.8</v>
      </c>
      <c r="H1442" t="n">
        <v>0</v>
      </c>
      <c r="I1442" t="n">
        <v>0</v>
      </c>
      <c r="J1442" t="n">
        <v>0</v>
      </c>
      <c r="K1442" t="n">
        <v>0</v>
      </c>
      <c r="L1442" t="n">
        <v>0</v>
      </c>
      <c r="M1442" t="n">
        <v>0</v>
      </c>
      <c r="N1442" t="n">
        <v>0</v>
      </c>
      <c r="O1442" t="n">
        <v>0</v>
      </c>
      <c r="P1442" t="n">
        <v>0</v>
      </c>
      <c r="Q1442" t="n">
        <v>0</v>
      </c>
      <c r="R1442" s="2" t="inlineStr"/>
    </row>
    <row r="1443" ht="15" customHeight="1">
      <c r="A1443" t="inlineStr">
        <is>
          <t>A 36939-2020</t>
        </is>
      </c>
      <c r="B1443" s="1" t="n">
        <v>44053</v>
      </c>
      <c r="C1443" s="1" t="n">
        <v>45705</v>
      </c>
      <c r="D1443" t="inlineStr">
        <is>
          <t>UPPSALA LÄN</t>
        </is>
      </c>
      <c r="E1443" t="inlineStr">
        <is>
          <t>HEBY</t>
        </is>
      </c>
      <c r="F1443" t="inlineStr">
        <is>
          <t>Bergvik skog väst AB</t>
        </is>
      </c>
      <c r="G1443" t="n">
        <v>18.2</v>
      </c>
      <c r="H1443" t="n">
        <v>0</v>
      </c>
      <c r="I1443" t="n">
        <v>0</v>
      </c>
      <c r="J1443" t="n">
        <v>0</v>
      </c>
      <c r="K1443" t="n">
        <v>0</v>
      </c>
      <c r="L1443" t="n">
        <v>0</v>
      </c>
      <c r="M1443" t="n">
        <v>0</v>
      </c>
      <c r="N1443" t="n">
        <v>0</v>
      </c>
      <c r="O1443" t="n">
        <v>0</v>
      </c>
      <c r="P1443" t="n">
        <v>0</v>
      </c>
      <c r="Q1443" t="n">
        <v>0</v>
      </c>
      <c r="R1443" s="2" t="inlineStr"/>
    </row>
    <row r="1444" ht="15" customHeight="1">
      <c r="A1444" t="inlineStr">
        <is>
          <t>A 37193-2020</t>
        </is>
      </c>
      <c r="B1444" s="1" t="n">
        <v>44054</v>
      </c>
      <c r="C1444" s="1" t="n">
        <v>45705</v>
      </c>
      <c r="D1444" t="inlineStr">
        <is>
          <t>UPPSALA LÄN</t>
        </is>
      </c>
      <c r="E1444" t="inlineStr">
        <is>
          <t>ÄLVKARLEBY</t>
        </is>
      </c>
      <c r="F1444" t="inlineStr">
        <is>
          <t>Bergvik skog väst AB</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37276-2020</t>
        </is>
      </c>
      <c r="B1445" s="1" t="n">
        <v>44055</v>
      </c>
      <c r="C1445" s="1" t="n">
        <v>45705</v>
      </c>
      <c r="D1445" t="inlineStr">
        <is>
          <t>UPPSALA LÄN</t>
        </is>
      </c>
      <c r="E1445" t="inlineStr">
        <is>
          <t>UPPSALA</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37596-2020</t>
        </is>
      </c>
      <c r="B1446" s="1" t="n">
        <v>44056</v>
      </c>
      <c r="C1446" s="1" t="n">
        <v>45705</v>
      </c>
      <c r="D1446" t="inlineStr">
        <is>
          <t>UPPSALA LÄN</t>
        </is>
      </c>
      <c r="E1446" t="inlineStr">
        <is>
          <t>TIERP</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37669-2020</t>
        </is>
      </c>
      <c r="B1447" s="1" t="n">
        <v>44056</v>
      </c>
      <c r="C1447" s="1" t="n">
        <v>45705</v>
      </c>
      <c r="D1447" t="inlineStr">
        <is>
          <t>UPPSALA LÄN</t>
        </is>
      </c>
      <c r="E1447" t="inlineStr">
        <is>
          <t>UPPSALA</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37680-2020</t>
        </is>
      </c>
      <c r="B1448" s="1" t="n">
        <v>44056</v>
      </c>
      <c r="C1448" s="1" t="n">
        <v>45705</v>
      </c>
      <c r="D1448" t="inlineStr">
        <is>
          <t>UPPSALA LÄN</t>
        </is>
      </c>
      <c r="E1448" t="inlineStr">
        <is>
          <t>TIERP</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37738-2020</t>
        </is>
      </c>
      <c r="B1449" s="1" t="n">
        <v>44056</v>
      </c>
      <c r="C1449" s="1" t="n">
        <v>45705</v>
      </c>
      <c r="D1449" t="inlineStr">
        <is>
          <t>UPPSALA LÄN</t>
        </is>
      </c>
      <c r="E1449" t="inlineStr">
        <is>
          <t>ENKÖPING</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37691-2020</t>
        </is>
      </c>
      <c r="B1450" s="1" t="n">
        <v>44056</v>
      </c>
      <c r="C1450" s="1" t="n">
        <v>45705</v>
      </c>
      <c r="D1450" t="inlineStr">
        <is>
          <t>UPPSALA LÄN</t>
        </is>
      </c>
      <c r="E1450" t="inlineStr">
        <is>
          <t>TIERP</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38285-2020</t>
        </is>
      </c>
      <c r="B1451" s="1" t="n">
        <v>44060</v>
      </c>
      <c r="C1451" s="1" t="n">
        <v>45705</v>
      </c>
      <c r="D1451" t="inlineStr">
        <is>
          <t>UPPSALA LÄN</t>
        </is>
      </c>
      <c r="E1451" t="inlineStr">
        <is>
          <t>ÖSTHAMMAR</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38630-2020</t>
        </is>
      </c>
      <c r="B1452" s="1" t="n">
        <v>44061</v>
      </c>
      <c r="C1452" s="1" t="n">
        <v>45705</v>
      </c>
      <c r="D1452" t="inlineStr">
        <is>
          <t>UPPSALA LÄN</t>
        </is>
      </c>
      <c r="E1452" t="inlineStr">
        <is>
          <t>ÖSTHAMMAR</t>
        </is>
      </c>
      <c r="F1452" t="inlineStr">
        <is>
          <t>Bergvik skog öst AB</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39233-2020</t>
        </is>
      </c>
      <c r="B1453" s="1" t="n">
        <v>44063</v>
      </c>
      <c r="C1453" s="1" t="n">
        <v>45705</v>
      </c>
      <c r="D1453" t="inlineStr">
        <is>
          <t>UPPSALA LÄN</t>
        </is>
      </c>
      <c r="E1453" t="inlineStr">
        <is>
          <t>UPPSALA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39178-2020</t>
        </is>
      </c>
      <c r="B1454" s="1" t="n">
        <v>44063</v>
      </c>
      <c r="C1454" s="1" t="n">
        <v>45705</v>
      </c>
      <c r="D1454" t="inlineStr">
        <is>
          <t>UPPSALA LÄN</t>
        </is>
      </c>
      <c r="E1454" t="inlineStr">
        <is>
          <t>UPPSALA</t>
        </is>
      </c>
      <c r="F1454" t="inlineStr">
        <is>
          <t>Bergvik skog öst AB</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39236-2020</t>
        </is>
      </c>
      <c r="B1455" s="1" t="n">
        <v>44063</v>
      </c>
      <c r="C1455" s="1" t="n">
        <v>45705</v>
      </c>
      <c r="D1455" t="inlineStr">
        <is>
          <t>UPPSALA LÄN</t>
        </is>
      </c>
      <c r="E1455" t="inlineStr">
        <is>
          <t>UPPSALA</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39272-2020</t>
        </is>
      </c>
      <c r="B1456" s="1" t="n">
        <v>44063</v>
      </c>
      <c r="C1456" s="1" t="n">
        <v>45705</v>
      </c>
      <c r="D1456" t="inlineStr">
        <is>
          <t>UPPSALA LÄN</t>
        </is>
      </c>
      <c r="E1456" t="inlineStr">
        <is>
          <t>UPPSALA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39640-2020</t>
        </is>
      </c>
      <c r="B1457" s="1" t="n">
        <v>44064</v>
      </c>
      <c r="C1457" s="1" t="n">
        <v>45705</v>
      </c>
      <c r="D1457" t="inlineStr">
        <is>
          <t>UPPSALA LÄN</t>
        </is>
      </c>
      <c r="E1457" t="inlineStr">
        <is>
          <t>ÖSTHAMMAR</t>
        </is>
      </c>
      <c r="F1457" t="inlineStr">
        <is>
          <t>Bergvik skog öst AB</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39935-2020</t>
        </is>
      </c>
      <c r="B1458" s="1" t="n">
        <v>44067</v>
      </c>
      <c r="C1458" s="1" t="n">
        <v>45705</v>
      </c>
      <c r="D1458" t="inlineStr">
        <is>
          <t>UPPSALA LÄN</t>
        </is>
      </c>
      <c r="E1458" t="inlineStr">
        <is>
          <t>ENKÖPING</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40667-2020</t>
        </is>
      </c>
      <c r="B1459" s="1" t="n">
        <v>44069</v>
      </c>
      <c r="C1459" s="1" t="n">
        <v>45705</v>
      </c>
      <c r="D1459" t="inlineStr">
        <is>
          <t>UPPSALA LÄN</t>
        </is>
      </c>
      <c r="E1459" t="inlineStr">
        <is>
          <t>ÄLVKARLEBY</t>
        </is>
      </c>
      <c r="F1459" t="inlineStr">
        <is>
          <t>Bergvik skog väst AB</t>
        </is>
      </c>
      <c r="G1459" t="n">
        <v>20.7</v>
      </c>
      <c r="H1459" t="n">
        <v>0</v>
      </c>
      <c r="I1459" t="n">
        <v>0</v>
      </c>
      <c r="J1459" t="n">
        <v>0</v>
      </c>
      <c r="K1459" t="n">
        <v>0</v>
      </c>
      <c r="L1459" t="n">
        <v>0</v>
      </c>
      <c r="M1459" t="n">
        <v>0</v>
      </c>
      <c r="N1459" t="n">
        <v>0</v>
      </c>
      <c r="O1459" t="n">
        <v>0</v>
      </c>
      <c r="P1459" t="n">
        <v>0</v>
      </c>
      <c r="Q1459" t="n">
        <v>0</v>
      </c>
      <c r="R1459" s="2" t="inlineStr"/>
    </row>
    <row r="1460" ht="15" customHeight="1">
      <c r="A1460" t="inlineStr">
        <is>
          <t>A 40803-2020</t>
        </is>
      </c>
      <c r="B1460" s="1" t="n">
        <v>44070</v>
      </c>
      <c r="C1460" s="1" t="n">
        <v>45705</v>
      </c>
      <c r="D1460" t="inlineStr">
        <is>
          <t>UPPSALA LÄN</t>
        </is>
      </c>
      <c r="E1460" t="inlineStr">
        <is>
          <t>HEBY</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40894-2020</t>
        </is>
      </c>
      <c r="B1461" s="1" t="n">
        <v>44070</v>
      </c>
      <c r="C1461" s="1" t="n">
        <v>45705</v>
      </c>
      <c r="D1461" t="inlineStr">
        <is>
          <t>UPPSALA LÄN</t>
        </is>
      </c>
      <c r="E1461" t="inlineStr">
        <is>
          <t>UPPSALA</t>
        </is>
      </c>
      <c r="G1461" t="n">
        <v>7.1</v>
      </c>
      <c r="H1461" t="n">
        <v>0</v>
      </c>
      <c r="I1461" t="n">
        <v>0</v>
      </c>
      <c r="J1461" t="n">
        <v>0</v>
      </c>
      <c r="K1461" t="n">
        <v>0</v>
      </c>
      <c r="L1461" t="n">
        <v>0</v>
      </c>
      <c r="M1461" t="n">
        <v>0</v>
      </c>
      <c r="N1461" t="n">
        <v>0</v>
      </c>
      <c r="O1461" t="n">
        <v>0</v>
      </c>
      <c r="P1461" t="n">
        <v>0</v>
      </c>
      <c r="Q1461" t="n">
        <v>0</v>
      </c>
      <c r="R1461" s="2" t="inlineStr"/>
    </row>
    <row r="1462" ht="15" customHeight="1">
      <c r="A1462" t="inlineStr">
        <is>
          <t>A 41849-2020</t>
        </is>
      </c>
      <c r="B1462" s="1" t="n">
        <v>44074</v>
      </c>
      <c r="C1462" s="1" t="n">
        <v>45705</v>
      </c>
      <c r="D1462" t="inlineStr">
        <is>
          <t>UPPSALA LÄN</t>
        </is>
      </c>
      <c r="E1462" t="inlineStr">
        <is>
          <t>ÖSTHAMMAR</t>
        </is>
      </c>
      <c r="F1462" t="inlineStr">
        <is>
          <t>Bergvik skog öst AB</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42341-2020</t>
        </is>
      </c>
      <c r="B1463" s="1" t="n">
        <v>44076</v>
      </c>
      <c r="C1463" s="1" t="n">
        <v>45705</v>
      </c>
      <c r="D1463" t="inlineStr">
        <is>
          <t>UPPSALA LÄN</t>
        </is>
      </c>
      <c r="E1463" t="inlineStr">
        <is>
          <t>UPPSALA</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42549-2020</t>
        </is>
      </c>
      <c r="B1464" s="1" t="n">
        <v>44077</v>
      </c>
      <c r="C1464" s="1" t="n">
        <v>45705</v>
      </c>
      <c r="D1464" t="inlineStr">
        <is>
          <t>UPPSALA LÄN</t>
        </is>
      </c>
      <c r="E1464" t="inlineStr">
        <is>
          <t>ÖSTHAMMAR</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43968-2020</t>
        </is>
      </c>
      <c r="B1465" s="1" t="n">
        <v>44083</v>
      </c>
      <c r="C1465" s="1" t="n">
        <v>45705</v>
      </c>
      <c r="D1465" t="inlineStr">
        <is>
          <t>UPPSALA LÄN</t>
        </is>
      </c>
      <c r="E1465" t="inlineStr">
        <is>
          <t>UPPSALA</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44089-2020</t>
        </is>
      </c>
      <c r="B1466" s="1" t="n">
        <v>44083</v>
      </c>
      <c r="C1466" s="1" t="n">
        <v>45705</v>
      </c>
      <c r="D1466" t="inlineStr">
        <is>
          <t>UPPSALA LÄN</t>
        </is>
      </c>
      <c r="E1466" t="inlineStr">
        <is>
          <t>KNIVSTA</t>
        </is>
      </c>
      <c r="F1466" t="inlineStr">
        <is>
          <t>Holmen skog AB</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45513-2020</t>
        </is>
      </c>
      <c r="B1467" s="1" t="n">
        <v>44085</v>
      </c>
      <c r="C1467" s="1" t="n">
        <v>45705</v>
      </c>
      <c r="D1467" t="inlineStr">
        <is>
          <t>UPPSALA LÄN</t>
        </is>
      </c>
      <c r="E1467" t="inlineStr">
        <is>
          <t>TIERP</t>
        </is>
      </c>
      <c r="F1467" t="inlineStr">
        <is>
          <t>Bergvik skog väst AB</t>
        </is>
      </c>
      <c r="G1467" t="n">
        <v>6.2</v>
      </c>
      <c r="H1467" t="n">
        <v>0</v>
      </c>
      <c r="I1467" t="n">
        <v>0</v>
      </c>
      <c r="J1467" t="n">
        <v>0</v>
      </c>
      <c r="K1467" t="n">
        <v>0</v>
      </c>
      <c r="L1467" t="n">
        <v>0</v>
      </c>
      <c r="M1467" t="n">
        <v>0</v>
      </c>
      <c r="N1467" t="n">
        <v>0</v>
      </c>
      <c r="O1467" t="n">
        <v>0</v>
      </c>
      <c r="P1467" t="n">
        <v>0</v>
      </c>
      <c r="Q1467" t="n">
        <v>0</v>
      </c>
      <c r="R1467" s="2" t="inlineStr"/>
    </row>
    <row r="1468" ht="15" customHeight="1">
      <c r="A1468" t="inlineStr">
        <is>
          <t>A 45938-2020</t>
        </is>
      </c>
      <c r="B1468" s="1" t="n">
        <v>44088</v>
      </c>
      <c r="C1468" s="1" t="n">
        <v>45705</v>
      </c>
      <c r="D1468" t="inlineStr">
        <is>
          <t>UPPSALA LÄN</t>
        </is>
      </c>
      <c r="E1468" t="inlineStr">
        <is>
          <t>TIERP</t>
        </is>
      </c>
      <c r="F1468" t="inlineStr">
        <is>
          <t>Bergvik skog väst AB</t>
        </is>
      </c>
      <c r="G1468" t="n">
        <v>18.5</v>
      </c>
      <c r="H1468" t="n">
        <v>0</v>
      </c>
      <c r="I1468" t="n">
        <v>0</v>
      </c>
      <c r="J1468" t="n">
        <v>0</v>
      </c>
      <c r="K1468" t="n">
        <v>0</v>
      </c>
      <c r="L1468" t="n">
        <v>0</v>
      </c>
      <c r="M1468" t="n">
        <v>0</v>
      </c>
      <c r="N1468" t="n">
        <v>0</v>
      </c>
      <c r="O1468" t="n">
        <v>0</v>
      </c>
      <c r="P1468" t="n">
        <v>0</v>
      </c>
      <c r="Q1468" t="n">
        <v>0</v>
      </c>
      <c r="R1468" s="2" t="inlineStr"/>
    </row>
    <row r="1469" ht="15" customHeight="1">
      <c r="A1469" t="inlineStr">
        <is>
          <t>A 45378-2020</t>
        </is>
      </c>
      <c r="B1469" s="1" t="n">
        <v>44089</v>
      </c>
      <c r="C1469" s="1" t="n">
        <v>45705</v>
      </c>
      <c r="D1469" t="inlineStr">
        <is>
          <t>UPPSALA LÄN</t>
        </is>
      </c>
      <c r="E1469" t="inlineStr">
        <is>
          <t>ENKÖPING</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45497-2020</t>
        </is>
      </c>
      <c r="B1470" s="1" t="n">
        <v>44089</v>
      </c>
      <c r="C1470" s="1" t="n">
        <v>45705</v>
      </c>
      <c r="D1470" t="inlineStr">
        <is>
          <t>UPPSALA LÄN</t>
        </is>
      </c>
      <c r="E1470" t="inlineStr">
        <is>
          <t>HEBY</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45930-2020</t>
        </is>
      </c>
      <c r="B1471" s="1" t="n">
        <v>44091</v>
      </c>
      <c r="C1471" s="1" t="n">
        <v>45705</v>
      </c>
      <c r="D1471" t="inlineStr">
        <is>
          <t>UPPSALA LÄN</t>
        </is>
      </c>
      <c r="E1471" t="inlineStr">
        <is>
          <t>UPPSALA</t>
        </is>
      </c>
      <c r="F1471" t="inlineStr">
        <is>
          <t>Holmen skog AB</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46223-2020</t>
        </is>
      </c>
      <c r="B1472" s="1" t="n">
        <v>44092</v>
      </c>
      <c r="C1472" s="1" t="n">
        <v>45705</v>
      </c>
      <c r="D1472" t="inlineStr">
        <is>
          <t>UPPSALA LÄN</t>
        </is>
      </c>
      <c r="E1472" t="inlineStr">
        <is>
          <t>HEBY</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46311-2020</t>
        </is>
      </c>
      <c r="B1473" s="1" t="n">
        <v>44092</v>
      </c>
      <c r="C1473" s="1" t="n">
        <v>45705</v>
      </c>
      <c r="D1473" t="inlineStr">
        <is>
          <t>UPPSALA LÄN</t>
        </is>
      </c>
      <c r="E1473" t="inlineStr">
        <is>
          <t>ÖSTHAMMAR</t>
        </is>
      </c>
      <c r="F1473" t="inlineStr">
        <is>
          <t>Bergvik skog öst AB</t>
        </is>
      </c>
      <c r="G1473" t="n">
        <v>4</v>
      </c>
      <c r="H1473" t="n">
        <v>0</v>
      </c>
      <c r="I1473" t="n">
        <v>0</v>
      </c>
      <c r="J1473" t="n">
        <v>0</v>
      </c>
      <c r="K1473" t="n">
        <v>0</v>
      </c>
      <c r="L1473" t="n">
        <v>0</v>
      </c>
      <c r="M1473" t="n">
        <v>0</v>
      </c>
      <c r="N1473" t="n">
        <v>0</v>
      </c>
      <c r="O1473" t="n">
        <v>0</v>
      </c>
      <c r="P1473" t="n">
        <v>0</v>
      </c>
      <c r="Q1473" t="n">
        <v>0</v>
      </c>
      <c r="R1473" s="2" t="inlineStr"/>
    </row>
    <row r="1474" ht="15" customHeight="1">
      <c r="A1474" t="inlineStr">
        <is>
          <t>A 46593-2020</t>
        </is>
      </c>
      <c r="B1474" s="1" t="n">
        <v>44095</v>
      </c>
      <c r="C1474" s="1" t="n">
        <v>45705</v>
      </c>
      <c r="D1474" t="inlineStr">
        <is>
          <t>UPPSALA LÄN</t>
        </is>
      </c>
      <c r="E1474" t="inlineStr">
        <is>
          <t>ENKÖPING</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46633-2020</t>
        </is>
      </c>
      <c r="B1475" s="1" t="n">
        <v>44095</v>
      </c>
      <c r="C1475" s="1" t="n">
        <v>45705</v>
      </c>
      <c r="D1475" t="inlineStr">
        <is>
          <t>UPPSALA LÄN</t>
        </is>
      </c>
      <c r="E1475" t="inlineStr">
        <is>
          <t>UPPSALA</t>
        </is>
      </c>
      <c r="G1475" t="n">
        <v>4.2</v>
      </c>
      <c r="H1475" t="n">
        <v>0</v>
      </c>
      <c r="I1475" t="n">
        <v>0</v>
      </c>
      <c r="J1475" t="n">
        <v>0</v>
      </c>
      <c r="K1475" t="n">
        <v>0</v>
      </c>
      <c r="L1475" t="n">
        <v>0</v>
      </c>
      <c r="M1475" t="n">
        <v>0</v>
      </c>
      <c r="N1475" t="n">
        <v>0</v>
      </c>
      <c r="O1475" t="n">
        <v>0</v>
      </c>
      <c r="P1475" t="n">
        <v>0</v>
      </c>
      <c r="Q1475" t="n">
        <v>0</v>
      </c>
      <c r="R1475" s="2" t="inlineStr"/>
    </row>
    <row r="1476" ht="15" customHeight="1">
      <c r="A1476" t="inlineStr">
        <is>
          <t>A 46423-2020</t>
        </is>
      </c>
      <c r="B1476" s="1" t="n">
        <v>44095</v>
      </c>
      <c r="C1476" s="1" t="n">
        <v>45705</v>
      </c>
      <c r="D1476" t="inlineStr">
        <is>
          <t>UPPSALA LÄN</t>
        </is>
      </c>
      <c r="E1476" t="inlineStr">
        <is>
          <t>ÖSTHAMMAR</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46643-2020</t>
        </is>
      </c>
      <c r="B1477" s="1" t="n">
        <v>44095</v>
      </c>
      <c r="C1477" s="1" t="n">
        <v>45705</v>
      </c>
      <c r="D1477" t="inlineStr">
        <is>
          <t>UPPSALA LÄN</t>
        </is>
      </c>
      <c r="E1477" t="inlineStr">
        <is>
          <t>HEBY</t>
        </is>
      </c>
      <c r="G1477" t="n">
        <v>7.6</v>
      </c>
      <c r="H1477" t="n">
        <v>0</v>
      </c>
      <c r="I1477" t="n">
        <v>0</v>
      </c>
      <c r="J1477" t="n">
        <v>0</v>
      </c>
      <c r="K1477" t="n">
        <v>0</v>
      </c>
      <c r="L1477" t="n">
        <v>0</v>
      </c>
      <c r="M1477" t="n">
        <v>0</v>
      </c>
      <c r="N1477" t="n">
        <v>0</v>
      </c>
      <c r="O1477" t="n">
        <v>0</v>
      </c>
      <c r="P1477" t="n">
        <v>0</v>
      </c>
      <c r="Q1477" t="n">
        <v>0</v>
      </c>
      <c r="R1477" s="2" t="inlineStr"/>
    </row>
    <row r="1478" ht="15" customHeight="1">
      <c r="A1478" t="inlineStr">
        <is>
          <t>A 46647-2020</t>
        </is>
      </c>
      <c r="B1478" s="1" t="n">
        <v>44095</v>
      </c>
      <c r="C1478" s="1" t="n">
        <v>45705</v>
      </c>
      <c r="D1478" t="inlineStr">
        <is>
          <t>UPPSALA LÄN</t>
        </is>
      </c>
      <c r="E1478" t="inlineStr">
        <is>
          <t>UPPSALA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46988-2020</t>
        </is>
      </c>
      <c r="B1479" s="1" t="n">
        <v>44096</v>
      </c>
      <c r="C1479" s="1" t="n">
        <v>45705</v>
      </c>
      <c r="D1479" t="inlineStr">
        <is>
          <t>UPPSALA LÄN</t>
        </is>
      </c>
      <c r="E1479" t="inlineStr">
        <is>
          <t>KNIVSTA</t>
        </is>
      </c>
      <c r="F1479" t="inlineStr">
        <is>
          <t>Holmen skog AB</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47234-2020</t>
        </is>
      </c>
      <c r="B1480" s="1" t="n">
        <v>44097</v>
      </c>
      <c r="C1480" s="1" t="n">
        <v>45705</v>
      </c>
      <c r="D1480" t="inlineStr">
        <is>
          <t>UPPSALA LÄN</t>
        </is>
      </c>
      <c r="E1480" t="inlineStr">
        <is>
          <t>TIERP</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47149-2020</t>
        </is>
      </c>
      <c r="B1481" s="1" t="n">
        <v>44097</v>
      </c>
      <c r="C1481" s="1" t="n">
        <v>45705</v>
      </c>
      <c r="D1481" t="inlineStr">
        <is>
          <t>UPPSALA LÄN</t>
        </is>
      </c>
      <c r="E1481" t="inlineStr">
        <is>
          <t>HEBY</t>
        </is>
      </c>
      <c r="F1481" t="inlineStr">
        <is>
          <t>Övriga Aktiebolag</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47628-2020</t>
        </is>
      </c>
      <c r="B1482" s="1" t="n">
        <v>44098</v>
      </c>
      <c r="C1482" s="1" t="n">
        <v>45705</v>
      </c>
      <c r="D1482" t="inlineStr">
        <is>
          <t>UPPSALA LÄN</t>
        </is>
      </c>
      <c r="E1482" t="inlineStr">
        <is>
          <t>HEBY</t>
        </is>
      </c>
      <c r="G1482" t="n">
        <v>5.1</v>
      </c>
      <c r="H1482" t="n">
        <v>0</v>
      </c>
      <c r="I1482" t="n">
        <v>0</v>
      </c>
      <c r="J1482" t="n">
        <v>0</v>
      </c>
      <c r="K1482" t="n">
        <v>0</v>
      </c>
      <c r="L1482" t="n">
        <v>0</v>
      </c>
      <c r="M1482" t="n">
        <v>0</v>
      </c>
      <c r="N1482" t="n">
        <v>0</v>
      </c>
      <c r="O1482" t="n">
        <v>0</v>
      </c>
      <c r="P1482" t="n">
        <v>0</v>
      </c>
      <c r="Q1482" t="n">
        <v>0</v>
      </c>
      <c r="R1482" s="2" t="inlineStr"/>
    </row>
    <row r="1483" ht="15" customHeight="1">
      <c r="A1483" t="inlineStr">
        <is>
          <t>A 47481-2020</t>
        </is>
      </c>
      <c r="B1483" s="1" t="n">
        <v>44098</v>
      </c>
      <c r="C1483" s="1" t="n">
        <v>45705</v>
      </c>
      <c r="D1483" t="inlineStr">
        <is>
          <t>UPPSALA LÄN</t>
        </is>
      </c>
      <c r="E1483" t="inlineStr">
        <is>
          <t>ÖSTHAMMAR</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48181-2020</t>
        </is>
      </c>
      <c r="B1484" s="1" t="n">
        <v>44102</v>
      </c>
      <c r="C1484" s="1" t="n">
        <v>45705</v>
      </c>
      <c r="D1484" t="inlineStr">
        <is>
          <t>UPPSALA LÄN</t>
        </is>
      </c>
      <c r="E1484" t="inlineStr">
        <is>
          <t>HEBY</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48362-2020</t>
        </is>
      </c>
      <c r="B1485" s="1" t="n">
        <v>44102</v>
      </c>
      <c r="C1485" s="1" t="n">
        <v>45705</v>
      </c>
      <c r="D1485" t="inlineStr">
        <is>
          <t>UPPSALA LÄN</t>
        </is>
      </c>
      <c r="E1485" t="inlineStr">
        <is>
          <t>ENKÖPING</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48484-2020</t>
        </is>
      </c>
      <c r="B1486" s="1" t="n">
        <v>44103</v>
      </c>
      <c r="C1486" s="1" t="n">
        <v>45705</v>
      </c>
      <c r="D1486" t="inlineStr">
        <is>
          <t>UPPSALA LÄN</t>
        </is>
      </c>
      <c r="E1486" t="inlineStr">
        <is>
          <t>ENKÖPING</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48548-2020</t>
        </is>
      </c>
      <c r="B1487" s="1" t="n">
        <v>44103</v>
      </c>
      <c r="C1487" s="1" t="n">
        <v>45705</v>
      </c>
      <c r="D1487" t="inlineStr">
        <is>
          <t>UPPSALA LÄN</t>
        </is>
      </c>
      <c r="E1487" t="inlineStr">
        <is>
          <t>HEBY</t>
        </is>
      </c>
      <c r="G1487" t="n">
        <v>7.3</v>
      </c>
      <c r="H1487" t="n">
        <v>0</v>
      </c>
      <c r="I1487" t="n">
        <v>0</v>
      </c>
      <c r="J1487" t="n">
        <v>0</v>
      </c>
      <c r="K1487" t="n">
        <v>0</v>
      </c>
      <c r="L1487" t="n">
        <v>0</v>
      </c>
      <c r="M1487" t="n">
        <v>0</v>
      </c>
      <c r="N1487" t="n">
        <v>0</v>
      </c>
      <c r="O1487" t="n">
        <v>0</v>
      </c>
      <c r="P1487" t="n">
        <v>0</v>
      </c>
      <c r="Q1487" t="n">
        <v>0</v>
      </c>
      <c r="R1487" s="2" t="inlineStr"/>
    </row>
    <row r="1488" ht="15" customHeight="1">
      <c r="A1488" t="inlineStr">
        <is>
          <t>A 48786-2020</t>
        </is>
      </c>
      <c r="B1488" s="1" t="n">
        <v>44103</v>
      </c>
      <c r="C1488" s="1" t="n">
        <v>45705</v>
      </c>
      <c r="D1488" t="inlineStr">
        <is>
          <t>UPPSALA LÄN</t>
        </is>
      </c>
      <c r="E1488" t="inlineStr">
        <is>
          <t>UPPSALA</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49206-2020</t>
        </is>
      </c>
      <c r="B1489" s="1" t="n">
        <v>44105</v>
      </c>
      <c r="C1489" s="1" t="n">
        <v>45705</v>
      </c>
      <c r="D1489" t="inlineStr">
        <is>
          <t>UPPSALA LÄN</t>
        </is>
      </c>
      <c r="E1489" t="inlineStr">
        <is>
          <t>ÖSTHAMMAR</t>
        </is>
      </c>
      <c r="F1489" t="inlineStr">
        <is>
          <t>Bergvik skog öst AB</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49336-2020</t>
        </is>
      </c>
      <c r="B1490" s="1" t="n">
        <v>44105</v>
      </c>
      <c r="C1490" s="1" t="n">
        <v>45705</v>
      </c>
      <c r="D1490" t="inlineStr">
        <is>
          <t>UPPSALA LÄN</t>
        </is>
      </c>
      <c r="E1490" t="inlineStr">
        <is>
          <t>ÖSTHAMMAR</t>
        </is>
      </c>
      <c r="F1490" t="inlineStr">
        <is>
          <t>Övriga Aktiebolag</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49363-2020</t>
        </is>
      </c>
      <c r="B1491" s="1" t="n">
        <v>44105</v>
      </c>
      <c r="C1491" s="1" t="n">
        <v>45705</v>
      </c>
      <c r="D1491" t="inlineStr">
        <is>
          <t>UPPSALA LÄN</t>
        </is>
      </c>
      <c r="E1491" t="inlineStr">
        <is>
          <t>UPPSALA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49409-2020</t>
        </is>
      </c>
      <c r="B1492" s="1" t="n">
        <v>44105</v>
      </c>
      <c r="C1492" s="1" t="n">
        <v>45705</v>
      </c>
      <c r="D1492" t="inlineStr">
        <is>
          <t>UPPSALA LÄN</t>
        </is>
      </c>
      <c r="E1492" t="inlineStr">
        <is>
          <t>UPPSALA</t>
        </is>
      </c>
      <c r="F1492" t="inlineStr">
        <is>
          <t>Sveaskog</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49404-2020</t>
        </is>
      </c>
      <c r="B1493" s="1" t="n">
        <v>44105</v>
      </c>
      <c r="C1493" s="1" t="n">
        <v>45705</v>
      </c>
      <c r="D1493" t="inlineStr">
        <is>
          <t>UPPSALA LÄN</t>
        </is>
      </c>
      <c r="E1493" t="inlineStr">
        <is>
          <t>UPPSALA</t>
        </is>
      </c>
      <c r="F1493" t="inlineStr">
        <is>
          <t>Sveaskog</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49718-2020</t>
        </is>
      </c>
      <c r="B1494" s="1" t="n">
        <v>44106</v>
      </c>
      <c r="C1494" s="1" t="n">
        <v>45705</v>
      </c>
      <c r="D1494" t="inlineStr">
        <is>
          <t>UPPSALA LÄN</t>
        </is>
      </c>
      <c r="E1494" t="inlineStr">
        <is>
          <t>TIERP</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49821-2020</t>
        </is>
      </c>
      <c r="B1495" s="1" t="n">
        <v>44106</v>
      </c>
      <c r="C1495" s="1" t="n">
        <v>45705</v>
      </c>
      <c r="D1495" t="inlineStr">
        <is>
          <t>UPPSALA LÄN</t>
        </is>
      </c>
      <c r="E1495" t="inlineStr">
        <is>
          <t>UPPSALA</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51400-2020</t>
        </is>
      </c>
      <c r="B1496" s="1" t="n">
        <v>44106</v>
      </c>
      <c r="C1496" s="1" t="n">
        <v>45705</v>
      </c>
      <c r="D1496" t="inlineStr">
        <is>
          <t>UPPSALA LÄN</t>
        </is>
      </c>
      <c r="E1496" t="inlineStr">
        <is>
          <t>ENKÖPING</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49931-2020</t>
        </is>
      </c>
      <c r="B1497" s="1" t="n">
        <v>44109</v>
      </c>
      <c r="C1497" s="1" t="n">
        <v>45705</v>
      </c>
      <c r="D1497" t="inlineStr">
        <is>
          <t>UPPSALA LÄN</t>
        </is>
      </c>
      <c r="E1497" t="inlineStr">
        <is>
          <t>UPPSALA</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50413-2020</t>
        </is>
      </c>
      <c r="B1498" s="1" t="n">
        <v>44110</v>
      </c>
      <c r="C1498" s="1" t="n">
        <v>45705</v>
      </c>
      <c r="D1498" t="inlineStr">
        <is>
          <t>UPPSALA LÄN</t>
        </is>
      </c>
      <c r="E1498" t="inlineStr">
        <is>
          <t>ÄLVKARLEBY</t>
        </is>
      </c>
      <c r="F1498" t="inlineStr">
        <is>
          <t>Bergvik skog väst AB</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50416-2020</t>
        </is>
      </c>
      <c r="B1499" s="1" t="n">
        <v>44110</v>
      </c>
      <c r="C1499" s="1" t="n">
        <v>45705</v>
      </c>
      <c r="D1499" t="inlineStr">
        <is>
          <t>UPPSALA LÄN</t>
        </is>
      </c>
      <c r="E1499" t="inlineStr">
        <is>
          <t>ÄLVKARLEBY</t>
        </is>
      </c>
      <c r="F1499" t="inlineStr">
        <is>
          <t>Bergvik skog väst AB</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50409-2020</t>
        </is>
      </c>
      <c r="B1500" s="1" t="n">
        <v>44110</v>
      </c>
      <c r="C1500" s="1" t="n">
        <v>45705</v>
      </c>
      <c r="D1500" t="inlineStr">
        <is>
          <t>UPPSALA LÄN</t>
        </is>
      </c>
      <c r="E1500" t="inlineStr">
        <is>
          <t>ÄLVKARLEBY</t>
        </is>
      </c>
      <c r="F1500" t="inlineStr">
        <is>
          <t>Bergvik skog väst AB</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50589-2020</t>
        </is>
      </c>
      <c r="B1501" s="1" t="n">
        <v>44110</v>
      </c>
      <c r="C1501" s="1" t="n">
        <v>45705</v>
      </c>
      <c r="D1501" t="inlineStr">
        <is>
          <t>UPPSALA LÄN</t>
        </is>
      </c>
      <c r="E1501" t="inlineStr">
        <is>
          <t>HEBY</t>
        </is>
      </c>
      <c r="G1501" t="n">
        <v>6.1</v>
      </c>
      <c r="H1501" t="n">
        <v>0</v>
      </c>
      <c r="I1501" t="n">
        <v>0</v>
      </c>
      <c r="J1501" t="n">
        <v>0</v>
      </c>
      <c r="K1501" t="n">
        <v>0</v>
      </c>
      <c r="L1501" t="n">
        <v>0</v>
      </c>
      <c r="M1501" t="n">
        <v>0</v>
      </c>
      <c r="N1501" t="n">
        <v>0</v>
      </c>
      <c r="O1501" t="n">
        <v>0</v>
      </c>
      <c r="P1501" t="n">
        <v>0</v>
      </c>
      <c r="Q1501" t="n">
        <v>0</v>
      </c>
      <c r="R1501" s="2" t="inlineStr"/>
    </row>
    <row r="1502" ht="15" customHeight="1">
      <c r="A1502" t="inlineStr">
        <is>
          <t>A 51943-2020</t>
        </is>
      </c>
      <c r="B1502" s="1" t="n">
        <v>44110</v>
      </c>
      <c r="C1502" s="1" t="n">
        <v>45705</v>
      </c>
      <c r="D1502" t="inlineStr">
        <is>
          <t>UPPSALA LÄN</t>
        </is>
      </c>
      <c r="E1502" t="inlineStr">
        <is>
          <t>HEBY</t>
        </is>
      </c>
      <c r="G1502" t="n">
        <v>8.199999999999999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50677-2020</t>
        </is>
      </c>
      <c r="B1503" s="1" t="n">
        <v>44111</v>
      </c>
      <c r="C1503" s="1" t="n">
        <v>45705</v>
      </c>
      <c r="D1503" t="inlineStr">
        <is>
          <t>UPPSALA LÄN</t>
        </is>
      </c>
      <c r="E1503" t="inlineStr">
        <is>
          <t>TIERP</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50735-2020</t>
        </is>
      </c>
      <c r="B1504" s="1" t="n">
        <v>44111</v>
      </c>
      <c r="C1504" s="1" t="n">
        <v>45705</v>
      </c>
      <c r="D1504" t="inlineStr">
        <is>
          <t>UPPSALA LÄN</t>
        </is>
      </c>
      <c r="E1504" t="inlineStr">
        <is>
          <t>TIERP</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51092-2020</t>
        </is>
      </c>
      <c r="B1505" s="1" t="n">
        <v>44112</v>
      </c>
      <c r="C1505" s="1" t="n">
        <v>45705</v>
      </c>
      <c r="D1505" t="inlineStr">
        <is>
          <t>UPPSALA LÄN</t>
        </is>
      </c>
      <c r="E1505" t="inlineStr">
        <is>
          <t>ENKÖPING</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51091-2020</t>
        </is>
      </c>
      <c r="B1506" s="1" t="n">
        <v>44112</v>
      </c>
      <c r="C1506" s="1" t="n">
        <v>45705</v>
      </c>
      <c r="D1506" t="inlineStr">
        <is>
          <t>UPPSALA LÄN</t>
        </is>
      </c>
      <c r="E1506" t="inlineStr">
        <is>
          <t>ENKÖPING</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51808-2020</t>
        </is>
      </c>
      <c r="B1507" s="1" t="n">
        <v>44116</v>
      </c>
      <c r="C1507" s="1" t="n">
        <v>45705</v>
      </c>
      <c r="D1507" t="inlineStr">
        <is>
          <t>UPPSALA LÄN</t>
        </is>
      </c>
      <c r="E1507" t="inlineStr">
        <is>
          <t>TIERP</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52182-2020</t>
        </is>
      </c>
      <c r="B1508" s="1" t="n">
        <v>44117</v>
      </c>
      <c r="C1508" s="1" t="n">
        <v>45705</v>
      </c>
      <c r="D1508" t="inlineStr">
        <is>
          <t>UPPSALA LÄN</t>
        </is>
      </c>
      <c r="E1508" t="inlineStr">
        <is>
          <t>HEBY</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52308-2020</t>
        </is>
      </c>
      <c r="B1509" s="1" t="n">
        <v>44117</v>
      </c>
      <c r="C1509" s="1" t="n">
        <v>45705</v>
      </c>
      <c r="D1509" t="inlineStr">
        <is>
          <t>UPPSALA LÄN</t>
        </is>
      </c>
      <c r="E1509" t="inlineStr">
        <is>
          <t>ENKÖPING</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52102-2020</t>
        </is>
      </c>
      <c r="B1510" s="1" t="n">
        <v>44117</v>
      </c>
      <c r="C1510" s="1" t="n">
        <v>45705</v>
      </c>
      <c r="D1510" t="inlineStr">
        <is>
          <t>UPPSALA LÄN</t>
        </is>
      </c>
      <c r="E1510" t="inlineStr">
        <is>
          <t>ENKÖPING</t>
        </is>
      </c>
      <c r="F1510" t="inlineStr">
        <is>
          <t>Allmännings- och besparingsskogar</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52169-2020</t>
        </is>
      </c>
      <c r="B1511" s="1" t="n">
        <v>44117</v>
      </c>
      <c r="C1511" s="1" t="n">
        <v>45705</v>
      </c>
      <c r="D1511" t="inlineStr">
        <is>
          <t>UPPSALA LÄN</t>
        </is>
      </c>
      <c r="E1511" t="inlineStr">
        <is>
          <t>ENKÖPING</t>
        </is>
      </c>
      <c r="F1511" t="inlineStr">
        <is>
          <t>Allmännings- och besparingsskogar</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52243-2020</t>
        </is>
      </c>
      <c r="B1512" s="1" t="n">
        <v>44117</v>
      </c>
      <c r="C1512" s="1" t="n">
        <v>45705</v>
      </c>
      <c r="D1512" t="inlineStr">
        <is>
          <t>UPPSALA LÄN</t>
        </is>
      </c>
      <c r="E1512" t="inlineStr">
        <is>
          <t>HEBY</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52223-2020</t>
        </is>
      </c>
      <c r="B1513" s="1" t="n">
        <v>44117</v>
      </c>
      <c r="C1513" s="1" t="n">
        <v>45705</v>
      </c>
      <c r="D1513" t="inlineStr">
        <is>
          <t>UPPSALA LÄN</t>
        </is>
      </c>
      <c r="E1513" t="inlineStr">
        <is>
          <t>ENKÖPING</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52432-2020</t>
        </is>
      </c>
      <c r="B1514" s="1" t="n">
        <v>44118</v>
      </c>
      <c r="C1514" s="1" t="n">
        <v>45705</v>
      </c>
      <c r="D1514" t="inlineStr">
        <is>
          <t>UPPSALA LÄN</t>
        </is>
      </c>
      <c r="E1514" t="inlineStr">
        <is>
          <t>ÖSTHAMMAR</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52464-2020</t>
        </is>
      </c>
      <c r="B1515" s="1" t="n">
        <v>44118</v>
      </c>
      <c r="C1515" s="1" t="n">
        <v>45705</v>
      </c>
      <c r="D1515" t="inlineStr">
        <is>
          <t>UPPSALA LÄN</t>
        </is>
      </c>
      <c r="E1515" t="inlineStr">
        <is>
          <t>ENKÖPING</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52434-2020</t>
        </is>
      </c>
      <c r="B1516" s="1" t="n">
        <v>44118</v>
      </c>
      <c r="C1516" s="1" t="n">
        <v>45705</v>
      </c>
      <c r="D1516" t="inlineStr">
        <is>
          <t>UPPSALA LÄN</t>
        </is>
      </c>
      <c r="E1516" t="inlineStr">
        <is>
          <t>ÖSTHAMMAR</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52717-2020</t>
        </is>
      </c>
      <c r="B1517" s="1" t="n">
        <v>44119</v>
      </c>
      <c r="C1517" s="1" t="n">
        <v>45705</v>
      </c>
      <c r="D1517" t="inlineStr">
        <is>
          <t>UPPSALA LÄN</t>
        </is>
      </c>
      <c r="E1517" t="inlineStr">
        <is>
          <t>UPPSALA</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53137-2020</t>
        </is>
      </c>
      <c r="B1518" s="1" t="n">
        <v>44120</v>
      </c>
      <c r="C1518" s="1" t="n">
        <v>45705</v>
      </c>
      <c r="D1518" t="inlineStr">
        <is>
          <t>UPPSALA LÄN</t>
        </is>
      </c>
      <c r="E1518" t="inlineStr">
        <is>
          <t>ÖSTHAMMAR</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53149-2020</t>
        </is>
      </c>
      <c r="B1519" s="1" t="n">
        <v>44120</v>
      </c>
      <c r="C1519" s="1" t="n">
        <v>45705</v>
      </c>
      <c r="D1519" t="inlineStr">
        <is>
          <t>UPPSALA LÄN</t>
        </is>
      </c>
      <c r="E1519" t="inlineStr">
        <is>
          <t>ENKÖPING</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53338-2020</t>
        </is>
      </c>
      <c r="B1520" s="1" t="n">
        <v>44123</v>
      </c>
      <c r="C1520" s="1" t="n">
        <v>45705</v>
      </c>
      <c r="D1520" t="inlineStr">
        <is>
          <t>UPPSALA LÄN</t>
        </is>
      </c>
      <c r="E1520" t="inlineStr">
        <is>
          <t>ENKÖPING</t>
        </is>
      </c>
      <c r="G1520" t="n">
        <v>12.1</v>
      </c>
      <c r="H1520" t="n">
        <v>0</v>
      </c>
      <c r="I1520" t="n">
        <v>0</v>
      </c>
      <c r="J1520" t="n">
        <v>0</v>
      </c>
      <c r="K1520" t="n">
        <v>0</v>
      </c>
      <c r="L1520" t="n">
        <v>0</v>
      </c>
      <c r="M1520" t="n">
        <v>0</v>
      </c>
      <c r="N1520" t="n">
        <v>0</v>
      </c>
      <c r="O1520" t="n">
        <v>0</v>
      </c>
      <c r="P1520" t="n">
        <v>0</v>
      </c>
      <c r="Q1520" t="n">
        <v>0</v>
      </c>
      <c r="R1520" s="2" t="inlineStr"/>
    </row>
    <row r="1521" ht="15" customHeight="1">
      <c r="A1521" t="inlineStr">
        <is>
          <t>A 53352-2020</t>
        </is>
      </c>
      <c r="B1521" s="1" t="n">
        <v>44123</v>
      </c>
      <c r="C1521" s="1" t="n">
        <v>45705</v>
      </c>
      <c r="D1521" t="inlineStr">
        <is>
          <t>UPPSALA LÄN</t>
        </is>
      </c>
      <c r="E1521" t="inlineStr">
        <is>
          <t>ENKÖPING</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53343-2020</t>
        </is>
      </c>
      <c r="B1522" s="1" t="n">
        <v>44123</v>
      </c>
      <c r="C1522" s="1" t="n">
        <v>45705</v>
      </c>
      <c r="D1522" t="inlineStr">
        <is>
          <t>UPPSALA LÄN</t>
        </is>
      </c>
      <c r="E1522" t="inlineStr">
        <is>
          <t>ENKÖPING</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53337-2020</t>
        </is>
      </c>
      <c r="B1523" s="1" t="n">
        <v>44123</v>
      </c>
      <c r="C1523" s="1" t="n">
        <v>45705</v>
      </c>
      <c r="D1523" t="inlineStr">
        <is>
          <t>UPPSALA LÄN</t>
        </is>
      </c>
      <c r="E1523" t="inlineStr">
        <is>
          <t>ENKÖPING</t>
        </is>
      </c>
      <c r="G1523" t="n">
        <v>6.4</v>
      </c>
      <c r="H1523" t="n">
        <v>0</v>
      </c>
      <c r="I1523" t="n">
        <v>0</v>
      </c>
      <c r="J1523" t="n">
        <v>0</v>
      </c>
      <c r="K1523" t="n">
        <v>0</v>
      </c>
      <c r="L1523" t="n">
        <v>0</v>
      </c>
      <c r="M1523" t="n">
        <v>0</v>
      </c>
      <c r="N1523" t="n">
        <v>0</v>
      </c>
      <c r="O1523" t="n">
        <v>0</v>
      </c>
      <c r="P1523" t="n">
        <v>0</v>
      </c>
      <c r="Q1523" t="n">
        <v>0</v>
      </c>
      <c r="R1523" s="2" t="inlineStr"/>
    </row>
    <row r="1524" ht="15" customHeight="1">
      <c r="A1524" t="inlineStr">
        <is>
          <t>A 53346-2020</t>
        </is>
      </c>
      <c r="B1524" s="1" t="n">
        <v>44123</v>
      </c>
      <c r="C1524" s="1" t="n">
        <v>45705</v>
      </c>
      <c r="D1524" t="inlineStr">
        <is>
          <t>UPPSALA LÄN</t>
        </is>
      </c>
      <c r="E1524" t="inlineStr">
        <is>
          <t>UPPSALA</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53344-2020</t>
        </is>
      </c>
      <c r="B1525" s="1" t="n">
        <v>44123</v>
      </c>
      <c r="C1525" s="1" t="n">
        <v>45705</v>
      </c>
      <c r="D1525" t="inlineStr">
        <is>
          <t>UPPSALA LÄN</t>
        </is>
      </c>
      <c r="E1525" t="inlineStr">
        <is>
          <t>ENKÖPING</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53379-2020</t>
        </is>
      </c>
      <c r="B1526" s="1" t="n">
        <v>44123</v>
      </c>
      <c r="C1526" s="1" t="n">
        <v>45705</v>
      </c>
      <c r="D1526" t="inlineStr">
        <is>
          <t>UPPSALA LÄN</t>
        </is>
      </c>
      <c r="E1526" t="inlineStr">
        <is>
          <t>UPPSALA</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53489-2020</t>
        </is>
      </c>
      <c r="B1527" s="1" t="n">
        <v>44123</v>
      </c>
      <c r="C1527" s="1" t="n">
        <v>45705</v>
      </c>
      <c r="D1527" t="inlineStr">
        <is>
          <t>UPPSALA LÄN</t>
        </is>
      </c>
      <c r="E1527" t="inlineStr">
        <is>
          <t>TIERP</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54742-2020</t>
        </is>
      </c>
      <c r="B1528" s="1" t="n">
        <v>44126</v>
      </c>
      <c r="C1528" s="1" t="n">
        <v>45705</v>
      </c>
      <c r="D1528" t="inlineStr">
        <is>
          <t>UPPSALA LÄN</t>
        </is>
      </c>
      <c r="E1528" t="inlineStr">
        <is>
          <t>UPPSALA</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54698-2020</t>
        </is>
      </c>
      <c r="B1529" s="1" t="n">
        <v>44127</v>
      </c>
      <c r="C1529" s="1" t="n">
        <v>45705</v>
      </c>
      <c r="D1529" t="inlineStr">
        <is>
          <t>UPPSALA LÄN</t>
        </is>
      </c>
      <c r="E1529" t="inlineStr">
        <is>
          <t>HEBY</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55051-2020</t>
        </is>
      </c>
      <c r="B1530" s="1" t="n">
        <v>44130</v>
      </c>
      <c r="C1530" s="1" t="n">
        <v>45705</v>
      </c>
      <c r="D1530" t="inlineStr">
        <is>
          <t>UPPSALA LÄN</t>
        </is>
      </c>
      <c r="E1530" t="inlineStr">
        <is>
          <t>ENKÖPING</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55220-2020</t>
        </is>
      </c>
      <c r="B1531" s="1" t="n">
        <v>44130</v>
      </c>
      <c r="C1531" s="1" t="n">
        <v>45705</v>
      </c>
      <c r="D1531" t="inlineStr">
        <is>
          <t>UPPSALA LÄN</t>
        </is>
      </c>
      <c r="E1531" t="inlineStr">
        <is>
          <t>UPPSALA</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55389-2020</t>
        </is>
      </c>
      <c r="B1532" s="1" t="n">
        <v>44131</v>
      </c>
      <c r="C1532" s="1" t="n">
        <v>45705</v>
      </c>
      <c r="D1532" t="inlineStr">
        <is>
          <t>UPPSALA LÄN</t>
        </is>
      </c>
      <c r="E1532" t="inlineStr">
        <is>
          <t>ÖSTHAMMAR</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55953-2020</t>
        </is>
      </c>
      <c r="B1533" s="1" t="n">
        <v>44131</v>
      </c>
      <c r="C1533" s="1" t="n">
        <v>45705</v>
      </c>
      <c r="D1533" t="inlineStr">
        <is>
          <t>UPPSALA LÄN</t>
        </is>
      </c>
      <c r="E1533" t="inlineStr">
        <is>
          <t>UPPSALA</t>
        </is>
      </c>
      <c r="F1533" t="inlineStr">
        <is>
          <t>Allmännings- och besparingsskogar</t>
        </is>
      </c>
      <c r="G1533" t="n">
        <v>74.40000000000001</v>
      </c>
      <c r="H1533" t="n">
        <v>0</v>
      </c>
      <c r="I1533" t="n">
        <v>0</v>
      </c>
      <c r="J1533" t="n">
        <v>0</v>
      </c>
      <c r="K1533" t="n">
        <v>0</v>
      </c>
      <c r="L1533" t="n">
        <v>0</v>
      </c>
      <c r="M1533" t="n">
        <v>0</v>
      </c>
      <c r="N1533" t="n">
        <v>0</v>
      </c>
      <c r="O1533" t="n">
        <v>0</v>
      </c>
      <c r="P1533" t="n">
        <v>0</v>
      </c>
      <c r="Q1533" t="n">
        <v>0</v>
      </c>
      <c r="R1533" s="2" t="inlineStr"/>
    </row>
    <row r="1534" ht="15" customHeight="1">
      <c r="A1534" t="inlineStr">
        <is>
          <t>A 56097-2020</t>
        </is>
      </c>
      <c r="B1534" s="1" t="n">
        <v>44131</v>
      </c>
      <c r="C1534" s="1" t="n">
        <v>45705</v>
      </c>
      <c r="D1534" t="inlineStr">
        <is>
          <t>UPPSALA LÄN</t>
        </is>
      </c>
      <c r="E1534" t="inlineStr">
        <is>
          <t>UPPSALA</t>
        </is>
      </c>
      <c r="F1534" t="inlineStr">
        <is>
          <t>Allmännings- och besparingsskogar</t>
        </is>
      </c>
      <c r="G1534" t="n">
        <v>10.6</v>
      </c>
      <c r="H1534" t="n">
        <v>0</v>
      </c>
      <c r="I1534" t="n">
        <v>0</v>
      </c>
      <c r="J1534" t="n">
        <v>0</v>
      </c>
      <c r="K1534" t="n">
        <v>0</v>
      </c>
      <c r="L1534" t="n">
        <v>0</v>
      </c>
      <c r="M1534" t="n">
        <v>0</v>
      </c>
      <c r="N1534" t="n">
        <v>0</v>
      </c>
      <c r="O1534" t="n">
        <v>0</v>
      </c>
      <c r="P1534" t="n">
        <v>0</v>
      </c>
      <c r="Q1534" t="n">
        <v>0</v>
      </c>
      <c r="R1534" s="2" t="inlineStr"/>
    </row>
    <row r="1535" ht="15" customHeight="1">
      <c r="A1535" t="inlineStr">
        <is>
          <t>A 56041-2020</t>
        </is>
      </c>
      <c r="B1535" s="1" t="n">
        <v>44133</v>
      </c>
      <c r="C1535" s="1" t="n">
        <v>45705</v>
      </c>
      <c r="D1535" t="inlineStr">
        <is>
          <t>UPPSALA LÄN</t>
        </is>
      </c>
      <c r="E1535" t="inlineStr">
        <is>
          <t>ÖSTHAMMAR</t>
        </is>
      </c>
      <c r="F1535" t="inlineStr">
        <is>
          <t>Bergvik skog väst AB</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56079-2020</t>
        </is>
      </c>
      <c r="B1536" s="1" t="n">
        <v>44133</v>
      </c>
      <c r="C1536" s="1" t="n">
        <v>45705</v>
      </c>
      <c r="D1536" t="inlineStr">
        <is>
          <t>UPPSALA LÄN</t>
        </is>
      </c>
      <c r="E1536" t="inlineStr">
        <is>
          <t>ÖSTHAMMAR</t>
        </is>
      </c>
      <c r="F1536" t="inlineStr">
        <is>
          <t>Bergvik skog öst AB</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56089-2020</t>
        </is>
      </c>
      <c r="B1537" s="1" t="n">
        <v>44133</v>
      </c>
      <c r="C1537" s="1" t="n">
        <v>45705</v>
      </c>
      <c r="D1537" t="inlineStr">
        <is>
          <t>UPPSALA LÄN</t>
        </is>
      </c>
      <c r="E1537" t="inlineStr">
        <is>
          <t>ÖSTHAMMAR</t>
        </is>
      </c>
      <c r="F1537" t="inlineStr">
        <is>
          <t>Bergvik skog öst AB</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56466-2020</t>
        </is>
      </c>
      <c r="B1538" s="1" t="n">
        <v>44134</v>
      </c>
      <c r="C1538" s="1" t="n">
        <v>45705</v>
      </c>
      <c r="D1538" t="inlineStr">
        <is>
          <t>UPPSALA LÄN</t>
        </is>
      </c>
      <c r="E1538" t="inlineStr">
        <is>
          <t>UPPSALA</t>
        </is>
      </c>
      <c r="F1538" t="inlineStr">
        <is>
          <t>Övriga Aktiebolag</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56317-2020</t>
        </is>
      </c>
      <c r="B1539" s="1" t="n">
        <v>44134</v>
      </c>
      <c r="C1539" s="1" t="n">
        <v>45705</v>
      </c>
      <c r="D1539" t="inlineStr">
        <is>
          <t>UPPSALA LÄN</t>
        </is>
      </c>
      <c r="E1539" t="inlineStr">
        <is>
          <t>HEBY</t>
        </is>
      </c>
      <c r="G1539" t="n">
        <v>23.4</v>
      </c>
      <c r="H1539" t="n">
        <v>0</v>
      </c>
      <c r="I1539" t="n">
        <v>0</v>
      </c>
      <c r="J1539" t="n">
        <v>0</v>
      </c>
      <c r="K1539" t="n">
        <v>0</v>
      </c>
      <c r="L1539" t="n">
        <v>0</v>
      </c>
      <c r="M1539" t="n">
        <v>0</v>
      </c>
      <c r="N1539" t="n">
        <v>0</v>
      </c>
      <c r="O1539" t="n">
        <v>0</v>
      </c>
      <c r="P1539" t="n">
        <v>0</v>
      </c>
      <c r="Q1539" t="n">
        <v>0</v>
      </c>
      <c r="R1539" s="2" t="inlineStr"/>
    </row>
    <row r="1540" ht="15" customHeight="1">
      <c r="A1540" t="inlineStr">
        <is>
          <t>A 57041-2020</t>
        </is>
      </c>
      <c r="B1540" s="1" t="n">
        <v>44137</v>
      </c>
      <c r="C1540" s="1" t="n">
        <v>45705</v>
      </c>
      <c r="D1540" t="inlineStr">
        <is>
          <t>UPPSALA LÄN</t>
        </is>
      </c>
      <c r="E1540" t="inlineStr">
        <is>
          <t>UPPSALA</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56919-2020</t>
        </is>
      </c>
      <c r="B1541" s="1" t="n">
        <v>44138</v>
      </c>
      <c r="C1541" s="1" t="n">
        <v>45705</v>
      </c>
      <c r="D1541" t="inlineStr">
        <is>
          <t>UPPSALA LÄN</t>
        </is>
      </c>
      <c r="E1541" t="inlineStr">
        <is>
          <t>ENKÖPING</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57286-2020</t>
        </is>
      </c>
      <c r="B1542" s="1" t="n">
        <v>44139</v>
      </c>
      <c r="C1542" s="1" t="n">
        <v>45705</v>
      </c>
      <c r="D1542" t="inlineStr">
        <is>
          <t>UPPSALA LÄN</t>
        </is>
      </c>
      <c r="E1542" t="inlineStr">
        <is>
          <t>KNIVSTA</t>
        </is>
      </c>
      <c r="G1542" t="n">
        <v>6</v>
      </c>
      <c r="H1542" t="n">
        <v>0</v>
      </c>
      <c r="I1542" t="n">
        <v>0</v>
      </c>
      <c r="J1542" t="n">
        <v>0</v>
      </c>
      <c r="K1542" t="n">
        <v>0</v>
      </c>
      <c r="L1542" t="n">
        <v>0</v>
      </c>
      <c r="M1542" t="n">
        <v>0</v>
      </c>
      <c r="N1542" t="n">
        <v>0</v>
      </c>
      <c r="O1542" t="n">
        <v>0</v>
      </c>
      <c r="P1542" t="n">
        <v>0</v>
      </c>
      <c r="Q1542" t="n">
        <v>0</v>
      </c>
      <c r="R1542" s="2" t="inlineStr"/>
    </row>
    <row r="1543" ht="15" customHeight="1">
      <c r="A1543" t="inlineStr">
        <is>
          <t>A 57271-2020</t>
        </is>
      </c>
      <c r="B1543" s="1" t="n">
        <v>44139</v>
      </c>
      <c r="C1543" s="1" t="n">
        <v>45705</v>
      </c>
      <c r="D1543" t="inlineStr">
        <is>
          <t>UPPSALA LÄN</t>
        </is>
      </c>
      <c r="E1543" t="inlineStr">
        <is>
          <t>UPPSALA</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57451-2020</t>
        </is>
      </c>
      <c r="B1544" s="1" t="n">
        <v>44139</v>
      </c>
      <c r="C1544" s="1" t="n">
        <v>45705</v>
      </c>
      <c r="D1544" t="inlineStr">
        <is>
          <t>UPPSALA LÄN</t>
        </is>
      </c>
      <c r="E1544" t="inlineStr">
        <is>
          <t>UPPSALA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57466-2020</t>
        </is>
      </c>
      <c r="B1545" s="1" t="n">
        <v>44139</v>
      </c>
      <c r="C1545" s="1" t="n">
        <v>45705</v>
      </c>
      <c r="D1545" t="inlineStr">
        <is>
          <t>UPPSALA LÄN</t>
        </is>
      </c>
      <c r="E1545" t="inlineStr">
        <is>
          <t>UPPSALA</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57559-2020</t>
        </is>
      </c>
      <c r="B1546" s="1" t="n">
        <v>44140</v>
      </c>
      <c r="C1546" s="1" t="n">
        <v>45705</v>
      </c>
      <c r="D1546" t="inlineStr">
        <is>
          <t>UPPSALA LÄN</t>
        </is>
      </c>
      <c r="E1546" t="inlineStr">
        <is>
          <t>KNIVSTA</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57408-2020</t>
        </is>
      </c>
      <c r="B1547" s="1" t="n">
        <v>44140</v>
      </c>
      <c r="C1547" s="1" t="n">
        <v>45705</v>
      </c>
      <c r="D1547" t="inlineStr">
        <is>
          <t>UPPSALA LÄN</t>
        </is>
      </c>
      <c r="E1547" t="inlineStr">
        <is>
          <t>ÖSTHAMMAR</t>
        </is>
      </c>
      <c r="F1547" t="inlineStr">
        <is>
          <t>Bergvik skog öst AB</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58070-2020</t>
        </is>
      </c>
      <c r="B1548" s="1" t="n">
        <v>44140</v>
      </c>
      <c r="C1548" s="1" t="n">
        <v>45705</v>
      </c>
      <c r="D1548" t="inlineStr">
        <is>
          <t>UPPSALA LÄN</t>
        </is>
      </c>
      <c r="E1548" t="inlineStr">
        <is>
          <t>UPPSALA</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57802-2020</t>
        </is>
      </c>
      <c r="B1549" s="1" t="n">
        <v>44141</v>
      </c>
      <c r="C1549" s="1" t="n">
        <v>45705</v>
      </c>
      <c r="D1549" t="inlineStr">
        <is>
          <t>UPPSALA LÄN</t>
        </is>
      </c>
      <c r="E1549" t="inlineStr">
        <is>
          <t>ENKÖPING</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57983-2020</t>
        </is>
      </c>
      <c r="B1550" s="1" t="n">
        <v>44143</v>
      </c>
      <c r="C1550" s="1" t="n">
        <v>45705</v>
      </c>
      <c r="D1550" t="inlineStr">
        <is>
          <t>UPPSALA LÄN</t>
        </is>
      </c>
      <c r="E1550" t="inlineStr">
        <is>
          <t>HÅBO</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58080-2020</t>
        </is>
      </c>
      <c r="B1551" s="1" t="n">
        <v>44144</v>
      </c>
      <c r="C1551" s="1" t="n">
        <v>45705</v>
      </c>
      <c r="D1551" t="inlineStr">
        <is>
          <t>UPPSALA LÄN</t>
        </is>
      </c>
      <c r="E1551" t="inlineStr">
        <is>
          <t>HEBY</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58062-2020</t>
        </is>
      </c>
      <c r="B1552" s="1" t="n">
        <v>44144</v>
      </c>
      <c r="C1552" s="1" t="n">
        <v>45705</v>
      </c>
      <c r="D1552" t="inlineStr">
        <is>
          <t>UPPSALA LÄN</t>
        </is>
      </c>
      <c r="E1552" t="inlineStr">
        <is>
          <t>ENKÖPING</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58058-2020</t>
        </is>
      </c>
      <c r="B1553" s="1" t="n">
        <v>44144</v>
      </c>
      <c r="C1553" s="1" t="n">
        <v>45705</v>
      </c>
      <c r="D1553" t="inlineStr">
        <is>
          <t>UPPSALA LÄN</t>
        </is>
      </c>
      <c r="E1553" t="inlineStr">
        <is>
          <t>UPPSALA</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58056-2020</t>
        </is>
      </c>
      <c r="B1554" s="1" t="n">
        <v>44144</v>
      </c>
      <c r="C1554" s="1" t="n">
        <v>45705</v>
      </c>
      <c r="D1554" t="inlineStr">
        <is>
          <t>UPPSALA LÄN</t>
        </is>
      </c>
      <c r="E1554" t="inlineStr">
        <is>
          <t>UPPSALA</t>
        </is>
      </c>
      <c r="G1554" t="n">
        <v>5.5</v>
      </c>
      <c r="H1554" t="n">
        <v>0</v>
      </c>
      <c r="I1554" t="n">
        <v>0</v>
      </c>
      <c r="J1554" t="n">
        <v>0</v>
      </c>
      <c r="K1554" t="n">
        <v>0</v>
      </c>
      <c r="L1554" t="n">
        <v>0</v>
      </c>
      <c r="M1554" t="n">
        <v>0</v>
      </c>
      <c r="N1554" t="n">
        <v>0</v>
      </c>
      <c r="O1554" t="n">
        <v>0</v>
      </c>
      <c r="P1554" t="n">
        <v>0</v>
      </c>
      <c r="Q1554" t="n">
        <v>0</v>
      </c>
      <c r="R1554" s="2" t="inlineStr"/>
    </row>
    <row r="1555" ht="15" customHeight="1">
      <c r="A1555" t="inlineStr">
        <is>
          <t>A 58242-2020</t>
        </is>
      </c>
      <c r="B1555" s="1" t="n">
        <v>44144</v>
      </c>
      <c r="C1555" s="1" t="n">
        <v>45705</v>
      </c>
      <c r="D1555" t="inlineStr">
        <is>
          <t>UPPSALA LÄN</t>
        </is>
      </c>
      <c r="E1555" t="inlineStr">
        <is>
          <t>TIERP</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58288-2020</t>
        </is>
      </c>
      <c r="B1556" s="1" t="n">
        <v>44144</v>
      </c>
      <c r="C1556" s="1" t="n">
        <v>45705</v>
      </c>
      <c r="D1556" t="inlineStr">
        <is>
          <t>UPPSALA LÄN</t>
        </is>
      </c>
      <c r="E1556" t="inlineStr">
        <is>
          <t>UPPSALA</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58896-2020</t>
        </is>
      </c>
      <c r="B1557" s="1" t="n">
        <v>44146</v>
      </c>
      <c r="C1557" s="1" t="n">
        <v>45705</v>
      </c>
      <c r="D1557" t="inlineStr">
        <is>
          <t>UPPSALA LÄN</t>
        </is>
      </c>
      <c r="E1557" t="inlineStr">
        <is>
          <t>ENKÖPING</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58798-2020</t>
        </is>
      </c>
      <c r="B1558" s="1" t="n">
        <v>44146</v>
      </c>
      <c r="C1558" s="1" t="n">
        <v>45705</v>
      </c>
      <c r="D1558" t="inlineStr">
        <is>
          <t>UPPSALA LÄN</t>
        </is>
      </c>
      <c r="E1558" t="inlineStr">
        <is>
          <t>ENKÖPING</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58928-2020</t>
        </is>
      </c>
      <c r="B1559" s="1" t="n">
        <v>44146</v>
      </c>
      <c r="C1559" s="1" t="n">
        <v>45705</v>
      </c>
      <c r="D1559" t="inlineStr">
        <is>
          <t>UPPSALA LÄN</t>
        </is>
      </c>
      <c r="E1559" t="inlineStr">
        <is>
          <t>UPPSALA</t>
        </is>
      </c>
      <c r="G1559" t="n">
        <v>10.6</v>
      </c>
      <c r="H1559" t="n">
        <v>0</v>
      </c>
      <c r="I1559" t="n">
        <v>0</v>
      </c>
      <c r="J1559" t="n">
        <v>0</v>
      </c>
      <c r="K1559" t="n">
        <v>0</v>
      </c>
      <c r="L1559" t="n">
        <v>0</v>
      </c>
      <c r="M1559" t="n">
        <v>0</v>
      </c>
      <c r="N1559" t="n">
        <v>0</v>
      </c>
      <c r="O1559" t="n">
        <v>0</v>
      </c>
      <c r="P1559" t="n">
        <v>0</v>
      </c>
      <c r="Q1559" t="n">
        <v>0</v>
      </c>
      <c r="R1559" s="2" t="inlineStr"/>
    </row>
    <row r="1560" ht="15" customHeight="1">
      <c r="A1560" t="inlineStr">
        <is>
          <t>A 59132-2020</t>
        </is>
      </c>
      <c r="B1560" s="1" t="n">
        <v>44147</v>
      </c>
      <c r="C1560" s="1" t="n">
        <v>45705</v>
      </c>
      <c r="D1560" t="inlineStr">
        <is>
          <t>UPPSALA LÄN</t>
        </is>
      </c>
      <c r="E1560" t="inlineStr">
        <is>
          <t>ENKÖPING</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59432-2020</t>
        </is>
      </c>
      <c r="B1561" s="1" t="n">
        <v>44148</v>
      </c>
      <c r="C1561" s="1" t="n">
        <v>45705</v>
      </c>
      <c r="D1561" t="inlineStr">
        <is>
          <t>UPPSALA LÄN</t>
        </is>
      </c>
      <c r="E1561" t="inlineStr">
        <is>
          <t>ÖSTHAMMAR</t>
        </is>
      </c>
      <c r="F1561" t="inlineStr">
        <is>
          <t>Sveaskog</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59441-2020</t>
        </is>
      </c>
      <c r="B1562" s="1" t="n">
        <v>44148</v>
      </c>
      <c r="C1562" s="1" t="n">
        <v>45705</v>
      </c>
      <c r="D1562" t="inlineStr">
        <is>
          <t>UPPSALA LÄN</t>
        </is>
      </c>
      <c r="E1562" t="inlineStr">
        <is>
          <t>ENKÖPING</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59414-2020</t>
        </is>
      </c>
      <c r="B1563" s="1" t="n">
        <v>44148</v>
      </c>
      <c r="C1563" s="1" t="n">
        <v>45705</v>
      </c>
      <c r="D1563" t="inlineStr">
        <is>
          <t>UPPSALA LÄN</t>
        </is>
      </c>
      <c r="E1563" t="inlineStr">
        <is>
          <t>ÖSTHAMMAR</t>
        </is>
      </c>
      <c r="F1563" t="inlineStr">
        <is>
          <t>Sveaskog</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59417-2020</t>
        </is>
      </c>
      <c r="B1564" s="1" t="n">
        <v>44148</v>
      </c>
      <c r="C1564" s="1" t="n">
        <v>45705</v>
      </c>
      <c r="D1564" t="inlineStr">
        <is>
          <t>UPPSALA LÄN</t>
        </is>
      </c>
      <c r="E1564" t="inlineStr">
        <is>
          <t>ÖSTHAMMAR</t>
        </is>
      </c>
      <c r="F1564" t="inlineStr">
        <is>
          <t>Sveaskog</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59428-2020</t>
        </is>
      </c>
      <c r="B1565" s="1" t="n">
        <v>44148</v>
      </c>
      <c r="C1565" s="1" t="n">
        <v>45705</v>
      </c>
      <c r="D1565" t="inlineStr">
        <is>
          <t>UPPSALA LÄN</t>
        </is>
      </c>
      <c r="E1565" t="inlineStr">
        <is>
          <t>ENKÖPING</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59625-2020</t>
        </is>
      </c>
      <c r="B1566" s="1" t="n">
        <v>44150</v>
      </c>
      <c r="C1566" s="1" t="n">
        <v>45705</v>
      </c>
      <c r="D1566" t="inlineStr">
        <is>
          <t>UPPSALA LÄN</t>
        </is>
      </c>
      <c r="E1566" t="inlineStr">
        <is>
          <t>TIERP</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59714-2020</t>
        </is>
      </c>
      <c r="B1567" s="1" t="n">
        <v>44151</v>
      </c>
      <c r="C1567" s="1" t="n">
        <v>45705</v>
      </c>
      <c r="D1567" t="inlineStr">
        <is>
          <t>UPPSALA LÄN</t>
        </is>
      </c>
      <c r="E1567" t="inlineStr">
        <is>
          <t>ÖSTHAMMAR</t>
        </is>
      </c>
      <c r="F1567" t="inlineStr">
        <is>
          <t>Bergvik skog öst AB</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59764-2020</t>
        </is>
      </c>
      <c r="B1568" s="1" t="n">
        <v>44151</v>
      </c>
      <c r="C1568" s="1" t="n">
        <v>45705</v>
      </c>
      <c r="D1568" t="inlineStr">
        <is>
          <t>UPPSALA LÄN</t>
        </is>
      </c>
      <c r="E1568" t="inlineStr">
        <is>
          <t>HEBY</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59807-2020</t>
        </is>
      </c>
      <c r="B1569" s="1" t="n">
        <v>44151</v>
      </c>
      <c r="C1569" s="1" t="n">
        <v>45705</v>
      </c>
      <c r="D1569" t="inlineStr">
        <is>
          <t>UPPSALA LÄN</t>
        </is>
      </c>
      <c r="E1569" t="inlineStr">
        <is>
          <t>ÖSTHAMMAR</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59865-2020</t>
        </is>
      </c>
      <c r="B1570" s="1" t="n">
        <v>44151</v>
      </c>
      <c r="C1570" s="1" t="n">
        <v>45705</v>
      </c>
      <c r="D1570" t="inlineStr">
        <is>
          <t>UPPSALA LÄN</t>
        </is>
      </c>
      <c r="E1570" t="inlineStr">
        <is>
          <t>TIERP</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59952-2020</t>
        </is>
      </c>
      <c r="B1571" s="1" t="n">
        <v>44151</v>
      </c>
      <c r="C1571" s="1" t="n">
        <v>45705</v>
      </c>
      <c r="D1571" t="inlineStr">
        <is>
          <t>UPPSALA LÄN</t>
        </is>
      </c>
      <c r="E1571" t="inlineStr">
        <is>
          <t>UPPSALA</t>
        </is>
      </c>
      <c r="G1571" t="n">
        <v>25.8</v>
      </c>
      <c r="H1571" t="n">
        <v>0</v>
      </c>
      <c r="I1571" t="n">
        <v>0</v>
      </c>
      <c r="J1571" t="n">
        <v>0</v>
      </c>
      <c r="K1571" t="n">
        <v>0</v>
      </c>
      <c r="L1571" t="n">
        <v>0</v>
      </c>
      <c r="M1571" t="n">
        <v>0</v>
      </c>
      <c r="N1571" t="n">
        <v>0</v>
      </c>
      <c r="O1571" t="n">
        <v>0</v>
      </c>
      <c r="P1571" t="n">
        <v>0</v>
      </c>
      <c r="Q1571" t="n">
        <v>0</v>
      </c>
      <c r="R1571" s="2" t="inlineStr"/>
    </row>
    <row r="1572" ht="15" customHeight="1">
      <c r="A1572" t="inlineStr">
        <is>
          <t>A 60138-2020</t>
        </is>
      </c>
      <c r="B1572" s="1" t="n">
        <v>44151</v>
      </c>
      <c r="C1572" s="1" t="n">
        <v>45705</v>
      </c>
      <c r="D1572" t="inlineStr">
        <is>
          <t>UPPSALA LÄN</t>
        </is>
      </c>
      <c r="E1572" t="inlineStr">
        <is>
          <t>ENKÖPING</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60702-2020</t>
        </is>
      </c>
      <c r="B1573" s="1" t="n">
        <v>44153</v>
      </c>
      <c r="C1573" s="1" t="n">
        <v>45705</v>
      </c>
      <c r="D1573" t="inlineStr">
        <is>
          <t>UPPSALA LÄN</t>
        </is>
      </c>
      <c r="E1573" t="inlineStr">
        <is>
          <t>UPPSALA</t>
        </is>
      </c>
      <c r="F1573" t="inlineStr">
        <is>
          <t>Övriga statliga verk och myndigheter</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60769-2020</t>
        </is>
      </c>
      <c r="B1574" s="1" t="n">
        <v>44154</v>
      </c>
      <c r="C1574" s="1" t="n">
        <v>45705</v>
      </c>
      <c r="D1574" t="inlineStr">
        <is>
          <t>UPPSALA LÄN</t>
        </is>
      </c>
      <c r="E1574" t="inlineStr">
        <is>
          <t>TIERP</t>
        </is>
      </c>
      <c r="G1574" t="n">
        <v>7.6</v>
      </c>
      <c r="H1574" t="n">
        <v>0</v>
      </c>
      <c r="I1574" t="n">
        <v>0</v>
      </c>
      <c r="J1574" t="n">
        <v>0</v>
      </c>
      <c r="K1574" t="n">
        <v>0</v>
      </c>
      <c r="L1574" t="n">
        <v>0</v>
      </c>
      <c r="M1574" t="n">
        <v>0</v>
      </c>
      <c r="N1574" t="n">
        <v>0</v>
      </c>
      <c r="O1574" t="n">
        <v>0</v>
      </c>
      <c r="P1574" t="n">
        <v>0</v>
      </c>
      <c r="Q1574" t="n">
        <v>0</v>
      </c>
      <c r="R1574" s="2" t="inlineStr"/>
    </row>
    <row r="1575" ht="15" customHeight="1">
      <c r="A1575" t="inlineStr">
        <is>
          <t>A 61013-2020</t>
        </is>
      </c>
      <c r="B1575" s="1" t="n">
        <v>44154</v>
      </c>
      <c r="C1575" s="1" t="n">
        <v>45705</v>
      </c>
      <c r="D1575" t="inlineStr">
        <is>
          <t>UPPSALA LÄN</t>
        </is>
      </c>
      <c r="E1575" t="inlineStr">
        <is>
          <t>TIERP</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61034-2020</t>
        </is>
      </c>
      <c r="B1576" s="1" t="n">
        <v>44154</v>
      </c>
      <c r="C1576" s="1" t="n">
        <v>45705</v>
      </c>
      <c r="D1576" t="inlineStr">
        <is>
          <t>UPPSALA LÄN</t>
        </is>
      </c>
      <c r="E1576" t="inlineStr">
        <is>
          <t>TIERP</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61265-2020</t>
        </is>
      </c>
      <c r="B1577" s="1" t="n">
        <v>44155</v>
      </c>
      <c r="C1577" s="1" t="n">
        <v>45705</v>
      </c>
      <c r="D1577" t="inlineStr">
        <is>
          <t>UPPSALA LÄN</t>
        </is>
      </c>
      <c r="E1577" t="inlineStr">
        <is>
          <t>UPPSALA</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61193-2020</t>
        </is>
      </c>
      <c r="B1578" s="1" t="n">
        <v>44155</v>
      </c>
      <c r="C1578" s="1" t="n">
        <v>45705</v>
      </c>
      <c r="D1578" t="inlineStr">
        <is>
          <t>UPPSALA LÄN</t>
        </is>
      </c>
      <c r="E1578" t="inlineStr">
        <is>
          <t>ÖSTHAMMAR</t>
        </is>
      </c>
      <c r="F1578" t="inlineStr">
        <is>
          <t>Övriga Aktiebolag</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61271-2020</t>
        </is>
      </c>
      <c r="B1579" s="1" t="n">
        <v>44155</v>
      </c>
      <c r="C1579" s="1" t="n">
        <v>45705</v>
      </c>
      <c r="D1579" t="inlineStr">
        <is>
          <t>UPPSALA LÄN</t>
        </is>
      </c>
      <c r="E1579" t="inlineStr">
        <is>
          <t>UPPSALA</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61711-2020</t>
        </is>
      </c>
      <c r="B1580" s="1" t="n">
        <v>44158</v>
      </c>
      <c r="C1580" s="1" t="n">
        <v>45705</v>
      </c>
      <c r="D1580" t="inlineStr">
        <is>
          <t>UPPSALA LÄN</t>
        </is>
      </c>
      <c r="E1580" t="inlineStr">
        <is>
          <t>ENKÖPING</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61616-2020</t>
        </is>
      </c>
      <c r="B1581" s="1" t="n">
        <v>44158</v>
      </c>
      <c r="C1581" s="1" t="n">
        <v>45705</v>
      </c>
      <c r="D1581" t="inlineStr">
        <is>
          <t>UPPSALA LÄN</t>
        </is>
      </c>
      <c r="E1581" t="inlineStr">
        <is>
          <t>HEBY</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62094-2020</t>
        </is>
      </c>
      <c r="B1582" s="1" t="n">
        <v>44159</v>
      </c>
      <c r="C1582" s="1" t="n">
        <v>45705</v>
      </c>
      <c r="D1582" t="inlineStr">
        <is>
          <t>UPPSALA LÄN</t>
        </is>
      </c>
      <c r="E1582" t="inlineStr">
        <is>
          <t>UPPSALA</t>
        </is>
      </c>
      <c r="F1582" t="inlineStr">
        <is>
          <t>Bergvik skog öst AB</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62352-2020</t>
        </is>
      </c>
      <c r="B1583" s="1" t="n">
        <v>44159</v>
      </c>
      <c r="C1583" s="1" t="n">
        <v>45705</v>
      </c>
      <c r="D1583" t="inlineStr">
        <is>
          <t>UPPSALA LÄN</t>
        </is>
      </c>
      <c r="E1583" t="inlineStr">
        <is>
          <t>UPPSALA</t>
        </is>
      </c>
      <c r="F1583" t="inlineStr">
        <is>
          <t>Allmännings- och besparingsskogar</t>
        </is>
      </c>
      <c r="G1583" t="n">
        <v>12.9</v>
      </c>
      <c r="H1583" t="n">
        <v>0</v>
      </c>
      <c r="I1583" t="n">
        <v>0</v>
      </c>
      <c r="J1583" t="n">
        <v>0</v>
      </c>
      <c r="K1583" t="n">
        <v>0</v>
      </c>
      <c r="L1583" t="n">
        <v>0</v>
      </c>
      <c r="M1583" t="n">
        <v>0</v>
      </c>
      <c r="N1583" t="n">
        <v>0</v>
      </c>
      <c r="O1583" t="n">
        <v>0</v>
      </c>
      <c r="P1583" t="n">
        <v>0</v>
      </c>
      <c r="Q1583" t="n">
        <v>0</v>
      </c>
      <c r="R1583" s="2" t="inlineStr"/>
    </row>
    <row r="1584" ht="15" customHeight="1">
      <c r="A1584" t="inlineStr">
        <is>
          <t>A 62330-2020</t>
        </is>
      </c>
      <c r="B1584" s="1" t="n">
        <v>44160</v>
      </c>
      <c r="C1584" s="1" t="n">
        <v>45705</v>
      </c>
      <c r="D1584" t="inlineStr">
        <is>
          <t>UPPSALA LÄN</t>
        </is>
      </c>
      <c r="E1584" t="inlineStr">
        <is>
          <t>HEBY</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62484-2020</t>
        </is>
      </c>
      <c r="B1585" s="1" t="n">
        <v>44160</v>
      </c>
      <c r="C1585" s="1" t="n">
        <v>45705</v>
      </c>
      <c r="D1585" t="inlineStr">
        <is>
          <t>UPPSALA LÄN</t>
        </is>
      </c>
      <c r="E1585" t="inlineStr">
        <is>
          <t>ÖSTHAMMAR</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62504-2020</t>
        </is>
      </c>
      <c r="B1586" s="1" t="n">
        <v>44160</v>
      </c>
      <c r="C1586" s="1" t="n">
        <v>45705</v>
      </c>
      <c r="D1586" t="inlineStr">
        <is>
          <t>UPPSALA LÄN</t>
        </is>
      </c>
      <c r="E1586" t="inlineStr">
        <is>
          <t>UPPSALA</t>
        </is>
      </c>
      <c r="F1586" t="inlineStr">
        <is>
          <t>Bergvik skog öst AB</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62729-2020</t>
        </is>
      </c>
      <c r="B1587" s="1" t="n">
        <v>44161</v>
      </c>
      <c r="C1587" s="1" t="n">
        <v>45705</v>
      </c>
      <c r="D1587" t="inlineStr">
        <is>
          <t>UPPSALA LÄN</t>
        </is>
      </c>
      <c r="E1587" t="inlineStr">
        <is>
          <t>UPPSALA</t>
        </is>
      </c>
      <c r="F1587" t="inlineStr">
        <is>
          <t>Kommuner</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62655-2020</t>
        </is>
      </c>
      <c r="B1588" s="1" t="n">
        <v>44161</v>
      </c>
      <c r="C1588" s="1" t="n">
        <v>45705</v>
      </c>
      <c r="D1588" t="inlineStr">
        <is>
          <t>UPPSALA LÄN</t>
        </is>
      </c>
      <c r="E1588" t="inlineStr">
        <is>
          <t>UPPSALA</t>
        </is>
      </c>
      <c r="F1588" t="inlineStr">
        <is>
          <t>Holmen skog AB</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62765-2020</t>
        </is>
      </c>
      <c r="B1589" s="1" t="n">
        <v>44161</v>
      </c>
      <c r="C1589" s="1" t="n">
        <v>45705</v>
      </c>
      <c r="D1589" t="inlineStr">
        <is>
          <t>UPPSALA LÄN</t>
        </is>
      </c>
      <c r="E1589" t="inlineStr">
        <is>
          <t>HEBY</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63637-2020</t>
        </is>
      </c>
      <c r="B1590" s="1" t="n">
        <v>44162</v>
      </c>
      <c r="C1590" s="1" t="n">
        <v>45705</v>
      </c>
      <c r="D1590" t="inlineStr">
        <is>
          <t>UPPSALA LÄN</t>
        </is>
      </c>
      <c r="E1590" t="inlineStr">
        <is>
          <t>ÖSTHAMMAR</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63145-2020</t>
        </is>
      </c>
      <c r="B1591" s="1" t="n">
        <v>44162</v>
      </c>
      <c r="C1591" s="1" t="n">
        <v>45705</v>
      </c>
      <c r="D1591" t="inlineStr">
        <is>
          <t>UPPSALA LÄN</t>
        </is>
      </c>
      <c r="E1591" t="inlineStr">
        <is>
          <t>UPPSALA</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63260-2020</t>
        </is>
      </c>
      <c r="B1592" s="1" t="n">
        <v>44164</v>
      </c>
      <c r="C1592" s="1" t="n">
        <v>45705</v>
      </c>
      <c r="D1592" t="inlineStr">
        <is>
          <t>UPPSALA LÄN</t>
        </is>
      </c>
      <c r="E1592" t="inlineStr">
        <is>
          <t>TIERP</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63504-2020</t>
        </is>
      </c>
      <c r="B1593" s="1" t="n">
        <v>44165</v>
      </c>
      <c r="C1593" s="1" t="n">
        <v>45705</v>
      </c>
      <c r="D1593" t="inlineStr">
        <is>
          <t>UPPSALA LÄN</t>
        </is>
      </c>
      <c r="E1593" t="inlineStr">
        <is>
          <t>TIERP</t>
        </is>
      </c>
      <c r="F1593" t="inlineStr">
        <is>
          <t>Bergvik skog väst AB</t>
        </is>
      </c>
      <c r="G1593" t="n">
        <v>50.3</v>
      </c>
      <c r="H1593" t="n">
        <v>0</v>
      </c>
      <c r="I1593" t="n">
        <v>0</v>
      </c>
      <c r="J1593" t="n">
        <v>0</v>
      </c>
      <c r="K1593" t="n">
        <v>0</v>
      </c>
      <c r="L1593" t="n">
        <v>0</v>
      </c>
      <c r="M1593" t="n">
        <v>0</v>
      </c>
      <c r="N1593" t="n">
        <v>0</v>
      </c>
      <c r="O1593" t="n">
        <v>0</v>
      </c>
      <c r="P1593" t="n">
        <v>0</v>
      </c>
      <c r="Q1593" t="n">
        <v>0</v>
      </c>
      <c r="R1593" s="2" t="inlineStr"/>
    </row>
    <row r="1594" ht="15" customHeight="1">
      <c r="A1594" t="inlineStr">
        <is>
          <t>A 63529-2020</t>
        </is>
      </c>
      <c r="B1594" s="1" t="n">
        <v>44165</v>
      </c>
      <c r="C1594" s="1" t="n">
        <v>45705</v>
      </c>
      <c r="D1594" t="inlineStr">
        <is>
          <t>UPPSALA LÄN</t>
        </is>
      </c>
      <c r="E1594" t="inlineStr">
        <is>
          <t>UPPSALA</t>
        </is>
      </c>
      <c r="F1594" t="inlineStr">
        <is>
          <t>Övriga statliga verk och myndigheter</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63577-2020</t>
        </is>
      </c>
      <c r="B1595" s="1" t="n">
        <v>44165</v>
      </c>
      <c r="C1595" s="1" t="n">
        <v>45705</v>
      </c>
      <c r="D1595" t="inlineStr">
        <is>
          <t>UPPSALA LÄN</t>
        </is>
      </c>
      <c r="E1595" t="inlineStr">
        <is>
          <t>ÖSTHAMMAR</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63749-2020</t>
        </is>
      </c>
      <c r="B1596" s="1" t="n">
        <v>44166</v>
      </c>
      <c r="C1596" s="1" t="n">
        <v>45705</v>
      </c>
      <c r="D1596" t="inlineStr">
        <is>
          <t>UPPSALA LÄN</t>
        </is>
      </c>
      <c r="E1596" t="inlineStr">
        <is>
          <t>UPPSALA</t>
        </is>
      </c>
      <c r="F1596" t="inlineStr">
        <is>
          <t>Bergvik skog väst AB</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63912-2020</t>
        </is>
      </c>
      <c r="B1597" s="1" t="n">
        <v>44166</v>
      </c>
      <c r="C1597" s="1" t="n">
        <v>45705</v>
      </c>
      <c r="D1597" t="inlineStr">
        <is>
          <t>UPPSALA LÄN</t>
        </is>
      </c>
      <c r="E1597" t="inlineStr">
        <is>
          <t>TIERP</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63715-2020</t>
        </is>
      </c>
      <c r="B1598" s="1" t="n">
        <v>44166</v>
      </c>
      <c r="C1598" s="1" t="n">
        <v>45705</v>
      </c>
      <c r="D1598" t="inlineStr">
        <is>
          <t>UPPSALA LÄN</t>
        </is>
      </c>
      <c r="E1598" t="inlineStr">
        <is>
          <t>ENKÖPING</t>
        </is>
      </c>
      <c r="F1598" t="inlineStr">
        <is>
          <t>Övriga statliga verk och myndigheter</t>
        </is>
      </c>
      <c r="G1598" t="n">
        <v>5.9</v>
      </c>
      <c r="H1598" t="n">
        <v>0</v>
      </c>
      <c r="I1598" t="n">
        <v>0</v>
      </c>
      <c r="J1598" t="n">
        <v>0</v>
      </c>
      <c r="K1598" t="n">
        <v>0</v>
      </c>
      <c r="L1598" t="n">
        <v>0</v>
      </c>
      <c r="M1598" t="n">
        <v>0</v>
      </c>
      <c r="N1598" t="n">
        <v>0</v>
      </c>
      <c r="O1598" t="n">
        <v>0</v>
      </c>
      <c r="P1598" t="n">
        <v>0</v>
      </c>
      <c r="Q1598" t="n">
        <v>0</v>
      </c>
      <c r="R1598" s="2" t="inlineStr"/>
    </row>
    <row r="1599" ht="15" customHeight="1">
      <c r="A1599" t="inlineStr">
        <is>
          <t>A 64128-2020</t>
        </is>
      </c>
      <c r="B1599" s="1" t="n">
        <v>44167</v>
      </c>
      <c r="C1599" s="1" t="n">
        <v>45705</v>
      </c>
      <c r="D1599" t="inlineStr">
        <is>
          <t>UPPSALA LÄN</t>
        </is>
      </c>
      <c r="E1599" t="inlineStr">
        <is>
          <t>UPPSALA</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63987-2020</t>
        </is>
      </c>
      <c r="B1600" s="1" t="n">
        <v>44167</v>
      </c>
      <c r="C1600" s="1" t="n">
        <v>45705</v>
      </c>
      <c r="D1600" t="inlineStr">
        <is>
          <t>UPPSALA LÄN</t>
        </is>
      </c>
      <c r="E1600" t="inlineStr">
        <is>
          <t>ÖSTHAMMAR</t>
        </is>
      </c>
      <c r="G1600" t="n">
        <v>5.9</v>
      </c>
      <c r="H1600" t="n">
        <v>0</v>
      </c>
      <c r="I1600" t="n">
        <v>0</v>
      </c>
      <c r="J1600" t="n">
        <v>0</v>
      </c>
      <c r="K1600" t="n">
        <v>0</v>
      </c>
      <c r="L1600" t="n">
        <v>0</v>
      </c>
      <c r="M1600" t="n">
        <v>0</v>
      </c>
      <c r="N1600" t="n">
        <v>0</v>
      </c>
      <c r="O1600" t="n">
        <v>0</v>
      </c>
      <c r="P1600" t="n">
        <v>0</v>
      </c>
      <c r="Q1600" t="n">
        <v>0</v>
      </c>
      <c r="R1600" s="2" t="inlineStr"/>
    </row>
    <row r="1601" ht="15" customHeight="1">
      <c r="A1601" t="inlineStr">
        <is>
          <t>A 64353-2020</t>
        </is>
      </c>
      <c r="B1601" s="1" t="n">
        <v>44168</v>
      </c>
      <c r="C1601" s="1" t="n">
        <v>45705</v>
      </c>
      <c r="D1601" t="inlineStr">
        <is>
          <t>UPPSALA LÄN</t>
        </is>
      </c>
      <c r="E1601" t="inlineStr">
        <is>
          <t>UPPSALA</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64333-2020</t>
        </is>
      </c>
      <c r="B1602" s="1" t="n">
        <v>44168</v>
      </c>
      <c r="C1602" s="1" t="n">
        <v>45705</v>
      </c>
      <c r="D1602" t="inlineStr">
        <is>
          <t>UPPSALA LÄN</t>
        </is>
      </c>
      <c r="E1602" t="inlineStr">
        <is>
          <t>UPPSALA</t>
        </is>
      </c>
      <c r="G1602" t="n">
        <v>7.1</v>
      </c>
      <c r="H1602" t="n">
        <v>0</v>
      </c>
      <c r="I1602" t="n">
        <v>0</v>
      </c>
      <c r="J1602" t="n">
        <v>0</v>
      </c>
      <c r="K1602" t="n">
        <v>0</v>
      </c>
      <c r="L1602" t="n">
        <v>0</v>
      </c>
      <c r="M1602" t="n">
        <v>0</v>
      </c>
      <c r="N1602" t="n">
        <v>0</v>
      </c>
      <c r="O1602" t="n">
        <v>0</v>
      </c>
      <c r="P1602" t="n">
        <v>0</v>
      </c>
      <c r="Q1602" t="n">
        <v>0</v>
      </c>
      <c r="R1602" s="2" t="inlineStr"/>
    </row>
    <row r="1603" ht="15" customHeight="1">
      <c r="A1603" t="inlineStr">
        <is>
          <t>A 65225-2020</t>
        </is>
      </c>
      <c r="B1603" s="1" t="n">
        <v>44172</v>
      </c>
      <c r="C1603" s="1" t="n">
        <v>45705</v>
      </c>
      <c r="D1603" t="inlineStr">
        <is>
          <t>UPPSALA LÄN</t>
        </is>
      </c>
      <c r="E1603" t="inlineStr">
        <is>
          <t>TIERP</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65226-2020</t>
        </is>
      </c>
      <c r="B1604" s="1" t="n">
        <v>44172</v>
      </c>
      <c r="C1604" s="1" t="n">
        <v>45705</v>
      </c>
      <c r="D1604" t="inlineStr">
        <is>
          <t>UPPSALA LÄN</t>
        </is>
      </c>
      <c r="E1604" t="inlineStr">
        <is>
          <t>TIERP</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65361-2020</t>
        </is>
      </c>
      <c r="B1605" s="1" t="n">
        <v>44173</v>
      </c>
      <c r="C1605" s="1" t="n">
        <v>45705</v>
      </c>
      <c r="D1605" t="inlineStr">
        <is>
          <t>UPPSALA LÄN</t>
        </is>
      </c>
      <c r="E1605" t="inlineStr">
        <is>
          <t>ÖSTHAMMAR</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66278-2020</t>
        </is>
      </c>
      <c r="B1606" s="1" t="n">
        <v>44176</v>
      </c>
      <c r="C1606" s="1" t="n">
        <v>45705</v>
      </c>
      <c r="D1606" t="inlineStr">
        <is>
          <t>UPPSALA LÄN</t>
        </is>
      </c>
      <c r="E1606" t="inlineStr">
        <is>
          <t>ÄLVKARLEBY</t>
        </is>
      </c>
      <c r="F1606" t="inlineStr">
        <is>
          <t>Bergvik skog väst AB</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66517-2020</t>
        </is>
      </c>
      <c r="B1607" s="1" t="n">
        <v>44178</v>
      </c>
      <c r="C1607" s="1" t="n">
        <v>45705</v>
      </c>
      <c r="D1607" t="inlineStr">
        <is>
          <t>UPPSALA LÄN</t>
        </is>
      </c>
      <c r="E1607" t="inlineStr">
        <is>
          <t>ENKÖPING</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66984-2020</t>
        </is>
      </c>
      <c r="B1608" s="1" t="n">
        <v>44180</v>
      </c>
      <c r="C1608" s="1" t="n">
        <v>45705</v>
      </c>
      <c r="D1608" t="inlineStr">
        <is>
          <t>UPPSALA LÄN</t>
        </is>
      </c>
      <c r="E1608" t="inlineStr">
        <is>
          <t>UPPSALA</t>
        </is>
      </c>
      <c r="F1608" t="inlineStr">
        <is>
          <t>Övriga statliga verk och myndigheter</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67765-2020</t>
        </is>
      </c>
      <c r="B1609" s="1" t="n">
        <v>44182</v>
      </c>
      <c r="C1609" s="1" t="n">
        <v>45705</v>
      </c>
      <c r="D1609" t="inlineStr">
        <is>
          <t>UPPSALA LÄN</t>
        </is>
      </c>
      <c r="E1609" t="inlineStr">
        <is>
          <t>ENKÖPING</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67713-2020</t>
        </is>
      </c>
      <c r="B1610" s="1" t="n">
        <v>44182</v>
      </c>
      <c r="C1610" s="1" t="n">
        <v>45705</v>
      </c>
      <c r="D1610" t="inlineStr">
        <is>
          <t>UPPSALA LÄN</t>
        </is>
      </c>
      <c r="E1610" t="inlineStr">
        <is>
          <t>ENKÖPING</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68257-2020</t>
        </is>
      </c>
      <c r="B1611" s="1" t="n">
        <v>44182</v>
      </c>
      <c r="C1611" s="1" t="n">
        <v>45705</v>
      </c>
      <c r="D1611" t="inlineStr">
        <is>
          <t>UPPSALA LÄN</t>
        </is>
      </c>
      <c r="E1611" t="inlineStr">
        <is>
          <t>KNIVSTA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68243-2020</t>
        </is>
      </c>
      <c r="B1612" s="1" t="n">
        <v>44183</v>
      </c>
      <c r="C1612" s="1" t="n">
        <v>45705</v>
      </c>
      <c r="D1612" t="inlineStr">
        <is>
          <t>UPPSALA LÄN</t>
        </is>
      </c>
      <c r="E1612" t="inlineStr">
        <is>
          <t>ÖSTHAMMAR</t>
        </is>
      </c>
      <c r="G1612" t="n">
        <v>8.5</v>
      </c>
      <c r="H1612" t="n">
        <v>0</v>
      </c>
      <c r="I1612" t="n">
        <v>0</v>
      </c>
      <c r="J1612" t="n">
        <v>0</v>
      </c>
      <c r="K1612" t="n">
        <v>0</v>
      </c>
      <c r="L1612" t="n">
        <v>0</v>
      </c>
      <c r="M1612" t="n">
        <v>0</v>
      </c>
      <c r="N1612" t="n">
        <v>0</v>
      </c>
      <c r="O1612" t="n">
        <v>0</v>
      </c>
      <c r="P1612" t="n">
        <v>0</v>
      </c>
      <c r="Q1612" t="n">
        <v>0</v>
      </c>
      <c r="R1612" s="2" t="inlineStr"/>
    </row>
    <row r="1613" ht="15" customHeight="1">
      <c r="A1613" t="inlineStr">
        <is>
          <t>A 68828-2020</t>
        </is>
      </c>
      <c r="B1613" s="1" t="n">
        <v>44186</v>
      </c>
      <c r="C1613" s="1" t="n">
        <v>45705</v>
      </c>
      <c r="D1613" t="inlineStr">
        <is>
          <t>UPPSALA LÄN</t>
        </is>
      </c>
      <c r="E1613" t="inlineStr">
        <is>
          <t>ÖSTHAMMAR</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69076-2020</t>
        </is>
      </c>
      <c r="B1614" s="1" t="n">
        <v>44188</v>
      </c>
      <c r="C1614" s="1" t="n">
        <v>45705</v>
      </c>
      <c r="D1614" t="inlineStr">
        <is>
          <t>UPPSALA LÄN</t>
        </is>
      </c>
      <c r="E1614" t="inlineStr">
        <is>
          <t>HEBY</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69468-2020</t>
        </is>
      </c>
      <c r="B1615" s="1" t="n">
        <v>44193</v>
      </c>
      <c r="C1615" s="1" t="n">
        <v>45705</v>
      </c>
      <c r="D1615" t="inlineStr">
        <is>
          <t>UPPSALA LÄN</t>
        </is>
      </c>
      <c r="E1615" t="inlineStr">
        <is>
          <t>HEBY</t>
        </is>
      </c>
      <c r="G1615" t="n">
        <v>6</v>
      </c>
      <c r="H1615" t="n">
        <v>0</v>
      </c>
      <c r="I1615" t="n">
        <v>0</v>
      </c>
      <c r="J1615" t="n">
        <v>0</v>
      </c>
      <c r="K1615" t="n">
        <v>0</v>
      </c>
      <c r="L1615" t="n">
        <v>0</v>
      </c>
      <c r="M1615" t="n">
        <v>0</v>
      </c>
      <c r="N1615" t="n">
        <v>0</v>
      </c>
      <c r="O1615" t="n">
        <v>0</v>
      </c>
      <c r="P1615" t="n">
        <v>0</v>
      </c>
      <c r="Q1615" t="n">
        <v>0</v>
      </c>
      <c r="R1615" s="2" t="inlineStr"/>
    </row>
    <row r="1616" ht="15" customHeight="1">
      <c r="A1616" t="inlineStr">
        <is>
          <t>A 69567-2020</t>
        </is>
      </c>
      <c r="B1616" s="1" t="n">
        <v>44194</v>
      </c>
      <c r="C1616" s="1" t="n">
        <v>45705</v>
      </c>
      <c r="D1616" t="inlineStr">
        <is>
          <t>UPPSALA LÄN</t>
        </is>
      </c>
      <c r="E1616" t="inlineStr">
        <is>
          <t>ENKÖPING</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69681-2020</t>
        </is>
      </c>
      <c r="B1617" s="1" t="n">
        <v>44196</v>
      </c>
      <c r="C1617" s="1" t="n">
        <v>45705</v>
      </c>
      <c r="D1617" t="inlineStr">
        <is>
          <t>UPPSALA LÄN</t>
        </is>
      </c>
      <c r="E1617" t="inlineStr">
        <is>
          <t>ÖSTHAMMAR</t>
        </is>
      </c>
      <c r="F1617" t="inlineStr">
        <is>
          <t>Bergvik skog öst AB</t>
        </is>
      </c>
      <c r="G1617" t="n">
        <v>21.9</v>
      </c>
      <c r="H1617" t="n">
        <v>0</v>
      </c>
      <c r="I1617" t="n">
        <v>0</v>
      </c>
      <c r="J1617" t="n">
        <v>0</v>
      </c>
      <c r="K1617" t="n">
        <v>0</v>
      </c>
      <c r="L1617" t="n">
        <v>0</v>
      </c>
      <c r="M1617" t="n">
        <v>0</v>
      </c>
      <c r="N1617" t="n">
        <v>0</v>
      </c>
      <c r="O1617" t="n">
        <v>0</v>
      </c>
      <c r="P1617" t="n">
        <v>0</v>
      </c>
      <c r="Q1617" t="n">
        <v>0</v>
      </c>
      <c r="R1617" s="2" t="inlineStr"/>
    </row>
    <row r="1618" ht="15" customHeight="1">
      <c r="A1618" t="inlineStr">
        <is>
          <t>A 249-2021</t>
        </is>
      </c>
      <c r="B1618" s="1" t="n">
        <v>44200</v>
      </c>
      <c r="C1618" s="1" t="n">
        <v>45705</v>
      </c>
      <c r="D1618" t="inlineStr">
        <is>
          <t>UPPSALA LÄN</t>
        </is>
      </c>
      <c r="E1618" t="inlineStr">
        <is>
          <t>TIERP</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265-2021</t>
        </is>
      </c>
      <c r="B1619" s="1" t="n">
        <v>44200</v>
      </c>
      <c r="C1619" s="1" t="n">
        <v>45705</v>
      </c>
      <c r="D1619" t="inlineStr">
        <is>
          <t>UPPSALA LÄN</t>
        </is>
      </c>
      <c r="E1619" t="inlineStr">
        <is>
          <t>UPPSALA</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798-2021</t>
        </is>
      </c>
      <c r="B1620" s="1" t="n">
        <v>44204</v>
      </c>
      <c r="C1620" s="1" t="n">
        <v>45705</v>
      </c>
      <c r="D1620" t="inlineStr">
        <is>
          <t>UPPSALA LÄN</t>
        </is>
      </c>
      <c r="E1620" t="inlineStr">
        <is>
          <t>HEBY</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1020-2021</t>
        </is>
      </c>
      <c r="B1621" s="1" t="n">
        <v>44207</v>
      </c>
      <c r="C1621" s="1" t="n">
        <v>45705</v>
      </c>
      <c r="D1621" t="inlineStr">
        <is>
          <t>UPPSALA LÄN</t>
        </is>
      </c>
      <c r="E1621" t="inlineStr">
        <is>
          <t>UPPSALA</t>
        </is>
      </c>
      <c r="F1621" t="inlineStr">
        <is>
          <t>Holmen skog AB</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967-2021</t>
        </is>
      </c>
      <c r="B1622" s="1" t="n">
        <v>44207</v>
      </c>
      <c r="C1622" s="1" t="n">
        <v>45705</v>
      </c>
      <c r="D1622" t="inlineStr">
        <is>
          <t>UPPSALA LÄN</t>
        </is>
      </c>
      <c r="E1622" t="inlineStr">
        <is>
          <t>ÄLVKARLEBY</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1233-2021</t>
        </is>
      </c>
      <c r="B1623" s="1" t="n">
        <v>44208</v>
      </c>
      <c r="C1623" s="1" t="n">
        <v>45705</v>
      </c>
      <c r="D1623" t="inlineStr">
        <is>
          <t>UPPSALA LÄN</t>
        </is>
      </c>
      <c r="E1623" t="inlineStr">
        <is>
          <t>TIERP</t>
        </is>
      </c>
      <c r="F1623" t="inlineStr">
        <is>
          <t>Övriga Aktiebolag</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1227-2021</t>
        </is>
      </c>
      <c r="B1624" s="1" t="n">
        <v>44208</v>
      </c>
      <c r="C1624" s="1" t="n">
        <v>45705</v>
      </c>
      <c r="D1624" t="inlineStr">
        <is>
          <t>UPPSALA LÄN</t>
        </is>
      </c>
      <c r="E1624" t="inlineStr">
        <is>
          <t>TIERP</t>
        </is>
      </c>
      <c r="G1624" t="n">
        <v>7.3</v>
      </c>
      <c r="H1624" t="n">
        <v>0</v>
      </c>
      <c r="I1624" t="n">
        <v>0</v>
      </c>
      <c r="J1624" t="n">
        <v>0</v>
      </c>
      <c r="K1624" t="n">
        <v>0</v>
      </c>
      <c r="L1624" t="n">
        <v>0</v>
      </c>
      <c r="M1624" t="n">
        <v>0</v>
      </c>
      <c r="N1624" t="n">
        <v>0</v>
      </c>
      <c r="O1624" t="n">
        <v>0</v>
      </c>
      <c r="P1624" t="n">
        <v>0</v>
      </c>
      <c r="Q1624" t="n">
        <v>0</v>
      </c>
      <c r="R1624" s="2" t="inlineStr"/>
    </row>
    <row r="1625" ht="15" customHeight="1">
      <c r="A1625" t="inlineStr">
        <is>
          <t>A 1573-2021</t>
        </is>
      </c>
      <c r="B1625" s="1" t="n">
        <v>44209</v>
      </c>
      <c r="C1625" s="1" t="n">
        <v>45705</v>
      </c>
      <c r="D1625" t="inlineStr">
        <is>
          <t>UPPSALA LÄN</t>
        </is>
      </c>
      <c r="E1625" t="inlineStr">
        <is>
          <t>UPPSALA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1617-2021</t>
        </is>
      </c>
      <c r="B1626" s="1" t="n">
        <v>44209</v>
      </c>
      <c r="C1626" s="1" t="n">
        <v>45705</v>
      </c>
      <c r="D1626" t="inlineStr">
        <is>
          <t>UPPSALA LÄN</t>
        </is>
      </c>
      <c r="E1626" t="inlineStr">
        <is>
          <t>UPPSALA</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1855-2021</t>
        </is>
      </c>
      <c r="B1627" s="1" t="n">
        <v>44210</v>
      </c>
      <c r="C1627" s="1" t="n">
        <v>45705</v>
      </c>
      <c r="D1627" t="inlineStr">
        <is>
          <t>UPPSALA LÄN</t>
        </is>
      </c>
      <c r="E1627" t="inlineStr">
        <is>
          <t>UPPSALA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2157-2021</t>
        </is>
      </c>
      <c r="B1628" s="1" t="n">
        <v>44211</v>
      </c>
      <c r="C1628" s="1" t="n">
        <v>45705</v>
      </c>
      <c r="D1628" t="inlineStr">
        <is>
          <t>UPPSALA LÄN</t>
        </is>
      </c>
      <c r="E1628" t="inlineStr">
        <is>
          <t>TIERP</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2169-2021</t>
        </is>
      </c>
      <c r="B1629" s="1" t="n">
        <v>44211</v>
      </c>
      <c r="C1629" s="1" t="n">
        <v>45705</v>
      </c>
      <c r="D1629" t="inlineStr">
        <is>
          <t>UPPSALA LÄN</t>
        </is>
      </c>
      <c r="E1629" t="inlineStr">
        <is>
          <t>UPPSALA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2476-2021</t>
        </is>
      </c>
      <c r="B1630" s="1" t="n">
        <v>44214</v>
      </c>
      <c r="C1630" s="1" t="n">
        <v>45705</v>
      </c>
      <c r="D1630" t="inlineStr">
        <is>
          <t>UPPSALA LÄN</t>
        </is>
      </c>
      <c r="E1630" t="inlineStr">
        <is>
          <t>HÅBO</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2471-2021</t>
        </is>
      </c>
      <c r="B1631" s="1" t="n">
        <v>44214</v>
      </c>
      <c r="C1631" s="1" t="n">
        <v>45705</v>
      </c>
      <c r="D1631" t="inlineStr">
        <is>
          <t>UPPSALA LÄN</t>
        </is>
      </c>
      <c r="E1631" t="inlineStr">
        <is>
          <t>HÅBO</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2559-2021</t>
        </is>
      </c>
      <c r="B1632" s="1" t="n">
        <v>44214</v>
      </c>
      <c r="C1632" s="1" t="n">
        <v>45705</v>
      </c>
      <c r="D1632" t="inlineStr">
        <is>
          <t>UPPSALA LÄN</t>
        </is>
      </c>
      <c r="E1632" t="inlineStr">
        <is>
          <t>TIERP</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2810-2021</t>
        </is>
      </c>
      <c r="B1633" s="1" t="n">
        <v>44215</v>
      </c>
      <c r="C1633" s="1" t="n">
        <v>45705</v>
      </c>
      <c r="D1633" t="inlineStr">
        <is>
          <t>UPPSALA LÄN</t>
        </is>
      </c>
      <c r="E1633" t="inlineStr">
        <is>
          <t>TIERP</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3864-2021</t>
        </is>
      </c>
      <c r="B1634" s="1" t="n">
        <v>44216</v>
      </c>
      <c r="C1634" s="1" t="n">
        <v>45705</v>
      </c>
      <c r="D1634" t="inlineStr">
        <is>
          <t>UPPSALA LÄN</t>
        </is>
      </c>
      <c r="E1634" t="inlineStr">
        <is>
          <t>UPPSALA</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3874-2021</t>
        </is>
      </c>
      <c r="B1635" s="1" t="n">
        <v>44216</v>
      </c>
      <c r="C1635" s="1" t="n">
        <v>45705</v>
      </c>
      <c r="D1635" t="inlineStr">
        <is>
          <t>UPPSALA LÄN</t>
        </is>
      </c>
      <c r="E1635" t="inlineStr">
        <is>
          <t>UPPSALA</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3903-2021</t>
        </is>
      </c>
      <c r="B1636" s="1" t="n">
        <v>44217</v>
      </c>
      <c r="C1636" s="1" t="n">
        <v>45705</v>
      </c>
      <c r="D1636" t="inlineStr">
        <is>
          <t>UPPSALA LÄN</t>
        </is>
      </c>
      <c r="E1636" t="inlineStr">
        <is>
          <t>ENKÖPING</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3443-2021</t>
        </is>
      </c>
      <c r="B1637" s="1" t="n">
        <v>44218</v>
      </c>
      <c r="C1637" s="1" t="n">
        <v>45705</v>
      </c>
      <c r="D1637" t="inlineStr">
        <is>
          <t>UPPSALA LÄN</t>
        </is>
      </c>
      <c r="E1637" t="inlineStr">
        <is>
          <t>TIERP</t>
        </is>
      </c>
      <c r="G1637" t="n">
        <v>6.9</v>
      </c>
      <c r="H1637" t="n">
        <v>0</v>
      </c>
      <c r="I1637" t="n">
        <v>0</v>
      </c>
      <c r="J1637" t="n">
        <v>0</v>
      </c>
      <c r="K1637" t="n">
        <v>0</v>
      </c>
      <c r="L1637" t="n">
        <v>0</v>
      </c>
      <c r="M1637" t="n">
        <v>0</v>
      </c>
      <c r="N1637" t="n">
        <v>0</v>
      </c>
      <c r="O1637" t="n">
        <v>0</v>
      </c>
      <c r="P1637" t="n">
        <v>0</v>
      </c>
      <c r="Q1637" t="n">
        <v>0</v>
      </c>
      <c r="R1637" s="2" t="inlineStr"/>
    </row>
    <row r="1638" ht="15" customHeight="1">
      <c r="A1638" t="inlineStr">
        <is>
          <t>A 3693-2021</t>
        </is>
      </c>
      <c r="B1638" s="1" t="n">
        <v>44221</v>
      </c>
      <c r="C1638" s="1" t="n">
        <v>45705</v>
      </c>
      <c r="D1638" t="inlineStr">
        <is>
          <t>UPPSALA LÄN</t>
        </is>
      </c>
      <c r="E1638" t="inlineStr">
        <is>
          <t>ÖSTHAMMAR</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4151-2021</t>
        </is>
      </c>
      <c r="B1639" s="1" t="n">
        <v>44221</v>
      </c>
      <c r="C1639" s="1" t="n">
        <v>45705</v>
      </c>
      <c r="D1639" t="inlineStr">
        <is>
          <t>UPPSALA LÄN</t>
        </is>
      </c>
      <c r="E1639" t="inlineStr">
        <is>
          <t>ÖSTHAMMAR</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3955-2021</t>
        </is>
      </c>
      <c r="B1640" s="1" t="n">
        <v>44222</v>
      </c>
      <c r="C1640" s="1" t="n">
        <v>45705</v>
      </c>
      <c r="D1640" t="inlineStr">
        <is>
          <t>UPPSALA LÄN</t>
        </is>
      </c>
      <c r="E1640" t="inlineStr">
        <is>
          <t>UPPSALA</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4203-2021</t>
        </is>
      </c>
      <c r="B1641" s="1" t="n">
        <v>44223</v>
      </c>
      <c r="C1641" s="1" t="n">
        <v>45705</v>
      </c>
      <c r="D1641" t="inlineStr">
        <is>
          <t>UPPSALA LÄN</t>
        </is>
      </c>
      <c r="E1641" t="inlineStr">
        <is>
          <t>ENKÖPING</t>
        </is>
      </c>
      <c r="G1641" t="n">
        <v>11.6</v>
      </c>
      <c r="H1641" t="n">
        <v>0</v>
      </c>
      <c r="I1641" t="n">
        <v>0</v>
      </c>
      <c r="J1641" t="n">
        <v>0</v>
      </c>
      <c r="K1641" t="n">
        <v>0</v>
      </c>
      <c r="L1641" t="n">
        <v>0</v>
      </c>
      <c r="M1641" t="n">
        <v>0</v>
      </c>
      <c r="N1641" t="n">
        <v>0</v>
      </c>
      <c r="O1641" t="n">
        <v>0</v>
      </c>
      <c r="P1641" t="n">
        <v>0</v>
      </c>
      <c r="Q1641" t="n">
        <v>0</v>
      </c>
      <c r="R1641" s="2" t="inlineStr"/>
    </row>
    <row r="1642" ht="15" customHeight="1">
      <c r="A1642" t="inlineStr">
        <is>
          <t>A 4875-2021</t>
        </is>
      </c>
      <c r="B1642" s="1" t="n">
        <v>44223</v>
      </c>
      <c r="C1642" s="1" t="n">
        <v>45705</v>
      </c>
      <c r="D1642" t="inlineStr">
        <is>
          <t>UPPSALA LÄN</t>
        </is>
      </c>
      <c r="E1642" t="inlineStr">
        <is>
          <t>UPPSALA</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4590-2021</t>
        </is>
      </c>
      <c r="B1643" s="1" t="n">
        <v>44224</v>
      </c>
      <c r="C1643" s="1" t="n">
        <v>45705</v>
      </c>
      <c r="D1643" t="inlineStr">
        <is>
          <t>UPPSALA LÄN</t>
        </is>
      </c>
      <c r="E1643" t="inlineStr">
        <is>
          <t>ÖSTHAMMAR</t>
        </is>
      </c>
      <c r="F1643" t="inlineStr">
        <is>
          <t>Bergvik skog öst AB</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4775-2021</t>
        </is>
      </c>
      <c r="B1644" s="1" t="n">
        <v>44225</v>
      </c>
      <c r="C1644" s="1" t="n">
        <v>45705</v>
      </c>
      <c r="D1644" t="inlineStr">
        <is>
          <t>UPPSALA LÄN</t>
        </is>
      </c>
      <c r="E1644" t="inlineStr">
        <is>
          <t>ENKÖPING</t>
        </is>
      </c>
      <c r="F1644" t="inlineStr">
        <is>
          <t>Allmännings- och besparingsskogar</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4821-2021</t>
        </is>
      </c>
      <c r="B1645" s="1" t="n">
        <v>44225</v>
      </c>
      <c r="C1645" s="1" t="n">
        <v>45705</v>
      </c>
      <c r="D1645" t="inlineStr">
        <is>
          <t>UPPSALA LÄN</t>
        </is>
      </c>
      <c r="E1645" t="inlineStr">
        <is>
          <t>HEBY</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5117-2021</t>
        </is>
      </c>
      <c r="B1646" s="1" t="n">
        <v>44228</v>
      </c>
      <c r="C1646" s="1" t="n">
        <v>45705</v>
      </c>
      <c r="D1646" t="inlineStr">
        <is>
          <t>UPPSALA LÄN</t>
        </is>
      </c>
      <c r="E1646" t="inlineStr">
        <is>
          <t>HEBY</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5663-2021</t>
        </is>
      </c>
      <c r="B1647" s="1" t="n">
        <v>44230</v>
      </c>
      <c r="C1647" s="1" t="n">
        <v>45705</v>
      </c>
      <c r="D1647" t="inlineStr">
        <is>
          <t>UPPSALA LÄN</t>
        </is>
      </c>
      <c r="E1647" t="inlineStr">
        <is>
          <t>UPPSALA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5857-2021</t>
        </is>
      </c>
      <c r="B1648" s="1" t="n">
        <v>44231</v>
      </c>
      <c r="C1648" s="1" t="n">
        <v>45705</v>
      </c>
      <c r="D1648" t="inlineStr">
        <is>
          <t>UPPSALA LÄN</t>
        </is>
      </c>
      <c r="E1648" t="inlineStr">
        <is>
          <t>TIERP</t>
        </is>
      </c>
      <c r="F1648" t="inlineStr">
        <is>
          <t>Bergvik skog väst AB</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5875-2021</t>
        </is>
      </c>
      <c r="B1649" s="1" t="n">
        <v>44231</v>
      </c>
      <c r="C1649" s="1" t="n">
        <v>45705</v>
      </c>
      <c r="D1649" t="inlineStr">
        <is>
          <t>UPPSALA LÄN</t>
        </is>
      </c>
      <c r="E1649" t="inlineStr">
        <is>
          <t>HEBY</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6142-2021</t>
        </is>
      </c>
      <c r="B1650" s="1" t="n">
        <v>44232</v>
      </c>
      <c r="C1650" s="1" t="n">
        <v>45705</v>
      </c>
      <c r="D1650" t="inlineStr">
        <is>
          <t>UPPSALA LÄN</t>
        </is>
      </c>
      <c r="E1650" t="inlineStr">
        <is>
          <t>HEBY</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6157-2021</t>
        </is>
      </c>
      <c r="B1651" s="1" t="n">
        <v>44232</v>
      </c>
      <c r="C1651" s="1" t="n">
        <v>45705</v>
      </c>
      <c r="D1651" t="inlineStr">
        <is>
          <t>UPPSALA LÄN</t>
        </is>
      </c>
      <c r="E1651" t="inlineStr">
        <is>
          <t>ENKÖPING</t>
        </is>
      </c>
      <c r="G1651" t="n">
        <v>3.9</v>
      </c>
      <c r="H1651" t="n">
        <v>0</v>
      </c>
      <c r="I1651" t="n">
        <v>0</v>
      </c>
      <c r="J1651" t="n">
        <v>0</v>
      </c>
      <c r="K1651" t="n">
        <v>0</v>
      </c>
      <c r="L1651" t="n">
        <v>0</v>
      </c>
      <c r="M1651" t="n">
        <v>0</v>
      </c>
      <c r="N1651" t="n">
        <v>0</v>
      </c>
      <c r="O1651" t="n">
        <v>0</v>
      </c>
      <c r="P1651" t="n">
        <v>0</v>
      </c>
      <c r="Q1651" t="n">
        <v>0</v>
      </c>
      <c r="R1651" s="2" t="inlineStr"/>
    </row>
    <row r="1652" ht="15" customHeight="1">
      <c r="A1652" t="inlineStr">
        <is>
          <t>A 6147-2021</t>
        </is>
      </c>
      <c r="B1652" s="1" t="n">
        <v>44232</v>
      </c>
      <c r="C1652" s="1" t="n">
        <v>45705</v>
      </c>
      <c r="D1652" t="inlineStr">
        <is>
          <t>UPPSALA LÄN</t>
        </is>
      </c>
      <c r="E1652" t="inlineStr">
        <is>
          <t>ENKÖPING</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6151-2021</t>
        </is>
      </c>
      <c r="B1653" s="1" t="n">
        <v>44232</v>
      </c>
      <c r="C1653" s="1" t="n">
        <v>45705</v>
      </c>
      <c r="D1653" t="inlineStr">
        <is>
          <t>UPPSALA LÄN</t>
        </is>
      </c>
      <c r="E1653" t="inlineStr">
        <is>
          <t>HEBY</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6186-2021</t>
        </is>
      </c>
      <c r="B1654" s="1" t="n">
        <v>44233</v>
      </c>
      <c r="C1654" s="1" t="n">
        <v>45705</v>
      </c>
      <c r="D1654" t="inlineStr">
        <is>
          <t>UPPSALA LÄN</t>
        </is>
      </c>
      <c r="E1654" t="inlineStr">
        <is>
          <t>HEBY</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6221-2021</t>
        </is>
      </c>
      <c r="B1655" s="1" t="n">
        <v>44235</v>
      </c>
      <c r="C1655" s="1" t="n">
        <v>45705</v>
      </c>
      <c r="D1655" t="inlineStr">
        <is>
          <t>UPPSALA LÄN</t>
        </is>
      </c>
      <c r="E1655" t="inlineStr">
        <is>
          <t>ÖSTHAMMAR</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6298-2021</t>
        </is>
      </c>
      <c r="B1656" s="1" t="n">
        <v>44235</v>
      </c>
      <c r="C1656" s="1" t="n">
        <v>45705</v>
      </c>
      <c r="D1656" t="inlineStr">
        <is>
          <t>UPPSALA LÄN</t>
        </is>
      </c>
      <c r="E1656" t="inlineStr">
        <is>
          <t>ENKÖPING</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6618-2021</t>
        </is>
      </c>
      <c r="B1657" s="1" t="n">
        <v>44235</v>
      </c>
      <c r="C1657" s="1" t="n">
        <v>45705</v>
      </c>
      <c r="D1657" t="inlineStr">
        <is>
          <t>UPPSALA LÄN</t>
        </is>
      </c>
      <c r="E1657" t="inlineStr">
        <is>
          <t>HEBY</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7036-2021</t>
        </is>
      </c>
      <c r="B1658" s="1" t="n">
        <v>44237</v>
      </c>
      <c r="C1658" s="1" t="n">
        <v>45705</v>
      </c>
      <c r="D1658" t="inlineStr">
        <is>
          <t>UPPSALA LÄN</t>
        </is>
      </c>
      <c r="E1658" t="inlineStr">
        <is>
          <t>TIERP</t>
        </is>
      </c>
      <c r="F1658" t="inlineStr">
        <is>
          <t>Bergvik skog väst AB</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7165-2021</t>
        </is>
      </c>
      <c r="B1659" s="1" t="n">
        <v>44238</v>
      </c>
      <c r="C1659" s="1" t="n">
        <v>45705</v>
      </c>
      <c r="D1659" t="inlineStr">
        <is>
          <t>UPPSALA LÄN</t>
        </is>
      </c>
      <c r="E1659" t="inlineStr">
        <is>
          <t>HEBY</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7195-2021</t>
        </is>
      </c>
      <c r="B1660" s="1" t="n">
        <v>44238</v>
      </c>
      <c r="C1660" s="1" t="n">
        <v>45705</v>
      </c>
      <c r="D1660" t="inlineStr">
        <is>
          <t>UPPSALA LÄN</t>
        </is>
      </c>
      <c r="E1660" t="inlineStr">
        <is>
          <t>HEBY</t>
        </is>
      </c>
      <c r="G1660" t="n">
        <v>4.5</v>
      </c>
      <c r="H1660" t="n">
        <v>0</v>
      </c>
      <c r="I1660" t="n">
        <v>0</v>
      </c>
      <c r="J1660" t="n">
        <v>0</v>
      </c>
      <c r="K1660" t="n">
        <v>0</v>
      </c>
      <c r="L1660" t="n">
        <v>0</v>
      </c>
      <c r="M1660" t="n">
        <v>0</v>
      </c>
      <c r="N1660" t="n">
        <v>0</v>
      </c>
      <c r="O1660" t="n">
        <v>0</v>
      </c>
      <c r="P1660" t="n">
        <v>0</v>
      </c>
      <c r="Q1660" t="n">
        <v>0</v>
      </c>
      <c r="R1660" s="2" t="inlineStr"/>
    </row>
    <row r="1661" ht="15" customHeight="1">
      <c r="A1661" t="inlineStr">
        <is>
          <t>A 7282-2021</t>
        </is>
      </c>
      <c r="B1661" s="1" t="n">
        <v>44238</v>
      </c>
      <c r="C1661" s="1" t="n">
        <v>45705</v>
      </c>
      <c r="D1661" t="inlineStr">
        <is>
          <t>UPPSALA LÄN</t>
        </is>
      </c>
      <c r="E1661" t="inlineStr">
        <is>
          <t>HEBY</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7113-2021</t>
        </is>
      </c>
      <c r="B1662" s="1" t="n">
        <v>44238</v>
      </c>
      <c r="C1662" s="1" t="n">
        <v>45705</v>
      </c>
      <c r="D1662" t="inlineStr">
        <is>
          <t>UPPSALA LÄN</t>
        </is>
      </c>
      <c r="E1662" t="inlineStr">
        <is>
          <t>ÖSTHAMMAR</t>
        </is>
      </c>
      <c r="F1662" t="inlineStr">
        <is>
          <t>Bergvik skog öst AB</t>
        </is>
      </c>
      <c r="G1662" t="n">
        <v>8.199999999999999</v>
      </c>
      <c r="H1662" t="n">
        <v>0</v>
      </c>
      <c r="I1662" t="n">
        <v>0</v>
      </c>
      <c r="J1662" t="n">
        <v>0</v>
      </c>
      <c r="K1662" t="n">
        <v>0</v>
      </c>
      <c r="L1662" t="n">
        <v>0</v>
      </c>
      <c r="M1662" t="n">
        <v>0</v>
      </c>
      <c r="N1662" t="n">
        <v>0</v>
      </c>
      <c r="O1662" t="n">
        <v>0</v>
      </c>
      <c r="P1662" t="n">
        <v>0</v>
      </c>
      <c r="Q1662" t="n">
        <v>0</v>
      </c>
      <c r="R1662" s="2" t="inlineStr"/>
    </row>
    <row r="1663" ht="15" customHeight="1">
      <c r="A1663" t="inlineStr">
        <is>
          <t>A 7803-2021</t>
        </is>
      </c>
      <c r="B1663" s="1" t="n">
        <v>44242</v>
      </c>
      <c r="C1663" s="1" t="n">
        <v>45705</v>
      </c>
      <c r="D1663" t="inlineStr">
        <is>
          <t>UPPSALA LÄN</t>
        </is>
      </c>
      <c r="E1663" t="inlineStr">
        <is>
          <t>HEBY</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8009-2021</t>
        </is>
      </c>
      <c r="B1664" s="1" t="n">
        <v>44243</v>
      </c>
      <c r="C1664" s="1" t="n">
        <v>45705</v>
      </c>
      <c r="D1664" t="inlineStr">
        <is>
          <t>UPPSALA LÄN</t>
        </is>
      </c>
      <c r="E1664" t="inlineStr">
        <is>
          <t>ÖSTHAMMAR</t>
        </is>
      </c>
      <c r="G1664" t="n">
        <v>9.9</v>
      </c>
      <c r="H1664" t="n">
        <v>0</v>
      </c>
      <c r="I1664" t="n">
        <v>0</v>
      </c>
      <c r="J1664" t="n">
        <v>0</v>
      </c>
      <c r="K1664" t="n">
        <v>0</v>
      </c>
      <c r="L1664" t="n">
        <v>0</v>
      </c>
      <c r="M1664" t="n">
        <v>0</v>
      </c>
      <c r="N1664" t="n">
        <v>0</v>
      </c>
      <c r="O1664" t="n">
        <v>0</v>
      </c>
      <c r="P1664" t="n">
        <v>0</v>
      </c>
      <c r="Q1664" t="n">
        <v>0</v>
      </c>
      <c r="R1664" s="2" t="inlineStr"/>
    </row>
    <row r="1665" ht="15" customHeight="1">
      <c r="A1665" t="inlineStr">
        <is>
          <t>A 8114-2021</t>
        </is>
      </c>
      <c r="B1665" s="1" t="n">
        <v>44243</v>
      </c>
      <c r="C1665" s="1" t="n">
        <v>45705</v>
      </c>
      <c r="D1665" t="inlineStr">
        <is>
          <t>UPPSALA LÄN</t>
        </is>
      </c>
      <c r="E1665" t="inlineStr">
        <is>
          <t>UPPSALA</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8306-2021</t>
        </is>
      </c>
      <c r="B1666" s="1" t="n">
        <v>44244</v>
      </c>
      <c r="C1666" s="1" t="n">
        <v>45705</v>
      </c>
      <c r="D1666" t="inlineStr">
        <is>
          <t>UPPSALA LÄN</t>
        </is>
      </c>
      <c r="E1666" t="inlineStr">
        <is>
          <t>ENKÖPING</t>
        </is>
      </c>
      <c r="G1666" t="n">
        <v>14.9</v>
      </c>
      <c r="H1666" t="n">
        <v>0</v>
      </c>
      <c r="I1666" t="n">
        <v>0</v>
      </c>
      <c r="J1666" t="n">
        <v>0</v>
      </c>
      <c r="K1666" t="n">
        <v>0</v>
      </c>
      <c r="L1666" t="n">
        <v>0</v>
      </c>
      <c r="M1666" t="n">
        <v>0</v>
      </c>
      <c r="N1666" t="n">
        <v>0</v>
      </c>
      <c r="O1666" t="n">
        <v>0</v>
      </c>
      <c r="P1666" t="n">
        <v>0</v>
      </c>
      <c r="Q1666" t="n">
        <v>0</v>
      </c>
      <c r="R1666" s="2" t="inlineStr"/>
    </row>
    <row r="1667" ht="15" customHeight="1">
      <c r="A1667" t="inlineStr">
        <is>
          <t>A 8494-2021</t>
        </is>
      </c>
      <c r="B1667" s="1" t="n">
        <v>44245</v>
      </c>
      <c r="C1667" s="1" t="n">
        <v>45705</v>
      </c>
      <c r="D1667" t="inlineStr">
        <is>
          <t>UPPSALA LÄN</t>
        </is>
      </c>
      <c r="E1667" t="inlineStr">
        <is>
          <t>UPPSALA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9010-2021</t>
        </is>
      </c>
      <c r="B1668" s="1" t="n">
        <v>44249</v>
      </c>
      <c r="C1668" s="1" t="n">
        <v>45705</v>
      </c>
      <c r="D1668" t="inlineStr">
        <is>
          <t>UPPSALA LÄN</t>
        </is>
      </c>
      <c r="E1668" t="inlineStr">
        <is>
          <t>HEBY</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9230-2021</t>
        </is>
      </c>
      <c r="B1669" s="1" t="n">
        <v>44250</v>
      </c>
      <c r="C1669" s="1" t="n">
        <v>45705</v>
      </c>
      <c r="D1669" t="inlineStr">
        <is>
          <t>UPPSALA LÄN</t>
        </is>
      </c>
      <c r="E1669" t="inlineStr">
        <is>
          <t>HEBY</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9700-2021</t>
        </is>
      </c>
      <c r="B1670" s="1" t="n">
        <v>44252</v>
      </c>
      <c r="C1670" s="1" t="n">
        <v>45705</v>
      </c>
      <c r="D1670" t="inlineStr">
        <is>
          <t>UPPSALA LÄN</t>
        </is>
      </c>
      <c r="E1670" t="inlineStr">
        <is>
          <t>UPPSALA</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9725-2021</t>
        </is>
      </c>
      <c r="B1671" s="1" t="n">
        <v>44252</v>
      </c>
      <c r="C1671" s="1" t="n">
        <v>45705</v>
      </c>
      <c r="D1671" t="inlineStr">
        <is>
          <t>UPPSALA LÄN</t>
        </is>
      </c>
      <c r="E1671" t="inlineStr">
        <is>
          <t>KNIVSTA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9712-2021</t>
        </is>
      </c>
      <c r="B1672" s="1" t="n">
        <v>44252</v>
      </c>
      <c r="C1672" s="1" t="n">
        <v>45705</v>
      </c>
      <c r="D1672" t="inlineStr">
        <is>
          <t>UPPSALA LÄN</t>
        </is>
      </c>
      <c r="E1672" t="inlineStr">
        <is>
          <t>UPPSALA</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10316-2021</t>
        </is>
      </c>
      <c r="B1673" s="1" t="n">
        <v>44257</v>
      </c>
      <c r="C1673" s="1" t="n">
        <v>45705</v>
      </c>
      <c r="D1673" t="inlineStr">
        <is>
          <t>UPPSALA LÄN</t>
        </is>
      </c>
      <c r="E1673" t="inlineStr">
        <is>
          <t>ÖSTHAMMAR</t>
        </is>
      </c>
      <c r="F1673" t="inlineStr">
        <is>
          <t>Övriga Aktiebolag</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10498-2021</t>
        </is>
      </c>
      <c r="B1674" s="1" t="n">
        <v>44258</v>
      </c>
      <c r="C1674" s="1" t="n">
        <v>45705</v>
      </c>
      <c r="D1674" t="inlineStr">
        <is>
          <t>UPPSALA LÄN</t>
        </is>
      </c>
      <c r="E1674" t="inlineStr">
        <is>
          <t>ÖSTHAMMAR</t>
        </is>
      </c>
      <c r="F1674" t="inlineStr">
        <is>
          <t>Övriga Aktiebolag</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10734-2021</t>
        </is>
      </c>
      <c r="B1675" s="1" t="n">
        <v>44259</v>
      </c>
      <c r="C1675" s="1" t="n">
        <v>45705</v>
      </c>
      <c r="D1675" t="inlineStr">
        <is>
          <t>UPPSALA LÄN</t>
        </is>
      </c>
      <c r="E1675" t="inlineStr">
        <is>
          <t>HEBY</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10989-2021</t>
        </is>
      </c>
      <c r="B1676" s="1" t="n">
        <v>44260</v>
      </c>
      <c r="C1676" s="1" t="n">
        <v>45705</v>
      </c>
      <c r="D1676" t="inlineStr">
        <is>
          <t>UPPSALA LÄN</t>
        </is>
      </c>
      <c r="E1676" t="inlineStr">
        <is>
          <t>ENKÖPING</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11090-2021</t>
        </is>
      </c>
      <c r="B1677" s="1" t="n">
        <v>44260</v>
      </c>
      <c r="C1677" s="1" t="n">
        <v>45705</v>
      </c>
      <c r="D1677" t="inlineStr">
        <is>
          <t>UPPSALA LÄN</t>
        </is>
      </c>
      <c r="E1677" t="inlineStr">
        <is>
          <t>HEBY</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11314-2021</t>
        </is>
      </c>
      <c r="B1678" s="1" t="n">
        <v>44263</v>
      </c>
      <c r="C1678" s="1" t="n">
        <v>45705</v>
      </c>
      <c r="D1678" t="inlineStr">
        <is>
          <t>UPPSALA LÄN</t>
        </is>
      </c>
      <c r="E1678" t="inlineStr">
        <is>
          <t>HEBY</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11553-2021</t>
        </is>
      </c>
      <c r="B1679" s="1" t="n">
        <v>44264</v>
      </c>
      <c r="C1679" s="1" t="n">
        <v>45705</v>
      </c>
      <c r="D1679" t="inlineStr">
        <is>
          <t>UPPSALA LÄN</t>
        </is>
      </c>
      <c r="E1679" t="inlineStr">
        <is>
          <t>ÄLVKARLEBY</t>
        </is>
      </c>
      <c r="F1679" t="inlineStr">
        <is>
          <t>Bergvik skog väst AB</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11688-2021</t>
        </is>
      </c>
      <c r="B1680" s="1" t="n">
        <v>44264</v>
      </c>
      <c r="C1680" s="1" t="n">
        <v>45705</v>
      </c>
      <c r="D1680" t="inlineStr">
        <is>
          <t>UPPSALA LÄN</t>
        </is>
      </c>
      <c r="E1680" t="inlineStr">
        <is>
          <t>ENKÖPING</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11675-2021</t>
        </is>
      </c>
      <c r="B1681" s="1" t="n">
        <v>44264</v>
      </c>
      <c r="C1681" s="1" t="n">
        <v>45705</v>
      </c>
      <c r="D1681" t="inlineStr">
        <is>
          <t>UPPSALA LÄN</t>
        </is>
      </c>
      <c r="E1681" t="inlineStr">
        <is>
          <t>HEBY</t>
        </is>
      </c>
      <c r="F1681" t="inlineStr">
        <is>
          <t>Övriga Aktiebolag</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11729-2021</t>
        </is>
      </c>
      <c r="B1682" s="1" t="n">
        <v>44265</v>
      </c>
      <c r="C1682" s="1" t="n">
        <v>45705</v>
      </c>
      <c r="D1682" t="inlineStr">
        <is>
          <t>UPPSALA LÄN</t>
        </is>
      </c>
      <c r="E1682" t="inlineStr">
        <is>
          <t>HÅBO</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11725-2021</t>
        </is>
      </c>
      <c r="B1683" s="1" t="n">
        <v>44265</v>
      </c>
      <c r="C1683" s="1" t="n">
        <v>45705</v>
      </c>
      <c r="D1683" t="inlineStr">
        <is>
          <t>UPPSALA LÄN</t>
        </is>
      </c>
      <c r="E1683" t="inlineStr">
        <is>
          <t>HÅBO</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11937-2021</t>
        </is>
      </c>
      <c r="B1684" s="1" t="n">
        <v>44266</v>
      </c>
      <c r="C1684" s="1" t="n">
        <v>45705</v>
      </c>
      <c r="D1684" t="inlineStr">
        <is>
          <t>UPPSALA LÄN</t>
        </is>
      </c>
      <c r="E1684" t="inlineStr">
        <is>
          <t>TIERP</t>
        </is>
      </c>
      <c r="F1684" t="inlineStr">
        <is>
          <t>Bergvik skog öst AB</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11932-2021</t>
        </is>
      </c>
      <c r="B1685" s="1" t="n">
        <v>44266</v>
      </c>
      <c r="C1685" s="1" t="n">
        <v>45705</v>
      </c>
      <c r="D1685" t="inlineStr">
        <is>
          <t>UPPSALA LÄN</t>
        </is>
      </c>
      <c r="E1685" t="inlineStr">
        <is>
          <t>TIERP</t>
        </is>
      </c>
      <c r="F1685" t="inlineStr">
        <is>
          <t>Bergvik skog öst AB</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12225-2021</t>
        </is>
      </c>
      <c r="B1686" s="1" t="n">
        <v>44266</v>
      </c>
      <c r="C1686" s="1" t="n">
        <v>45705</v>
      </c>
      <c r="D1686" t="inlineStr">
        <is>
          <t>UPPSALA LÄN</t>
        </is>
      </c>
      <c r="E1686" t="inlineStr">
        <is>
          <t>UPPSALA</t>
        </is>
      </c>
      <c r="F1686" t="inlineStr">
        <is>
          <t>Bergvik skog öst AB</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12152-2021</t>
        </is>
      </c>
      <c r="B1687" s="1" t="n">
        <v>44266</v>
      </c>
      <c r="C1687" s="1" t="n">
        <v>45705</v>
      </c>
      <c r="D1687" t="inlineStr">
        <is>
          <t>UPPSALA LÄN</t>
        </is>
      </c>
      <c r="E1687" t="inlineStr">
        <is>
          <t>UPPSALA</t>
        </is>
      </c>
      <c r="F1687" t="inlineStr">
        <is>
          <t>Bergvik skog öst AB</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12172-2021</t>
        </is>
      </c>
      <c r="B1688" s="1" t="n">
        <v>44266</v>
      </c>
      <c r="C1688" s="1" t="n">
        <v>45705</v>
      </c>
      <c r="D1688" t="inlineStr">
        <is>
          <t>UPPSALA LÄN</t>
        </is>
      </c>
      <c r="E1688" t="inlineStr">
        <is>
          <t>UPPSALA</t>
        </is>
      </c>
      <c r="F1688" t="inlineStr">
        <is>
          <t>Bergvik skog öst AB</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12194-2021</t>
        </is>
      </c>
      <c r="B1689" s="1" t="n">
        <v>44266</v>
      </c>
      <c r="C1689" s="1" t="n">
        <v>45705</v>
      </c>
      <c r="D1689" t="inlineStr">
        <is>
          <t>UPPSALA LÄN</t>
        </is>
      </c>
      <c r="E1689" t="inlineStr">
        <is>
          <t>UPPSALA</t>
        </is>
      </c>
      <c r="F1689" t="inlineStr">
        <is>
          <t>Bergvik skog öst AB</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12313-2021</t>
        </is>
      </c>
      <c r="B1690" s="1" t="n">
        <v>44266</v>
      </c>
      <c r="C1690" s="1" t="n">
        <v>45705</v>
      </c>
      <c r="D1690" t="inlineStr">
        <is>
          <t>UPPSALA LÄN</t>
        </is>
      </c>
      <c r="E1690" t="inlineStr">
        <is>
          <t>UPPSALA</t>
        </is>
      </c>
      <c r="G1690" t="n">
        <v>23.6</v>
      </c>
      <c r="H1690" t="n">
        <v>0</v>
      </c>
      <c r="I1690" t="n">
        <v>0</v>
      </c>
      <c r="J1690" t="n">
        <v>0</v>
      </c>
      <c r="K1690" t="n">
        <v>0</v>
      </c>
      <c r="L1690" t="n">
        <v>0</v>
      </c>
      <c r="M1690" t="n">
        <v>0</v>
      </c>
      <c r="N1690" t="n">
        <v>0</v>
      </c>
      <c r="O1690" t="n">
        <v>0</v>
      </c>
      <c r="P1690" t="n">
        <v>0</v>
      </c>
      <c r="Q1690" t="n">
        <v>0</v>
      </c>
      <c r="R1690" s="2" t="inlineStr"/>
    </row>
    <row r="1691" ht="15" customHeight="1">
      <c r="A1691" t="inlineStr">
        <is>
          <t>A 12434-2021</t>
        </is>
      </c>
      <c r="B1691" s="1" t="n">
        <v>44267</v>
      </c>
      <c r="C1691" s="1" t="n">
        <v>45705</v>
      </c>
      <c r="D1691" t="inlineStr">
        <is>
          <t>UPPSALA LÄN</t>
        </is>
      </c>
      <c r="E1691" t="inlineStr">
        <is>
          <t>ENKÖPING</t>
        </is>
      </c>
      <c r="G1691" t="n">
        <v>5.3</v>
      </c>
      <c r="H1691" t="n">
        <v>0</v>
      </c>
      <c r="I1691" t="n">
        <v>0</v>
      </c>
      <c r="J1691" t="n">
        <v>0</v>
      </c>
      <c r="K1691" t="n">
        <v>0</v>
      </c>
      <c r="L1691" t="n">
        <v>0</v>
      </c>
      <c r="M1691" t="n">
        <v>0</v>
      </c>
      <c r="N1691" t="n">
        <v>0</v>
      </c>
      <c r="O1691" t="n">
        <v>0</v>
      </c>
      <c r="P1691" t="n">
        <v>0</v>
      </c>
      <c r="Q1691" t="n">
        <v>0</v>
      </c>
      <c r="R1691" s="2" t="inlineStr"/>
    </row>
    <row r="1692" ht="15" customHeight="1">
      <c r="A1692" t="inlineStr">
        <is>
          <t>A 12538-2021</t>
        </is>
      </c>
      <c r="B1692" s="1" t="n">
        <v>44269</v>
      </c>
      <c r="C1692" s="1" t="n">
        <v>45705</v>
      </c>
      <c r="D1692" t="inlineStr">
        <is>
          <t>UPPSALA LÄN</t>
        </is>
      </c>
      <c r="E1692" t="inlineStr">
        <is>
          <t>ENKÖPING</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12572-2021</t>
        </is>
      </c>
      <c r="B1693" s="1" t="n">
        <v>44270</v>
      </c>
      <c r="C1693" s="1" t="n">
        <v>45705</v>
      </c>
      <c r="D1693" t="inlineStr">
        <is>
          <t>UPPSALA LÄN</t>
        </is>
      </c>
      <c r="E1693" t="inlineStr">
        <is>
          <t>ENKÖPING</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12591-2021</t>
        </is>
      </c>
      <c r="B1694" s="1" t="n">
        <v>44270</v>
      </c>
      <c r="C1694" s="1" t="n">
        <v>45705</v>
      </c>
      <c r="D1694" t="inlineStr">
        <is>
          <t>UPPSALA LÄN</t>
        </is>
      </c>
      <c r="E1694" t="inlineStr">
        <is>
          <t>TIERP</t>
        </is>
      </c>
      <c r="G1694" t="n">
        <v>5.6</v>
      </c>
      <c r="H1694" t="n">
        <v>0</v>
      </c>
      <c r="I1694" t="n">
        <v>0</v>
      </c>
      <c r="J1694" t="n">
        <v>0</v>
      </c>
      <c r="K1694" t="n">
        <v>0</v>
      </c>
      <c r="L1694" t="n">
        <v>0</v>
      </c>
      <c r="M1694" t="n">
        <v>0</v>
      </c>
      <c r="N1694" t="n">
        <v>0</v>
      </c>
      <c r="O1694" t="n">
        <v>0</v>
      </c>
      <c r="P1694" t="n">
        <v>0</v>
      </c>
      <c r="Q1694" t="n">
        <v>0</v>
      </c>
      <c r="R1694" s="2" t="inlineStr"/>
    </row>
    <row r="1695" ht="15" customHeight="1">
      <c r="A1695" t="inlineStr">
        <is>
          <t>A 12729-2021</t>
        </is>
      </c>
      <c r="B1695" s="1" t="n">
        <v>44270</v>
      </c>
      <c r="C1695" s="1" t="n">
        <v>45705</v>
      </c>
      <c r="D1695" t="inlineStr">
        <is>
          <t>UPPSALA LÄN</t>
        </is>
      </c>
      <c r="E1695" t="inlineStr">
        <is>
          <t>ENKÖPING</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12727-2021</t>
        </is>
      </c>
      <c r="B1696" s="1" t="n">
        <v>44270</v>
      </c>
      <c r="C1696" s="1" t="n">
        <v>45705</v>
      </c>
      <c r="D1696" t="inlineStr">
        <is>
          <t>UPPSALA LÄN</t>
        </is>
      </c>
      <c r="E1696" t="inlineStr">
        <is>
          <t>ENKÖPING</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12732-2021</t>
        </is>
      </c>
      <c r="B1697" s="1" t="n">
        <v>44270</v>
      </c>
      <c r="C1697" s="1" t="n">
        <v>45705</v>
      </c>
      <c r="D1697" t="inlineStr">
        <is>
          <t>UPPSALA LÄN</t>
        </is>
      </c>
      <c r="E1697" t="inlineStr">
        <is>
          <t>ENKÖPING</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12864-2021</t>
        </is>
      </c>
      <c r="B1698" s="1" t="n">
        <v>44271</v>
      </c>
      <c r="C1698" s="1" t="n">
        <v>45705</v>
      </c>
      <c r="D1698" t="inlineStr">
        <is>
          <t>UPPSALA LÄN</t>
        </is>
      </c>
      <c r="E1698" t="inlineStr">
        <is>
          <t>KNIVSTA</t>
        </is>
      </c>
      <c r="F1698" t="inlineStr">
        <is>
          <t>Kyrkan</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13010-2021</t>
        </is>
      </c>
      <c r="B1699" s="1" t="n">
        <v>44271</v>
      </c>
      <c r="C1699" s="1" t="n">
        <v>45705</v>
      </c>
      <c r="D1699" t="inlineStr">
        <is>
          <t>UPPSALA LÄN</t>
        </is>
      </c>
      <c r="E1699" t="inlineStr">
        <is>
          <t>UPPSALA</t>
        </is>
      </c>
      <c r="F1699" t="inlineStr">
        <is>
          <t>Bergvik skog öst AB</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13126-2021</t>
        </is>
      </c>
      <c r="B1700" s="1" t="n">
        <v>44272</v>
      </c>
      <c r="C1700" s="1" t="n">
        <v>45705</v>
      </c>
      <c r="D1700" t="inlineStr">
        <is>
          <t>UPPSALA LÄN</t>
        </is>
      </c>
      <c r="E1700" t="inlineStr">
        <is>
          <t>HEBY</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13157-2021</t>
        </is>
      </c>
      <c r="B1701" s="1" t="n">
        <v>44272</v>
      </c>
      <c r="C1701" s="1" t="n">
        <v>45705</v>
      </c>
      <c r="D1701" t="inlineStr">
        <is>
          <t>UPPSALA LÄN</t>
        </is>
      </c>
      <c r="E1701" t="inlineStr">
        <is>
          <t>TIERP</t>
        </is>
      </c>
      <c r="F1701" t="inlineStr">
        <is>
          <t>Bergvik skog öst AB</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13201-2021</t>
        </is>
      </c>
      <c r="B1702" s="1" t="n">
        <v>44272</v>
      </c>
      <c r="C1702" s="1" t="n">
        <v>45705</v>
      </c>
      <c r="D1702" t="inlineStr">
        <is>
          <t>UPPSALA LÄN</t>
        </is>
      </c>
      <c r="E1702" t="inlineStr">
        <is>
          <t>ENKÖPING</t>
        </is>
      </c>
      <c r="G1702" t="n">
        <v>0.1</v>
      </c>
      <c r="H1702" t="n">
        <v>0</v>
      </c>
      <c r="I1702" t="n">
        <v>0</v>
      </c>
      <c r="J1702" t="n">
        <v>0</v>
      </c>
      <c r="K1702" t="n">
        <v>0</v>
      </c>
      <c r="L1702" t="n">
        <v>0</v>
      </c>
      <c r="M1702" t="n">
        <v>0</v>
      </c>
      <c r="N1702" t="n">
        <v>0</v>
      </c>
      <c r="O1702" t="n">
        <v>0</v>
      </c>
      <c r="P1702" t="n">
        <v>0</v>
      </c>
      <c r="Q1702" t="n">
        <v>0</v>
      </c>
      <c r="R1702" s="2" t="inlineStr"/>
    </row>
    <row r="1703" ht="15" customHeight="1">
      <c r="A1703" t="inlineStr">
        <is>
          <t>A 13098-2021</t>
        </is>
      </c>
      <c r="B1703" s="1" t="n">
        <v>44272</v>
      </c>
      <c r="C1703" s="1" t="n">
        <v>45705</v>
      </c>
      <c r="D1703" t="inlineStr">
        <is>
          <t>UPPSALA LÄN</t>
        </is>
      </c>
      <c r="E1703" t="inlineStr">
        <is>
          <t>HEBY</t>
        </is>
      </c>
      <c r="G1703" t="n">
        <v>11.8</v>
      </c>
      <c r="H1703" t="n">
        <v>0</v>
      </c>
      <c r="I1703" t="n">
        <v>0</v>
      </c>
      <c r="J1703" t="n">
        <v>0</v>
      </c>
      <c r="K1703" t="n">
        <v>0</v>
      </c>
      <c r="L1703" t="n">
        <v>0</v>
      </c>
      <c r="M1703" t="n">
        <v>0</v>
      </c>
      <c r="N1703" t="n">
        <v>0</v>
      </c>
      <c r="O1703" t="n">
        <v>0</v>
      </c>
      <c r="P1703" t="n">
        <v>0</v>
      </c>
      <c r="Q1703" t="n">
        <v>0</v>
      </c>
      <c r="R1703" s="2" t="inlineStr"/>
    </row>
    <row r="1704" ht="15" customHeight="1">
      <c r="A1704" t="inlineStr">
        <is>
          <t>A 13131-2021</t>
        </is>
      </c>
      <c r="B1704" s="1" t="n">
        <v>44272</v>
      </c>
      <c r="C1704" s="1" t="n">
        <v>45705</v>
      </c>
      <c r="D1704" t="inlineStr">
        <is>
          <t>UPPSALA LÄN</t>
        </is>
      </c>
      <c r="E1704" t="inlineStr">
        <is>
          <t>HEBY</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13046-2021</t>
        </is>
      </c>
      <c r="B1705" s="1" t="n">
        <v>44272</v>
      </c>
      <c r="C1705" s="1" t="n">
        <v>45705</v>
      </c>
      <c r="D1705" t="inlineStr">
        <is>
          <t>UPPSALA LÄN</t>
        </is>
      </c>
      <c r="E1705" t="inlineStr">
        <is>
          <t>HEBY</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13476-2021</t>
        </is>
      </c>
      <c r="B1706" s="1" t="n">
        <v>44273</v>
      </c>
      <c r="C1706" s="1" t="n">
        <v>45705</v>
      </c>
      <c r="D1706" t="inlineStr">
        <is>
          <t>UPPSALA LÄN</t>
        </is>
      </c>
      <c r="E1706" t="inlineStr">
        <is>
          <t>ÄLVKARLEBY</t>
        </is>
      </c>
      <c r="F1706" t="inlineStr">
        <is>
          <t>Bergvik skog väst AB</t>
        </is>
      </c>
      <c r="G1706" t="n">
        <v>12.1</v>
      </c>
      <c r="H1706" t="n">
        <v>0</v>
      </c>
      <c r="I1706" t="n">
        <v>0</v>
      </c>
      <c r="J1706" t="n">
        <v>0</v>
      </c>
      <c r="K1706" t="n">
        <v>0</v>
      </c>
      <c r="L1706" t="n">
        <v>0</v>
      </c>
      <c r="M1706" t="n">
        <v>0</v>
      </c>
      <c r="N1706" t="n">
        <v>0</v>
      </c>
      <c r="O1706" t="n">
        <v>0</v>
      </c>
      <c r="P1706" t="n">
        <v>0</v>
      </c>
      <c r="Q1706" t="n">
        <v>0</v>
      </c>
      <c r="R1706" s="2" t="inlineStr"/>
    </row>
    <row r="1707" ht="15" customHeight="1">
      <c r="A1707" t="inlineStr">
        <is>
          <t>A 13420-2021</t>
        </is>
      </c>
      <c r="B1707" s="1" t="n">
        <v>44273</v>
      </c>
      <c r="C1707" s="1" t="n">
        <v>45705</v>
      </c>
      <c r="D1707" t="inlineStr">
        <is>
          <t>UPPSALA LÄN</t>
        </is>
      </c>
      <c r="E1707" t="inlineStr">
        <is>
          <t>UPPSALA</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13813-2021</t>
        </is>
      </c>
      <c r="B1708" s="1" t="n">
        <v>44276</v>
      </c>
      <c r="C1708" s="1" t="n">
        <v>45705</v>
      </c>
      <c r="D1708" t="inlineStr">
        <is>
          <t>UPPSALA LÄN</t>
        </is>
      </c>
      <c r="E1708" t="inlineStr">
        <is>
          <t>ENKÖPING</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13816-2021</t>
        </is>
      </c>
      <c r="B1709" s="1" t="n">
        <v>44276</v>
      </c>
      <c r="C1709" s="1" t="n">
        <v>45705</v>
      </c>
      <c r="D1709" t="inlineStr">
        <is>
          <t>UPPSALA LÄN</t>
        </is>
      </c>
      <c r="E1709" t="inlineStr">
        <is>
          <t>ENKÖPING</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14026-2021</t>
        </is>
      </c>
      <c r="B1710" s="1" t="n">
        <v>44277</v>
      </c>
      <c r="C1710" s="1" t="n">
        <v>45705</v>
      </c>
      <c r="D1710" t="inlineStr">
        <is>
          <t>UPPSALA LÄN</t>
        </is>
      </c>
      <c r="E1710" t="inlineStr">
        <is>
          <t>UPPSALA</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14022-2021</t>
        </is>
      </c>
      <c r="B1711" s="1" t="n">
        <v>44277</v>
      </c>
      <c r="C1711" s="1" t="n">
        <v>45705</v>
      </c>
      <c r="D1711" t="inlineStr">
        <is>
          <t>UPPSALA LÄN</t>
        </is>
      </c>
      <c r="E1711" t="inlineStr">
        <is>
          <t>UPPSALA</t>
        </is>
      </c>
      <c r="G1711" t="n">
        <v>11.1</v>
      </c>
      <c r="H1711" t="n">
        <v>0</v>
      </c>
      <c r="I1711" t="n">
        <v>0</v>
      </c>
      <c r="J1711" t="n">
        <v>0</v>
      </c>
      <c r="K1711" t="n">
        <v>0</v>
      </c>
      <c r="L1711" t="n">
        <v>0</v>
      </c>
      <c r="M1711" t="n">
        <v>0</v>
      </c>
      <c r="N1711" t="n">
        <v>0</v>
      </c>
      <c r="O1711" t="n">
        <v>0</v>
      </c>
      <c r="P1711" t="n">
        <v>0</v>
      </c>
      <c r="Q1711" t="n">
        <v>0</v>
      </c>
      <c r="R1711" s="2" t="inlineStr"/>
    </row>
    <row r="1712" ht="15" customHeight="1">
      <c r="A1712" t="inlineStr">
        <is>
          <t>A 14248-2021</t>
        </is>
      </c>
      <c r="B1712" s="1" t="n">
        <v>44278</v>
      </c>
      <c r="C1712" s="1" t="n">
        <v>45705</v>
      </c>
      <c r="D1712" t="inlineStr">
        <is>
          <t>UPPSALA LÄN</t>
        </is>
      </c>
      <c r="E1712" t="inlineStr">
        <is>
          <t>ÖSTHAMMAR</t>
        </is>
      </c>
      <c r="F1712" t="inlineStr">
        <is>
          <t>Övriga Aktiebolag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14306-2021</t>
        </is>
      </c>
      <c r="B1713" s="1" t="n">
        <v>44278</v>
      </c>
      <c r="C1713" s="1" t="n">
        <v>45705</v>
      </c>
      <c r="D1713" t="inlineStr">
        <is>
          <t>UPPSALA LÄN</t>
        </is>
      </c>
      <c r="E1713" t="inlineStr">
        <is>
          <t>HEBY</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14341-2021</t>
        </is>
      </c>
      <c r="B1714" s="1" t="n">
        <v>44279</v>
      </c>
      <c r="C1714" s="1" t="n">
        <v>45705</v>
      </c>
      <c r="D1714" t="inlineStr">
        <is>
          <t>UPPSALA LÄN</t>
        </is>
      </c>
      <c r="E1714" t="inlineStr">
        <is>
          <t>UPPSALA</t>
        </is>
      </c>
      <c r="G1714" t="n">
        <v>8.9</v>
      </c>
      <c r="H1714" t="n">
        <v>0</v>
      </c>
      <c r="I1714" t="n">
        <v>0</v>
      </c>
      <c r="J1714" t="n">
        <v>0</v>
      </c>
      <c r="K1714" t="n">
        <v>0</v>
      </c>
      <c r="L1714" t="n">
        <v>0</v>
      </c>
      <c r="M1714" t="n">
        <v>0</v>
      </c>
      <c r="N1714" t="n">
        <v>0</v>
      </c>
      <c r="O1714" t="n">
        <v>0</v>
      </c>
      <c r="P1714" t="n">
        <v>0</v>
      </c>
      <c r="Q1714" t="n">
        <v>0</v>
      </c>
      <c r="R1714" s="2" t="inlineStr"/>
    </row>
    <row r="1715" ht="15" customHeight="1">
      <c r="A1715" t="inlineStr">
        <is>
          <t>A 14386-2021</t>
        </is>
      </c>
      <c r="B1715" s="1" t="n">
        <v>44279</v>
      </c>
      <c r="C1715" s="1" t="n">
        <v>45705</v>
      </c>
      <c r="D1715" t="inlineStr">
        <is>
          <t>UPPSALA LÄN</t>
        </is>
      </c>
      <c r="E1715" t="inlineStr">
        <is>
          <t>HEBY</t>
        </is>
      </c>
      <c r="F1715" t="inlineStr">
        <is>
          <t>Sveaskog</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14525-2021</t>
        </is>
      </c>
      <c r="B1716" s="1" t="n">
        <v>44279</v>
      </c>
      <c r="C1716" s="1" t="n">
        <v>45705</v>
      </c>
      <c r="D1716" t="inlineStr">
        <is>
          <t>UPPSALA LÄN</t>
        </is>
      </c>
      <c r="E1716" t="inlineStr">
        <is>
          <t>ÖSTHAMMAR</t>
        </is>
      </c>
      <c r="F1716" t="inlineStr">
        <is>
          <t>Bergvik skog öst AB</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14840-2021</t>
        </is>
      </c>
      <c r="B1717" s="1" t="n">
        <v>44280</v>
      </c>
      <c r="C1717" s="1" t="n">
        <v>45705</v>
      </c>
      <c r="D1717" t="inlineStr">
        <is>
          <t>UPPSALA LÄN</t>
        </is>
      </c>
      <c r="E1717" t="inlineStr">
        <is>
          <t>ENKÖPING</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14841-2021</t>
        </is>
      </c>
      <c r="B1718" s="1" t="n">
        <v>44280</v>
      </c>
      <c r="C1718" s="1" t="n">
        <v>45705</v>
      </c>
      <c r="D1718" t="inlineStr">
        <is>
          <t>UPPSALA LÄN</t>
        </is>
      </c>
      <c r="E1718" t="inlineStr">
        <is>
          <t>ENKÖPING</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14843-2021</t>
        </is>
      </c>
      <c r="B1719" s="1" t="n">
        <v>44280</v>
      </c>
      <c r="C1719" s="1" t="n">
        <v>45705</v>
      </c>
      <c r="D1719" t="inlineStr">
        <is>
          <t>UPPSALA LÄN</t>
        </is>
      </c>
      <c r="E1719" t="inlineStr">
        <is>
          <t>HEBY</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14839-2021</t>
        </is>
      </c>
      <c r="B1720" s="1" t="n">
        <v>44280</v>
      </c>
      <c r="C1720" s="1" t="n">
        <v>45705</v>
      </c>
      <c r="D1720" t="inlineStr">
        <is>
          <t>UPPSALA LÄN</t>
        </is>
      </c>
      <c r="E1720" t="inlineStr">
        <is>
          <t>ENKÖPING</t>
        </is>
      </c>
      <c r="G1720" t="n">
        <v>11.4</v>
      </c>
      <c r="H1720" t="n">
        <v>0</v>
      </c>
      <c r="I1720" t="n">
        <v>0</v>
      </c>
      <c r="J1720" t="n">
        <v>0</v>
      </c>
      <c r="K1720" t="n">
        <v>0</v>
      </c>
      <c r="L1720" t="n">
        <v>0</v>
      </c>
      <c r="M1720" t="n">
        <v>0</v>
      </c>
      <c r="N1720" t="n">
        <v>0</v>
      </c>
      <c r="O1720" t="n">
        <v>0</v>
      </c>
      <c r="P1720" t="n">
        <v>0</v>
      </c>
      <c r="Q1720" t="n">
        <v>0</v>
      </c>
      <c r="R1720" s="2" t="inlineStr"/>
    </row>
    <row r="1721" ht="15" customHeight="1">
      <c r="A1721" t="inlineStr">
        <is>
          <t>A 14934-2021</t>
        </is>
      </c>
      <c r="B1721" s="1" t="n">
        <v>44281</v>
      </c>
      <c r="C1721" s="1" t="n">
        <v>45705</v>
      </c>
      <c r="D1721" t="inlineStr">
        <is>
          <t>UPPSALA LÄN</t>
        </is>
      </c>
      <c r="E1721" t="inlineStr">
        <is>
          <t>TIERP</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14941-2021</t>
        </is>
      </c>
      <c r="B1722" s="1" t="n">
        <v>44281</v>
      </c>
      <c r="C1722" s="1" t="n">
        <v>45705</v>
      </c>
      <c r="D1722" t="inlineStr">
        <is>
          <t>UPPSALA LÄN</t>
        </is>
      </c>
      <c r="E1722" t="inlineStr">
        <is>
          <t>UPPSALA</t>
        </is>
      </c>
      <c r="F1722" t="inlineStr">
        <is>
          <t>Holmen skog AB</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15298-2021</t>
        </is>
      </c>
      <c r="B1723" s="1" t="n">
        <v>44284</v>
      </c>
      <c r="C1723" s="1" t="n">
        <v>45705</v>
      </c>
      <c r="D1723" t="inlineStr">
        <is>
          <t>UPPSALA LÄN</t>
        </is>
      </c>
      <c r="E1723" t="inlineStr">
        <is>
          <t>ENKÖPING</t>
        </is>
      </c>
      <c r="G1723" t="n">
        <v>6</v>
      </c>
      <c r="H1723" t="n">
        <v>0</v>
      </c>
      <c r="I1723" t="n">
        <v>0</v>
      </c>
      <c r="J1723" t="n">
        <v>0</v>
      </c>
      <c r="K1723" t="n">
        <v>0</v>
      </c>
      <c r="L1723" t="n">
        <v>0</v>
      </c>
      <c r="M1723" t="n">
        <v>0</v>
      </c>
      <c r="N1723" t="n">
        <v>0</v>
      </c>
      <c r="O1723" t="n">
        <v>0</v>
      </c>
      <c r="P1723" t="n">
        <v>0</v>
      </c>
      <c r="Q1723" t="n">
        <v>0</v>
      </c>
      <c r="R1723" s="2" t="inlineStr"/>
    </row>
    <row r="1724" ht="15" customHeight="1">
      <c r="A1724" t="inlineStr">
        <is>
          <t>A 15481-2021</t>
        </is>
      </c>
      <c r="B1724" s="1" t="n">
        <v>44285</v>
      </c>
      <c r="C1724" s="1" t="n">
        <v>45705</v>
      </c>
      <c r="D1724" t="inlineStr">
        <is>
          <t>UPPSALA LÄN</t>
        </is>
      </c>
      <c r="E1724" t="inlineStr">
        <is>
          <t>HEBY</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15485-2021</t>
        </is>
      </c>
      <c r="B1725" s="1" t="n">
        <v>44285</v>
      </c>
      <c r="C1725" s="1" t="n">
        <v>45705</v>
      </c>
      <c r="D1725" t="inlineStr">
        <is>
          <t>UPPSALA LÄN</t>
        </is>
      </c>
      <c r="E1725" t="inlineStr">
        <is>
          <t>HEBY</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15587-2021</t>
        </is>
      </c>
      <c r="B1726" s="1" t="n">
        <v>44285</v>
      </c>
      <c r="C1726" s="1" t="n">
        <v>45705</v>
      </c>
      <c r="D1726" t="inlineStr">
        <is>
          <t>UPPSALA LÄN</t>
        </is>
      </c>
      <c r="E1726" t="inlineStr">
        <is>
          <t>TIERP</t>
        </is>
      </c>
      <c r="F1726" t="inlineStr">
        <is>
          <t>Bergvik skog väst AB</t>
        </is>
      </c>
      <c r="G1726" t="n">
        <v>4.1</v>
      </c>
      <c r="H1726" t="n">
        <v>0</v>
      </c>
      <c r="I1726" t="n">
        <v>0</v>
      </c>
      <c r="J1726" t="n">
        <v>0</v>
      </c>
      <c r="K1726" t="n">
        <v>0</v>
      </c>
      <c r="L1726" t="n">
        <v>0</v>
      </c>
      <c r="M1726" t="n">
        <v>0</v>
      </c>
      <c r="N1726" t="n">
        <v>0</v>
      </c>
      <c r="O1726" t="n">
        <v>0</v>
      </c>
      <c r="P1726" t="n">
        <v>0</v>
      </c>
      <c r="Q1726" t="n">
        <v>0</v>
      </c>
      <c r="R1726" s="2" t="inlineStr"/>
    </row>
    <row r="1727" ht="15" customHeight="1">
      <c r="A1727" t="inlineStr">
        <is>
          <t>A 15816-2021</t>
        </is>
      </c>
      <c r="B1727" s="1" t="n">
        <v>44286</v>
      </c>
      <c r="C1727" s="1" t="n">
        <v>45705</v>
      </c>
      <c r="D1727" t="inlineStr">
        <is>
          <t>UPPSALA LÄN</t>
        </is>
      </c>
      <c r="E1727" t="inlineStr">
        <is>
          <t>UPPSALA</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15677-2021</t>
        </is>
      </c>
      <c r="B1728" s="1" t="n">
        <v>44286</v>
      </c>
      <c r="C1728" s="1" t="n">
        <v>45705</v>
      </c>
      <c r="D1728" t="inlineStr">
        <is>
          <t>UPPSALA LÄN</t>
        </is>
      </c>
      <c r="E1728" t="inlineStr">
        <is>
          <t>TIERP</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15728-2021</t>
        </is>
      </c>
      <c r="B1729" s="1" t="n">
        <v>44286</v>
      </c>
      <c r="C1729" s="1" t="n">
        <v>45705</v>
      </c>
      <c r="D1729" t="inlineStr">
        <is>
          <t>UPPSALA LÄN</t>
        </is>
      </c>
      <c r="E1729" t="inlineStr">
        <is>
          <t>TIERP</t>
        </is>
      </c>
      <c r="F1729" t="inlineStr">
        <is>
          <t>Bergvik skog öst AB</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15820-2021</t>
        </is>
      </c>
      <c r="B1730" s="1" t="n">
        <v>44286</v>
      </c>
      <c r="C1730" s="1" t="n">
        <v>45705</v>
      </c>
      <c r="D1730" t="inlineStr">
        <is>
          <t>UPPSALA LÄN</t>
        </is>
      </c>
      <c r="E1730" t="inlineStr">
        <is>
          <t>UPPSALA</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15997-2021</t>
        </is>
      </c>
      <c r="B1731" s="1" t="n">
        <v>44287</v>
      </c>
      <c r="C1731" s="1" t="n">
        <v>45705</v>
      </c>
      <c r="D1731" t="inlineStr">
        <is>
          <t>UPPSALA LÄN</t>
        </is>
      </c>
      <c r="E1731" t="inlineStr">
        <is>
          <t>ENKÖPING</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16043-2021</t>
        </is>
      </c>
      <c r="B1732" s="1" t="n">
        <v>44287</v>
      </c>
      <c r="C1732" s="1" t="n">
        <v>45705</v>
      </c>
      <c r="D1732" t="inlineStr">
        <is>
          <t>UPPSALA LÄN</t>
        </is>
      </c>
      <c r="E1732" t="inlineStr">
        <is>
          <t>HEBY</t>
        </is>
      </c>
      <c r="G1732" t="n">
        <v>0.1</v>
      </c>
      <c r="H1732" t="n">
        <v>0</v>
      </c>
      <c r="I1732" t="n">
        <v>0</v>
      </c>
      <c r="J1732" t="n">
        <v>0</v>
      </c>
      <c r="K1732" t="n">
        <v>0</v>
      </c>
      <c r="L1732" t="n">
        <v>0</v>
      </c>
      <c r="M1732" t="n">
        <v>0</v>
      </c>
      <c r="N1732" t="n">
        <v>0</v>
      </c>
      <c r="O1732" t="n">
        <v>0</v>
      </c>
      <c r="P1732" t="n">
        <v>0</v>
      </c>
      <c r="Q1732" t="n">
        <v>0</v>
      </c>
      <c r="R1732" s="2" t="inlineStr"/>
    </row>
    <row r="1733" ht="15" customHeight="1">
      <c r="A1733" t="inlineStr">
        <is>
          <t>A 16212-2021</t>
        </is>
      </c>
      <c r="B1733" s="1" t="n">
        <v>44287</v>
      </c>
      <c r="C1733" s="1" t="n">
        <v>45705</v>
      </c>
      <c r="D1733" t="inlineStr">
        <is>
          <t>UPPSALA LÄN</t>
        </is>
      </c>
      <c r="E1733" t="inlineStr">
        <is>
          <t>ÖSTHAMMAR</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16209-2021</t>
        </is>
      </c>
      <c r="B1734" s="1" t="n">
        <v>44287</v>
      </c>
      <c r="C1734" s="1" t="n">
        <v>45705</v>
      </c>
      <c r="D1734" t="inlineStr">
        <is>
          <t>UPPSALA LÄN</t>
        </is>
      </c>
      <c r="E1734" t="inlineStr">
        <is>
          <t>ÖSTHAMMAR</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16106-2021</t>
        </is>
      </c>
      <c r="B1735" s="1" t="n">
        <v>44290</v>
      </c>
      <c r="C1735" s="1" t="n">
        <v>45705</v>
      </c>
      <c r="D1735" t="inlineStr">
        <is>
          <t>UPPSALA LÄN</t>
        </is>
      </c>
      <c r="E1735" t="inlineStr">
        <is>
          <t>TIERP</t>
        </is>
      </c>
      <c r="F1735" t="inlineStr">
        <is>
          <t>Bergvik skog väst AB</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16124-2021</t>
        </is>
      </c>
      <c r="B1736" s="1" t="n">
        <v>44291</v>
      </c>
      <c r="C1736" s="1" t="n">
        <v>45705</v>
      </c>
      <c r="D1736" t="inlineStr">
        <is>
          <t>UPPSALA LÄN</t>
        </is>
      </c>
      <c r="E1736" t="inlineStr">
        <is>
          <t>TIERP</t>
        </is>
      </c>
      <c r="F1736" t="inlineStr">
        <is>
          <t>Bergvik skog väst AB</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16463-2021</t>
        </is>
      </c>
      <c r="B1737" s="1" t="n">
        <v>44292</v>
      </c>
      <c r="C1737" s="1" t="n">
        <v>45705</v>
      </c>
      <c r="D1737" t="inlineStr">
        <is>
          <t>UPPSALA LÄN</t>
        </is>
      </c>
      <c r="E1737" t="inlineStr">
        <is>
          <t>HEBY</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16309-2021</t>
        </is>
      </c>
      <c r="B1738" s="1" t="n">
        <v>44292</v>
      </c>
      <c r="C1738" s="1" t="n">
        <v>45705</v>
      </c>
      <c r="D1738" t="inlineStr">
        <is>
          <t>UPPSALA LÄN</t>
        </is>
      </c>
      <c r="E1738" t="inlineStr">
        <is>
          <t>ENKÖPING</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16498-2021</t>
        </is>
      </c>
      <c r="B1739" s="1" t="n">
        <v>44293</v>
      </c>
      <c r="C1739" s="1" t="n">
        <v>45705</v>
      </c>
      <c r="D1739" t="inlineStr">
        <is>
          <t>UPPSALA LÄN</t>
        </is>
      </c>
      <c r="E1739" t="inlineStr">
        <is>
          <t>ENKÖPING</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16494-2021</t>
        </is>
      </c>
      <c r="B1740" s="1" t="n">
        <v>44293</v>
      </c>
      <c r="C1740" s="1" t="n">
        <v>45705</v>
      </c>
      <c r="D1740" t="inlineStr">
        <is>
          <t>UPPSALA LÄN</t>
        </is>
      </c>
      <c r="E1740" t="inlineStr">
        <is>
          <t>HEBY</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16592-2021</t>
        </is>
      </c>
      <c r="B1741" s="1" t="n">
        <v>44294</v>
      </c>
      <c r="C1741" s="1" t="n">
        <v>45705</v>
      </c>
      <c r="D1741" t="inlineStr">
        <is>
          <t>UPPSALA LÄN</t>
        </is>
      </c>
      <c r="E1741" t="inlineStr">
        <is>
          <t>UPPSALA</t>
        </is>
      </c>
      <c r="F1741" t="inlineStr">
        <is>
          <t>Övriga Aktiebolag</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16615-2021</t>
        </is>
      </c>
      <c r="B1742" s="1" t="n">
        <v>44294</v>
      </c>
      <c r="C1742" s="1" t="n">
        <v>45705</v>
      </c>
      <c r="D1742" t="inlineStr">
        <is>
          <t>UPPSALA LÄN</t>
        </is>
      </c>
      <c r="E1742" t="inlineStr">
        <is>
          <t>UPPSALA</t>
        </is>
      </c>
      <c r="F1742" t="inlineStr">
        <is>
          <t>Övriga Aktiebolag</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16683-2021</t>
        </is>
      </c>
      <c r="B1743" s="1" t="n">
        <v>44294</v>
      </c>
      <c r="C1743" s="1" t="n">
        <v>45705</v>
      </c>
      <c r="D1743" t="inlineStr">
        <is>
          <t>UPPSALA LÄN</t>
        </is>
      </c>
      <c r="E1743" t="inlineStr">
        <is>
          <t>ENKÖPING</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16684-2021</t>
        </is>
      </c>
      <c r="B1744" s="1" t="n">
        <v>44294</v>
      </c>
      <c r="C1744" s="1" t="n">
        <v>45705</v>
      </c>
      <c r="D1744" t="inlineStr">
        <is>
          <t>UPPSALA LÄN</t>
        </is>
      </c>
      <c r="E1744" t="inlineStr">
        <is>
          <t>UPPSALA</t>
        </is>
      </c>
      <c r="F1744" t="inlineStr">
        <is>
          <t>Övriga Aktiebolag</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17009-2021</t>
        </is>
      </c>
      <c r="B1745" s="1" t="n">
        <v>44295</v>
      </c>
      <c r="C1745" s="1" t="n">
        <v>45705</v>
      </c>
      <c r="D1745" t="inlineStr">
        <is>
          <t>UPPSALA LÄN</t>
        </is>
      </c>
      <c r="E1745" t="inlineStr">
        <is>
          <t>ÖSTHAMMAR</t>
        </is>
      </c>
      <c r="F1745" t="inlineStr">
        <is>
          <t>Bergvik skog öst AB</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17022-2021</t>
        </is>
      </c>
      <c r="B1746" s="1" t="n">
        <v>44295</v>
      </c>
      <c r="C1746" s="1" t="n">
        <v>45705</v>
      </c>
      <c r="D1746" t="inlineStr">
        <is>
          <t>UPPSALA LÄN</t>
        </is>
      </c>
      <c r="E1746" t="inlineStr">
        <is>
          <t>ÖSTHAMMAR</t>
        </is>
      </c>
      <c r="F1746" t="inlineStr">
        <is>
          <t>Bergvik skog öst AB</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17033-2021</t>
        </is>
      </c>
      <c r="B1747" s="1" t="n">
        <v>44295</v>
      </c>
      <c r="C1747" s="1" t="n">
        <v>45705</v>
      </c>
      <c r="D1747" t="inlineStr">
        <is>
          <t>UPPSALA LÄN</t>
        </is>
      </c>
      <c r="E1747" t="inlineStr">
        <is>
          <t>ÖSTHAMMAR</t>
        </is>
      </c>
      <c r="F1747" t="inlineStr">
        <is>
          <t>Bergvik skog öst AB</t>
        </is>
      </c>
      <c r="G1747" t="n">
        <v>4.7</v>
      </c>
      <c r="H1747" t="n">
        <v>0</v>
      </c>
      <c r="I1747" t="n">
        <v>0</v>
      </c>
      <c r="J1747" t="n">
        <v>0</v>
      </c>
      <c r="K1747" t="n">
        <v>0</v>
      </c>
      <c r="L1747" t="n">
        <v>0</v>
      </c>
      <c r="M1747" t="n">
        <v>0</v>
      </c>
      <c r="N1747" t="n">
        <v>0</v>
      </c>
      <c r="O1747" t="n">
        <v>0</v>
      </c>
      <c r="P1747" t="n">
        <v>0</v>
      </c>
      <c r="Q1747" t="n">
        <v>0</v>
      </c>
      <c r="R1747" s="2" t="inlineStr"/>
    </row>
    <row r="1748" ht="15" customHeight="1">
      <c r="A1748" t="inlineStr">
        <is>
          <t>A 17262-2021</t>
        </is>
      </c>
      <c r="B1748" s="1" t="n">
        <v>44297</v>
      </c>
      <c r="C1748" s="1" t="n">
        <v>45705</v>
      </c>
      <c r="D1748" t="inlineStr">
        <is>
          <t>UPPSALA LÄN</t>
        </is>
      </c>
      <c r="E1748" t="inlineStr">
        <is>
          <t>UPPSALA</t>
        </is>
      </c>
      <c r="F1748" t="inlineStr">
        <is>
          <t>Allmännings- och besparingsskogar</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17250-2021</t>
        </is>
      </c>
      <c r="B1749" s="1" t="n">
        <v>44297</v>
      </c>
      <c r="C1749" s="1" t="n">
        <v>45705</v>
      </c>
      <c r="D1749" t="inlineStr">
        <is>
          <t>UPPSALA LÄN</t>
        </is>
      </c>
      <c r="E1749" t="inlineStr">
        <is>
          <t>UPPSALA</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17264-2021</t>
        </is>
      </c>
      <c r="B1750" s="1" t="n">
        <v>44298</v>
      </c>
      <c r="C1750" s="1" t="n">
        <v>45705</v>
      </c>
      <c r="D1750" t="inlineStr">
        <is>
          <t>UPPSALA LÄN</t>
        </is>
      </c>
      <c r="E1750" t="inlineStr">
        <is>
          <t>ENKÖPING</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17268-2021</t>
        </is>
      </c>
      <c r="B1751" s="1" t="n">
        <v>44298</v>
      </c>
      <c r="C1751" s="1" t="n">
        <v>45705</v>
      </c>
      <c r="D1751" t="inlineStr">
        <is>
          <t>UPPSALA LÄN</t>
        </is>
      </c>
      <c r="E1751" t="inlineStr">
        <is>
          <t>ENKÖPING</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17349-2021</t>
        </is>
      </c>
      <c r="B1752" s="1" t="n">
        <v>44298</v>
      </c>
      <c r="C1752" s="1" t="n">
        <v>45705</v>
      </c>
      <c r="D1752" t="inlineStr">
        <is>
          <t>UPPSALA LÄN</t>
        </is>
      </c>
      <c r="E1752" t="inlineStr">
        <is>
          <t>ÖSTHAMMAR</t>
        </is>
      </c>
      <c r="F1752" t="inlineStr">
        <is>
          <t>Bergvik skog öst AB</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17536-2021</t>
        </is>
      </c>
      <c r="B1753" s="1" t="n">
        <v>44299</v>
      </c>
      <c r="C1753" s="1" t="n">
        <v>45705</v>
      </c>
      <c r="D1753" t="inlineStr">
        <is>
          <t>UPPSALA LÄN</t>
        </is>
      </c>
      <c r="E1753" t="inlineStr">
        <is>
          <t>UPPSALA</t>
        </is>
      </c>
      <c r="F1753" t="inlineStr">
        <is>
          <t>Holmen skog AB</t>
        </is>
      </c>
      <c r="G1753" t="n">
        <v>7.6</v>
      </c>
      <c r="H1753" t="n">
        <v>0</v>
      </c>
      <c r="I1753" t="n">
        <v>0</v>
      </c>
      <c r="J1753" t="n">
        <v>0</v>
      </c>
      <c r="K1753" t="n">
        <v>0</v>
      </c>
      <c r="L1753" t="n">
        <v>0</v>
      </c>
      <c r="M1753" t="n">
        <v>0</v>
      </c>
      <c r="N1753" t="n">
        <v>0</v>
      </c>
      <c r="O1753" t="n">
        <v>0</v>
      </c>
      <c r="P1753" t="n">
        <v>0</v>
      </c>
      <c r="Q1753" t="n">
        <v>0</v>
      </c>
      <c r="R1753" s="2" t="inlineStr"/>
    </row>
    <row r="1754" ht="15" customHeight="1">
      <c r="A1754" t="inlineStr">
        <is>
          <t>A 17580-2021</t>
        </is>
      </c>
      <c r="B1754" s="1" t="n">
        <v>44299</v>
      </c>
      <c r="C1754" s="1" t="n">
        <v>45705</v>
      </c>
      <c r="D1754" t="inlineStr">
        <is>
          <t>UPPSALA LÄN</t>
        </is>
      </c>
      <c r="E1754" t="inlineStr">
        <is>
          <t>HEBY</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17747-2021</t>
        </is>
      </c>
      <c r="B1755" s="1" t="n">
        <v>44300</v>
      </c>
      <c r="C1755" s="1" t="n">
        <v>45705</v>
      </c>
      <c r="D1755" t="inlineStr">
        <is>
          <t>UPPSALA LÄN</t>
        </is>
      </c>
      <c r="E1755" t="inlineStr">
        <is>
          <t>HEBY</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18037-2021</t>
        </is>
      </c>
      <c r="B1756" s="1" t="n">
        <v>44301</v>
      </c>
      <c r="C1756" s="1" t="n">
        <v>45705</v>
      </c>
      <c r="D1756" t="inlineStr">
        <is>
          <t>UPPSALA LÄN</t>
        </is>
      </c>
      <c r="E1756" t="inlineStr">
        <is>
          <t>ENKÖPING</t>
        </is>
      </c>
      <c r="G1756" t="n">
        <v>17.2</v>
      </c>
      <c r="H1756" t="n">
        <v>0</v>
      </c>
      <c r="I1756" t="n">
        <v>0</v>
      </c>
      <c r="J1756" t="n">
        <v>0</v>
      </c>
      <c r="K1756" t="n">
        <v>0</v>
      </c>
      <c r="L1756" t="n">
        <v>0</v>
      </c>
      <c r="M1756" t="n">
        <v>0</v>
      </c>
      <c r="N1756" t="n">
        <v>0</v>
      </c>
      <c r="O1756" t="n">
        <v>0</v>
      </c>
      <c r="P1756" t="n">
        <v>0</v>
      </c>
      <c r="Q1756" t="n">
        <v>0</v>
      </c>
      <c r="R1756" s="2" t="inlineStr"/>
    </row>
    <row r="1757" ht="15" customHeight="1">
      <c r="A1757" t="inlineStr">
        <is>
          <t>A 18328-2021</t>
        </is>
      </c>
      <c r="B1757" s="1" t="n">
        <v>44305</v>
      </c>
      <c r="C1757" s="1" t="n">
        <v>45705</v>
      </c>
      <c r="D1757" t="inlineStr">
        <is>
          <t>UPPSALA LÄN</t>
        </is>
      </c>
      <c r="E1757" t="inlineStr">
        <is>
          <t>ENKÖPING</t>
        </is>
      </c>
      <c r="G1757" t="n">
        <v>9.4</v>
      </c>
      <c r="H1757" t="n">
        <v>0</v>
      </c>
      <c r="I1757" t="n">
        <v>0</v>
      </c>
      <c r="J1757" t="n">
        <v>0</v>
      </c>
      <c r="K1757" t="n">
        <v>0</v>
      </c>
      <c r="L1757" t="n">
        <v>0</v>
      </c>
      <c r="M1757" t="n">
        <v>0</v>
      </c>
      <c r="N1757" t="n">
        <v>0</v>
      </c>
      <c r="O1757" t="n">
        <v>0</v>
      </c>
      <c r="P1757" t="n">
        <v>0</v>
      </c>
      <c r="Q1757" t="n">
        <v>0</v>
      </c>
      <c r="R1757" s="2" t="inlineStr"/>
    </row>
    <row r="1758" ht="15" customHeight="1">
      <c r="A1758" t="inlineStr">
        <is>
          <t>A 18584-2021</t>
        </is>
      </c>
      <c r="B1758" s="1" t="n">
        <v>44306</v>
      </c>
      <c r="C1758" s="1" t="n">
        <v>45705</v>
      </c>
      <c r="D1758" t="inlineStr">
        <is>
          <t>UPPSALA LÄN</t>
        </is>
      </c>
      <c r="E1758" t="inlineStr">
        <is>
          <t>ENKÖPING</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18592-2021</t>
        </is>
      </c>
      <c r="B1759" s="1" t="n">
        <v>44306</v>
      </c>
      <c r="C1759" s="1" t="n">
        <v>45705</v>
      </c>
      <c r="D1759" t="inlineStr">
        <is>
          <t>UPPSALA LÄN</t>
        </is>
      </c>
      <c r="E1759" t="inlineStr">
        <is>
          <t>ENKÖPING</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18583-2021</t>
        </is>
      </c>
      <c r="B1760" s="1" t="n">
        <v>44306</v>
      </c>
      <c r="C1760" s="1" t="n">
        <v>45705</v>
      </c>
      <c r="D1760" t="inlineStr">
        <is>
          <t>UPPSALA LÄN</t>
        </is>
      </c>
      <c r="E1760" t="inlineStr">
        <is>
          <t>ENKÖPING</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18897-2021</t>
        </is>
      </c>
      <c r="B1761" s="1" t="n">
        <v>44308</v>
      </c>
      <c r="C1761" s="1" t="n">
        <v>45705</v>
      </c>
      <c r="D1761" t="inlineStr">
        <is>
          <t>UPPSALA LÄN</t>
        </is>
      </c>
      <c r="E1761" t="inlineStr">
        <is>
          <t>KNIVSTA</t>
        </is>
      </c>
      <c r="F1761" t="inlineStr">
        <is>
          <t>Holmen skog AB</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18906-2021</t>
        </is>
      </c>
      <c r="B1762" s="1" t="n">
        <v>44308</v>
      </c>
      <c r="C1762" s="1" t="n">
        <v>45705</v>
      </c>
      <c r="D1762" t="inlineStr">
        <is>
          <t>UPPSALA LÄN</t>
        </is>
      </c>
      <c r="E1762" t="inlineStr">
        <is>
          <t>UPPSALA</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18944-2021</t>
        </is>
      </c>
      <c r="B1763" s="1" t="n">
        <v>44308</v>
      </c>
      <c r="C1763" s="1" t="n">
        <v>45705</v>
      </c>
      <c r="D1763" t="inlineStr">
        <is>
          <t>UPPSALA LÄN</t>
        </is>
      </c>
      <c r="E1763" t="inlineStr">
        <is>
          <t>ÖSTHAMMAR</t>
        </is>
      </c>
      <c r="F1763" t="inlineStr">
        <is>
          <t>Bergvik skog öst AB</t>
        </is>
      </c>
      <c r="G1763" t="n">
        <v>12.5</v>
      </c>
      <c r="H1763" t="n">
        <v>0</v>
      </c>
      <c r="I1763" t="n">
        <v>0</v>
      </c>
      <c r="J1763" t="n">
        <v>0</v>
      </c>
      <c r="K1763" t="n">
        <v>0</v>
      </c>
      <c r="L1763" t="n">
        <v>0</v>
      </c>
      <c r="M1763" t="n">
        <v>0</v>
      </c>
      <c r="N1763" t="n">
        <v>0</v>
      </c>
      <c r="O1763" t="n">
        <v>0</v>
      </c>
      <c r="P1763" t="n">
        <v>0</v>
      </c>
      <c r="Q1763" t="n">
        <v>0</v>
      </c>
      <c r="R1763" s="2" t="inlineStr"/>
    </row>
    <row r="1764" ht="15" customHeight="1">
      <c r="A1764" t="inlineStr">
        <is>
          <t>A 18982-2021</t>
        </is>
      </c>
      <c r="B1764" s="1" t="n">
        <v>44308</v>
      </c>
      <c r="C1764" s="1" t="n">
        <v>45705</v>
      </c>
      <c r="D1764" t="inlineStr">
        <is>
          <t>UPPSALA LÄN</t>
        </is>
      </c>
      <c r="E1764" t="inlineStr">
        <is>
          <t>HEBY</t>
        </is>
      </c>
      <c r="F1764" t="inlineStr">
        <is>
          <t>Kommuner</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18996-2021</t>
        </is>
      </c>
      <c r="B1765" s="1" t="n">
        <v>44308</v>
      </c>
      <c r="C1765" s="1" t="n">
        <v>45705</v>
      </c>
      <c r="D1765" t="inlineStr">
        <is>
          <t>UPPSALA LÄN</t>
        </is>
      </c>
      <c r="E1765" t="inlineStr">
        <is>
          <t>TIERP</t>
        </is>
      </c>
      <c r="F1765" t="inlineStr">
        <is>
          <t>Bergvik skog väst AB</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20326-2021</t>
        </is>
      </c>
      <c r="B1766" s="1" t="n">
        <v>44308</v>
      </c>
      <c r="C1766" s="1" t="n">
        <v>45705</v>
      </c>
      <c r="D1766" t="inlineStr">
        <is>
          <t>UPPSALA LÄN</t>
        </is>
      </c>
      <c r="E1766" t="inlineStr">
        <is>
          <t>ÖSTHAMMAR</t>
        </is>
      </c>
      <c r="G1766" t="n">
        <v>7.8</v>
      </c>
      <c r="H1766" t="n">
        <v>0</v>
      </c>
      <c r="I1766" t="n">
        <v>0</v>
      </c>
      <c r="J1766" t="n">
        <v>0</v>
      </c>
      <c r="K1766" t="n">
        <v>0</v>
      </c>
      <c r="L1766" t="n">
        <v>0</v>
      </c>
      <c r="M1766" t="n">
        <v>0</v>
      </c>
      <c r="N1766" t="n">
        <v>0</v>
      </c>
      <c r="O1766" t="n">
        <v>0</v>
      </c>
      <c r="P1766" t="n">
        <v>0</v>
      </c>
      <c r="Q1766" t="n">
        <v>0</v>
      </c>
      <c r="R1766" s="2" t="inlineStr"/>
    </row>
    <row r="1767" ht="15" customHeight="1">
      <c r="A1767" t="inlineStr">
        <is>
          <t>A 20325-2021</t>
        </is>
      </c>
      <c r="B1767" s="1" t="n">
        <v>44308</v>
      </c>
      <c r="C1767" s="1" t="n">
        <v>45705</v>
      </c>
      <c r="D1767" t="inlineStr">
        <is>
          <t>UPPSALA LÄN</t>
        </is>
      </c>
      <c r="E1767" t="inlineStr">
        <is>
          <t>ÖSTHAMMAR</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20324-2021</t>
        </is>
      </c>
      <c r="B1768" s="1" t="n">
        <v>44308</v>
      </c>
      <c r="C1768" s="1" t="n">
        <v>45705</v>
      </c>
      <c r="D1768" t="inlineStr">
        <is>
          <t>UPPSALA LÄN</t>
        </is>
      </c>
      <c r="E1768" t="inlineStr">
        <is>
          <t>ÖSTHAMMAR</t>
        </is>
      </c>
      <c r="G1768" t="n">
        <v>8.800000000000001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19214-2021</t>
        </is>
      </c>
      <c r="B1769" s="1" t="n">
        <v>44309</v>
      </c>
      <c r="C1769" s="1" t="n">
        <v>45705</v>
      </c>
      <c r="D1769" t="inlineStr">
        <is>
          <t>UPPSALA LÄN</t>
        </is>
      </c>
      <c r="E1769" t="inlineStr">
        <is>
          <t>ÖSTHAMMAR</t>
        </is>
      </c>
      <c r="F1769" t="inlineStr">
        <is>
          <t>Bergvik skog öst AB</t>
        </is>
      </c>
      <c r="G1769" t="n">
        <v>6</v>
      </c>
      <c r="H1769" t="n">
        <v>0</v>
      </c>
      <c r="I1769" t="n">
        <v>0</v>
      </c>
      <c r="J1769" t="n">
        <v>0</v>
      </c>
      <c r="K1769" t="n">
        <v>0</v>
      </c>
      <c r="L1769" t="n">
        <v>0</v>
      </c>
      <c r="M1769" t="n">
        <v>0</v>
      </c>
      <c r="N1769" t="n">
        <v>0</v>
      </c>
      <c r="O1769" t="n">
        <v>0</v>
      </c>
      <c r="P1769" t="n">
        <v>0</v>
      </c>
      <c r="Q1769" t="n">
        <v>0</v>
      </c>
      <c r="R1769" s="2" t="inlineStr"/>
    </row>
    <row r="1770" ht="15" customHeight="1">
      <c r="A1770" t="inlineStr">
        <is>
          <t>A 19268-2021</t>
        </is>
      </c>
      <c r="B1770" s="1" t="n">
        <v>44309</v>
      </c>
      <c r="C1770" s="1" t="n">
        <v>45705</v>
      </c>
      <c r="D1770" t="inlineStr">
        <is>
          <t>UPPSALA LÄN</t>
        </is>
      </c>
      <c r="E1770" t="inlineStr">
        <is>
          <t>HEBY</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19222-2021</t>
        </is>
      </c>
      <c r="B1771" s="1" t="n">
        <v>44309</v>
      </c>
      <c r="C1771" s="1" t="n">
        <v>45705</v>
      </c>
      <c r="D1771" t="inlineStr">
        <is>
          <t>UPPSALA LÄN</t>
        </is>
      </c>
      <c r="E1771" t="inlineStr">
        <is>
          <t>TIERP</t>
        </is>
      </c>
      <c r="F1771" t="inlineStr">
        <is>
          <t>Bergvik skog väst AB</t>
        </is>
      </c>
      <c r="G1771" t="n">
        <v>11.1</v>
      </c>
      <c r="H1771" t="n">
        <v>0</v>
      </c>
      <c r="I1771" t="n">
        <v>0</v>
      </c>
      <c r="J1771" t="n">
        <v>0</v>
      </c>
      <c r="K1771" t="n">
        <v>0</v>
      </c>
      <c r="L1771" t="n">
        <v>0</v>
      </c>
      <c r="M1771" t="n">
        <v>0</v>
      </c>
      <c r="N1771" t="n">
        <v>0</v>
      </c>
      <c r="O1771" t="n">
        <v>0</v>
      </c>
      <c r="P1771" t="n">
        <v>0</v>
      </c>
      <c r="Q1771" t="n">
        <v>0</v>
      </c>
      <c r="R1771" s="2" t="inlineStr"/>
    </row>
    <row r="1772" ht="15" customHeight="1">
      <c r="A1772" t="inlineStr">
        <is>
          <t>A 19630-2021</t>
        </is>
      </c>
      <c r="B1772" s="1" t="n">
        <v>44312</v>
      </c>
      <c r="C1772" s="1" t="n">
        <v>45705</v>
      </c>
      <c r="D1772" t="inlineStr">
        <is>
          <t>UPPSALA LÄN</t>
        </is>
      </c>
      <c r="E1772" t="inlineStr">
        <is>
          <t>ENKÖPING</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19552-2021</t>
        </is>
      </c>
      <c r="B1773" s="1" t="n">
        <v>44312</v>
      </c>
      <c r="C1773" s="1" t="n">
        <v>45705</v>
      </c>
      <c r="D1773" t="inlineStr">
        <is>
          <t>UPPSALA LÄN</t>
        </is>
      </c>
      <c r="E1773" t="inlineStr">
        <is>
          <t>ÖSTHAMMAR</t>
        </is>
      </c>
      <c r="G1773" t="n">
        <v>4.5</v>
      </c>
      <c r="H1773" t="n">
        <v>0</v>
      </c>
      <c r="I1773" t="n">
        <v>0</v>
      </c>
      <c r="J1773" t="n">
        <v>0</v>
      </c>
      <c r="K1773" t="n">
        <v>0</v>
      </c>
      <c r="L1773" t="n">
        <v>0</v>
      </c>
      <c r="M1773" t="n">
        <v>0</v>
      </c>
      <c r="N1773" t="n">
        <v>0</v>
      </c>
      <c r="O1773" t="n">
        <v>0</v>
      </c>
      <c r="P1773" t="n">
        <v>0</v>
      </c>
      <c r="Q1773" t="n">
        <v>0</v>
      </c>
      <c r="R1773" s="2" t="inlineStr"/>
    </row>
    <row r="1774" ht="15" customHeight="1">
      <c r="A1774" t="inlineStr">
        <is>
          <t>A 19927-2021</t>
        </is>
      </c>
      <c r="B1774" s="1" t="n">
        <v>44313</v>
      </c>
      <c r="C1774" s="1" t="n">
        <v>45705</v>
      </c>
      <c r="D1774" t="inlineStr">
        <is>
          <t>UPPSALA LÄN</t>
        </is>
      </c>
      <c r="E1774" t="inlineStr">
        <is>
          <t>UPPSALA</t>
        </is>
      </c>
      <c r="F1774" t="inlineStr">
        <is>
          <t>Bergvik skog öst AB</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19796-2021</t>
        </is>
      </c>
      <c r="B1775" s="1" t="n">
        <v>44313</v>
      </c>
      <c r="C1775" s="1" t="n">
        <v>45705</v>
      </c>
      <c r="D1775" t="inlineStr">
        <is>
          <t>UPPSALA LÄN</t>
        </is>
      </c>
      <c r="E1775" t="inlineStr">
        <is>
          <t>KNIVSTA</t>
        </is>
      </c>
      <c r="G1775" t="n">
        <v>14.6</v>
      </c>
      <c r="H1775" t="n">
        <v>0</v>
      </c>
      <c r="I1775" t="n">
        <v>0</v>
      </c>
      <c r="J1775" t="n">
        <v>0</v>
      </c>
      <c r="K1775" t="n">
        <v>0</v>
      </c>
      <c r="L1775" t="n">
        <v>0</v>
      </c>
      <c r="M1775" t="n">
        <v>0</v>
      </c>
      <c r="N1775" t="n">
        <v>0</v>
      </c>
      <c r="O1775" t="n">
        <v>0</v>
      </c>
      <c r="P1775" t="n">
        <v>0</v>
      </c>
      <c r="Q1775" t="n">
        <v>0</v>
      </c>
      <c r="R1775" s="2" t="inlineStr"/>
    </row>
    <row r="1776" ht="15" customHeight="1">
      <c r="A1776" t="inlineStr">
        <is>
          <t>A 19947-2021</t>
        </is>
      </c>
      <c r="B1776" s="1" t="n">
        <v>44313</v>
      </c>
      <c r="C1776" s="1" t="n">
        <v>45705</v>
      </c>
      <c r="D1776" t="inlineStr">
        <is>
          <t>UPPSALA LÄN</t>
        </is>
      </c>
      <c r="E1776" t="inlineStr">
        <is>
          <t>UPPSALA</t>
        </is>
      </c>
      <c r="F1776" t="inlineStr">
        <is>
          <t>Bergvik skog öst AB</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20505-2021</t>
        </is>
      </c>
      <c r="B1777" s="1" t="n">
        <v>44313</v>
      </c>
      <c r="C1777" s="1" t="n">
        <v>45705</v>
      </c>
      <c r="D1777" t="inlineStr">
        <is>
          <t>UPPSALA LÄN</t>
        </is>
      </c>
      <c r="E1777" t="inlineStr">
        <is>
          <t>KNIVSTA</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20024-2021</t>
        </is>
      </c>
      <c r="B1778" s="1" t="n">
        <v>44314</v>
      </c>
      <c r="C1778" s="1" t="n">
        <v>45705</v>
      </c>
      <c r="D1778" t="inlineStr">
        <is>
          <t>UPPSALA LÄN</t>
        </is>
      </c>
      <c r="E1778" t="inlineStr">
        <is>
          <t>HEBY</t>
        </is>
      </c>
      <c r="G1778" t="n">
        <v>5.2</v>
      </c>
      <c r="H1778" t="n">
        <v>0</v>
      </c>
      <c r="I1778" t="n">
        <v>0</v>
      </c>
      <c r="J1778" t="n">
        <v>0</v>
      </c>
      <c r="K1778" t="n">
        <v>0</v>
      </c>
      <c r="L1778" t="n">
        <v>0</v>
      </c>
      <c r="M1778" t="n">
        <v>0</v>
      </c>
      <c r="N1778" t="n">
        <v>0</v>
      </c>
      <c r="O1778" t="n">
        <v>0</v>
      </c>
      <c r="P1778" t="n">
        <v>0</v>
      </c>
      <c r="Q1778" t="n">
        <v>0</v>
      </c>
      <c r="R1778" s="2" t="inlineStr"/>
    </row>
    <row r="1779" ht="15" customHeight="1">
      <c r="A1779" t="inlineStr">
        <is>
          <t>A 20067-2021</t>
        </is>
      </c>
      <c r="B1779" s="1" t="n">
        <v>44314</v>
      </c>
      <c r="C1779" s="1" t="n">
        <v>45705</v>
      </c>
      <c r="D1779" t="inlineStr">
        <is>
          <t>UPPSALA LÄN</t>
        </is>
      </c>
      <c r="E1779" t="inlineStr">
        <is>
          <t>ENKÖPING</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20276-2021</t>
        </is>
      </c>
      <c r="B1780" s="1" t="n">
        <v>44314</v>
      </c>
      <c r="C1780" s="1" t="n">
        <v>45705</v>
      </c>
      <c r="D1780" t="inlineStr">
        <is>
          <t>UPPSALA LÄN</t>
        </is>
      </c>
      <c r="E1780" t="inlineStr">
        <is>
          <t>UPPSALA</t>
        </is>
      </c>
      <c r="F1780" t="inlineStr">
        <is>
          <t>Bergvik skog öst AB</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20271-2021</t>
        </is>
      </c>
      <c r="B1781" s="1" t="n">
        <v>44314</v>
      </c>
      <c r="C1781" s="1" t="n">
        <v>45705</v>
      </c>
      <c r="D1781" t="inlineStr">
        <is>
          <t>UPPSALA LÄN</t>
        </is>
      </c>
      <c r="E1781" t="inlineStr">
        <is>
          <t>UPPSALA</t>
        </is>
      </c>
      <c r="F1781" t="inlineStr">
        <is>
          <t>Bergvik skog öst AB</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20230-2021</t>
        </is>
      </c>
      <c r="B1782" s="1" t="n">
        <v>44314</v>
      </c>
      <c r="C1782" s="1" t="n">
        <v>45705</v>
      </c>
      <c r="D1782" t="inlineStr">
        <is>
          <t>UPPSALA LÄN</t>
        </is>
      </c>
      <c r="E1782" t="inlineStr">
        <is>
          <t>HEBY</t>
        </is>
      </c>
      <c r="F1782" t="inlineStr">
        <is>
          <t>Sveaskog</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20301-2021</t>
        </is>
      </c>
      <c r="B1783" s="1" t="n">
        <v>44315</v>
      </c>
      <c r="C1783" s="1" t="n">
        <v>45705</v>
      </c>
      <c r="D1783" t="inlineStr">
        <is>
          <t>UPPSALA LÄN</t>
        </is>
      </c>
      <c r="E1783" t="inlineStr">
        <is>
          <t>HEBY</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20609-2021</t>
        </is>
      </c>
      <c r="B1784" s="1" t="n">
        <v>44316</v>
      </c>
      <c r="C1784" s="1" t="n">
        <v>45705</v>
      </c>
      <c r="D1784" t="inlineStr">
        <is>
          <t>UPPSALA LÄN</t>
        </is>
      </c>
      <c r="E1784" t="inlineStr">
        <is>
          <t>UPPSALA</t>
        </is>
      </c>
      <c r="F1784" t="inlineStr">
        <is>
          <t>Holmen skog AB</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20827-2021</t>
        </is>
      </c>
      <c r="B1785" s="1" t="n">
        <v>44318</v>
      </c>
      <c r="C1785" s="1" t="n">
        <v>45705</v>
      </c>
      <c r="D1785" t="inlineStr">
        <is>
          <t>UPPSALA LÄN</t>
        </is>
      </c>
      <c r="E1785" t="inlineStr">
        <is>
          <t>KNIVSTA</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22057-2021</t>
        </is>
      </c>
      <c r="B1786" s="1" t="n">
        <v>44323</v>
      </c>
      <c r="C1786" s="1" t="n">
        <v>45705</v>
      </c>
      <c r="D1786" t="inlineStr">
        <is>
          <t>UPPSALA LÄN</t>
        </is>
      </c>
      <c r="E1786" t="inlineStr">
        <is>
          <t>ENKÖPING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22070-2021</t>
        </is>
      </c>
      <c r="B1787" s="1" t="n">
        <v>44323</v>
      </c>
      <c r="C1787" s="1" t="n">
        <v>45705</v>
      </c>
      <c r="D1787" t="inlineStr">
        <is>
          <t>UPPSALA LÄN</t>
        </is>
      </c>
      <c r="E1787" t="inlineStr">
        <is>
          <t>UPPSALA</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21967-2021</t>
        </is>
      </c>
      <c r="B1788" s="1" t="n">
        <v>44323</v>
      </c>
      <c r="C1788" s="1" t="n">
        <v>45705</v>
      </c>
      <c r="D1788" t="inlineStr">
        <is>
          <t>UPPSALA LÄN</t>
        </is>
      </c>
      <c r="E1788" t="inlineStr">
        <is>
          <t>TIERP</t>
        </is>
      </c>
      <c r="F1788" t="inlineStr">
        <is>
          <t>Bergvik skog väst AB</t>
        </is>
      </c>
      <c r="G1788" t="n">
        <v>5.3</v>
      </c>
      <c r="H1788" t="n">
        <v>0</v>
      </c>
      <c r="I1788" t="n">
        <v>0</v>
      </c>
      <c r="J1788" t="n">
        <v>0</v>
      </c>
      <c r="K1788" t="n">
        <v>0</v>
      </c>
      <c r="L1788" t="n">
        <v>0</v>
      </c>
      <c r="M1788" t="n">
        <v>0</v>
      </c>
      <c r="N1788" t="n">
        <v>0</v>
      </c>
      <c r="O1788" t="n">
        <v>0</v>
      </c>
      <c r="P1788" t="n">
        <v>0</v>
      </c>
      <c r="Q1788" t="n">
        <v>0</v>
      </c>
      <c r="R1788" s="2" t="inlineStr"/>
    </row>
    <row r="1789" ht="15" customHeight="1">
      <c r="A1789" t="inlineStr">
        <is>
          <t>A 22058-2021</t>
        </is>
      </c>
      <c r="B1789" s="1" t="n">
        <v>44323</v>
      </c>
      <c r="C1789" s="1" t="n">
        <v>45705</v>
      </c>
      <c r="D1789" t="inlineStr">
        <is>
          <t>UPPSALA LÄN</t>
        </is>
      </c>
      <c r="E1789" t="inlineStr">
        <is>
          <t>ENKÖPING</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22709-2021</t>
        </is>
      </c>
      <c r="B1790" s="1" t="n">
        <v>44327</v>
      </c>
      <c r="C1790" s="1" t="n">
        <v>45705</v>
      </c>
      <c r="D1790" t="inlineStr">
        <is>
          <t>UPPSALA LÄN</t>
        </is>
      </c>
      <c r="E1790" t="inlineStr">
        <is>
          <t>ÖSTHAMMAR</t>
        </is>
      </c>
      <c r="F1790" t="inlineStr">
        <is>
          <t>Bergvik skog öst AB</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22946-2021</t>
        </is>
      </c>
      <c r="B1791" s="1" t="n">
        <v>44328</v>
      </c>
      <c r="C1791" s="1" t="n">
        <v>45705</v>
      </c>
      <c r="D1791" t="inlineStr">
        <is>
          <t>UPPSALA LÄN</t>
        </is>
      </c>
      <c r="E1791" t="inlineStr">
        <is>
          <t>UPPSALA</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23120-2021</t>
        </is>
      </c>
      <c r="B1792" s="1" t="n">
        <v>44330</v>
      </c>
      <c r="C1792" s="1" t="n">
        <v>45705</v>
      </c>
      <c r="D1792" t="inlineStr">
        <is>
          <t>UPPSALA LÄN</t>
        </is>
      </c>
      <c r="E1792" t="inlineStr">
        <is>
          <t>ÖSTHAMMAR</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23380-2021</t>
        </is>
      </c>
      <c r="B1793" s="1" t="n">
        <v>44333</v>
      </c>
      <c r="C1793" s="1" t="n">
        <v>45705</v>
      </c>
      <c r="D1793" t="inlineStr">
        <is>
          <t>UPPSALA LÄN</t>
        </is>
      </c>
      <c r="E1793" t="inlineStr">
        <is>
          <t>TIERP</t>
        </is>
      </c>
      <c r="F1793" t="inlineStr">
        <is>
          <t>Bergvik skog väst AB</t>
        </is>
      </c>
      <c r="G1793" t="n">
        <v>6.2</v>
      </c>
      <c r="H1793" t="n">
        <v>0</v>
      </c>
      <c r="I1793" t="n">
        <v>0</v>
      </c>
      <c r="J1793" t="n">
        <v>0</v>
      </c>
      <c r="K1793" t="n">
        <v>0</v>
      </c>
      <c r="L1793" t="n">
        <v>0</v>
      </c>
      <c r="M1793" t="n">
        <v>0</v>
      </c>
      <c r="N1793" t="n">
        <v>0</v>
      </c>
      <c r="O1793" t="n">
        <v>0</v>
      </c>
      <c r="P1793" t="n">
        <v>0</v>
      </c>
      <c r="Q1793" t="n">
        <v>0</v>
      </c>
      <c r="R1793" s="2" t="inlineStr"/>
    </row>
    <row r="1794" ht="15" customHeight="1">
      <c r="A1794" t="inlineStr">
        <is>
          <t>A 23637-2021</t>
        </is>
      </c>
      <c r="B1794" s="1" t="n">
        <v>44334</v>
      </c>
      <c r="C1794" s="1" t="n">
        <v>45705</v>
      </c>
      <c r="D1794" t="inlineStr">
        <is>
          <t>UPPSALA LÄN</t>
        </is>
      </c>
      <c r="E1794" t="inlineStr">
        <is>
          <t>HEBY</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23828-2021</t>
        </is>
      </c>
      <c r="B1795" s="1" t="n">
        <v>44335</v>
      </c>
      <c r="C1795" s="1" t="n">
        <v>45705</v>
      </c>
      <c r="D1795" t="inlineStr">
        <is>
          <t>UPPSALA LÄN</t>
        </is>
      </c>
      <c r="E1795" t="inlineStr">
        <is>
          <t>TIERP</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23835-2021</t>
        </is>
      </c>
      <c r="B1796" s="1" t="n">
        <v>44335</v>
      </c>
      <c r="C1796" s="1" t="n">
        <v>45705</v>
      </c>
      <c r="D1796" t="inlineStr">
        <is>
          <t>UPPSALA LÄN</t>
        </is>
      </c>
      <c r="E1796" t="inlineStr">
        <is>
          <t>TIERP</t>
        </is>
      </c>
      <c r="F1796" t="inlineStr">
        <is>
          <t>Bergvik skog väst AB</t>
        </is>
      </c>
      <c r="G1796" t="n">
        <v>6.2</v>
      </c>
      <c r="H1796" t="n">
        <v>0</v>
      </c>
      <c r="I1796" t="n">
        <v>0</v>
      </c>
      <c r="J1796" t="n">
        <v>0</v>
      </c>
      <c r="K1796" t="n">
        <v>0</v>
      </c>
      <c r="L1796" t="n">
        <v>0</v>
      </c>
      <c r="M1796" t="n">
        <v>0</v>
      </c>
      <c r="N1796" t="n">
        <v>0</v>
      </c>
      <c r="O1796" t="n">
        <v>0</v>
      </c>
      <c r="P1796" t="n">
        <v>0</v>
      </c>
      <c r="Q1796" t="n">
        <v>0</v>
      </c>
      <c r="R1796" s="2" t="inlineStr"/>
    </row>
    <row r="1797" ht="15" customHeight="1">
      <c r="A1797" t="inlineStr">
        <is>
          <t>A 23877-2021</t>
        </is>
      </c>
      <c r="B1797" s="1" t="n">
        <v>44335</v>
      </c>
      <c r="C1797" s="1" t="n">
        <v>45705</v>
      </c>
      <c r="D1797" t="inlineStr">
        <is>
          <t>UPPSALA LÄN</t>
        </is>
      </c>
      <c r="E1797" t="inlineStr">
        <is>
          <t>UPPSALA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24062-2021</t>
        </is>
      </c>
      <c r="B1798" s="1" t="n">
        <v>44336</v>
      </c>
      <c r="C1798" s="1" t="n">
        <v>45705</v>
      </c>
      <c r="D1798" t="inlineStr">
        <is>
          <t>UPPSALA LÄN</t>
        </is>
      </c>
      <c r="E1798" t="inlineStr">
        <is>
          <t>ÖSTHAMMAR</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24278-2021</t>
        </is>
      </c>
      <c r="B1799" s="1" t="n">
        <v>44337</v>
      </c>
      <c r="C1799" s="1" t="n">
        <v>45705</v>
      </c>
      <c r="D1799" t="inlineStr">
        <is>
          <t>UPPSALA LÄN</t>
        </is>
      </c>
      <c r="E1799" t="inlineStr">
        <is>
          <t>TIERP</t>
        </is>
      </c>
      <c r="F1799" t="inlineStr">
        <is>
          <t>Bergvik skog väst AB</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24276-2021</t>
        </is>
      </c>
      <c r="B1800" s="1" t="n">
        <v>44337</v>
      </c>
      <c r="C1800" s="1" t="n">
        <v>45705</v>
      </c>
      <c r="D1800" t="inlineStr">
        <is>
          <t>UPPSALA LÄN</t>
        </is>
      </c>
      <c r="E1800" t="inlineStr">
        <is>
          <t>TIERP</t>
        </is>
      </c>
      <c r="F1800" t="inlineStr">
        <is>
          <t>Bergvik skog väst AB</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24316-2021</t>
        </is>
      </c>
      <c r="B1801" s="1" t="n">
        <v>44337</v>
      </c>
      <c r="C1801" s="1" t="n">
        <v>45705</v>
      </c>
      <c r="D1801" t="inlineStr">
        <is>
          <t>UPPSALA LÄN</t>
        </is>
      </c>
      <c r="E1801" t="inlineStr">
        <is>
          <t>ÖSTHAMMAR</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24431-2021</t>
        </is>
      </c>
      <c r="B1802" s="1" t="n">
        <v>44337</v>
      </c>
      <c r="C1802" s="1" t="n">
        <v>45705</v>
      </c>
      <c r="D1802" t="inlineStr">
        <is>
          <t>UPPSALA LÄN</t>
        </is>
      </c>
      <c r="E1802" t="inlineStr">
        <is>
          <t>TIERP</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24399-2021</t>
        </is>
      </c>
      <c r="B1803" s="1" t="n">
        <v>44337</v>
      </c>
      <c r="C1803" s="1" t="n">
        <v>45705</v>
      </c>
      <c r="D1803" t="inlineStr">
        <is>
          <t>UPPSALA LÄN</t>
        </is>
      </c>
      <c r="E1803" t="inlineStr">
        <is>
          <t>ENKÖPING</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25033-2021</t>
        </is>
      </c>
      <c r="B1804" s="1" t="n">
        <v>44341</v>
      </c>
      <c r="C1804" s="1" t="n">
        <v>45705</v>
      </c>
      <c r="D1804" t="inlineStr">
        <is>
          <t>UPPSALA LÄN</t>
        </is>
      </c>
      <c r="E1804" t="inlineStr">
        <is>
          <t>ÖSTHAMMAR</t>
        </is>
      </c>
      <c r="F1804" t="inlineStr">
        <is>
          <t>Bergvik skog öst AB</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25378-2021</t>
        </is>
      </c>
      <c r="B1805" s="1" t="n">
        <v>44342</v>
      </c>
      <c r="C1805" s="1" t="n">
        <v>45705</v>
      </c>
      <c r="D1805" t="inlineStr">
        <is>
          <t>UPPSALA LÄN</t>
        </is>
      </c>
      <c r="E1805" t="inlineStr">
        <is>
          <t>ÖSTHAMMAR</t>
        </is>
      </c>
      <c r="F1805" t="inlineStr">
        <is>
          <t>Övriga Aktiebolag</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25203-2021</t>
        </is>
      </c>
      <c r="B1806" s="1" t="n">
        <v>44342</v>
      </c>
      <c r="C1806" s="1" t="n">
        <v>45705</v>
      </c>
      <c r="D1806" t="inlineStr">
        <is>
          <t>UPPSALA LÄN</t>
        </is>
      </c>
      <c r="E1806" t="inlineStr">
        <is>
          <t>HEBY</t>
        </is>
      </c>
      <c r="F1806" t="inlineStr">
        <is>
          <t>Sveaskog</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25259-2021</t>
        </is>
      </c>
      <c r="B1807" s="1" t="n">
        <v>44342</v>
      </c>
      <c r="C1807" s="1" t="n">
        <v>45705</v>
      </c>
      <c r="D1807" t="inlineStr">
        <is>
          <t>UPPSALA LÄN</t>
        </is>
      </c>
      <c r="E1807" t="inlineStr">
        <is>
          <t>KNIVSTA</t>
        </is>
      </c>
      <c r="F1807" t="inlineStr">
        <is>
          <t>Holmen skog AB</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25359-2021</t>
        </is>
      </c>
      <c r="B1808" s="1" t="n">
        <v>44342</v>
      </c>
      <c r="C1808" s="1" t="n">
        <v>45705</v>
      </c>
      <c r="D1808" t="inlineStr">
        <is>
          <t>UPPSALA LÄN</t>
        </is>
      </c>
      <c r="E1808" t="inlineStr">
        <is>
          <t>KNIVSTA</t>
        </is>
      </c>
      <c r="F1808" t="inlineStr">
        <is>
          <t>Holmen skog AB</t>
        </is>
      </c>
      <c r="G1808" t="n">
        <v>4.6</v>
      </c>
      <c r="H1808" t="n">
        <v>0</v>
      </c>
      <c r="I1808" t="n">
        <v>0</v>
      </c>
      <c r="J1808" t="n">
        <v>0</v>
      </c>
      <c r="K1808" t="n">
        <v>0</v>
      </c>
      <c r="L1808" t="n">
        <v>0</v>
      </c>
      <c r="M1808" t="n">
        <v>0</v>
      </c>
      <c r="N1808" t="n">
        <v>0</v>
      </c>
      <c r="O1808" t="n">
        <v>0</v>
      </c>
      <c r="P1808" t="n">
        <v>0</v>
      </c>
      <c r="Q1808" t="n">
        <v>0</v>
      </c>
      <c r="R1808" s="2" t="inlineStr"/>
    </row>
    <row r="1809" ht="15" customHeight="1">
      <c r="A1809" t="inlineStr">
        <is>
          <t>A 25395-2021</t>
        </is>
      </c>
      <c r="B1809" s="1" t="n">
        <v>44342</v>
      </c>
      <c r="C1809" s="1" t="n">
        <v>45705</v>
      </c>
      <c r="D1809" t="inlineStr">
        <is>
          <t>UPPSALA LÄN</t>
        </is>
      </c>
      <c r="E1809" t="inlineStr">
        <is>
          <t>ÖSTHAMMAR</t>
        </is>
      </c>
      <c r="F1809" t="inlineStr">
        <is>
          <t>Övriga Aktiebolag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25613-2021</t>
        </is>
      </c>
      <c r="B1810" s="1" t="n">
        <v>44343</v>
      </c>
      <c r="C1810" s="1" t="n">
        <v>45705</v>
      </c>
      <c r="D1810" t="inlineStr">
        <is>
          <t>UPPSALA LÄN</t>
        </is>
      </c>
      <c r="E1810" t="inlineStr">
        <is>
          <t>UPPSALA</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25598-2021</t>
        </is>
      </c>
      <c r="B1811" s="1" t="n">
        <v>44343</v>
      </c>
      <c r="C1811" s="1" t="n">
        <v>45705</v>
      </c>
      <c r="D1811" t="inlineStr">
        <is>
          <t>UPPSALA LÄN</t>
        </is>
      </c>
      <c r="E1811" t="inlineStr">
        <is>
          <t>ENKÖPING</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26301-2021</t>
        </is>
      </c>
      <c r="B1812" s="1" t="n">
        <v>44347</v>
      </c>
      <c r="C1812" s="1" t="n">
        <v>45705</v>
      </c>
      <c r="D1812" t="inlineStr">
        <is>
          <t>UPPSALA LÄN</t>
        </is>
      </c>
      <c r="E1812" t="inlineStr">
        <is>
          <t>TIERP</t>
        </is>
      </c>
      <c r="F1812" t="inlineStr">
        <is>
          <t>Bergvik skog väst AB</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26257-2021</t>
        </is>
      </c>
      <c r="B1813" s="1" t="n">
        <v>44347</v>
      </c>
      <c r="C1813" s="1" t="n">
        <v>45705</v>
      </c>
      <c r="D1813" t="inlineStr">
        <is>
          <t>UPPSALA LÄN</t>
        </is>
      </c>
      <c r="E1813" t="inlineStr">
        <is>
          <t>ÖSTHAMMAR</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26785-2021</t>
        </is>
      </c>
      <c r="B1814" s="1" t="n">
        <v>44349</v>
      </c>
      <c r="C1814" s="1" t="n">
        <v>45705</v>
      </c>
      <c r="D1814" t="inlineStr">
        <is>
          <t>UPPSALA LÄN</t>
        </is>
      </c>
      <c r="E1814" t="inlineStr">
        <is>
          <t>UPPSALA</t>
        </is>
      </c>
      <c r="F1814" t="inlineStr">
        <is>
          <t>Bergvik skog öst AB</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26789-2021</t>
        </is>
      </c>
      <c r="B1815" s="1" t="n">
        <v>44349</v>
      </c>
      <c r="C1815" s="1" t="n">
        <v>45705</v>
      </c>
      <c r="D1815" t="inlineStr">
        <is>
          <t>UPPSALA LÄN</t>
        </is>
      </c>
      <c r="E1815" t="inlineStr">
        <is>
          <t>HEBY</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27365-2021</t>
        </is>
      </c>
      <c r="B1816" s="1" t="n">
        <v>44351</v>
      </c>
      <c r="C1816" s="1" t="n">
        <v>45705</v>
      </c>
      <c r="D1816" t="inlineStr">
        <is>
          <t>UPPSALA LÄN</t>
        </is>
      </c>
      <c r="E1816" t="inlineStr">
        <is>
          <t>UPPSALA</t>
        </is>
      </c>
      <c r="F1816" t="inlineStr">
        <is>
          <t>Allmännings- och besparingsskogar</t>
        </is>
      </c>
      <c r="G1816" t="n">
        <v>20.5</v>
      </c>
      <c r="H1816" t="n">
        <v>0</v>
      </c>
      <c r="I1816" t="n">
        <v>0</v>
      </c>
      <c r="J1816" t="n">
        <v>0</v>
      </c>
      <c r="K1816" t="n">
        <v>0</v>
      </c>
      <c r="L1816" t="n">
        <v>0</v>
      </c>
      <c r="M1816" t="n">
        <v>0</v>
      </c>
      <c r="N1816" t="n">
        <v>0</v>
      </c>
      <c r="O1816" t="n">
        <v>0</v>
      </c>
      <c r="P1816" t="n">
        <v>0</v>
      </c>
      <c r="Q1816" t="n">
        <v>0</v>
      </c>
      <c r="R1816" s="2" t="inlineStr"/>
    </row>
    <row r="1817" ht="15" customHeight="1">
      <c r="A1817" t="inlineStr">
        <is>
          <t>A 27295-2021</t>
        </is>
      </c>
      <c r="B1817" s="1" t="n">
        <v>44351</v>
      </c>
      <c r="C1817" s="1" t="n">
        <v>45705</v>
      </c>
      <c r="D1817" t="inlineStr">
        <is>
          <t>UPPSALA LÄN</t>
        </is>
      </c>
      <c r="E1817" t="inlineStr">
        <is>
          <t>HEBY</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27676-2021</t>
        </is>
      </c>
      <c r="B1818" s="1" t="n">
        <v>44353</v>
      </c>
      <c r="C1818" s="1" t="n">
        <v>45705</v>
      </c>
      <c r="D1818" t="inlineStr">
        <is>
          <t>UPPSALA LÄN</t>
        </is>
      </c>
      <c r="E1818" t="inlineStr">
        <is>
          <t>ENKÖPING</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27650-2021</t>
        </is>
      </c>
      <c r="B1819" s="1" t="n">
        <v>44354</v>
      </c>
      <c r="C1819" s="1" t="n">
        <v>45705</v>
      </c>
      <c r="D1819" t="inlineStr">
        <is>
          <t>UPPSALA LÄN</t>
        </is>
      </c>
      <c r="E1819" t="inlineStr">
        <is>
          <t>HEBY</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27939-2021</t>
        </is>
      </c>
      <c r="B1820" s="1" t="n">
        <v>44354</v>
      </c>
      <c r="C1820" s="1" t="n">
        <v>45705</v>
      </c>
      <c r="D1820" t="inlineStr">
        <is>
          <t>UPPSALA LÄN</t>
        </is>
      </c>
      <c r="E1820" t="inlineStr">
        <is>
          <t>ÖSTHAMMAR</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27940-2021</t>
        </is>
      </c>
      <c r="B1821" s="1" t="n">
        <v>44354</v>
      </c>
      <c r="C1821" s="1" t="n">
        <v>45705</v>
      </c>
      <c r="D1821" t="inlineStr">
        <is>
          <t>UPPSALA LÄN</t>
        </is>
      </c>
      <c r="E1821" t="inlineStr">
        <is>
          <t>ÖSTHAMMAR</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28468-2021</t>
        </is>
      </c>
      <c r="B1822" s="1" t="n">
        <v>44356</v>
      </c>
      <c r="C1822" s="1" t="n">
        <v>45705</v>
      </c>
      <c r="D1822" t="inlineStr">
        <is>
          <t>UPPSALA LÄN</t>
        </is>
      </c>
      <c r="E1822" t="inlineStr">
        <is>
          <t>KNIVSTA</t>
        </is>
      </c>
      <c r="F1822" t="inlineStr">
        <is>
          <t>Holmen skog AB</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28368-2021</t>
        </is>
      </c>
      <c r="B1823" s="1" t="n">
        <v>44356</v>
      </c>
      <c r="C1823" s="1" t="n">
        <v>45705</v>
      </c>
      <c r="D1823" t="inlineStr">
        <is>
          <t>UPPSALA LÄN</t>
        </is>
      </c>
      <c r="E1823" t="inlineStr">
        <is>
          <t>ENKÖPING</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28694-2021</t>
        </is>
      </c>
      <c r="B1824" s="1" t="n">
        <v>44357</v>
      </c>
      <c r="C1824" s="1" t="n">
        <v>45705</v>
      </c>
      <c r="D1824" t="inlineStr">
        <is>
          <t>UPPSALA LÄN</t>
        </is>
      </c>
      <c r="E1824" t="inlineStr">
        <is>
          <t>UPPSALA</t>
        </is>
      </c>
      <c r="F1824" t="inlineStr">
        <is>
          <t>Holmen skog AB</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28777-2021</t>
        </is>
      </c>
      <c r="B1825" s="1" t="n">
        <v>44357</v>
      </c>
      <c r="C1825" s="1" t="n">
        <v>45705</v>
      </c>
      <c r="D1825" t="inlineStr">
        <is>
          <t>UPPSALA LÄN</t>
        </is>
      </c>
      <c r="E1825" t="inlineStr">
        <is>
          <t>HEBY</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28795-2021</t>
        </is>
      </c>
      <c r="B1826" s="1" t="n">
        <v>44357</v>
      </c>
      <c r="C1826" s="1" t="n">
        <v>45705</v>
      </c>
      <c r="D1826" t="inlineStr">
        <is>
          <t>UPPSALA LÄN</t>
        </is>
      </c>
      <c r="E1826" t="inlineStr">
        <is>
          <t>ENKÖPING</t>
        </is>
      </c>
      <c r="F1826" t="inlineStr">
        <is>
          <t>Allmännings- och besparingsskogar</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28834-2021</t>
        </is>
      </c>
      <c r="B1827" s="1" t="n">
        <v>44357</v>
      </c>
      <c r="C1827" s="1" t="n">
        <v>45705</v>
      </c>
      <c r="D1827" t="inlineStr">
        <is>
          <t>UPPSALA LÄN</t>
        </is>
      </c>
      <c r="E1827" t="inlineStr">
        <is>
          <t>TIERP</t>
        </is>
      </c>
      <c r="F1827" t="inlineStr">
        <is>
          <t>Bergvik skog väst AB</t>
        </is>
      </c>
      <c r="G1827" t="n">
        <v>6.1</v>
      </c>
      <c r="H1827" t="n">
        <v>0</v>
      </c>
      <c r="I1827" t="n">
        <v>0</v>
      </c>
      <c r="J1827" t="n">
        <v>0</v>
      </c>
      <c r="K1827" t="n">
        <v>0</v>
      </c>
      <c r="L1827" t="n">
        <v>0</v>
      </c>
      <c r="M1827" t="n">
        <v>0</v>
      </c>
      <c r="N1827" t="n">
        <v>0</v>
      </c>
      <c r="O1827" t="n">
        <v>0</v>
      </c>
      <c r="P1827" t="n">
        <v>0</v>
      </c>
      <c r="Q1827" t="n">
        <v>0</v>
      </c>
      <c r="R1827" s="2" t="inlineStr"/>
    </row>
    <row r="1828" ht="15" customHeight="1">
      <c r="A1828" t="inlineStr">
        <is>
          <t>A 29082-2021</t>
        </is>
      </c>
      <c r="B1828" s="1" t="n">
        <v>44358</v>
      </c>
      <c r="C1828" s="1" t="n">
        <v>45705</v>
      </c>
      <c r="D1828" t="inlineStr">
        <is>
          <t>UPPSALA LÄN</t>
        </is>
      </c>
      <c r="E1828" t="inlineStr">
        <is>
          <t>TIERP</t>
        </is>
      </c>
      <c r="F1828" t="inlineStr">
        <is>
          <t>Bergvik skog väst AB</t>
        </is>
      </c>
      <c r="G1828" t="n">
        <v>6.9</v>
      </c>
      <c r="H1828" t="n">
        <v>0</v>
      </c>
      <c r="I1828" t="n">
        <v>0</v>
      </c>
      <c r="J1828" t="n">
        <v>0</v>
      </c>
      <c r="K1828" t="n">
        <v>0</v>
      </c>
      <c r="L1828" t="n">
        <v>0</v>
      </c>
      <c r="M1828" t="n">
        <v>0</v>
      </c>
      <c r="N1828" t="n">
        <v>0</v>
      </c>
      <c r="O1828" t="n">
        <v>0</v>
      </c>
      <c r="P1828" t="n">
        <v>0</v>
      </c>
      <c r="Q1828" t="n">
        <v>0</v>
      </c>
      <c r="R1828" s="2" t="inlineStr"/>
    </row>
    <row r="1829" ht="15" customHeight="1">
      <c r="A1829" t="inlineStr">
        <is>
          <t>A 29089-2021</t>
        </is>
      </c>
      <c r="B1829" s="1" t="n">
        <v>44358</v>
      </c>
      <c r="C1829" s="1" t="n">
        <v>45705</v>
      </c>
      <c r="D1829" t="inlineStr">
        <is>
          <t>UPPSALA LÄN</t>
        </is>
      </c>
      <c r="E1829" t="inlineStr">
        <is>
          <t>TIERP</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29145-2021</t>
        </is>
      </c>
      <c r="B1830" s="1" t="n">
        <v>44358</v>
      </c>
      <c r="C1830" s="1" t="n">
        <v>45705</v>
      </c>
      <c r="D1830" t="inlineStr">
        <is>
          <t>UPPSALA LÄN</t>
        </is>
      </c>
      <c r="E1830" t="inlineStr">
        <is>
          <t>UPPSALA</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29231-2021</t>
        </is>
      </c>
      <c r="B1831" s="1" t="n">
        <v>44360</v>
      </c>
      <c r="C1831" s="1" t="n">
        <v>45705</v>
      </c>
      <c r="D1831" t="inlineStr">
        <is>
          <t>UPPSALA LÄN</t>
        </is>
      </c>
      <c r="E1831" t="inlineStr">
        <is>
          <t>HEBY</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29282-2021</t>
        </is>
      </c>
      <c r="B1832" s="1" t="n">
        <v>44361</v>
      </c>
      <c r="C1832" s="1" t="n">
        <v>45705</v>
      </c>
      <c r="D1832" t="inlineStr">
        <is>
          <t>UPPSALA LÄN</t>
        </is>
      </c>
      <c r="E1832" t="inlineStr">
        <is>
          <t>ÖSTHAMMAR</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29777-2021</t>
        </is>
      </c>
      <c r="B1833" s="1" t="n">
        <v>44362</v>
      </c>
      <c r="C1833" s="1" t="n">
        <v>45705</v>
      </c>
      <c r="D1833" t="inlineStr">
        <is>
          <t>UPPSALA LÄN</t>
        </is>
      </c>
      <c r="E1833" t="inlineStr">
        <is>
          <t>HEBY</t>
        </is>
      </c>
      <c r="F1833" t="inlineStr">
        <is>
          <t>Bergvik skog väst AB</t>
        </is>
      </c>
      <c r="G1833" t="n">
        <v>6.6</v>
      </c>
      <c r="H1833" t="n">
        <v>0</v>
      </c>
      <c r="I1833" t="n">
        <v>0</v>
      </c>
      <c r="J1833" t="n">
        <v>0</v>
      </c>
      <c r="K1833" t="n">
        <v>0</v>
      </c>
      <c r="L1833" t="n">
        <v>0</v>
      </c>
      <c r="M1833" t="n">
        <v>0</v>
      </c>
      <c r="N1833" t="n">
        <v>0</v>
      </c>
      <c r="O1833" t="n">
        <v>0</v>
      </c>
      <c r="P1833" t="n">
        <v>0</v>
      </c>
      <c r="Q1833" t="n">
        <v>0</v>
      </c>
      <c r="R1833" s="2" t="inlineStr"/>
    </row>
    <row r="1834" ht="15" customHeight="1">
      <c r="A1834" t="inlineStr">
        <is>
          <t>A 29983-2021</t>
        </is>
      </c>
      <c r="B1834" s="1" t="n">
        <v>44363</v>
      </c>
      <c r="C1834" s="1" t="n">
        <v>45705</v>
      </c>
      <c r="D1834" t="inlineStr">
        <is>
          <t>UPPSALA LÄN</t>
        </is>
      </c>
      <c r="E1834" t="inlineStr">
        <is>
          <t>ENKÖPING</t>
        </is>
      </c>
      <c r="F1834" t="inlineStr">
        <is>
          <t>Kommuner</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30304-2021</t>
        </is>
      </c>
      <c r="B1835" s="1" t="n">
        <v>44364</v>
      </c>
      <c r="C1835" s="1" t="n">
        <v>45705</v>
      </c>
      <c r="D1835" t="inlineStr">
        <is>
          <t>UPPSALA LÄN</t>
        </is>
      </c>
      <c r="E1835" t="inlineStr">
        <is>
          <t>HEBY</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30297-2021</t>
        </is>
      </c>
      <c r="B1836" s="1" t="n">
        <v>44364</v>
      </c>
      <c r="C1836" s="1" t="n">
        <v>45705</v>
      </c>
      <c r="D1836" t="inlineStr">
        <is>
          <t>UPPSALA LÄN</t>
        </is>
      </c>
      <c r="E1836" t="inlineStr">
        <is>
          <t>HEBY</t>
        </is>
      </c>
      <c r="F1836" t="inlineStr">
        <is>
          <t>Övriga Aktiebolag</t>
        </is>
      </c>
      <c r="G1836" t="n">
        <v>7.8</v>
      </c>
      <c r="H1836" t="n">
        <v>0</v>
      </c>
      <c r="I1836" t="n">
        <v>0</v>
      </c>
      <c r="J1836" t="n">
        <v>0</v>
      </c>
      <c r="K1836" t="n">
        <v>0</v>
      </c>
      <c r="L1836" t="n">
        <v>0</v>
      </c>
      <c r="M1836" t="n">
        <v>0</v>
      </c>
      <c r="N1836" t="n">
        <v>0</v>
      </c>
      <c r="O1836" t="n">
        <v>0</v>
      </c>
      <c r="P1836" t="n">
        <v>0</v>
      </c>
      <c r="Q1836" t="n">
        <v>0</v>
      </c>
      <c r="R1836" s="2" t="inlineStr"/>
    </row>
    <row r="1837" ht="15" customHeight="1">
      <c r="A1837" t="inlineStr">
        <is>
          <t>A 30293-2021</t>
        </is>
      </c>
      <c r="B1837" s="1" t="n">
        <v>44364</v>
      </c>
      <c r="C1837" s="1" t="n">
        <v>45705</v>
      </c>
      <c r="D1837" t="inlineStr">
        <is>
          <t>UPPSALA LÄN</t>
        </is>
      </c>
      <c r="E1837" t="inlineStr">
        <is>
          <t>HEBY</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30514-2021</t>
        </is>
      </c>
      <c r="B1838" s="1" t="n">
        <v>44364</v>
      </c>
      <c r="C1838" s="1" t="n">
        <v>45705</v>
      </c>
      <c r="D1838" t="inlineStr">
        <is>
          <t>UPPSALA LÄN</t>
        </is>
      </c>
      <c r="E1838" t="inlineStr">
        <is>
          <t>ENKÖPING</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30655-2021</t>
        </is>
      </c>
      <c r="B1839" s="1" t="n">
        <v>44365</v>
      </c>
      <c r="C1839" s="1" t="n">
        <v>45705</v>
      </c>
      <c r="D1839" t="inlineStr">
        <is>
          <t>UPPSALA LÄN</t>
        </is>
      </c>
      <c r="E1839" t="inlineStr">
        <is>
          <t>UPPSALA</t>
        </is>
      </c>
      <c r="F1839" t="inlineStr">
        <is>
          <t>Holmen skog AB</t>
        </is>
      </c>
      <c r="G1839" t="n">
        <v>5.8</v>
      </c>
      <c r="H1839" t="n">
        <v>0</v>
      </c>
      <c r="I1839" t="n">
        <v>0</v>
      </c>
      <c r="J1839" t="n">
        <v>0</v>
      </c>
      <c r="K1839" t="n">
        <v>0</v>
      </c>
      <c r="L1839" t="n">
        <v>0</v>
      </c>
      <c r="M1839" t="n">
        <v>0</v>
      </c>
      <c r="N1839" t="n">
        <v>0</v>
      </c>
      <c r="O1839" t="n">
        <v>0</v>
      </c>
      <c r="P1839" t="n">
        <v>0</v>
      </c>
      <c r="Q1839" t="n">
        <v>0</v>
      </c>
      <c r="R1839" s="2" t="inlineStr"/>
    </row>
    <row r="1840" ht="15" customHeight="1">
      <c r="A1840" t="inlineStr">
        <is>
          <t>A 30656-2021</t>
        </is>
      </c>
      <c r="B1840" s="1" t="n">
        <v>44365</v>
      </c>
      <c r="C1840" s="1" t="n">
        <v>45705</v>
      </c>
      <c r="D1840" t="inlineStr">
        <is>
          <t>UPPSALA LÄN</t>
        </is>
      </c>
      <c r="E1840" t="inlineStr">
        <is>
          <t>UPPSALA</t>
        </is>
      </c>
      <c r="G1840" t="n">
        <v>6.7</v>
      </c>
      <c r="H1840" t="n">
        <v>0</v>
      </c>
      <c r="I1840" t="n">
        <v>0</v>
      </c>
      <c r="J1840" t="n">
        <v>0</v>
      </c>
      <c r="K1840" t="n">
        <v>0</v>
      </c>
      <c r="L1840" t="n">
        <v>0</v>
      </c>
      <c r="M1840" t="n">
        <v>0</v>
      </c>
      <c r="N1840" t="n">
        <v>0</v>
      </c>
      <c r="O1840" t="n">
        <v>0</v>
      </c>
      <c r="P1840" t="n">
        <v>0</v>
      </c>
      <c r="Q1840" t="n">
        <v>0</v>
      </c>
      <c r="R1840" s="2" t="inlineStr"/>
    </row>
    <row r="1841" ht="15" customHeight="1">
      <c r="A1841" t="inlineStr">
        <is>
          <t>A 30742-2021</t>
        </is>
      </c>
      <c r="B1841" s="1" t="n">
        <v>44365</v>
      </c>
      <c r="C1841" s="1" t="n">
        <v>45705</v>
      </c>
      <c r="D1841" t="inlineStr">
        <is>
          <t>UPPSALA LÄN</t>
        </is>
      </c>
      <c r="E1841" t="inlineStr">
        <is>
          <t>TIERP</t>
        </is>
      </c>
      <c r="F1841" t="inlineStr">
        <is>
          <t>Bergvik skog väst AB</t>
        </is>
      </c>
      <c r="G1841" t="n">
        <v>6.5</v>
      </c>
      <c r="H1841" t="n">
        <v>0</v>
      </c>
      <c r="I1841" t="n">
        <v>0</v>
      </c>
      <c r="J1841" t="n">
        <v>0</v>
      </c>
      <c r="K1841" t="n">
        <v>0</v>
      </c>
      <c r="L1841" t="n">
        <v>0</v>
      </c>
      <c r="M1841" t="n">
        <v>0</v>
      </c>
      <c r="N1841" t="n">
        <v>0</v>
      </c>
      <c r="O1841" t="n">
        <v>0</v>
      </c>
      <c r="P1841" t="n">
        <v>0</v>
      </c>
      <c r="Q1841" t="n">
        <v>0</v>
      </c>
      <c r="R1841" s="2" t="inlineStr"/>
    </row>
    <row r="1842" ht="15" customHeight="1">
      <c r="A1842" t="inlineStr">
        <is>
          <t>A 30927-2021</t>
        </is>
      </c>
      <c r="B1842" s="1" t="n">
        <v>44365</v>
      </c>
      <c r="C1842" s="1" t="n">
        <v>45705</v>
      </c>
      <c r="D1842" t="inlineStr">
        <is>
          <t>UPPSALA LÄN</t>
        </is>
      </c>
      <c r="E1842" t="inlineStr">
        <is>
          <t>ÖSTHAMMAR</t>
        </is>
      </c>
      <c r="F1842" t="inlineStr">
        <is>
          <t>Bergvik skog öst AB</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30931-2021</t>
        </is>
      </c>
      <c r="B1843" s="1" t="n">
        <v>44365</v>
      </c>
      <c r="C1843" s="1" t="n">
        <v>45705</v>
      </c>
      <c r="D1843" t="inlineStr">
        <is>
          <t>UPPSALA LÄN</t>
        </is>
      </c>
      <c r="E1843" t="inlineStr">
        <is>
          <t>ÖSTHAMMAR</t>
        </is>
      </c>
      <c r="F1843" t="inlineStr">
        <is>
          <t>Bergvik skog öst AB</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31108-2021</t>
        </is>
      </c>
      <c r="B1844" s="1" t="n">
        <v>44368</v>
      </c>
      <c r="C1844" s="1" t="n">
        <v>45705</v>
      </c>
      <c r="D1844" t="inlineStr">
        <is>
          <t>UPPSALA LÄN</t>
        </is>
      </c>
      <c r="E1844" t="inlineStr">
        <is>
          <t>HEBY</t>
        </is>
      </c>
      <c r="F1844" t="inlineStr">
        <is>
          <t>Bergvik skog öst AB</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31143-2021</t>
        </is>
      </c>
      <c r="B1845" s="1" t="n">
        <v>44368</v>
      </c>
      <c r="C1845" s="1" t="n">
        <v>45705</v>
      </c>
      <c r="D1845" t="inlineStr">
        <is>
          <t>UPPSALA LÄN</t>
        </is>
      </c>
      <c r="E1845" t="inlineStr">
        <is>
          <t>KNIVSTA</t>
        </is>
      </c>
      <c r="G1845" t="n">
        <v>13.1</v>
      </c>
      <c r="H1845" t="n">
        <v>0</v>
      </c>
      <c r="I1845" t="n">
        <v>0</v>
      </c>
      <c r="J1845" t="n">
        <v>0</v>
      </c>
      <c r="K1845" t="n">
        <v>0</v>
      </c>
      <c r="L1845" t="n">
        <v>0</v>
      </c>
      <c r="M1845" t="n">
        <v>0</v>
      </c>
      <c r="N1845" t="n">
        <v>0</v>
      </c>
      <c r="O1845" t="n">
        <v>0</v>
      </c>
      <c r="P1845" t="n">
        <v>0</v>
      </c>
      <c r="Q1845" t="n">
        <v>0</v>
      </c>
      <c r="R1845" s="2" t="inlineStr"/>
    </row>
    <row r="1846" ht="15" customHeight="1">
      <c r="A1846" t="inlineStr">
        <is>
          <t>A 31113-2021</t>
        </is>
      </c>
      <c r="B1846" s="1" t="n">
        <v>44368</v>
      </c>
      <c r="C1846" s="1" t="n">
        <v>45705</v>
      </c>
      <c r="D1846" t="inlineStr">
        <is>
          <t>UPPSALA LÄN</t>
        </is>
      </c>
      <c r="E1846" t="inlineStr">
        <is>
          <t>HEBY</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31099-2021</t>
        </is>
      </c>
      <c r="B1847" s="1" t="n">
        <v>44368</v>
      </c>
      <c r="C1847" s="1" t="n">
        <v>45705</v>
      </c>
      <c r="D1847" t="inlineStr">
        <is>
          <t>UPPSALA LÄN</t>
        </is>
      </c>
      <c r="E1847" t="inlineStr">
        <is>
          <t>TIERP</t>
        </is>
      </c>
      <c r="F1847" t="inlineStr">
        <is>
          <t>Bergvik skog öst AB</t>
        </is>
      </c>
      <c r="G1847" t="n">
        <v>12.6</v>
      </c>
      <c r="H1847" t="n">
        <v>0</v>
      </c>
      <c r="I1847" t="n">
        <v>0</v>
      </c>
      <c r="J1847" t="n">
        <v>0</v>
      </c>
      <c r="K1847" t="n">
        <v>0</v>
      </c>
      <c r="L1847" t="n">
        <v>0</v>
      </c>
      <c r="M1847" t="n">
        <v>0</v>
      </c>
      <c r="N1847" t="n">
        <v>0</v>
      </c>
      <c r="O1847" t="n">
        <v>0</v>
      </c>
      <c r="P1847" t="n">
        <v>0</v>
      </c>
      <c r="Q1847" t="n">
        <v>0</v>
      </c>
      <c r="R1847" s="2" t="inlineStr"/>
    </row>
    <row r="1848" ht="15" customHeight="1">
      <c r="A1848" t="inlineStr">
        <is>
          <t>A 31112-2021</t>
        </is>
      </c>
      <c r="B1848" s="1" t="n">
        <v>44368</v>
      </c>
      <c r="C1848" s="1" t="n">
        <v>45705</v>
      </c>
      <c r="D1848" t="inlineStr">
        <is>
          <t>UPPSALA LÄN</t>
        </is>
      </c>
      <c r="E1848" t="inlineStr">
        <is>
          <t>ENKÖPING</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31263-2021</t>
        </is>
      </c>
      <c r="B1849" s="1" t="n">
        <v>44368</v>
      </c>
      <c r="C1849" s="1" t="n">
        <v>45705</v>
      </c>
      <c r="D1849" t="inlineStr">
        <is>
          <t>UPPSALA LÄN</t>
        </is>
      </c>
      <c r="E1849" t="inlineStr">
        <is>
          <t>ÖSTHAMMAR</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31283-2021</t>
        </is>
      </c>
      <c r="B1850" s="1" t="n">
        <v>44368</v>
      </c>
      <c r="C1850" s="1" t="n">
        <v>45705</v>
      </c>
      <c r="D1850" t="inlineStr">
        <is>
          <t>UPPSALA LÄN</t>
        </is>
      </c>
      <c r="E1850" t="inlineStr">
        <is>
          <t>HEBY</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31646-2021</t>
        </is>
      </c>
      <c r="B1851" s="1" t="n">
        <v>44369</v>
      </c>
      <c r="C1851" s="1" t="n">
        <v>45705</v>
      </c>
      <c r="D1851" t="inlineStr">
        <is>
          <t>UPPSALA LÄN</t>
        </is>
      </c>
      <c r="E1851" t="inlineStr">
        <is>
          <t>UPPSALA</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31662-2021</t>
        </is>
      </c>
      <c r="B1852" s="1" t="n">
        <v>44369</v>
      </c>
      <c r="C1852" s="1" t="n">
        <v>45705</v>
      </c>
      <c r="D1852" t="inlineStr">
        <is>
          <t>UPPSALA LÄN</t>
        </is>
      </c>
      <c r="E1852" t="inlineStr">
        <is>
          <t>UPPSALA</t>
        </is>
      </c>
      <c r="F1852" t="inlineStr">
        <is>
          <t>Bergvik skog öst AB</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31829-2021</t>
        </is>
      </c>
      <c r="B1853" s="1" t="n">
        <v>44370</v>
      </c>
      <c r="C1853" s="1" t="n">
        <v>45705</v>
      </c>
      <c r="D1853" t="inlineStr">
        <is>
          <t>UPPSALA LÄN</t>
        </is>
      </c>
      <c r="E1853" t="inlineStr">
        <is>
          <t>UPPSALA</t>
        </is>
      </c>
      <c r="F1853" t="inlineStr">
        <is>
          <t>Bergvik skog öst AB</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31965-2021</t>
        </is>
      </c>
      <c r="B1854" s="1" t="n">
        <v>44370</v>
      </c>
      <c r="C1854" s="1" t="n">
        <v>45705</v>
      </c>
      <c r="D1854" t="inlineStr">
        <is>
          <t>UPPSALA LÄN</t>
        </is>
      </c>
      <c r="E1854" t="inlineStr">
        <is>
          <t>ENKÖPING</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32141-2021</t>
        </is>
      </c>
      <c r="B1855" s="1" t="n">
        <v>44370</v>
      </c>
      <c r="C1855" s="1" t="n">
        <v>45705</v>
      </c>
      <c r="D1855" t="inlineStr">
        <is>
          <t>UPPSALA LÄN</t>
        </is>
      </c>
      <c r="E1855" t="inlineStr">
        <is>
          <t>HEBY</t>
        </is>
      </c>
      <c r="F1855" t="inlineStr">
        <is>
          <t>Bergvik skog väst AB</t>
        </is>
      </c>
      <c r="G1855" t="n">
        <v>10.8</v>
      </c>
      <c r="H1855" t="n">
        <v>0</v>
      </c>
      <c r="I1855" t="n">
        <v>0</v>
      </c>
      <c r="J1855" t="n">
        <v>0</v>
      </c>
      <c r="K1855" t="n">
        <v>0</v>
      </c>
      <c r="L1855" t="n">
        <v>0</v>
      </c>
      <c r="M1855" t="n">
        <v>0</v>
      </c>
      <c r="N1855" t="n">
        <v>0</v>
      </c>
      <c r="O1855" t="n">
        <v>0</v>
      </c>
      <c r="P1855" t="n">
        <v>0</v>
      </c>
      <c r="Q1855" t="n">
        <v>0</v>
      </c>
      <c r="R1855" s="2" t="inlineStr"/>
    </row>
    <row r="1856" ht="15" customHeight="1">
      <c r="A1856" t="inlineStr">
        <is>
          <t>A 32207-2021</t>
        </is>
      </c>
      <c r="B1856" s="1" t="n">
        <v>44371</v>
      </c>
      <c r="C1856" s="1" t="n">
        <v>45705</v>
      </c>
      <c r="D1856" t="inlineStr">
        <is>
          <t>UPPSALA LÄN</t>
        </is>
      </c>
      <c r="E1856" t="inlineStr">
        <is>
          <t>TIERP</t>
        </is>
      </c>
      <c r="F1856" t="inlineStr">
        <is>
          <t>Bergvik skog väst AB</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32276-2021</t>
        </is>
      </c>
      <c r="B1857" s="1" t="n">
        <v>44371</v>
      </c>
      <c r="C1857" s="1" t="n">
        <v>45705</v>
      </c>
      <c r="D1857" t="inlineStr">
        <is>
          <t>UPPSALA LÄN</t>
        </is>
      </c>
      <c r="E1857" t="inlineStr">
        <is>
          <t>UPPSALA</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32221-2021</t>
        </is>
      </c>
      <c r="B1858" s="1" t="n">
        <v>44371</v>
      </c>
      <c r="C1858" s="1" t="n">
        <v>45705</v>
      </c>
      <c r="D1858" t="inlineStr">
        <is>
          <t>UPPSALA LÄN</t>
        </is>
      </c>
      <c r="E1858" t="inlineStr">
        <is>
          <t>HEBY</t>
        </is>
      </c>
      <c r="F1858" t="inlineStr">
        <is>
          <t>Bergvik skog väst AB</t>
        </is>
      </c>
      <c r="G1858" t="n">
        <v>8.300000000000001</v>
      </c>
      <c r="H1858" t="n">
        <v>0</v>
      </c>
      <c r="I1858" t="n">
        <v>0</v>
      </c>
      <c r="J1858" t="n">
        <v>0</v>
      </c>
      <c r="K1858" t="n">
        <v>0</v>
      </c>
      <c r="L1858" t="n">
        <v>0</v>
      </c>
      <c r="M1858" t="n">
        <v>0</v>
      </c>
      <c r="N1858" t="n">
        <v>0</v>
      </c>
      <c r="O1858" t="n">
        <v>0</v>
      </c>
      <c r="P1858" t="n">
        <v>0</v>
      </c>
      <c r="Q1858" t="n">
        <v>0</v>
      </c>
      <c r="R1858" s="2" t="inlineStr"/>
    </row>
    <row r="1859" ht="15" customHeight="1">
      <c r="A1859" t="inlineStr">
        <is>
          <t>A 32244-2021</t>
        </is>
      </c>
      <c r="B1859" s="1" t="n">
        <v>44371</v>
      </c>
      <c r="C1859" s="1" t="n">
        <v>45705</v>
      </c>
      <c r="D1859" t="inlineStr">
        <is>
          <t>UPPSALA LÄN</t>
        </is>
      </c>
      <c r="E1859" t="inlineStr">
        <is>
          <t>ÖSTHAMMAR</t>
        </is>
      </c>
      <c r="F1859" t="inlineStr">
        <is>
          <t>Bergvik skog öst AB</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32428-2021</t>
        </is>
      </c>
      <c r="B1860" s="1" t="n">
        <v>44371</v>
      </c>
      <c r="C1860" s="1" t="n">
        <v>45705</v>
      </c>
      <c r="D1860" t="inlineStr">
        <is>
          <t>UPPSALA LÄN</t>
        </is>
      </c>
      <c r="E1860" t="inlineStr">
        <is>
          <t>UPPSALA</t>
        </is>
      </c>
      <c r="F1860" t="inlineStr">
        <is>
          <t>Bergvik skog öst AB</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32939-2021</t>
        </is>
      </c>
      <c r="B1861" s="1" t="n">
        <v>44376</v>
      </c>
      <c r="C1861" s="1" t="n">
        <v>45705</v>
      </c>
      <c r="D1861" t="inlineStr">
        <is>
          <t>UPPSALA LÄN</t>
        </is>
      </c>
      <c r="E1861" t="inlineStr">
        <is>
          <t>ÖSTHAMMAR</t>
        </is>
      </c>
      <c r="F1861" t="inlineStr">
        <is>
          <t>Bergvik skog öst AB</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32948-2021</t>
        </is>
      </c>
      <c r="B1862" s="1" t="n">
        <v>44376</v>
      </c>
      <c r="C1862" s="1" t="n">
        <v>45705</v>
      </c>
      <c r="D1862" t="inlineStr">
        <is>
          <t>UPPSALA LÄN</t>
        </is>
      </c>
      <c r="E1862" t="inlineStr">
        <is>
          <t>ÖSTHAMMAR</t>
        </is>
      </c>
      <c r="F1862" t="inlineStr">
        <is>
          <t>Bergvik skog öst AB</t>
        </is>
      </c>
      <c r="G1862" t="n">
        <v>13.5</v>
      </c>
      <c r="H1862" t="n">
        <v>0</v>
      </c>
      <c r="I1862" t="n">
        <v>0</v>
      </c>
      <c r="J1862" t="n">
        <v>0</v>
      </c>
      <c r="K1862" t="n">
        <v>0</v>
      </c>
      <c r="L1862" t="n">
        <v>0</v>
      </c>
      <c r="M1862" t="n">
        <v>0</v>
      </c>
      <c r="N1862" t="n">
        <v>0</v>
      </c>
      <c r="O1862" t="n">
        <v>0</v>
      </c>
      <c r="P1862" t="n">
        <v>0</v>
      </c>
      <c r="Q1862" t="n">
        <v>0</v>
      </c>
      <c r="R1862" s="2" t="inlineStr"/>
    </row>
    <row r="1863" ht="15" customHeight="1">
      <c r="A1863" t="inlineStr">
        <is>
          <t>A 32955-2021</t>
        </is>
      </c>
      <c r="B1863" s="1" t="n">
        <v>44376</v>
      </c>
      <c r="C1863" s="1" t="n">
        <v>45705</v>
      </c>
      <c r="D1863" t="inlineStr">
        <is>
          <t>UPPSALA LÄN</t>
        </is>
      </c>
      <c r="E1863" t="inlineStr">
        <is>
          <t>UPPSALA</t>
        </is>
      </c>
      <c r="F1863" t="inlineStr">
        <is>
          <t>Bergvik skog öst AB</t>
        </is>
      </c>
      <c r="G1863" t="n">
        <v>10</v>
      </c>
      <c r="H1863" t="n">
        <v>0</v>
      </c>
      <c r="I1863" t="n">
        <v>0</v>
      </c>
      <c r="J1863" t="n">
        <v>0</v>
      </c>
      <c r="K1863" t="n">
        <v>0</v>
      </c>
      <c r="L1863" t="n">
        <v>0</v>
      </c>
      <c r="M1863" t="n">
        <v>0</v>
      </c>
      <c r="N1863" t="n">
        <v>0</v>
      </c>
      <c r="O1863" t="n">
        <v>0</v>
      </c>
      <c r="P1863" t="n">
        <v>0</v>
      </c>
      <c r="Q1863" t="n">
        <v>0</v>
      </c>
      <c r="R1863" s="2" t="inlineStr"/>
    </row>
    <row r="1864" ht="15" customHeight="1">
      <c r="A1864" t="inlineStr">
        <is>
          <t>A 33062-2021</t>
        </is>
      </c>
      <c r="B1864" s="1" t="n">
        <v>44376</v>
      </c>
      <c r="C1864" s="1" t="n">
        <v>45705</v>
      </c>
      <c r="D1864" t="inlineStr">
        <is>
          <t>UPPSALA LÄN</t>
        </is>
      </c>
      <c r="E1864" t="inlineStr">
        <is>
          <t>ÖSTHAMMAR</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32975-2021</t>
        </is>
      </c>
      <c r="B1865" s="1" t="n">
        <v>44376</v>
      </c>
      <c r="C1865" s="1" t="n">
        <v>45705</v>
      </c>
      <c r="D1865" t="inlineStr">
        <is>
          <t>UPPSALA LÄN</t>
        </is>
      </c>
      <c r="E1865" t="inlineStr">
        <is>
          <t>KNIVSTA</t>
        </is>
      </c>
      <c r="G1865" t="n">
        <v>6.1</v>
      </c>
      <c r="H1865" t="n">
        <v>0</v>
      </c>
      <c r="I1865" t="n">
        <v>0</v>
      </c>
      <c r="J1865" t="n">
        <v>0</v>
      </c>
      <c r="K1865" t="n">
        <v>0</v>
      </c>
      <c r="L1865" t="n">
        <v>0</v>
      </c>
      <c r="M1865" t="n">
        <v>0</v>
      </c>
      <c r="N1865" t="n">
        <v>0</v>
      </c>
      <c r="O1865" t="n">
        <v>0</v>
      </c>
      <c r="P1865" t="n">
        <v>0</v>
      </c>
      <c r="Q1865" t="n">
        <v>0</v>
      </c>
      <c r="R1865" s="2" t="inlineStr"/>
    </row>
    <row r="1866" ht="15" customHeight="1">
      <c r="A1866" t="inlineStr">
        <is>
          <t>A 32995-2021</t>
        </is>
      </c>
      <c r="B1866" s="1" t="n">
        <v>44376</v>
      </c>
      <c r="C1866" s="1" t="n">
        <v>45705</v>
      </c>
      <c r="D1866" t="inlineStr">
        <is>
          <t>UPPSALA LÄN</t>
        </is>
      </c>
      <c r="E1866" t="inlineStr">
        <is>
          <t>TIERP</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33056-2021</t>
        </is>
      </c>
      <c r="B1867" s="1" t="n">
        <v>44376</v>
      </c>
      <c r="C1867" s="1" t="n">
        <v>45705</v>
      </c>
      <c r="D1867" t="inlineStr">
        <is>
          <t>UPPSALA LÄN</t>
        </is>
      </c>
      <c r="E1867" t="inlineStr">
        <is>
          <t>ÖSTHAMMAR</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33271-2021</t>
        </is>
      </c>
      <c r="B1868" s="1" t="n">
        <v>44377</v>
      </c>
      <c r="C1868" s="1" t="n">
        <v>45705</v>
      </c>
      <c r="D1868" t="inlineStr">
        <is>
          <t>UPPSALA LÄN</t>
        </is>
      </c>
      <c r="E1868" t="inlineStr">
        <is>
          <t>ÖSTHAMMAR</t>
        </is>
      </c>
      <c r="F1868" t="inlineStr">
        <is>
          <t>Bergvik skog öst AB</t>
        </is>
      </c>
      <c r="G1868" t="n">
        <v>3.9</v>
      </c>
      <c r="H1868" t="n">
        <v>0</v>
      </c>
      <c r="I1868" t="n">
        <v>0</v>
      </c>
      <c r="J1868" t="n">
        <v>0</v>
      </c>
      <c r="K1868" t="n">
        <v>0</v>
      </c>
      <c r="L1868" t="n">
        <v>0</v>
      </c>
      <c r="M1868" t="n">
        <v>0</v>
      </c>
      <c r="N1868" t="n">
        <v>0</v>
      </c>
      <c r="O1868" t="n">
        <v>0</v>
      </c>
      <c r="P1868" t="n">
        <v>0</v>
      </c>
      <c r="Q1868" t="n">
        <v>0</v>
      </c>
      <c r="R1868" s="2" t="inlineStr"/>
    </row>
    <row r="1869" ht="15" customHeight="1">
      <c r="A1869" t="inlineStr">
        <is>
          <t>A 33797-2021</t>
        </is>
      </c>
      <c r="B1869" s="1" t="n">
        <v>44378</v>
      </c>
      <c r="C1869" s="1" t="n">
        <v>45705</v>
      </c>
      <c r="D1869" t="inlineStr">
        <is>
          <t>UPPSALA LÄN</t>
        </is>
      </c>
      <c r="E1869" t="inlineStr">
        <is>
          <t>UPPSALA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33920-2021</t>
        </is>
      </c>
      <c r="B1870" s="1" t="n">
        <v>44378</v>
      </c>
      <c r="C1870" s="1" t="n">
        <v>45705</v>
      </c>
      <c r="D1870" t="inlineStr">
        <is>
          <t>UPPSALA LÄN</t>
        </is>
      </c>
      <c r="E1870" t="inlineStr">
        <is>
          <t>UPPSALA</t>
        </is>
      </c>
      <c r="F1870" t="inlineStr">
        <is>
          <t>Bergvik skog öst AB</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34039-2021</t>
        </is>
      </c>
      <c r="B1871" s="1" t="n">
        <v>44379</v>
      </c>
      <c r="C1871" s="1" t="n">
        <v>45705</v>
      </c>
      <c r="D1871" t="inlineStr">
        <is>
          <t>UPPSALA LÄN</t>
        </is>
      </c>
      <c r="E1871" t="inlineStr">
        <is>
          <t>UPPSALA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34043-2021</t>
        </is>
      </c>
      <c r="B1872" s="1" t="n">
        <v>44379</v>
      </c>
      <c r="C1872" s="1" t="n">
        <v>45705</v>
      </c>
      <c r="D1872" t="inlineStr">
        <is>
          <t>UPPSALA LÄN</t>
        </is>
      </c>
      <c r="E1872" t="inlineStr">
        <is>
          <t>UPPSALA</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34265-2021</t>
        </is>
      </c>
      <c r="B1873" s="1" t="n">
        <v>44379</v>
      </c>
      <c r="C1873" s="1" t="n">
        <v>45705</v>
      </c>
      <c r="D1873" t="inlineStr">
        <is>
          <t>UPPSALA LÄN</t>
        </is>
      </c>
      <c r="E1873" t="inlineStr">
        <is>
          <t>UPPSALA</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34249-2021</t>
        </is>
      </c>
      <c r="B1874" s="1" t="n">
        <v>44379</v>
      </c>
      <c r="C1874" s="1" t="n">
        <v>45705</v>
      </c>
      <c r="D1874" t="inlineStr">
        <is>
          <t>UPPSALA LÄN</t>
        </is>
      </c>
      <c r="E1874" t="inlineStr">
        <is>
          <t>UPPSALA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34243-2021</t>
        </is>
      </c>
      <c r="B1875" s="1" t="n">
        <v>44379</v>
      </c>
      <c r="C1875" s="1" t="n">
        <v>45705</v>
      </c>
      <c r="D1875" t="inlineStr">
        <is>
          <t>UPPSALA LÄN</t>
        </is>
      </c>
      <c r="E1875" t="inlineStr">
        <is>
          <t>UPPSALA</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34263-2021</t>
        </is>
      </c>
      <c r="B1876" s="1" t="n">
        <v>44379</v>
      </c>
      <c r="C1876" s="1" t="n">
        <v>45705</v>
      </c>
      <c r="D1876" t="inlineStr">
        <is>
          <t>UPPSALA LÄN</t>
        </is>
      </c>
      <c r="E1876" t="inlineStr">
        <is>
          <t>UPPSALA</t>
        </is>
      </c>
      <c r="G1876" t="n">
        <v>5.8</v>
      </c>
      <c r="H1876" t="n">
        <v>0</v>
      </c>
      <c r="I1876" t="n">
        <v>0</v>
      </c>
      <c r="J1876" t="n">
        <v>0</v>
      </c>
      <c r="K1876" t="n">
        <v>0</v>
      </c>
      <c r="L1876" t="n">
        <v>0</v>
      </c>
      <c r="M1876" t="n">
        <v>0</v>
      </c>
      <c r="N1876" t="n">
        <v>0</v>
      </c>
      <c r="O1876" t="n">
        <v>0</v>
      </c>
      <c r="P1876" t="n">
        <v>0</v>
      </c>
      <c r="Q1876" t="n">
        <v>0</v>
      </c>
      <c r="R1876" s="2" t="inlineStr"/>
    </row>
    <row r="1877" ht="15" customHeight="1">
      <c r="A1877" t="inlineStr">
        <is>
          <t>A 34124-2021</t>
        </is>
      </c>
      <c r="B1877" s="1" t="n">
        <v>44379</v>
      </c>
      <c r="C1877" s="1" t="n">
        <v>45705</v>
      </c>
      <c r="D1877" t="inlineStr">
        <is>
          <t>UPPSALA LÄN</t>
        </is>
      </c>
      <c r="E1877" t="inlineStr">
        <is>
          <t>ENKÖPING</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34494-2021</t>
        </is>
      </c>
      <c r="B1878" s="1" t="n">
        <v>44382</v>
      </c>
      <c r="C1878" s="1" t="n">
        <v>45705</v>
      </c>
      <c r="D1878" t="inlineStr">
        <is>
          <t>UPPSALA LÄN</t>
        </is>
      </c>
      <c r="E1878" t="inlineStr">
        <is>
          <t>HEBY</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34648-2021</t>
        </is>
      </c>
      <c r="B1879" s="1" t="n">
        <v>44382</v>
      </c>
      <c r="C1879" s="1" t="n">
        <v>45705</v>
      </c>
      <c r="D1879" t="inlineStr">
        <is>
          <t>UPPSALA LÄN</t>
        </is>
      </c>
      <c r="E1879" t="inlineStr">
        <is>
          <t>TIERP</t>
        </is>
      </c>
      <c r="F1879" t="inlineStr">
        <is>
          <t>Bergvik skog väst AB</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34838-2021</t>
        </is>
      </c>
      <c r="B1880" s="1" t="n">
        <v>44383</v>
      </c>
      <c r="C1880" s="1" t="n">
        <v>45705</v>
      </c>
      <c r="D1880" t="inlineStr">
        <is>
          <t>UPPSALA LÄN</t>
        </is>
      </c>
      <c r="E1880" t="inlineStr">
        <is>
          <t>UPPSALA</t>
        </is>
      </c>
      <c r="F1880" t="inlineStr">
        <is>
          <t>Bergvik skog öst AB</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34825-2021</t>
        </is>
      </c>
      <c r="B1881" s="1" t="n">
        <v>44383</v>
      </c>
      <c r="C1881" s="1" t="n">
        <v>45705</v>
      </c>
      <c r="D1881" t="inlineStr">
        <is>
          <t>UPPSALA LÄN</t>
        </is>
      </c>
      <c r="E1881" t="inlineStr">
        <is>
          <t>UPPSALA</t>
        </is>
      </c>
      <c r="F1881" t="inlineStr">
        <is>
          <t>Bergvik skog öst AB</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35232-2021</t>
        </is>
      </c>
      <c r="B1882" s="1" t="n">
        <v>44384</v>
      </c>
      <c r="C1882" s="1" t="n">
        <v>45705</v>
      </c>
      <c r="D1882" t="inlineStr">
        <is>
          <t>UPPSALA LÄN</t>
        </is>
      </c>
      <c r="E1882" t="inlineStr">
        <is>
          <t>KNIVSTA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35645-2021</t>
        </is>
      </c>
      <c r="B1883" s="1" t="n">
        <v>44386</v>
      </c>
      <c r="C1883" s="1" t="n">
        <v>45705</v>
      </c>
      <c r="D1883" t="inlineStr">
        <is>
          <t>UPPSALA LÄN</t>
        </is>
      </c>
      <c r="E1883" t="inlineStr">
        <is>
          <t>ENKÖPING</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35643-2021</t>
        </is>
      </c>
      <c r="B1884" s="1" t="n">
        <v>44386</v>
      </c>
      <c r="C1884" s="1" t="n">
        <v>45705</v>
      </c>
      <c r="D1884" t="inlineStr">
        <is>
          <t>UPPSALA LÄN</t>
        </is>
      </c>
      <c r="E1884" t="inlineStr">
        <is>
          <t>ENKÖPING</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35638-2021</t>
        </is>
      </c>
      <c r="B1885" s="1" t="n">
        <v>44386</v>
      </c>
      <c r="C1885" s="1" t="n">
        <v>45705</v>
      </c>
      <c r="D1885" t="inlineStr">
        <is>
          <t>UPPSALA LÄN</t>
        </is>
      </c>
      <c r="E1885" t="inlineStr">
        <is>
          <t>ENKÖPING</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35647-2021</t>
        </is>
      </c>
      <c r="B1886" s="1" t="n">
        <v>44386</v>
      </c>
      <c r="C1886" s="1" t="n">
        <v>45705</v>
      </c>
      <c r="D1886" t="inlineStr">
        <is>
          <t>UPPSALA LÄN</t>
        </is>
      </c>
      <c r="E1886" t="inlineStr">
        <is>
          <t>ENKÖPING</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35630-2021</t>
        </is>
      </c>
      <c r="B1887" s="1" t="n">
        <v>44386</v>
      </c>
      <c r="C1887" s="1" t="n">
        <v>45705</v>
      </c>
      <c r="D1887" t="inlineStr">
        <is>
          <t>UPPSALA LÄN</t>
        </is>
      </c>
      <c r="E1887" t="inlineStr">
        <is>
          <t>UPPSALA</t>
        </is>
      </c>
      <c r="G1887" t="n">
        <v>6</v>
      </c>
      <c r="H1887" t="n">
        <v>0</v>
      </c>
      <c r="I1887" t="n">
        <v>0</v>
      </c>
      <c r="J1887" t="n">
        <v>0</v>
      </c>
      <c r="K1887" t="n">
        <v>0</v>
      </c>
      <c r="L1887" t="n">
        <v>0</v>
      </c>
      <c r="M1887" t="n">
        <v>0</v>
      </c>
      <c r="N1887" t="n">
        <v>0</v>
      </c>
      <c r="O1887" t="n">
        <v>0</v>
      </c>
      <c r="P1887" t="n">
        <v>0</v>
      </c>
      <c r="Q1887" t="n">
        <v>0</v>
      </c>
      <c r="R1887" s="2" t="inlineStr"/>
    </row>
    <row r="1888" ht="15" customHeight="1">
      <c r="A1888" t="inlineStr">
        <is>
          <t>A 35641-2021</t>
        </is>
      </c>
      <c r="B1888" s="1" t="n">
        <v>44386</v>
      </c>
      <c r="C1888" s="1" t="n">
        <v>45705</v>
      </c>
      <c r="D1888" t="inlineStr">
        <is>
          <t>UPPSALA LÄN</t>
        </is>
      </c>
      <c r="E1888" t="inlineStr">
        <is>
          <t>ENKÖPING</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35632-2021</t>
        </is>
      </c>
      <c r="B1889" s="1" t="n">
        <v>44386</v>
      </c>
      <c r="C1889" s="1" t="n">
        <v>45705</v>
      </c>
      <c r="D1889" t="inlineStr">
        <is>
          <t>UPPSALA LÄN</t>
        </is>
      </c>
      <c r="E1889" t="inlineStr">
        <is>
          <t>ENKÖPING</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36069-2021</t>
        </is>
      </c>
      <c r="B1890" s="1" t="n">
        <v>44389</v>
      </c>
      <c r="C1890" s="1" t="n">
        <v>45705</v>
      </c>
      <c r="D1890" t="inlineStr">
        <is>
          <t>UPPSALA LÄN</t>
        </is>
      </c>
      <c r="E1890" t="inlineStr">
        <is>
          <t>TIERP</t>
        </is>
      </c>
      <c r="F1890" t="inlineStr">
        <is>
          <t>Övriga Aktiebolag</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36150-2021</t>
        </is>
      </c>
      <c r="B1891" s="1" t="n">
        <v>44389</v>
      </c>
      <c r="C1891" s="1" t="n">
        <v>45705</v>
      </c>
      <c r="D1891" t="inlineStr">
        <is>
          <t>UPPSALA LÄN</t>
        </is>
      </c>
      <c r="E1891" t="inlineStr">
        <is>
          <t>TIERP</t>
        </is>
      </c>
      <c r="F1891" t="inlineStr">
        <is>
          <t>Bergvik skog öst AB</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36085-2021</t>
        </is>
      </c>
      <c r="B1892" s="1" t="n">
        <v>44389</v>
      </c>
      <c r="C1892" s="1" t="n">
        <v>45705</v>
      </c>
      <c r="D1892" t="inlineStr">
        <is>
          <t>UPPSALA LÄN</t>
        </is>
      </c>
      <c r="E1892" t="inlineStr">
        <is>
          <t>HEBY</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36475-2021</t>
        </is>
      </c>
      <c r="B1893" s="1" t="n">
        <v>44390</v>
      </c>
      <c r="C1893" s="1" t="n">
        <v>45705</v>
      </c>
      <c r="D1893" t="inlineStr">
        <is>
          <t>UPPSALA LÄN</t>
        </is>
      </c>
      <c r="E1893" t="inlineStr">
        <is>
          <t>HEBY</t>
        </is>
      </c>
      <c r="F1893" t="inlineStr">
        <is>
          <t>Bergvik skog väst AB</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36304-2021</t>
        </is>
      </c>
      <c r="B1894" s="1" t="n">
        <v>44390</v>
      </c>
      <c r="C1894" s="1" t="n">
        <v>45705</v>
      </c>
      <c r="D1894" t="inlineStr">
        <is>
          <t>UPPSALA LÄN</t>
        </is>
      </c>
      <c r="E1894" t="inlineStr">
        <is>
          <t>UPPSALA</t>
        </is>
      </c>
      <c r="G1894" t="n">
        <v>7.4</v>
      </c>
      <c r="H1894" t="n">
        <v>0</v>
      </c>
      <c r="I1894" t="n">
        <v>0</v>
      </c>
      <c r="J1894" t="n">
        <v>0</v>
      </c>
      <c r="K1894" t="n">
        <v>0</v>
      </c>
      <c r="L1894" t="n">
        <v>0</v>
      </c>
      <c r="M1894" t="n">
        <v>0</v>
      </c>
      <c r="N1894" t="n">
        <v>0</v>
      </c>
      <c r="O1894" t="n">
        <v>0</v>
      </c>
      <c r="P1894" t="n">
        <v>0</v>
      </c>
      <c r="Q1894" t="n">
        <v>0</v>
      </c>
      <c r="R1894" s="2" t="inlineStr"/>
    </row>
    <row r="1895" ht="15" customHeight="1">
      <c r="A1895" t="inlineStr">
        <is>
          <t>A 36494-2021</t>
        </is>
      </c>
      <c r="B1895" s="1" t="n">
        <v>44391</v>
      </c>
      <c r="C1895" s="1" t="n">
        <v>45705</v>
      </c>
      <c r="D1895" t="inlineStr">
        <is>
          <t>UPPSALA LÄN</t>
        </is>
      </c>
      <c r="E1895" t="inlineStr">
        <is>
          <t>HEBY</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36721-2021</t>
        </is>
      </c>
      <c r="B1896" s="1" t="n">
        <v>44392</v>
      </c>
      <c r="C1896" s="1" t="n">
        <v>45705</v>
      </c>
      <c r="D1896" t="inlineStr">
        <is>
          <t>UPPSALA LÄN</t>
        </is>
      </c>
      <c r="E1896" t="inlineStr">
        <is>
          <t>UPPSALA</t>
        </is>
      </c>
      <c r="F1896" t="inlineStr">
        <is>
          <t>Bergvik skog öst AB</t>
        </is>
      </c>
      <c r="G1896" t="n">
        <v>5.8</v>
      </c>
      <c r="H1896" t="n">
        <v>0</v>
      </c>
      <c r="I1896" t="n">
        <v>0</v>
      </c>
      <c r="J1896" t="n">
        <v>0</v>
      </c>
      <c r="K1896" t="n">
        <v>0</v>
      </c>
      <c r="L1896" t="n">
        <v>0</v>
      </c>
      <c r="M1896" t="n">
        <v>0</v>
      </c>
      <c r="N1896" t="n">
        <v>0</v>
      </c>
      <c r="O1896" t="n">
        <v>0</v>
      </c>
      <c r="P1896" t="n">
        <v>0</v>
      </c>
      <c r="Q1896" t="n">
        <v>0</v>
      </c>
      <c r="R1896" s="2" t="inlineStr"/>
    </row>
    <row r="1897" ht="15" customHeight="1">
      <c r="A1897" t="inlineStr">
        <is>
          <t>A 36998-2021</t>
        </is>
      </c>
      <c r="B1897" s="1" t="n">
        <v>44393</v>
      </c>
      <c r="C1897" s="1" t="n">
        <v>45705</v>
      </c>
      <c r="D1897" t="inlineStr">
        <is>
          <t>UPPSALA LÄN</t>
        </is>
      </c>
      <c r="E1897" t="inlineStr">
        <is>
          <t>UPPSALA</t>
        </is>
      </c>
      <c r="F1897" t="inlineStr">
        <is>
          <t>Bergvik skog öst AB</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37162-2021</t>
        </is>
      </c>
      <c r="B1898" s="1" t="n">
        <v>44395</v>
      </c>
      <c r="C1898" s="1" t="n">
        <v>45705</v>
      </c>
      <c r="D1898" t="inlineStr">
        <is>
          <t>UPPSALA LÄN</t>
        </is>
      </c>
      <c r="E1898" t="inlineStr">
        <is>
          <t>UPPSALA</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37170-2021</t>
        </is>
      </c>
      <c r="B1899" s="1" t="n">
        <v>44395</v>
      </c>
      <c r="C1899" s="1" t="n">
        <v>45705</v>
      </c>
      <c r="D1899" t="inlineStr">
        <is>
          <t>UPPSALA LÄN</t>
        </is>
      </c>
      <c r="E1899" t="inlineStr">
        <is>
          <t>ENKÖPING</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37563-2021</t>
        </is>
      </c>
      <c r="B1900" s="1" t="n">
        <v>44399</v>
      </c>
      <c r="C1900" s="1" t="n">
        <v>45705</v>
      </c>
      <c r="D1900" t="inlineStr">
        <is>
          <t>UPPSALA LÄN</t>
        </is>
      </c>
      <c r="E1900" t="inlineStr">
        <is>
          <t>ENKÖPING</t>
        </is>
      </c>
      <c r="G1900" t="n">
        <v>5.1</v>
      </c>
      <c r="H1900" t="n">
        <v>0</v>
      </c>
      <c r="I1900" t="n">
        <v>0</v>
      </c>
      <c r="J1900" t="n">
        <v>0</v>
      </c>
      <c r="K1900" t="n">
        <v>0</v>
      </c>
      <c r="L1900" t="n">
        <v>0</v>
      </c>
      <c r="M1900" t="n">
        <v>0</v>
      </c>
      <c r="N1900" t="n">
        <v>0</v>
      </c>
      <c r="O1900" t="n">
        <v>0</v>
      </c>
      <c r="P1900" t="n">
        <v>0</v>
      </c>
      <c r="Q1900" t="n">
        <v>0</v>
      </c>
      <c r="R1900" s="2" t="inlineStr"/>
    </row>
    <row r="1901" ht="15" customHeight="1">
      <c r="A1901" t="inlineStr">
        <is>
          <t>A 37570-2021</t>
        </is>
      </c>
      <c r="B1901" s="1" t="n">
        <v>44399</v>
      </c>
      <c r="C1901" s="1" t="n">
        <v>45705</v>
      </c>
      <c r="D1901" t="inlineStr">
        <is>
          <t>UPPSALA LÄN</t>
        </is>
      </c>
      <c r="E1901" t="inlineStr">
        <is>
          <t>ENKÖPING</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37573-2021</t>
        </is>
      </c>
      <c r="B1902" s="1" t="n">
        <v>44399</v>
      </c>
      <c r="C1902" s="1" t="n">
        <v>45705</v>
      </c>
      <c r="D1902" t="inlineStr">
        <is>
          <t>UPPSALA LÄN</t>
        </is>
      </c>
      <c r="E1902" t="inlineStr">
        <is>
          <t>ENKÖPING</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37568-2021</t>
        </is>
      </c>
      <c r="B1903" s="1" t="n">
        <v>44399</v>
      </c>
      <c r="C1903" s="1" t="n">
        <v>45705</v>
      </c>
      <c r="D1903" t="inlineStr">
        <is>
          <t>UPPSALA LÄN</t>
        </is>
      </c>
      <c r="E1903" t="inlineStr">
        <is>
          <t>ENKÖPING</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37564-2021</t>
        </is>
      </c>
      <c r="B1904" s="1" t="n">
        <v>44399</v>
      </c>
      <c r="C1904" s="1" t="n">
        <v>45705</v>
      </c>
      <c r="D1904" t="inlineStr">
        <is>
          <t>UPPSALA LÄN</t>
        </is>
      </c>
      <c r="E1904" t="inlineStr">
        <is>
          <t>ENKÖPING</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37571-2021</t>
        </is>
      </c>
      <c r="B1905" s="1" t="n">
        <v>44399</v>
      </c>
      <c r="C1905" s="1" t="n">
        <v>45705</v>
      </c>
      <c r="D1905" t="inlineStr">
        <is>
          <t>UPPSALA LÄN</t>
        </is>
      </c>
      <c r="E1905" t="inlineStr">
        <is>
          <t>ENKÖPING</t>
        </is>
      </c>
      <c r="G1905" t="n">
        <v>4.6</v>
      </c>
      <c r="H1905" t="n">
        <v>0</v>
      </c>
      <c r="I1905" t="n">
        <v>0</v>
      </c>
      <c r="J1905" t="n">
        <v>0</v>
      </c>
      <c r="K1905" t="n">
        <v>0</v>
      </c>
      <c r="L1905" t="n">
        <v>0</v>
      </c>
      <c r="M1905" t="n">
        <v>0</v>
      </c>
      <c r="N1905" t="n">
        <v>0</v>
      </c>
      <c r="O1905" t="n">
        <v>0</v>
      </c>
      <c r="P1905" t="n">
        <v>0</v>
      </c>
      <c r="Q1905" t="n">
        <v>0</v>
      </c>
      <c r="R1905" s="2" t="inlineStr"/>
    </row>
    <row r="1906" ht="15" customHeight="1">
      <c r="A1906" t="inlineStr">
        <is>
          <t>A 37763-2021</t>
        </is>
      </c>
      <c r="B1906" s="1" t="n">
        <v>44400</v>
      </c>
      <c r="C1906" s="1" t="n">
        <v>45705</v>
      </c>
      <c r="D1906" t="inlineStr">
        <is>
          <t>UPPSALA LÄN</t>
        </is>
      </c>
      <c r="E1906" t="inlineStr">
        <is>
          <t>UPPSALA</t>
        </is>
      </c>
      <c r="F1906" t="inlineStr">
        <is>
          <t>Bergvik skog öst AB</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37819-2021</t>
        </is>
      </c>
      <c r="B1907" s="1" t="n">
        <v>44403</v>
      </c>
      <c r="C1907" s="1" t="n">
        <v>45705</v>
      </c>
      <c r="D1907" t="inlineStr">
        <is>
          <t>UPPSALA LÄN</t>
        </is>
      </c>
      <c r="E1907" t="inlineStr">
        <is>
          <t>UPPSALA</t>
        </is>
      </c>
      <c r="F1907" t="inlineStr">
        <is>
          <t>Bergvik skog öst AB</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37820-2021</t>
        </is>
      </c>
      <c r="B1908" s="1" t="n">
        <v>44403</v>
      </c>
      <c r="C1908" s="1" t="n">
        <v>45705</v>
      </c>
      <c r="D1908" t="inlineStr">
        <is>
          <t>UPPSALA LÄN</t>
        </is>
      </c>
      <c r="E1908" t="inlineStr">
        <is>
          <t>UPPSALA</t>
        </is>
      </c>
      <c r="F1908" t="inlineStr">
        <is>
          <t>Bergvik skog öst AB</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38050-2021</t>
        </is>
      </c>
      <c r="B1909" s="1" t="n">
        <v>44404</v>
      </c>
      <c r="C1909" s="1" t="n">
        <v>45705</v>
      </c>
      <c r="D1909" t="inlineStr">
        <is>
          <t>UPPSALA LÄN</t>
        </is>
      </c>
      <c r="E1909" t="inlineStr">
        <is>
          <t>HEBY</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38051-2021</t>
        </is>
      </c>
      <c r="B1910" s="1" t="n">
        <v>44404</v>
      </c>
      <c r="C1910" s="1" t="n">
        <v>45705</v>
      </c>
      <c r="D1910" t="inlineStr">
        <is>
          <t>UPPSALA LÄN</t>
        </is>
      </c>
      <c r="E1910" t="inlineStr">
        <is>
          <t>HEBY</t>
        </is>
      </c>
      <c r="G1910" t="n">
        <v>7.6</v>
      </c>
      <c r="H1910" t="n">
        <v>0</v>
      </c>
      <c r="I1910" t="n">
        <v>0</v>
      </c>
      <c r="J1910" t="n">
        <v>0</v>
      </c>
      <c r="K1910" t="n">
        <v>0</v>
      </c>
      <c r="L1910" t="n">
        <v>0</v>
      </c>
      <c r="M1910" t="n">
        <v>0</v>
      </c>
      <c r="N1910" t="n">
        <v>0</v>
      </c>
      <c r="O1910" t="n">
        <v>0</v>
      </c>
      <c r="P1910" t="n">
        <v>0</v>
      </c>
      <c r="Q1910" t="n">
        <v>0</v>
      </c>
      <c r="R1910" s="2" t="inlineStr"/>
    </row>
    <row r="1911" ht="15" customHeight="1">
      <c r="A1911" t="inlineStr">
        <is>
          <t>A 37980-2021</t>
        </is>
      </c>
      <c r="B1911" s="1" t="n">
        <v>44404</v>
      </c>
      <c r="C1911" s="1" t="n">
        <v>45705</v>
      </c>
      <c r="D1911" t="inlineStr">
        <is>
          <t>UPPSALA LÄN</t>
        </is>
      </c>
      <c r="E1911" t="inlineStr">
        <is>
          <t>HEBY</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38049-2021</t>
        </is>
      </c>
      <c r="B1912" s="1" t="n">
        <v>44404</v>
      </c>
      <c r="C1912" s="1" t="n">
        <v>45705</v>
      </c>
      <c r="D1912" t="inlineStr">
        <is>
          <t>UPPSALA LÄN</t>
        </is>
      </c>
      <c r="E1912" t="inlineStr">
        <is>
          <t>HEBY</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38203-2021</t>
        </is>
      </c>
      <c r="B1913" s="1" t="n">
        <v>44405</v>
      </c>
      <c r="C1913" s="1" t="n">
        <v>45705</v>
      </c>
      <c r="D1913" t="inlineStr">
        <is>
          <t>UPPSALA LÄN</t>
        </is>
      </c>
      <c r="E1913" t="inlineStr">
        <is>
          <t>HEBY</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38411-2021</t>
        </is>
      </c>
      <c r="B1914" s="1" t="n">
        <v>44406</v>
      </c>
      <c r="C1914" s="1" t="n">
        <v>45705</v>
      </c>
      <c r="D1914" t="inlineStr">
        <is>
          <t>UPPSALA LÄN</t>
        </is>
      </c>
      <c r="E1914" t="inlineStr">
        <is>
          <t>ÖSTHAMMAR</t>
        </is>
      </c>
      <c r="F1914" t="inlineStr">
        <is>
          <t>Bergvik skog öst AB</t>
        </is>
      </c>
      <c r="G1914" t="n">
        <v>20.6</v>
      </c>
      <c r="H1914" t="n">
        <v>0</v>
      </c>
      <c r="I1914" t="n">
        <v>0</v>
      </c>
      <c r="J1914" t="n">
        <v>0</v>
      </c>
      <c r="K1914" t="n">
        <v>0</v>
      </c>
      <c r="L1914" t="n">
        <v>0</v>
      </c>
      <c r="M1914" t="n">
        <v>0</v>
      </c>
      <c r="N1914" t="n">
        <v>0</v>
      </c>
      <c r="O1914" t="n">
        <v>0</v>
      </c>
      <c r="P1914" t="n">
        <v>0</v>
      </c>
      <c r="Q1914" t="n">
        <v>0</v>
      </c>
      <c r="R1914" s="2" t="inlineStr"/>
    </row>
    <row r="1915" ht="15" customHeight="1">
      <c r="A1915" t="inlineStr">
        <is>
          <t>A 38469-2021</t>
        </is>
      </c>
      <c r="B1915" s="1" t="n">
        <v>44407</v>
      </c>
      <c r="C1915" s="1" t="n">
        <v>45705</v>
      </c>
      <c r="D1915" t="inlineStr">
        <is>
          <t>UPPSALA LÄN</t>
        </is>
      </c>
      <c r="E1915" t="inlineStr">
        <is>
          <t>UPPSALA</t>
        </is>
      </c>
      <c r="F1915" t="inlineStr">
        <is>
          <t>Bergvik skog öst AB</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38463-2021</t>
        </is>
      </c>
      <c r="B1916" s="1" t="n">
        <v>44407</v>
      </c>
      <c r="C1916" s="1" t="n">
        <v>45705</v>
      </c>
      <c r="D1916" t="inlineStr">
        <is>
          <t>UPPSALA LÄN</t>
        </is>
      </c>
      <c r="E1916" t="inlineStr">
        <is>
          <t>UPPSALA</t>
        </is>
      </c>
      <c r="F1916" t="inlineStr">
        <is>
          <t>Bergvik skog öst AB</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38859-2021</t>
        </is>
      </c>
      <c r="B1917" s="1" t="n">
        <v>44411</v>
      </c>
      <c r="C1917" s="1" t="n">
        <v>45705</v>
      </c>
      <c r="D1917" t="inlineStr">
        <is>
          <t>UPPSALA LÄN</t>
        </is>
      </c>
      <c r="E1917" t="inlineStr">
        <is>
          <t>HEBY</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39791-2021</t>
        </is>
      </c>
      <c r="B1918" s="1" t="n">
        <v>44417</v>
      </c>
      <c r="C1918" s="1" t="n">
        <v>45705</v>
      </c>
      <c r="D1918" t="inlineStr">
        <is>
          <t>UPPSALA LÄN</t>
        </is>
      </c>
      <c r="E1918" t="inlineStr">
        <is>
          <t>ÄLVKARLEBY</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39838-2021</t>
        </is>
      </c>
      <c r="B1919" s="1" t="n">
        <v>44417</v>
      </c>
      <c r="C1919" s="1" t="n">
        <v>45705</v>
      </c>
      <c r="D1919" t="inlineStr">
        <is>
          <t>UPPSALA LÄN</t>
        </is>
      </c>
      <c r="E1919" t="inlineStr">
        <is>
          <t>TIERP</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40011-2021</t>
        </is>
      </c>
      <c r="B1920" s="1" t="n">
        <v>44418</v>
      </c>
      <c r="C1920" s="1" t="n">
        <v>45705</v>
      </c>
      <c r="D1920" t="inlineStr">
        <is>
          <t>UPPSALA LÄN</t>
        </is>
      </c>
      <c r="E1920" t="inlineStr">
        <is>
          <t>TIERP</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40184-2021</t>
        </is>
      </c>
      <c r="B1921" s="1" t="n">
        <v>44418</v>
      </c>
      <c r="C1921" s="1" t="n">
        <v>45705</v>
      </c>
      <c r="D1921" t="inlineStr">
        <is>
          <t>UPPSALA LÄN</t>
        </is>
      </c>
      <c r="E1921" t="inlineStr">
        <is>
          <t>HEBY</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40256-2021</t>
        </is>
      </c>
      <c r="B1922" s="1" t="n">
        <v>44419</v>
      </c>
      <c r="C1922" s="1" t="n">
        <v>45705</v>
      </c>
      <c r="D1922" t="inlineStr">
        <is>
          <t>UPPSALA LÄN</t>
        </is>
      </c>
      <c r="E1922" t="inlineStr">
        <is>
          <t>HÅBO</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40606-2021</t>
        </is>
      </c>
      <c r="B1923" s="1" t="n">
        <v>44420</v>
      </c>
      <c r="C1923" s="1" t="n">
        <v>45705</v>
      </c>
      <c r="D1923" t="inlineStr">
        <is>
          <t>UPPSALA LÄN</t>
        </is>
      </c>
      <c r="E1923" t="inlineStr">
        <is>
          <t>ÖSTHAMMAR</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40500-2021</t>
        </is>
      </c>
      <c r="B1924" s="1" t="n">
        <v>44420</v>
      </c>
      <c r="C1924" s="1" t="n">
        <v>45705</v>
      </c>
      <c r="D1924" t="inlineStr">
        <is>
          <t>UPPSALA LÄN</t>
        </is>
      </c>
      <c r="E1924" t="inlineStr">
        <is>
          <t>UPPSALA</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40507-2021</t>
        </is>
      </c>
      <c r="B1925" s="1" t="n">
        <v>44420</v>
      </c>
      <c r="C1925" s="1" t="n">
        <v>45705</v>
      </c>
      <c r="D1925" t="inlineStr">
        <is>
          <t>UPPSALA LÄN</t>
        </is>
      </c>
      <c r="E1925" t="inlineStr">
        <is>
          <t>UPPSALA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40804-2021</t>
        </is>
      </c>
      <c r="B1926" s="1" t="n">
        <v>44421</v>
      </c>
      <c r="C1926" s="1" t="n">
        <v>45705</v>
      </c>
      <c r="D1926" t="inlineStr">
        <is>
          <t>UPPSALA LÄN</t>
        </is>
      </c>
      <c r="E1926" t="inlineStr">
        <is>
          <t>TIERP</t>
        </is>
      </c>
      <c r="F1926" t="inlineStr">
        <is>
          <t>Kyrkan</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40793-2021</t>
        </is>
      </c>
      <c r="B1927" s="1" t="n">
        <v>44421</v>
      </c>
      <c r="C1927" s="1" t="n">
        <v>45705</v>
      </c>
      <c r="D1927" t="inlineStr">
        <is>
          <t>UPPSALA LÄN</t>
        </is>
      </c>
      <c r="E1927" t="inlineStr">
        <is>
          <t>TIERP</t>
        </is>
      </c>
      <c r="F1927" t="inlineStr">
        <is>
          <t>Kyrkan</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41531-2021</t>
        </is>
      </c>
      <c r="B1928" s="1" t="n">
        <v>44425</v>
      </c>
      <c r="C1928" s="1" t="n">
        <v>45705</v>
      </c>
      <c r="D1928" t="inlineStr">
        <is>
          <t>UPPSALA LÄN</t>
        </is>
      </c>
      <c r="E1928" t="inlineStr">
        <is>
          <t>ÖSTHAMMAR</t>
        </is>
      </c>
      <c r="F1928" t="inlineStr">
        <is>
          <t>Bergvik skog öst AB</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41558-2021</t>
        </is>
      </c>
      <c r="B1929" s="1" t="n">
        <v>44425</v>
      </c>
      <c r="C1929" s="1" t="n">
        <v>45705</v>
      </c>
      <c r="D1929" t="inlineStr">
        <is>
          <t>UPPSALA LÄN</t>
        </is>
      </c>
      <c r="E1929" t="inlineStr">
        <is>
          <t>ÖSTHAMMAR</t>
        </is>
      </c>
      <c r="F1929" t="inlineStr">
        <is>
          <t>Bergvik skog öst AB</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41538-2021</t>
        </is>
      </c>
      <c r="B1930" s="1" t="n">
        <v>44425</v>
      </c>
      <c r="C1930" s="1" t="n">
        <v>45705</v>
      </c>
      <c r="D1930" t="inlineStr">
        <is>
          <t>UPPSALA LÄN</t>
        </is>
      </c>
      <c r="E1930" t="inlineStr">
        <is>
          <t>ÖSTHAMMAR</t>
        </is>
      </c>
      <c r="F1930" t="inlineStr">
        <is>
          <t>Bergvik skog öst AB</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41744-2021</t>
        </is>
      </c>
      <c r="B1931" s="1" t="n">
        <v>44425</v>
      </c>
      <c r="C1931" s="1" t="n">
        <v>45705</v>
      </c>
      <c r="D1931" t="inlineStr">
        <is>
          <t>UPPSALA LÄN</t>
        </is>
      </c>
      <c r="E1931" t="inlineStr">
        <is>
          <t>ÖSTHAMMAR</t>
        </is>
      </c>
      <c r="F1931" t="inlineStr">
        <is>
          <t>Bergvik skog öst AB</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42021-2021</t>
        </is>
      </c>
      <c r="B1932" s="1" t="n">
        <v>44426</v>
      </c>
      <c r="C1932" s="1" t="n">
        <v>45705</v>
      </c>
      <c r="D1932" t="inlineStr">
        <is>
          <t>UPPSALA LÄN</t>
        </is>
      </c>
      <c r="E1932" t="inlineStr">
        <is>
          <t>ENKÖPING</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42029-2021</t>
        </is>
      </c>
      <c r="B1933" s="1" t="n">
        <v>44426</v>
      </c>
      <c r="C1933" s="1" t="n">
        <v>45705</v>
      </c>
      <c r="D1933" t="inlineStr">
        <is>
          <t>UPPSALA LÄN</t>
        </is>
      </c>
      <c r="E1933" t="inlineStr">
        <is>
          <t>ENKÖPING</t>
        </is>
      </c>
      <c r="G1933" t="n">
        <v>5.3</v>
      </c>
      <c r="H1933" t="n">
        <v>0</v>
      </c>
      <c r="I1933" t="n">
        <v>0</v>
      </c>
      <c r="J1933" t="n">
        <v>0</v>
      </c>
      <c r="K1933" t="n">
        <v>0</v>
      </c>
      <c r="L1933" t="n">
        <v>0</v>
      </c>
      <c r="M1933" t="n">
        <v>0</v>
      </c>
      <c r="N1933" t="n">
        <v>0</v>
      </c>
      <c r="O1933" t="n">
        <v>0</v>
      </c>
      <c r="P1933" t="n">
        <v>0</v>
      </c>
      <c r="Q1933" t="n">
        <v>0</v>
      </c>
      <c r="R1933" s="2" t="inlineStr"/>
    </row>
    <row r="1934" ht="15" customHeight="1">
      <c r="A1934" t="inlineStr">
        <is>
          <t>A 42124-2021</t>
        </is>
      </c>
      <c r="B1934" s="1" t="n">
        <v>44426</v>
      </c>
      <c r="C1934" s="1" t="n">
        <v>45705</v>
      </c>
      <c r="D1934" t="inlineStr">
        <is>
          <t>UPPSALA LÄN</t>
        </is>
      </c>
      <c r="E1934" t="inlineStr">
        <is>
          <t>UPPSALA</t>
        </is>
      </c>
      <c r="G1934" t="n">
        <v>6.3</v>
      </c>
      <c r="H1934" t="n">
        <v>0</v>
      </c>
      <c r="I1934" t="n">
        <v>0</v>
      </c>
      <c r="J1934" t="n">
        <v>0</v>
      </c>
      <c r="K1934" t="n">
        <v>0</v>
      </c>
      <c r="L1934" t="n">
        <v>0</v>
      </c>
      <c r="M1934" t="n">
        <v>0</v>
      </c>
      <c r="N1934" t="n">
        <v>0</v>
      </c>
      <c r="O1934" t="n">
        <v>0</v>
      </c>
      <c r="P1934" t="n">
        <v>0</v>
      </c>
      <c r="Q1934" t="n">
        <v>0</v>
      </c>
      <c r="R1934" s="2" t="inlineStr"/>
    </row>
    <row r="1935" ht="15" customHeight="1">
      <c r="A1935" t="inlineStr">
        <is>
          <t>A 42262-2021</t>
        </is>
      </c>
      <c r="B1935" s="1" t="n">
        <v>44427</v>
      </c>
      <c r="C1935" s="1" t="n">
        <v>45705</v>
      </c>
      <c r="D1935" t="inlineStr">
        <is>
          <t>UPPSALA LÄN</t>
        </is>
      </c>
      <c r="E1935" t="inlineStr">
        <is>
          <t>TIERP</t>
        </is>
      </c>
      <c r="F1935" t="inlineStr">
        <is>
          <t>Bergvik skog väst AB</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42294-2021</t>
        </is>
      </c>
      <c r="B1936" s="1" t="n">
        <v>44427</v>
      </c>
      <c r="C1936" s="1" t="n">
        <v>45705</v>
      </c>
      <c r="D1936" t="inlineStr">
        <is>
          <t>UPPSALA LÄN</t>
        </is>
      </c>
      <c r="E1936" t="inlineStr">
        <is>
          <t>UPPSALA</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42987-2021</t>
        </is>
      </c>
      <c r="B1937" s="1" t="n">
        <v>44431</v>
      </c>
      <c r="C1937" s="1" t="n">
        <v>45705</v>
      </c>
      <c r="D1937" t="inlineStr">
        <is>
          <t>UPPSALA LÄN</t>
        </is>
      </c>
      <c r="E1937" t="inlineStr">
        <is>
          <t>HEBY</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43016-2021</t>
        </is>
      </c>
      <c r="B1938" s="1" t="n">
        <v>44431</v>
      </c>
      <c r="C1938" s="1" t="n">
        <v>45705</v>
      </c>
      <c r="D1938" t="inlineStr">
        <is>
          <t>UPPSALA LÄN</t>
        </is>
      </c>
      <c r="E1938" t="inlineStr">
        <is>
          <t>ENKÖPING</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43020-2021</t>
        </is>
      </c>
      <c r="B1939" s="1" t="n">
        <v>44431</v>
      </c>
      <c r="C1939" s="1" t="n">
        <v>45705</v>
      </c>
      <c r="D1939" t="inlineStr">
        <is>
          <t>UPPSALA LÄN</t>
        </is>
      </c>
      <c r="E1939" t="inlineStr">
        <is>
          <t>TIERP</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43307-2021</t>
        </is>
      </c>
      <c r="B1940" s="1" t="n">
        <v>44431</v>
      </c>
      <c r="C1940" s="1" t="n">
        <v>45705</v>
      </c>
      <c r="D1940" t="inlineStr">
        <is>
          <t>UPPSALA LÄN</t>
        </is>
      </c>
      <c r="E1940" t="inlineStr">
        <is>
          <t>HEBY</t>
        </is>
      </c>
      <c r="G1940" t="n">
        <v>8</v>
      </c>
      <c r="H1940" t="n">
        <v>0</v>
      </c>
      <c r="I1940" t="n">
        <v>0</v>
      </c>
      <c r="J1940" t="n">
        <v>0</v>
      </c>
      <c r="K1940" t="n">
        <v>0</v>
      </c>
      <c r="L1940" t="n">
        <v>0</v>
      </c>
      <c r="M1940" t="n">
        <v>0</v>
      </c>
      <c r="N1940" t="n">
        <v>0</v>
      </c>
      <c r="O1940" t="n">
        <v>0</v>
      </c>
      <c r="P1940" t="n">
        <v>0</v>
      </c>
      <c r="Q1940" t="n">
        <v>0</v>
      </c>
      <c r="R1940" s="2" t="inlineStr"/>
    </row>
    <row r="1941" ht="15" customHeight="1">
      <c r="A1941" t="inlineStr">
        <is>
          <t>A 43179-2021</t>
        </is>
      </c>
      <c r="B1941" s="1" t="n">
        <v>44431</v>
      </c>
      <c r="C1941" s="1" t="n">
        <v>45705</v>
      </c>
      <c r="D1941" t="inlineStr">
        <is>
          <t>UPPSALA LÄN</t>
        </is>
      </c>
      <c r="E1941" t="inlineStr">
        <is>
          <t>HEBY</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43469-2021</t>
        </is>
      </c>
      <c r="B1942" s="1" t="n">
        <v>44432</v>
      </c>
      <c r="C1942" s="1" t="n">
        <v>45705</v>
      </c>
      <c r="D1942" t="inlineStr">
        <is>
          <t>UPPSALA LÄN</t>
        </is>
      </c>
      <c r="E1942" t="inlineStr">
        <is>
          <t>ÖSTHAMMAR</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43714-2021</t>
        </is>
      </c>
      <c r="B1943" s="1" t="n">
        <v>44433</v>
      </c>
      <c r="C1943" s="1" t="n">
        <v>45705</v>
      </c>
      <c r="D1943" t="inlineStr">
        <is>
          <t>UPPSALA LÄN</t>
        </is>
      </c>
      <c r="E1943" t="inlineStr">
        <is>
          <t>HEBY</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43957-2021</t>
        </is>
      </c>
      <c r="B1944" s="1" t="n">
        <v>44434</v>
      </c>
      <c r="C1944" s="1" t="n">
        <v>45705</v>
      </c>
      <c r="D1944" t="inlineStr">
        <is>
          <t>UPPSALA LÄN</t>
        </is>
      </c>
      <c r="E1944" t="inlineStr">
        <is>
          <t>HEBY</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44009-2021</t>
        </is>
      </c>
      <c r="B1945" s="1" t="n">
        <v>44434</v>
      </c>
      <c r="C1945" s="1" t="n">
        <v>45705</v>
      </c>
      <c r="D1945" t="inlineStr">
        <is>
          <t>UPPSALA LÄN</t>
        </is>
      </c>
      <c r="E1945" t="inlineStr">
        <is>
          <t>TIERP</t>
        </is>
      </c>
      <c r="F1945" t="inlineStr">
        <is>
          <t>Bergvik skog väst AB</t>
        </is>
      </c>
      <c r="G1945" t="n">
        <v>5.8</v>
      </c>
      <c r="H1945" t="n">
        <v>0</v>
      </c>
      <c r="I1945" t="n">
        <v>0</v>
      </c>
      <c r="J1945" t="n">
        <v>0</v>
      </c>
      <c r="K1945" t="n">
        <v>0</v>
      </c>
      <c r="L1945" t="n">
        <v>0</v>
      </c>
      <c r="M1945" t="n">
        <v>0</v>
      </c>
      <c r="N1945" t="n">
        <v>0</v>
      </c>
      <c r="O1945" t="n">
        <v>0</v>
      </c>
      <c r="P1945" t="n">
        <v>0</v>
      </c>
      <c r="Q1945" t="n">
        <v>0</v>
      </c>
      <c r="R1945" s="2" t="inlineStr"/>
    </row>
    <row r="1946" ht="15" customHeight="1">
      <c r="A1946" t="inlineStr">
        <is>
          <t>A 44315-2021</t>
        </is>
      </c>
      <c r="B1946" s="1" t="n">
        <v>44435</v>
      </c>
      <c r="C1946" s="1" t="n">
        <v>45705</v>
      </c>
      <c r="D1946" t="inlineStr">
        <is>
          <t>UPPSALA LÄN</t>
        </is>
      </c>
      <c r="E1946" t="inlineStr">
        <is>
          <t>UPPSALA</t>
        </is>
      </c>
      <c r="G1946" t="n">
        <v>5.2</v>
      </c>
      <c r="H1946" t="n">
        <v>0</v>
      </c>
      <c r="I1946" t="n">
        <v>0</v>
      </c>
      <c r="J1946" t="n">
        <v>0</v>
      </c>
      <c r="K1946" t="n">
        <v>0</v>
      </c>
      <c r="L1946" t="n">
        <v>0</v>
      </c>
      <c r="M1946" t="n">
        <v>0</v>
      </c>
      <c r="N1946" t="n">
        <v>0</v>
      </c>
      <c r="O1946" t="n">
        <v>0</v>
      </c>
      <c r="P1946" t="n">
        <v>0</v>
      </c>
      <c r="Q1946" t="n">
        <v>0</v>
      </c>
      <c r="R1946" s="2" t="inlineStr"/>
    </row>
    <row r="1947" ht="15" customHeight="1">
      <c r="A1947" t="inlineStr">
        <is>
          <t>A 44464-2021</t>
        </is>
      </c>
      <c r="B1947" s="1" t="n">
        <v>44435</v>
      </c>
      <c r="C1947" s="1" t="n">
        <v>45705</v>
      </c>
      <c r="D1947" t="inlineStr">
        <is>
          <t>UPPSALA LÄN</t>
        </is>
      </c>
      <c r="E1947" t="inlineStr">
        <is>
          <t>HEBY</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44727-2021</t>
        </is>
      </c>
      <c r="B1948" s="1" t="n">
        <v>44438</v>
      </c>
      <c r="C1948" s="1" t="n">
        <v>45705</v>
      </c>
      <c r="D1948" t="inlineStr">
        <is>
          <t>UPPSALA LÄN</t>
        </is>
      </c>
      <c r="E1948" t="inlineStr">
        <is>
          <t>ENKÖPING</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44690-2021</t>
        </is>
      </c>
      <c r="B1949" s="1" t="n">
        <v>44438</v>
      </c>
      <c r="C1949" s="1" t="n">
        <v>45705</v>
      </c>
      <c r="D1949" t="inlineStr">
        <is>
          <t>UPPSALA LÄN</t>
        </is>
      </c>
      <c r="E1949" t="inlineStr">
        <is>
          <t>TIERP</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44781-2021</t>
        </is>
      </c>
      <c r="B1950" s="1" t="n">
        <v>44438</v>
      </c>
      <c r="C1950" s="1" t="n">
        <v>45705</v>
      </c>
      <c r="D1950" t="inlineStr">
        <is>
          <t>UPPSALA LÄN</t>
        </is>
      </c>
      <c r="E1950" t="inlineStr">
        <is>
          <t>UPPSALA</t>
        </is>
      </c>
      <c r="F1950" t="inlineStr">
        <is>
          <t>Sveaskog</t>
        </is>
      </c>
      <c r="G1950" t="n">
        <v>0.1</v>
      </c>
      <c r="H1950" t="n">
        <v>0</v>
      </c>
      <c r="I1950" t="n">
        <v>0</v>
      </c>
      <c r="J1950" t="n">
        <v>0</v>
      </c>
      <c r="K1950" t="n">
        <v>0</v>
      </c>
      <c r="L1950" t="n">
        <v>0</v>
      </c>
      <c r="M1950" t="n">
        <v>0</v>
      </c>
      <c r="N1950" t="n">
        <v>0</v>
      </c>
      <c r="O1950" t="n">
        <v>0</v>
      </c>
      <c r="P1950" t="n">
        <v>0</v>
      </c>
      <c r="Q1950" t="n">
        <v>0</v>
      </c>
      <c r="R1950" s="2" t="inlineStr"/>
    </row>
    <row r="1951" ht="15" customHeight="1">
      <c r="A1951" t="inlineStr">
        <is>
          <t>A 45146-2021</t>
        </is>
      </c>
      <c r="B1951" s="1" t="n">
        <v>44439</v>
      </c>
      <c r="C1951" s="1" t="n">
        <v>45705</v>
      </c>
      <c r="D1951" t="inlineStr">
        <is>
          <t>UPPSALA LÄN</t>
        </is>
      </c>
      <c r="E1951" t="inlineStr">
        <is>
          <t>TIERP</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45217-2021</t>
        </is>
      </c>
      <c r="B1952" s="1" t="n">
        <v>44439</v>
      </c>
      <c r="C1952" s="1" t="n">
        <v>45705</v>
      </c>
      <c r="D1952" t="inlineStr">
        <is>
          <t>UPPSALA LÄN</t>
        </is>
      </c>
      <c r="E1952" t="inlineStr">
        <is>
          <t>TIERP</t>
        </is>
      </c>
      <c r="F1952" t="inlineStr">
        <is>
          <t>Bergvik skog öst AB</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45225-2021</t>
        </is>
      </c>
      <c r="B1953" s="1" t="n">
        <v>44439</v>
      </c>
      <c r="C1953" s="1" t="n">
        <v>45705</v>
      </c>
      <c r="D1953" t="inlineStr">
        <is>
          <t>UPPSALA LÄN</t>
        </is>
      </c>
      <c r="E1953" t="inlineStr">
        <is>
          <t>TIERP</t>
        </is>
      </c>
      <c r="F1953" t="inlineStr">
        <is>
          <t>Bergvik skog öst AB</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45579-2021</t>
        </is>
      </c>
      <c r="B1954" s="1" t="n">
        <v>44440</v>
      </c>
      <c r="C1954" s="1" t="n">
        <v>45705</v>
      </c>
      <c r="D1954" t="inlineStr">
        <is>
          <t>UPPSALA LÄN</t>
        </is>
      </c>
      <c r="E1954" t="inlineStr">
        <is>
          <t>TIERP</t>
        </is>
      </c>
      <c r="F1954" t="inlineStr">
        <is>
          <t>Bergvik skog väst AB</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45993-2021</t>
        </is>
      </c>
      <c r="B1955" s="1" t="n">
        <v>44441</v>
      </c>
      <c r="C1955" s="1" t="n">
        <v>45705</v>
      </c>
      <c r="D1955" t="inlineStr">
        <is>
          <t>UPPSALA LÄN</t>
        </is>
      </c>
      <c r="E1955" t="inlineStr">
        <is>
          <t>TIERP</t>
        </is>
      </c>
      <c r="F1955" t="inlineStr">
        <is>
          <t>Bergvik skog väst AB</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45964-2021</t>
        </is>
      </c>
      <c r="B1956" s="1" t="n">
        <v>44441</v>
      </c>
      <c r="C1956" s="1" t="n">
        <v>45705</v>
      </c>
      <c r="D1956" t="inlineStr">
        <is>
          <t>UPPSALA LÄN</t>
        </is>
      </c>
      <c r="E1956" t="inlineStr">
        <is>
          <t>HEBY</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46097-2021</t>
        </is>
      </c>
      <c r="B1957" s="1" t="n">
        <v>44442</v>
      </c>
      <c r="C1957" s="1" t="n">
        <v>45705</v>
      </c>
      <c r="D1957" t="inlineStr">
        <is>
          <t>UPPSALA LÄN</t>
        </is>
      </c>
      <c r="E1957" t="inlineStr">
        <is>
          <t>UPPSALA</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46099-2021</t>
        </is>
      </c>
      <c r="B1958" s="1" t="n">
        <v>44442</v>
      </c>
      <c r="C1958" s="1" t="n">
        <v>45705</v>
      </c>
      <c r="D1958" t="inlineStr">
        <is>
          <t>UPPSALA LÄN</t>
        </is>
      </c>
      <c r="E1958" t="inlineStr">
        <is>
          <t>UPPSALA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46560-2021</t>
        </is>
      </c>
      <c r="B1959" s="1" t="n">
        <v>44445</v>
      </c>
      <c r="C1959" s="1" t="n">
        <v>45705</v>
      </c>
      <c r="D1959" t="inlineStr">
        <is>
          <t>UPPSALA LÄN</t>
        </is>
      </c>
      <c r="E1959" t="inlineStr">
        <is>
          <t>HEBY</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46553-2021</t>
        </is>
      </c>
      <c r="B1960" s="1" t="n">
        <v>44445</v>
      </c>
      <c r="C1960" s="1" t="n">
        <v>45705</v>
      </c>
      <c r="D1960" t="inlineStr">
        <is>
          <t>UPPSALA LÄN</t>
        </is>
      </c>
      <c r="E1960" t="inlineStr">
        <is>
          <t>UPPSALA</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46920-2021</t>
        </is>
      </c>
      <c r="B1961" s="1" t="n">
        <v>44446</v>
      </c>
      <c r="C1961" s="1" t="n">
        <v>45705</v>
      </c>
      <c r="D1961" t="inlineStr">
        <is>
          <t>UPPSALA LÄN</t>
        </is>
      </c>
      <c r="E1961" t="inlineStr">
        <is>
          <t>UPPSALA</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46916-2021</t>
        </is>
      </c>
      <c r="B1962" s="1" t="n">
        <v>44446</v>
      </c>
      <c r="C1962" s="1" t="n">
        <v>45705</v>
      </c>
      <c r="D1962" t="inlineStr">
        <is>
          <t>UPPSALA LÄN</t>
        </is>
      </c>
      <c r="E1962" t="inlineStr">
        <is>
          <t>UPPSALA</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46976-2021</t>
        </is>
      </c>
      <c r="B1963" s="1" t="n">
        <v>44446</v>
      </c>
      <c r="C1963" s="1" t="n">
        <v>45705</v>
      </c>
      <c r="D1963" t="inlineStr">
        <is>
          <t>UPPSALA LÄN</t>
        </is>
      </c>
      <c r="E1963" t="inlineStr">
        <is>
          <t>TIERP</t>
        </is>
      </c>
      <c r="F1963" t="inlineStr">
        <is>
          <t>Bergvik skog väst AB</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47106-2021</t>
        </is>
      </c>
      <c r="B1964" s="1" t="n">
        <v>44446</v>
      </c>
      <c r="C1964" s="1" t="n">
        <v>45705</v>
      </c>
      <c r="D1964" t="inlineStr">
        <is>
          <t>UPPSALA LÄN</t>
        </is>
      </c>
      <c r="E1964" t="inlineStr">
        <is>
          <t>ENKÖPING</t>
        </is>
      </c>
      <c r="G1964" t="n">
        <v>7.6</v>
      </c>
      <c r="H1964" t="n">
        <v>0</v>
      </c>
      <c r="I1964" t="n">
        <v>0</v>
      </c>
      <c r="J1964" t="n">
        <v>0</v>
      </c>
      <c r="K1964" t="n">
        <v>0</v>
      </c>
      <c r="L1964" t="n">
        <v>0</v>
      </c>
      <c r="M1964" t="n">
        <v>0</v>
      </c>
      <c r="N1964" t="n">
        <v>0</v>
      </c>
      <c r="O1964" t="n">
        <v>0</v>
      </c>
      <c r="P1964" t="n">
        <v>0</v>
      </c>
      <c r="Q1964" t="n">
        <v>0</v>
      </c>
      <c r="R1964" s="2" t="inlineStr"/>
    </row>
    <row r="1965" ht="15" customHeight="1">
      <c r="A1965" t="inlineStr">
        <is>
          <t>A 47367-2021</t>
        </is>
      </c>
      <c r="B1965" s="1" t="n">
        <v>44447</v>
      </c>
      <c r="C1965" s="1" t="n">
        <v>45705</v>
      </c>
      <c r="D1965" t="inlineStr">
        <is>
          <t>UPPSALA LÄN</t>
        </is>
      </c>
      <c r="E1965" t="inlineStr">
        <is>
          <t>UPPSALA</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47226-2021</t>
        </is>
      </c>
      <c r="B1966" s="1" t="n">
        <v>44447</v>
      </c>
      <c r="C1966" s="1" t="n">
        <v>45705</v>
      </c>
      <c r="D1966" t="inlineStr">
        <is>
          <t>UPPSALA LÄN</t>
        </is>
      </c>
      <c r="E1966" t="inlineStr">
        <is>
          <t>ÄLVKARLEBY</t>
        </is>
      </c>
      <c r="F1966" t="inlineStr">
        <is>
          <t>Bergvik skog väst AB</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47652-2021</t>
        </is>
      </c>
      <c r="B1967" s="1" t="n">
        <v>44448</v>
      </c>
      <c r="C1967" s="1" t="n">
        <v>45705</v>
      </c>
      <c r="D1967" t="inlineStr">
        <is>
          <t>UPPSALA LÄN</t>
        </is>
      </c>
      <c r="E1967" t="inlineStr">
        <is>
          <t>KNIVSTA</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47654-2021</t>
        </is>
      </c>
      <c r="B1968" s="1" t="n">
        <v>44448</v>
      </c>
      <c r="C1968" s="1" t="n">
        <v>45705</v>
      </c>
      <c r="D1968" t="inlineStr">
        <is>
          <t>UPPSALA LÄN</t>
        </is>
      </c>
      <c r="E1968" t="inlineStr">
        <is>
          <t>KNIVSTA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48308-2021</t>
        </is>
      </c>
      <c r="B1969" s="1" t="n">
        <v>44450</v>
      </c>
      <c r="C1969" s="1" t="n">
        <v>45705</v>
      </c>
      <c r="D1969" t="inlineStr">
        <is>
          <t>UPPSALA LÄN</t>
        </is>
      </c>
      <c r="E1969" t="inlineStr">
        <is>
          <t>ÖSTHAMMAR</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48455-2021</t>
        </is>
      </c>
      <c r="B1970" s="1" t="n">
        <v>44452</v>
      </c>
      <c r="C1970" s="1" t="n">
        <v>45705</v>
      </c>
      <c r="D1970" t="inlineStr">
        <is>
          <t>UPPSALA LÄN</t>
        </is>
      </c>
      <c r="E1970" t="inlineStr">
        <is>
          <t>TIERP</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48536-2021</t>
        </is>
      </c>
      <c r="B1971" s="1" t="n">
        <v>44452</v>
      </c>
      <c r="C1971" s="1" t="n">
        <v>45705</v>
      </c>
      <c r="D1971" t="inlineStr">
        <is>
          <t>UPPSALA LÄN</t>
        </is>
      </c>
      <c r="E1971" t="inlineStr">
        <is>
          <t>TIERP</t>
        </is>
      </c>
      <c r="F1971" t="inlineStr">
        <is>
          <t>Bergvik skog väst AB</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48485-2021</t>
        </is>
      </c>
      <c r="B1972" s="1" t="n">
        <v>44452</v>
      </c>
      <c r="C1972" s="1" t="n">
        <v>45705</v>
      </c>
      <c r="D1972" t="inlineStr">
        <is>
          <t>UPPSALA LÄN</t>
        </is>
      </c>
      <c r="E1972" t="inlineStr">
        <is>
          <t>TIERP</t>
        </is>
      </c>
      <c r="F1972" t="inlineStr">
        <is>
          <t>Bergvik skog väst AB</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48759-2021</t>
        </is>
      </c>
      <c r="B1973" s="1" t="n">
        <v>44452</v>
      </c>
      <c r="C1973" s="1" t="n">
        <v>45705</v>
      </c>
      <c r="D1973" t="inlineStr">
        <is>
          <t>UPPSALA LÄN</t>
        </is>
      </c>
      <c r="E1973" t="inlineStr">
        <is>
          <t>HEBY</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48880-2021</t>
        </is>
      </c>
      <c r="B1974" s="1" t="n">
        <v>44452</v>
      </c>
      <c r="C1974" s="1" t="n">
        <v>45705</v>
      </c>
      <c r="D1974" t="inlineStr">
        <is>
          <t>UPPSALA LÄN</t>
        </is>
      </c>
      <c r="E1974" t="inlineStr">
        <is>
          <t>TIERP</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48970-2021</t>
        </is>
      </c>
      <c r="B1975" s="1" t="n">
        <v>44453</v>
      </c>
      <c r="C1975" s="1" t="n">
        <v>45705</v>
      </c>
      <c r="D1975" t="inlineStr">
        <is>
          <t>UPPSALA LÄN</t>
        </is>
      </c>
      <c r="E1975" t="inlineStr">
        <is>
          <t>TIERP</t>
        </is>
      </c>
      <c r="G1975" t="n">
        <v>4.5</v>
      </c>
      <c r="H1975" t="n">
        <v>0</v>
      </c>
      <c r="I1975" t="n">
        <v>0</v>
      </c>
      <c r="J1975" t="n">
        <v>0</v>
      </c>
      <c r="K1975" t="n">
        <v>0</v>
      </c>
      <c r="L1975" t="n">
        <v>0</v>
      </c>
      <c r="M1975" t="n">
        <v>0</v>
      </c>
      <c r="N1975" t="n">
        <v>0</v>
      </c>
      <c r="O1975" t="n">
        <v>0</v>
      </c>
      <c r="P1975" t="n">
        <v>0</v>
      </c>
      <c r="Q1975" t="n">
        <v>0</v>
      </c>
      <c r="R1975" s="2" t="inlineStr"/>
    </row>
    <row r="1976" ht="15" customHeight="1">
      <c r="A1976" t="inlineStr">
        <is>
          <t>A 48981-2021</t>
        </is>
      </c>
      <c r="B1976" s="1" t="n">
        <v>44453</v>
      </c>
      <c r="C1976" s="1" t="n">
        <v>45705</v>
      </c>
      <c r="D1976" t="inlineStr">
        <is>
          <t>UPPSALA LÄN</t>
        </is>
      </c>
      <c r="E1976" t="inlineStr">
        <is>
          <t>ENKÖPING</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48918-2021</t>
        </is>
      </c>
      <c r="B1977" s="1" t="n">
        <v>44453</v>
      </c>
      <c r="C1977" s="1" t="n">
        <v>45705</v>
      </c>
      <c r="D1977" t="inlineStr">
        <is>
          <t>UPPSALA LÄN</t>
        </is>
      </c>
      <c r="E1977" t="inlineStr">
        <is>
          <t>UPPSALA</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48982-2021</t>
        </is>
      </c>
      <c r="B1978" s="1" t="n">
        <v>44453</v>
      </c>
      <c r="C1978" s="1" t="n">
        <v>45705</v>
      </c>
      <c r="D1978" t="inlineStr">
        <is>
          <t>UPPSALA LÄN</t>
        </is>
      </c>
      <c r="E1978" t="inlineStr">
        <is>
          <t>TIERP</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49053-2021</t>
        </is>
      </c>
      <c r="B1979" s="1" t="n">
        <v>44453</v>
      </c>
      <c r="C1979" s="1" t="n">
        <v>45705</v>
      </c>
      <c r="D1979" t="inlineStr">
        <is>
          <t>UPPSALA LÄN</t>
        </is>
      </c>
      <c r="E1979" t="inlineStr">
        <is>
          <t>TIERP</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49061-2021</t>
        </is>
      </c>
      <c r="B1980" s="1" t="n">
        <v>44453</v>
      </c>
      <c r="C1980" s="1" t="n">
        <v>45705</v>
      </c>
      <c r="D1980" t="inlineStr">
        <is>
          <t>UPPSALA LÄN</t>
        </is>
      </c>
      <c r="E1980" t="inlineStr">
        <is>
          <t>TIERP</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49274-2021</t>
        </is>
      </c>
      <c r="B1981" s="1" t="n">
        <v>44454</v>
      </c>
      <c r="C1981" s="1" t="n">
        <v>45705</v>
      </c>
      <c r="D1981" t="inlineStr">
        <is>
          <t>UPPSALA LÄN</t>
        </is>
      </c>
      <c r="E1981" t="inlineStr">
        <is>
          <t>UPPSALA</t>
        </is>
      </c>
      <c r="G1981" t="n">
        <v>8.5</v>
      </c>
      <c r="H1981" t="n">
        <v>0</v>
      </c>
      <c r="I1981" t="n">
        <v>0</v>
      </c>
      <c r="J1981" t="n">
        <v>0</v>
      </c>
      <c r="K1981" t="n">
        <v>0</v>
      </c>
      <c r="L1981" t="n">
        <v>0</v>
      </c>
      <c r="M1981" t="n">
        <v>0</v>
      </c>
      <c r="N1981" t="n">
        <v>0</v>
      </c>
      <c r="O1981" t="n">
        <v>0</v>
      </c>
      <c r="P1981" t="n">
        <v>0</v>
      </c>
      <c r="Q1981" t="n">
        <v>0</v>
      </c>
      <c r="R1981" s="2" t="inlineStr"/>
    </row>
    <row r="1982" ht="15" customHeight="1">
      <c r="A1982" t="inlineStr">
        <is>
          <t>A 49352-2021</t>
        </is>
      </c>
      <c r="B1982" s="1" t="n">
        <v>44454</v>
      </c>
      <c r="C1982" s="1" t="n">
        <v>45705</v>
      </c>
      <c r="D1982" t="inlineStr">
        <is>
          <t>UPPSALA LÄN</t>
        </is>
      </c>
      <c r="E1982" t="inlineStr">
        <is>
          <t>HEBY</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49375-2021</t>
        </is>
      </c>
      <c r="B1983" s="1" t="n">
        <v>44454</v>
      </c>
      <c r="C1983" s="1" t="n">
        <v>45705</v>
      </c>
      <c r="D1983" t="inlineStr">
        <is>
          <t>UPPSALA LÄN</t>
        </is>
      </c>
      <c r="E1983" t="inlineStr">
        <is>
          <t>ENKÖPING</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49525-2021</t>
        </is>
      </c>
      <c r="B1984" s="1" t="n">
        <v>44455</v>
      </c>
      <c r="C1984" s="1" t="n">
        <v>45705</v>
      </c>
      <c r="D1984" t="inlineStr">
        <is>
          <t>UPPSALA LÄN</t>
        </is>
      </c>
      <c r="E1984" t="inlineStr">
        <is>
          <t>ENKÖPING</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50541-2021</t>
        </is>
      </c>
      <c r="B1985" s="1" t="n">
        <v>44459</v>
      </c>
      <c r="C1985" s="1" t="n">
        <v>45705</v>
      </c>
      <c r="D1985" t="inlineStr">
        <is>
          <t>UPPSALA LÄN</t>
        </is>
      </c>
      <c r="E1985" t="inlineStr">
        <is>
          <t>HEBY</t>
        </is>
      </c>
      <c r="G1985" t="n">
        <v>5.8</v>
      </c>
      <c r="H1985" t="n">
        <v>0</v>
      </c>
      <c r="I1985" t="n">
        <v>0</v>
      </c>
      <c r="J1985" t="n">
        <v>0</v>
      </c>
      <c r="K1985" t="n">
        <v>0</v>
      </c>
      <c r="L1985" t="n">
        <v>0</v>
      </c>
      <c r="M1985" t="n">
        <v>0</v>
      </c>
      <c r="N1985" t="n">
        <v>0</v>
      </c>
      <c r="O1985" t="n">
        <v>0</v>
      </c>
      <c r="P1985" t="n">
        <v>0</v>
      </c>
      <c r="Q1985" t="n">
        <v>0</v>
      </c>
      <c r="R1985" s="2" t="inlineStr"/>
    </row>
    <row r="1986" ht="15" customHeight="1">
      <c r="A1986" t="inlineStr">
        <is>
          <t>A 50546-2021</t>
        </is>
      </c>
      <c r="B1986" s="1" t="n">
        <v>44459</v>
      </c>
      <c r="C1986" s="1" t="n">
        <v>45705</v>
      </c>
      <c r="D1986" t="inlineStr">
        <is>
          <t>UPPSALA LÄN</t>
        </is>
      </c>
      <c r="E1986" t="inlineStr">
        <is>
          <t>HEBY</t>
        </is>
      </c>
      <c r="G1986" t="n">
        <v>4.9</v>
      </c>
      <c r="H1986" t="n">
        <v>0</v>
      </c>
      <c r="I1986" t="n">
        <v>0</v>
      </c>
      <c r="J1986" t="n">
        <v>0</v>
      </c>
      <c r="K1986" t="n">
        <v>0</v>
      </c>
      <c r="L1986" t="n">
        <v>0</v>
      </c>
      <c r="M1986" t="n">
        <v>0</v>
      </c>
      <c r="N1986" t="n">
        <v>0</v>
      </c>
      <c r="O1986" t="n">
        <v>0</v>
      </c>
      <c r="P1986" t="n">
        <v>0</v>
      </c>
      <c r="Q1986" t="n">
        <v>0</v>
      </c>
      <c r="R1986" s="2" t="inlineStr"/>
    </row>
    <row r="1987" ht="15" customHeight="1">
      <c r="A1987" t="inlineStr">
        <is>
          <t>A 51050-2021</t>
        </is>
      </c>
      <c r="B1987" s="1" t="n">
        <v>44459</v>
      </c>
      <c r="C1987" s="1" t="n">
        <v>45705</v>
      </c>
      <c r="D1987" t="inlineStr">
        <is>
          <t>UPPSALA LÄN</t>
        </is>
      </c>
      <c r="E1987" t="inlineStr">
        <is>
          <t>UPPSALA</t>
        </is>
      </c>
      <c r="F1987" t="inlineStr">
        <is>
          <t>Övriga Aktiebolag</t>
        </is>
      </c>
      <c r="G1987" t="n">
        <v>7.5</v>
      </c>
      <c r="H1987" t="n">
        <v>0</v>
      </c>
      <c r="I1987" t="n">
        <v>0</v>
      </c>
      <c r="J1987" t="n">
        <v>0</v>
      </c>
      <c r="K1987" t="n">
        <v>0</v>
      </c>
      <c r="L1987" t="n">
        <v>0</v>
      </c>
      <c r="M1987" t="n">
        <v>0</v>
      </c>
      <c r="N1987" t="n">
        <v>0</v>
      </c>
      <c r="O1987" t="n">
        <v>0</v>
      </c>
      <c r="P1987" t="n">
        <v>0</v>
      </c>
      <c r="Q1987" t="n">
        <v>0</v>
      </c>
      <c r="R1987" s="2" t="inlineStr"/>
    </row>
    <row r="1988" ht="15" customHeight="1">
      <c r="A1988" t="inlineStr">
        <is>
          <t>A 50893-2021</t>
        </is>
      </c>
      <c r="B1988" s="1" t="n">
        <v>44460</v>
      </c>
      <c r="C1988" s="1" t="n">
        <v>45705</v>
      </c>
      <c r="D1988" t="inlineStr">
        <is>
          <t>UPPSALA LÄN</t>
        </is>
      </c>
      <c r="E1988" t="inlineStr">
        <is>
          <t>ENKÖPING</t>
        </is>
      </c>
      <c r="G1988" t="n">
        <v>7.3</v>
      </c>
      <c r="H1988" t="n">
        <v>0</v>
      </c>
      <c r="I1988" t="n">
        <v>0</v>
      </c>
      <c r="J1988" t="n">
        <v>0</v>
      </c>
      <c r="K1988" t="n">
        <v>0</v>
      </c>
      <c r="L1988" t="n">
        <v>0</v>
      </c>
      <c r="M1988" t="n">
        <v>0</v>
      </c>
      <c r="N1988" t="n">
        <v>0</v>
      </c>
      <c r="O1988" t="n">
        <v>0</v>
      </c>
      <c r="P1988" t="n">
        <v>0</v>
      </c>
      <c r="Q1988" t="n">
        <v>0</v>
      </c>
      <c r="R1988" s="2" t="inlineStr"/>
    </row>
    <row r="1989" ht="15" customHeight="1">
      <c r="A1989" t="inlineStr">
        <is>
          <t>A 51010-2021</t>
        </is>
      </c>
      <c r="B1989" s="1" t="n">
        <v>44460</v>
      </c>
      <c r="C1989" s="1" t="n">
        <v>45705</v>
      </c>
      <c r="D1989" t="inlineStr">
        <is>
          <t>UPPSALA LÄN</t>
        </is>
      </c>
      <c r="E1989" t="inlineStr">
        <is>
          <t>ÖSTHAMMAR</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51412-2021</t>
        </is>
      </c>
      <c r="B1990" s="1" t="n">
        <v>44461</v>
      </c>
      <c r="C1990" s="1" t="n">
        <v>45705</v>
      </c>
      <c r="D1990" t="inlineStr">
        <is>
          <t>UPPSALA LÄN</t>
        </is>
      </c>
      <c r="E1990" t="inlineStr">
        <is>
          <t>ÖSTHAMMAR</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51364-2021</t>
        </is>
      </c>
      <c r="B1991" s="1" t="n">
        <v>44461</v>
      </c>
      <c r="C1991" s="1" t="n">
        <v>45705</v>
      </c>
      <c r="D1991" t="inlineStr">
        <is>
          <t>UPPSALA LÄN</t>
        </is>
      </c>
      <c r="E1991" t="inlineStr">
        <is>
          <t>ÖSTHAMMAR</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51821-2021</t>
        </is>
      </c>
      <c r="B1992" s="1" t="n">
        <v>44461</v>
      </c>
      <c r="C1992" s="1" t="n">
        <v>45705</v>
      </c>
      <c r="D1992" t="inlineStr">
        <is>
          <t>UPPSALA LÄN</t>
        </is>
      </c>
      <c r="E1992" t="inlineStr">
        <is>
          <t>UPPSALA</t>
        </is>
      </c>
      <c r="F1992" t="inlineStr">
        <is>
          <t>Övriga Aktiebolag</t>
        </is>
      </c>
      <c r="G1992" t="n">
        <v>5.3</v>
      </c>
      <c r="H1992" t="n">
        <v>0</v>
      </c>
      <c r="I1992" t="n">
        <v>0</v>
      </c>
      <c r="J1992" t="n">
        <v>0</v>
      </c>
      <c r="K1992" t="n">
        <v>0</v>
      </c>
      <c r="L1992" t="n">
        <v>0</v>
      </c>
      <c r="M1992" t="n">
        <v>0</v>
      </c>
      <c r="N1992" t="n">
        <v>0</v>
      </c>
      <c r="O1992" t="n">
        <v>0</v>
      </c>
      <c r="P1992" t="n">
        <v>0</v>
      </c>
      <c r="Q1992" t="n">
        <v>0</v>
      </c>
      <c r="R1992" s="2" t="inlineStr"/>
    </row>
    <row r="1993" ht="15" customHeight="1">
      <c r="A1993" t="inlineStr">
        <is>
          <t>A 51396-2021</t>
        </is>
      </c>
      <c r="B1993" s="1" t="n">
        <v>44461</v>
      </c>
      <c r="C1993" s="1" t="n">
        <v>45705</v>
      </c>
      <c r="D1993" t="inlineStr">
        <is>
          <t>UPPSALA LÄN</t>
        </is>
      </c>
      <c r="E1993" t="inlineStr">
        <is>
          <t>UPPSALA</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51612-2021</t>
        </is>
      </c>
      <c r="B1994" s="1" t="n">
        <v>44462</v>
      </c>
      <c r="C1994" s="1" t="n">
        <v>45705</v>
      </c>
      <c r="D1994" t="inlineStr">
        <is>
          <t>UPPSALA LÄN</t>
        </is>
      </c>
      <c r="E1994" t="inlineStr">
        <is>
          <t>ÖSTHAMMAR</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52083-2021</t>
        </is>
      </c>
      <c r="B1995" s="1" t="n">
        <v>44463</v>
      </c>
      <c r="C1995" s="1" t="n">
        <v>45705</v>
      </c>
      <c r="D1995" t="inlineStr">
        <is>
          <t>UPPSALA LÄN</t>
        </is>
      </c>
      <c r="E1995" t="inlineStr">
        <is>
          <t>UPPSALA</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52014-2021</t>
        </is>
      </c>
      <c r="B1996" s="1" t="n">
        <v>44463</v>
      </c>
      <c r="C1996" s="1" t="n">
        <v>45705</v>
      </c>
      <c r="D1996" t="inlineStr">
        <is>
          <t>UPPSALA LÄN</t>
        </is>
      </c>
      <c r="E1996" t="inlineStr">
        <is>
          <t>ENKÖPING</t>
        </is>
      </c>
      <c r="G1996" t="n">
        <v>5.8</v>
      </c>
      <c r="H1996" t="n">
        <v>0</v>
      </c>
      <c r="I1996" t="n">
        <v>0</v>
      </c>
      <c r="J1996" t="n">
        <v>0</v>
      </c>
      <c r="K1996" t="n">
        <v>0</v>
      </c>
      <c r="L1996" t="n">
        <v>0</v>
      </c>
      <c r="M1996" t="n">
        <v>0</v>
      </c>
      <c r="N1996" t="n">
        <v>0</v>
      </c>
      <c r="O1996" t="n">
        <v>0</v>
      </c>
      <c r="P1996" t="n">
        <v>0</v>
      </c>
      <c r="Q1996" t="n">
        <v>0</v>
      </c>
      <c r="R1996" s="2" t="inlineStr"/>
    </row>
    <row r="1997" ht="15" customHeight="1">
      <c r="A1997" t="inlineStr">
        <is>
          <t>A 52025-2021</t>
        </is>
      </c>
      <c r="B1997" s="1" t="n">
        <v>44463</v>
      </c>
      <c r="C1997" s="1" t="n">
        <v>45705</v>
      </c>
      <c r="D1997" t="inlineStr">
        <is>
          <t>UPPSALA LÄN</t>
        </is>
      </c>
      <c r="E1997" t="inlineStr">
        <is>
          <t>TIERP</t>
        </is>
      </c>
      <c r="F1997" t="inlineStr">
        <is>
          <t>Bergvik skog öst AB</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52424-2021</t>
        </is>
      </c>
      <c r="B1998" s="1" t="n">
        <v>44466</v>
      </c>
      <c r="C1998" s="1" t="n">
        <v>45705</v>
      </c>
      <c r="D1998" t="inlineStr">
        <is>
          <t>UPPSALA LÄN</t>
        </is>
      </c>
      <c r="E1998" t="inlineStr">
        <is>
          <t>HEBY</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52659-2021</t>
        </is>
      </c>
      <c r="B1999" s="1" t="n">
        <v>44466</v>
      </c>
      <c r="C1999" s="1" t="n">
        <v>45705</v>
      </c>
      <c r="D1999" t="inlineStr">
        <is>
          <t>UPPSALA LÄN</t>
        </is>
      </c>
      <c r="E1999" t="inlineStr">
        <is>
          <t>ÖSTHAMMAR</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52544-2021</t>
        </is>
      </c>
      <c r="B2000" s="1" t="n">
        <v>44466</v>
      </c>
      <c r="C2000" s="1" t="n">
        <v>45705</v>
      </c>
      <c r="D2000" t="inlineStr">
        <is>
          <t>UPPSALA LÄN</t>
        </is>
      </c>
      <c r="E2000" t="inlineStr">
        <is>
          <t>ÖSTHAMMAR</t>
        </is>
      </c>
      <c r="F2000" t="inlineStr">
        <is>
          <t>Bergvik skog väst AB</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53067-2021</t>
        </is>
      </c>
      <c r="B2001" s="1" t="n">
        <v>44467</v>
      </c>
      <c r="C2001" s="1" t="n">
        <v>45705</v>
      </c>
      <c r="D2001" t="inlineStr">
        <is>
          <t>UPPSALA LÄN</t>
        </is>
      </c>
      <c r="E2001" t="inlineStr">
        <is>
          <t>HEBY</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52898-2021</t>
        </is>
      </c>
      <c r="B2002" s="1" t="n">
        <v>44467</v>
      </c>
      <c r="C2002" s="1" t="n">
        <v>45705</v>
      </c>
      <c r="D2002" t="inlineStr">
        <is>
          <t>UPPSALA LÄN</t>
        </is>
      </c>
      <c r="E2002" t="inlineStr">
        <is>
          <t>ÖSTHAMMAR</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53666-2021</t>
        </is>
      </c>
      <c r="B2003" s="1" t="n">
        <v>44469</v>
      </c>
      <c r="C2003" s="1" t="n">
        <v>45705</v>
      </c>
      <c r="D2003" t="inlineStr">
        <is>
          <t>UPPSALA LÄN</t>
        </is>
      </c>
      <c r="E2003" t="inlineStr">
        <is>
          <t>TIERP</t>
        </is>
      </c>
      <c r="F2003" t="inlineStr">
        <is>
          <t>Bergvik skog öst AB</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53766-2021</t>
        </is>
      </c>
      <c r="B2004" s="1" t="n">
        <v>44469</v>
      </c>
      <c r="C2004" s="1" t="n">
        <v>45705</v>
      </c>
      <c r="D2004" t="inlineStr">
        <is>
          <t>UPPSALA LÄN</t>
        </is>
      </c>
      <c r="E2004" t="inlineStr">
        <is>
          <t>TIERP</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53751-2021</t>
        </is>
      </c>
      <c r="B2005" s="1" t="n">
        <v>44469</v>
      </c>
      <c r="C2005" s="1" t="n">
        <v>45705</v>
      </c>
      <c r="D2005" t="inlineStr">
        <is>
          <t>UPPSALA LÄN</t>
        </is>
      </c>
      <c r="E2005" t="inlineStr">
        <is>
          <t>TIERP</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54168-2021</t>
        </is>
      </c>
      <c r="B2006" s="1" t="n">
        <v>44470</v>
      </c>
      <c r="C2006" s="1" t="n">
        <v>45705</v>
      </c>
      <c r="D2006" t="inlineStr">
        <is>
          <t>UPPSALA LÄN</t>
        </is>
      </c>
      <c r="E2006" t="inlineStr">
        <is>
          <t>UPPSALA</t>
        </is>
      </c>
      <c r="G2006" t="n">
        <v>7.5</v>
      </c>
      <c r="H2006" t="n">
        <v>0</v>
      </c>
      <c r="I2006" t="n">
        <v>0</v>
      </c>
      <c r="J2006" t="n">
        <v>0</v>
      </c>
      <c r="K2006" t="n">
        <v>0</v>
      </c>
      <c r="L2006" t="n">
        <v>0</v>
      </c>
      <c r="M2006" t="n">
        <v>0</v>
      </c>
      <c r="N2006" t="n">
        <v>0</v>
      </c>
      <c r="O2006" t="n">
        <v>0</v>
      </c>
      <c r="P2006" t="n">
        <v>0</v>
      </c>
      <c r="Q2006" t="n">
        <v>0</v>
      </c>
      <c r="R2006" s="2" t="inlineStr"/>
    </row>
    <row r="2007" ht="15" customHeight="1">
      <c r="A2007" t="inlineStr">
        <is>
          <t>A 54155-2021</t>
        </is>
      </c>
      <c r="B2007" s="1" t="n">
        <v>44470</v>
      </c>
      <c r="C2007" s="1" t="n">
        <v>45705</v>
      </c>
      <c r="D2007" t="inlineStr">
        <is>
          <t>UPPSALA LÄN</t>
        </is>
      </c>
      <c r="E2007" t="inlineStr">
        <is>
          <t>KNIVSTA</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54433-2021</t>
        </is>
      </c>
      <c r="B2008" s="1" t="n">
        <v>44473</v>
      </c>
      <c r="C2008" s="1" t="n">
        <v>45705</v>
      </c>
      <c r="D2008" t="inlineStr">
        <is>
          <t>UPPSALA LÄN</t>
        </is>
      </c>
      <c r="E2008" t="inlineStr">
        <is>
          <t>ENKÖPING</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54595-2021</t>
        </is>
      </c>
      <c r="B2009" s="1" t="n">
        <v>44473</v>
      </c>
      <c r="C2009" s="1" t="n">
        <v>45705</v>
      </c>
      <c r="D2009" t="inlineStr">
        <is>
          <t>UPPSALA LÄN</t>
        </is>
      </c>
      <c r="E2009" t="inlineStr">
        <is>
          <t>ENKÖPING</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54890-2021</t>
        </is>
      </c>
      <c r="B2010" s="1" t="n">
        <v>44473</v>
      </c>
      <c r="C2010" s="1" t="n">
        <v>45705</v>
      </c>
      <c r="D2010" t="inlineStr">
        <is>
          <t>UPPSALA LÄN</t>
        </is>
      </c>
      <c r="E2010" t="inlineStr">
        <is>
          <t>HÅBO</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55026-2021</t>
        </is>
      </c>
      <c r="B2011" s="1" t="n">
        <v>44474</v>
      </c>
      <c r="C2011" s="1" t="n">
        <v>45705</v>
      </c>
      <c r="D2011" t="inlineStr">
        <is>
          <t>UPPSALA LÄN</t>
        </is>
      </c>
      <c r="E2011" t="inlineStr">
        <is>
          <t>TIERP</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55582-2021</t>
        </is>
      </c>
      <c r="B2012" s="1" t="n">
        <v>44475</v>
      </c>
      <c r="C2012" s="1" t="n">
        <v>45705</v>
      </c>
      <c r="D2012" t="inlineStr">
        <is>
          <t>UPPSALA LÄN</t>
        </is>
      </c>
      <c r="E2012" t="inlineStr">
        <is>
          <t>ENKÖPING</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55646-2021</t>
        </is>
      </c>
      <c r="B2013" s="1" t="n">
        <v>44476</v>
      </c>
      <c r="C2013" s="1" t="n">
        <v>45705</v>
      </c>
      <c r="D2013" t="inlineStr">
        <is>
          <t>UPPSALA LÄN</t>
        </is>
      </c>
      <c r="E2013" t="inlineStr">
        <is>
          <t>ÖSTHAMMAR</t>
        </is>
      </c>
      <c r="F2013" t="inlineStr">
        <is>
          <t>Bergvik skog öst AB</t>
        </is>
      </c>
      <c r="G2013" t="n">
        <v>0.2</v>
      </c>
      <c r="H2013" t="n">
        <v>0</v>
      </c>
      <c r="I2013" t="n">
        <v>0</v>
      </c>
      <c r="J2013" t="n">
        <v>0</v>
      </c>
      <c r="K2013" t="n">
        <v>0</v>
      </c>
      <c r="L2013" t="n">
        <v>0</v>
      </c>
      <c r="M2013" t="n">
        <v>0</v>
      </c>
      <c r="N2013" t="n">
        <v>0</v>
      </c>
      <c r="O2013" t="n">
        <v>0</v>
      </c>
      <c r="P2013" t="n">
        <v>0</v>
      </c>
      <c r="Q2013" t="n">
        <v>0</v>
      </c>
      <c r="R2013" s="2" t="inlineStr"/>
    </row>
    <row r="2014" ht="15" customHeight="1">
      <c r="A2014" t="inlineStr">
        <is>
          <t>A 55872-2021</t>
        </is>
      </c>
      <c r="B2014" s="1" t="n">
        <v>44476</v>
      </c>
      <c r="C2014" s="1" t="n">
        <v>45705</v>
      </c>
      <c r="D2014" t="inlineStr">
        <is>
          <t>UPPSALA LÄN</t>
        </is>
      </c>
      <c r="E2014" t="inlineStr">
        <is>
          <t>ÖSTHAMMAR</t>
        </is>
      </c>
      <c r="F2014" t="inlineStr">
        <is>
          <t>Bergvik skog öst AB</t>
        </is>
      </c>
      <c r="G2014" t="n">
        <v>13.7</v>
      </c>
      <c r="H2014" t="n">
        <v>0</v>
      </c>
      <c r="I2014" t="n">
        <v>0</v>
      </c>
      <c r="J2014" t="n">
        <v>0</v>
      </c>
      <c r="K2014" t="n">
        <v>0</v>
      </c>
      <c r="L2014" t="n">
        <v>0</v>
      </c>
      <c r="M2014" t="n">
        <v>0</v>
      </c>
      <c r="N2014" t="n">
        <v>0</v>
      </c>
      <c r="O2014" t="n">
        <v>0</v>
      </c>
      <c r="P2014" t="n">
        <v>0</v>
      </c>
      <c r="Q2014" t="n">
        <v>0</v>
      </c>
      <c r="R2014" s="2" t="inlineStr"/>
    </row>
    <row r="2015" ht="15" customHeight="1">
      <c r="A2015" t="inlineStr">
        <is>
          <t>A 55823-2021</t>
        </is>
      </c>
      <c r="B2015" s="1" t="n">
        <v>44476</v>
      </c>
      <c r="C2015" s="1" t="n">
        <v>45705</v>
      </c>
      <c r="D2015" t="inlineStr">
        <is>
          <t>UPPSALA LÄN</t>
        </is>
      </c>
      <c r="E2015" t="inlineStr">
        <is>
          <t>UPPSALA</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56163-2021</t>
        </is>
      </c>
      <c r="B2016" s="1" t="n">
        <v>44477</v>
      </c>
      <c r="C2016" s="1" t="n">
        <v>45705</v>
      </c>
      <c r="D2016" t="inlineStr">
        <is>
          <t>UPPSALA LÄN</t>
        </is>
      </c>
      <c r="E2016" t="inlineStr">
        <is>
          <t>ENKÖPING</t>
        </is>
      </c>
      <c r="F2016" t="inlineStr">
        <is>
          <t>Allmännings- och besparingsskogar</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56042-2021</t>
        </is>
      </c>
      <c r="B2017" s="1" t="n">
        <v>44477</v>
      </c>
      <c r="C2017" s="1" t="n">
        <v>45705</v>
      </c>
      <c r="D2017" t="inlineStr">
        <is>
          <t>UPPSALA LÄN</t>
        </is>
      </c>
      <c r="E2017" t="inlineStr">
        <is>
          <t>UPPSALA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56138-2021</t>
        </is>
      </c>
      <c r="B2018" s="1" t="n">
        <v>44477</v>
      </c>
      <c r="C2018" s="1" t="n">
        <v>45705</v>
      </c>
      <c r="D2018" t="inlineStr">
        <is>
          <t>UPPSALA LÄN</t>
        </is>
      </c>
      <c r="E2018" t="inlineStr">
        <is>
          <t>HEBY</t>
        </is>
      </c>
      <c r="G2018" t="n">
        <v>9.1</v>
      </c>
      <c r="H2018" t="n">
        <v>0</v>
      </c>
      <c r="I2018" t="n">
        <v>0</v>
      </c>
      <c r="J2018" t="n">
        <v>0</v>
      </c>
      <c r="K2018" t="n">
        <v>0</v>
      </c>
      <c r="L2018" t="n">
        <v>0</v>
      </c>
      <c r="M2018" t="n">
        <v>0</v>
      </c>
      <c r="N2018" t="n">
        <v>0</v>
      </c>
      <c r="O2018" t="n">
        <v>0</v>
      </c>
      <c r="P2018" t="n">
        <v>0</v>
      </c>
      <c r="Q2018" t="n">
        <v>0</v>
      </c>
      <c r="R2018" s="2" t="inlineStr"/>
    </row>
    <row r="2019" ht="15" customHeight="1">
      <c r="A2019" t="inlineStr">
        <is>
          <t>A 56176-2021</t>
        </is>
      </c>
      <c r="B2019" s="1" t="n">
        <v>44477</v>
      </c>
      <c r="C2019" s="1" t="n">
        <v>45705</v>
      </c>
      <c r="D2019" t="inlineStr">
        <is>
          <t>UPPSALA LÄN</t>
        </is>
      </c>
      <c r="E2019" t="inlineStr">
        <is>
          <t>ENKÖPING</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56302-2021</t>
        </is>
      </c>
      <c r="B2020" s="1" t="n">
        <v>44477</v>
      </c>
      <c r="C2020" s="1" t="n">
        <v>45705</v>
      </c>
      <c r="D2020" t="inlineStr">
        <is>
          <t>UPPSALA LÄN</t>
        </is>
      </c>
      <c r="E2020" t="inlineStr">
        <is>
          <t>HEBY</t>
        </is>
      </c>
      <c r="F2020" t="inlineStr">
        <is>
          <t>Bergvik skog väst AB</t>
        </is>
      </c>
      <c r="G2020" t="n">
        <v>6.5</v>
      </c>
      <c r="H2020" t="n">
        <v>0</v>
      </c>
      <c r="I2020" t="n">
        <v>0</v>
      </c>
      <c r="J2020" t="n">
        <v>0</v>
      </c>
      <c r="K2020" t="n">
        <v>0</v>
      </c>
      <c r="L2020" t="n">
        <v>0</v>
      </c>
      <c r="M2020" t="n">
        <v>0</v>
      </c>
      <c r="N2020" t="n">
        <v>0</v>
      </c>
      <c r="O2020" t="n">
        <v>0</v>
      </c>
      <c r="P2020" t="n">
        <v>0</v>
      </c>
      <c r="Q2020" t="n">
        <v>0</v>
      </c>
      <c r="R2020" s="2" t="inlineStr"/>
    </row>
    <row r="2021" ht="15" customHeight="1">
      <c r="A2021" t="inlineStr">
        <is>
          <t>A 56049-2021</t>
        </is>
      </c>
      <c r="B2021" s="1" t="n">
        <v>44477</v>
      </c>
      <c r="C2021" s="1" t="n">
        <v>45705</v>
      </c>
      <c r="D2021" t="inlineStr">
        <is>
          <t>UPPSALA LÄN</t>
        </is>
      </c>
      <c r="E2021" t="inlineStr">
        <is>
          <t>UPPSALA</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56463-2021</t>
        </is>
      </c>
      <c r="B2022" s="1" t="n">
        <v>44479</v>
      </c>
      <c r="C2022" s="1" t="n">
        <v>45705</v>
      </c>
      <c r="D2022" t="inlineStr">
        <is>
          <t>UPPSALA LÄN</t>
        </is>
      </c>
      <c r="E2022" t="inlineStr">
        <is>
          <t>UPPSALA</t>
        </is>
      </c>
      <c r="G2022" t="n">
        <v>6.4</v>
      </c>
      <c r="H2022" t="n">
        <v>0</v>
      </c>
      <c r="I2022" t="n">
        <v>0</v>
      </c>
      <c r="J2022" t="n">
        <v>0</v>
      </c>
      <c r="K2022" t="n">
        <v>0</v>
      </c>
      <c r="L2022" t="n">
        <v>0</v>
      </c>
      <c r="M2022" t="n">
        <v>0</v>
      </c>
      <c r="N2022" t="n">
        <v>0</v>
      </c>
      <c r="O2022" t="n">
        <v>0</v>
      </c>
      <c r="P2022" t="n">
        <v>0</v>
      </c>
      <c r="Q2022" t="n">
        <v>0</v>
      </c>
      <c r="R2022" s="2" t="inlineStr"/>
    </row>
    <row r="2023" ht="15" customHeight="1">
      <c r="A2023" t="inlineStr">
        <is>
          <t>A 56376-2021</t>
        </is>
      </c>
      <c r="B2023" s="1" t="n">
        <v>44480</v>
      </c>
      <c r="C2023" s="1" t="n">
        <v>45705</v>
      </c>
      <c r="D2023" t="inlineStr">
        <is>
          <t>UPPSALA LÄN</t>
        </is>
      </c>
      <c r="E2023" t="inlineStr">
        <is>
          <t>HEBY</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56352-2021</t>
        </is>
      </c>
      <c r="B2024" s="1" t="n">
        <v>44480</v>
      </c>
      <c r="C2024" s="1" t="n">
        <v>45705</v>
      </c>
      <c r="D2024" t="inlineStr">
        <is>
          <t>UPPSALA LÄN</t>
        </is>
      </c>
      <c r="E2024" t="inlineStr">
        <is>
          <t>HEBY</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56498-2021</t>
        </is>
      </c>
      <c r="B2025" s="1" t="n">
        <v>44480</v>
      </c>
      <c r="C2025" s="1" t="n">
        <v>45705</v>
      </c>
      <c r="D2025" t="inlineStr">
        <is>
          <t>UPPSALA LÄN</t>
        </is>
      </c>
      <c r="E2025" t="inlineStr">
        <is>
          <t>TIERP</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56509-2021</t>
        </is>
      </c>
      <c r="B2026" s="1" t="n">
        <v>44480</v>
      </c>
      <c r="C2026" s="1" t="n">
        <v>45705</v>
      </c>
      <c r="D2026" t="inlineStr">
        <is>
          <t>UPPSALA LÄN</t>
        </is>
      </c>
      <c r="E2026" t="inlineStr">
        <is>
          <t>TIERP</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56578-2021</t>
        </is>
      </c>
      <c r="B2027" s="1" t="n">
        <v>44480</v>
      </c>
      <c r="C2027" s="1" t="n">
        <v>45705</v>
      </c>
      <c r="D2027" t="inlineStr">
        <is>
          <t>UPPSALA LÄN</t>
        </is>
      </c>
      <c r="E2027" t="inlineStr">
        <is>
          <t>HEBY</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56740-2021</t>
        </is>
      </c>
      <c r="B2028" s="1" t="n">
        <v>44481</v>
      </c>
      <c r="C2028" s="1" t="n">
        <v>45705</v>
      </c>
      <c r="D2028" t="inlineStr">
        <is>
          <t>UPPSALA LÄN</t>
        </is>
      </c>
      <c r="E2028" t="inlineStr">
        <is>
          <t>TIERP</t>
        </is>
      </c>
      <c r="F2028" t="inlineStr">
        <is>
          <t>Bergvik skog öst AB</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56769-2021</t>
        </is>
      </c>
      <c r="B2029" s="1" t="n">
        <v>44481</v>
      </c>
      <c r="C2029" s="1" t="n">
        <v>45705</v>
      </c>
      <c r="D2029" t="inlineStr">
        <is>
          <t>UPPSALA LÄN</t>
        </is>
      </c>
      <c r="E2029" t="inlineStr">
        <is>
          <t>UPPSALA</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57003-2021</t>
        </is>
      </c>
      <c r="B2030" s="1" t="n">
        <v>44482</v>
      </c>
      <c r="C2030" s="1" t="n">
        <v>45705</v>
      </c>
      <c r="D2030" t="inlineStr">
        <is>
          <t>UPPSALA LÄN</t>
        </is>
      </c>
      <c r="E2030" t="inlineStr">
        <is>
          <t>ÖSTHAMMAR</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57043-2021</t>
        </is>
      </c>
      <c r="B2031" s="1" t="n">
        <v>44482</v>
      </c>
      <c r="C2031" s="1" t="n">
        <v>45705</v>
      </c>
      <c r="D2031" t="inlineStr">
        <is>
          <t>UPPSALA LÄN</t>
        </is>
      </c>
      <c r="E2031" t="inlineStr">
        <is>
          <t>ENKÖPING</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57055-2021</t>
        </is>
      </c>
      <c r="B2032" s="1" t="n">
        <v>44482</v>
      </c>
      <c r="C2032" s="1" t="n">
        <v>45705</v>
      </c>
      <c r="D2032" t="inlineStr">
        <is>
          <t>UPPSALA LÄN</t>
        </is>
      </c>
      <c r="E2032" t="inlineStr">
        <is>
          <t>ENKÖPING</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57028-2021</t>
        </is>
      </c>
      <c r="B2033" s="1" t="n">
        <v>44482</v>
      </c>
      <c r="C2033" s="1" t="n">
        <v>45705</v>
      </c>
      <c r="D2033" t="inlineStr">
        <is>
          <t>UPPSALA LÄN</t>
        </is>
      </c>
      <c r="E2033" t="inlineStr">
        <is>
          <t>TIERP</t>
        </is>
      </c>
      <c r="F2033" t="inlineStr">
        <is>
          <t>Bergvik skog väst AB</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57066-2021</t>
        </is>
      </c>
      <c r="B2034" s="1" t="n">
        <v>44482</v>
      </c>
      <c r="C2034" s="1" t="n">
        <v>45705</v>
      </c>
      <c r="D2034" t="inlineStr">
        <is>
          <t>UPPSALA LÄN</t>
        </is>
      </c>
      <c r="E2034" t="inlineStr">
        <is>
          <t>ENKÖPING</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57080-2021</t>
        </is>
      </c>
      <c r="B2035" s="1" t="n">
        <v>44482</v>
      </c>
      <c r="C2035" s="1" t="n">
        <v>45705</v>
      </c>
      <c r="D2035" t="inlineStr">
        <is>
          <t>UPPSALA LÄN</t>
        </is>
      </c>
      <c r="E2035" t="inlineStr">
        <is>
          <t>ÖSTHAMMAR</t>
        </is>
      </c>
      <c r="F2035" t="inlineStr">
        <is>
          <t>Bergvik skog öst AB</t>
        </is>
      </c>
      <c r="G2035" t="n">
        <v>13.4</v>
      </c>
      <c r="H2035" t="n">
        <v>0</v>
      </c>
      <c r="I2035" t="n">
        <v>0</v>
      </c>
      <c r="J2035" t="n">
        <v>0</v>
      </c>
      <c r="K2035" t="n">
        <v>0</v>
      </c>
      <c r="L2035" t="n">
        <v>0</v>
      </c>
      <c r="M2035" t="n">
        <v>0</v>
      </c>
      <c r="N2035" t="n">
        <v>0</v>
      </c>
      <c r="O2035" t="n">
        <v>0</v>
      </c>
      <c r="P2035" t="n">
        <v>0</v>
      </c>
      <c r="Q2035" t="n">
        <v>0</v>
      </c>
      <c r="R2035" s="2" t="inlineStr"/>
    </row>
    <row r="2036" ht="15" customHeight="1">
      <c r="A2036" t="inlineStr">
        <is>
          <t>A 57078-2021</t>
        </is>
      </c>
      <c r="B2036" s="1" t="n">
        <v>44482</v>
      </c>
      <c r="C2036" s="1" t="n">
        <v>45705</v>
      </c>
      <c r="D2036" t="inlineStr">
        <is>
          <t>UPPSALA LÄN</t>
        </is>
      </c>
      <c r="E2036" t="inlineStr">
        <is>
          <t>ENKÖPING</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57142-2021</t>
        </is>
      </c>
      <c r="B2037" s="1" t="n">
        <v>44482</v>
      </c>
      <c r="C2037" s="1" t="n">
        <v>45705</v>
      </c>
      <c r="D2037" t="inlineStr">
        <is>
          <t>UPPSALA LÄN</t>
        </is>
      </c>
      <c r="E2037" t="inlineStr">
        <is>
          <t>ENKÖPING</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57153-2021</t>
        </is>
      </c>
      <c r="B2038" s="1" t="n">
        <v>44482</v>
      </c>
      <c r="C2038" s="1" t="n">
        <v>45705</v>
      </c>
      <c r="D2038" t="inlineStr">
        <is>
          <t>UPPSALA LÄN</t>
        </is>
      </c>
      <c r="E2038" t="inlineStr">
        <is>
          <t>ENKÖPING</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57147-2021</t>
        </is>
      </c>
      <c r="B2039" s="1" t="n">
        <v>44482</v>
      </c>
      <c r="C2039" s="1" t="n">
        <v>45705</v>
      </c>
      <c r="D2039" t="inlineStr">
        <is>
          <t>UPPSALA LÄN</t>
        </is>
      </c>
      <c r="E2039" t="inlineStr">
        <is>
          <t>ENKÖPING</t>
        </is>
      </c>
      <c r="G2039" t="n">
        <v>5.7</v>
      </c>
      <c r="H2039" t="n">
        <v>0</v>
      </c>
      <c r="I2039" t="n">
        <v>0</v>
      </c>
      <c r="J2039" t="n">
        <v>0</v>
      </c>
      <c r="K2039" t="n">
        <v>0</v>
      </c>
      <c r="L2039" t="n">
        <v>0</v>
      </c>
      <c r="M2039" t="n">
        <v>0</v>
      </c>
      <c r="N2039" t="n">
        <v>0</v>
      </c>
      <c r="O2039" t="n">
        <v>0</v>
      </c>
      <c r="P2039" t="n">
        <v>0</v>
      </c>
      <c r="Q2039" t="n">
        <v>0</v>
      </c>
      <c r="R2039" s="2" t="inlineStr"/>
    </row>
    <row r="2040" ht="15" customHeight="1">
      <c r="A2040" t="inlineStr">
        <is>
          <t>A 57152-2021</t>
        </is>
      </c>
      <c r="B2040" s="1" t="n">
        <v>44482</v>
      </c>
      <c r="C2040" s="1" t="n">
        <v>45705</v>
      </c>
      <c r="D2040" t="inlineStr">
        <is>
          <t>UPPSALA LÄN</t>
        </is>
      </c>
      <c r="E2040" t="inlineStr">
        <is>
          <t>ENKÖPING</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57647-2021</t>
        </is>
      </c>
      <c r="B2041" s="1" t="n">
        <v>44484</v>
      </c>
      <c r="C2041" s="1" t="n">
        <v>45705</v>
      </c>
      <c r="D2041" t="inlineStr">
        <is>
          <t>UPPSALA LÄN</t>
        </is>
      </c>
      <c r="E2041" t="inlineStr">
        <is>
          <t>UPPSALA</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57890-2021</t>
        </is>
      </c>
      <c r="B2042" s="1" t="n">
        <v>44486</v>
      </c>
      <c r="C2042" s="1" t="n">
        <v>45705</v>
      </c>
      <c r="D2042" t="inlineStr">
        <is>
          <t>UPPSALA LÄN</t>
        </is>
      </c>
      <c r="E2042" t="inlineStr">
        <is>
          <t>UPPSALA</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58334-2021</t>
        </is>
      </c>
      <c r="B2043" s="1" t="n">
        <v>44488</v>
      </c>
      <c r="C2043" s="1" t="n">
        <v>45705</v>
      </c>
      <c r="D2043" t="inlineStr">
        <is>
          <t>UPPSALA LÄN</t>
        </is>
      </c>
      <c r="E2043" t="inlineStr">
        <is>
          <t>ÖSTHAMMAR</t>
        </is>
      </c>
      <c r="G2043" t="n">
        <v>5.7</v>
      </c>
      <c r="H2043" t="n">
        <v>0</v>
      </c>
      <c r="I2043" t="n">
        <v>0</v>
      </c>
      <c r="J2043" t="n">
        <v>0</v>
      </c>
      <c r="K2043" t="n">
        <v>0</v>
      </c>
      <c r="L2043" t="n">
        <v>0</v>
      </c>
      <c r="M2043" t="n">
        <v>0</v>
      </c>
      <c r="N2043" t="n">
        <v>0</v>
      </c>
      <c r="O2043" t="n">
        <v>0</v>
      </c>
      <c r="P2043" t="n">
        <v>0</v>
      </c>
      <c r="Q2043" t="n">
        <v>0</v>
      </c>
      <c r="R2043" s="2" t="inlineStr"/>
    </row>
    <row r="2044" ht="15" customHeight="1">
      <c r="A2044" t="inlineStr">
        <is>
          <t>A 58767-2021</t>
        </is>
      </c>
      <c r="B2044" s="1" t="n">
        <v>44489</v>
      </c>
      <c r="C2044" s="1" t="n">
        <v>45705</v>
      </c>
      <c r="D2044" t="inlineStr">
        <is>
          <t>UPPSALA LÄN</t>
        </is>
      </c>
      <c r="E2044" t="inlineStr">
        <is>
          <t>UPPSALA</t>
        </is>
      </c>
      <c r="G2044" t="n">
        <v>4.8</v>
      </c>
      <c r="H2044" t="n">
        <v>0</v>
      </c>
      <c r="I2044" t="n">
        <v>0</v>
      </c>
      <c r="J2044" t="n">
        <v>0</v>
      </c>
      <c r="K2044" t="n">
        <v>0</v>
      </c>
      <c r="L2044" t="n">
        <v>0</v>
      </c>
      <c r="M2044" t="n">
        <v>0</v>
      </c>
      <c r="N2044" t="n">
        <v>0</v>
      </c>
      <c r="O2044" t="n">
        <v>0</v>
      </c>
      <c r="P2044" t="n">
        <v>0</v>
      </c>
      <c r="Q2044" t="n">
        <v>0</v>
      </c>
      <c r="R2044" s="2" t="inlineStr"/>
    </row>
    <row r="2045" ht="15" customHeight="1">
      <c r="A2045" t="inlineStr">
        <is>
          <t>A 58897-2021</t>
        </is>
      </c>
      <c r="B2045" s="1" t="n">
        <v>44489</v>
      </c>
      <c r="C2045" s="1" t="n">
        <v>45705</v>
      </c>
      <c r="D2045" t="inlineStr">
        <is>
          <t>UPPSALA LÄN</t>
        </is>
      </c>
      <c r="E2045" t="inlineStr">
        <is>
          <t>UPPSALA</t>
        </is>
      </c>
      <c r="G2045" t="n">
        <v>8.800000000000001</v>
      </c>
      <c r="H2045" t="n">
        <v>0</v>
      </c>
      <c r="I2045" t="n">
        <v>0</v>
      </c>
      <c r="J2045" t="n">
        <v>0</v>
      </c>
      <c r="K2045" t="n">
        <v>0</v>
      </c>
      <c r="L2045" t="n">
        <v>0</v>
      </c>
      <c r="M2045" t="n">
        <v>0</v>
      </c>
      <c r="N2045" t="n">
        <v>0</v>
      </c>
      <c r="O2045" t="n">
        <v>0</v>
      </c>
      <c r="P2045" t="n">
        <v>0</v>
      </c>
      <c r="Q2045" t="n">
        <v>0</v>
      </c>
      <c r="R2045" s="2" t="inlineStr"/>
    </row>
    <row r="2046" ht="15" customHeight="1">
      <c r="A2046" t="inlineStr">
        <is>
          <t>A 59121-2021</t>
        </is>
      </c>
      <c r="B2046" s="1" t="n">
        <v>44490</v>
      </c>
      <c r="C2046" s="1" t="n">
        <v>45705</v>
      </c>
      <c r="D2046" t="inlineStr">
        <is>
          <t>UPPSALA LÄN</t>
        </is>
      </c>
      <c r="E2046" t="inlineStr">
        <is>
          <t>ENKÖPING</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59241-2021</t>
        </is>
      </c>
      <c r="B2047" s="1" t="n">
        <v>44490</v>
      </c>
      <c r="C2047" s="1" t="n">
        <v>45705</v>
      </c>
      <c r="D2047" t="inlineStr">
        <is>
          <t>UPPSALA LÄN</t>
        </is>
      </c>
      <c r="E2047" t="inlineStr">
        <is>
          <t>UPPSALA</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59378-2021</t>
        </is>
      </c>
      <c r="B2048" s="1" t="n">
        <v>44491</v>
      </c>
      <c r="C2048" s="1" t="n">
        <v>45705</v>
      </c>
      <c r="D2048" t="inlineStr">
        <is>
          <t>UPPSALA LÄN</t>
        </is>
      </c>
      <c r="E2048" t="inlineStr">
        <is>
          <t>TIERP</t>
        </is>
      </c>
      <c r="F2048" t="inlineStr">
        <is>
          <t>Bergvik skog öst AB</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59484-2021</t>
        </is>
      </c>
      <c r="B2049" s="1" t="n">
        <v>44491</v>
      </c>
      <c r="C2049" s="1" t="n">
        <v>45705</v>
      </c>
      <c r="D2049" t="inlineStr">
        <is>
          <t>UPPSALA LÄN</t>
        </is>
      </c>
      <c r="E2049" t="inlineStr">
        <is>
          <t>UPPSALA</t>
        </is>
      </c>
      <c r="F2049" t="inlineStr">
        <is>
          <t>Bergvik skog öst AB</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59500-2021</t>
        </is>
      </c>
      <c r="B2050" s="1" t="n">
        <v>44491</v>
      </c>
      <c r="C2050" s="1" t="n">
        <v>45705</v>
      </c>
      <c r="D2050" t="inlineStr">
        <is>
          <t>UPPSALA LÄN</t>
        </is>
      </c>
      <c r="E2050" t="inlineStr">
        <is>
          <t>UPPSALA</t>
        </is>
      </c>
      <c r="F2050" t="inlineStr">
        <is>
          <t>Bergvik skog öst AB</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59350-2021</t>
        </is>
      </c>
      <c r="B2051" s="1" t="n">
        <v>44491</v>
      </c>
      <c r="C2051" s="1" t="n">
        <v>45705</v>
      </c>
      <c r="D2051" t="inlineStr">
        <is>
          <t>UPPSALA LÄN</t>
        </is>
      </c>
      <c r="E2051" t="inlineStr">
        <is>
          <t>TIERP</t>
        </is>
      </c>
      <c r="F2051" t="inlineStr">
        <is>
          <t>Bergvik skog öst AB</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59360-2021</t>
        </is>
      </c>
      <c r="B2052" s="1" t="n">
        <v>44491</v>
      </c>
      <c r="C2052" s="1" t="n">
        <v>45705</v>
      </c>
      <c r="D2052" t="inlineStr">
        <is>
          <t>UPPSALA LÄN</t>
        </is>
      </c>
      <c r="E2052" t="inlineStr">
        <is>
          <t>ÖSTHAMMAR</t>
        </is>
      </c>
      <c r="F2052" t="inlineStr">
        <is>
          <t>Bergvik skog öst AB</t>
        </is>
      </c>
      <c r="G2052" t="n">
        <v>8</v>
      </c>
      <c r="H2052" t="n">
        <v>0</v>
      </c>
      <c r="I2052" t="n">
        <v>0</v>
      </c>
      <c r="J2052" t="n">
        <v>0</v>
      </c>
      <c r="K2052" t="n">
        <v>0</v>
      </c>
      <c r="L2052" t="n">
        <v>0</v>
      </c>
      <c r="M2052" t="n">
        <v>0</v>
      </c>
      <c r="N2052" t="n">
        <v>0</v>
      </c>
      <c r="O2052" t="n">
        <v>0</v>
      </c>
      <c r="P2052" t="n">
        <v>0</v>
      </c>
      <c r="Q2052" t="n">
        <v>0</v>
      </c>
      <c r="R2052" s="2" t="inlineStr"/>
    </row>
    <row r="2053" ht="15" customHeight="1">
      <c r="A2053" t="inlineStr">
        <is>
          <t>A 59479-2021</t>
        </is>
      </c>
      <c r="B2053" s="1" t="n">
        <v>44491</v>
      </c>
      <c r="C2053" s="1" t="n">
        <v>45705</v>
      </c>
      <c r="D2053" t="inlineStr">
        <is>
          <t>UPPSALA LÄN</t>
        </is>
      </c>
      <c r="E2053" t="inlineStr">
        <is>
          <t>UPPSALA</t>
        </is>
      </c>
      <c r="F2053" t="inlineStr">
        <is>
          <t>Bergvik skog öst AB</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59486-2021</t>
        </is>
      </c>
      <c r="B2054" s="1" t="n">
        <v>44491</v>
      </c>
      <c r="C2054" s="1" t="n">
        <v>45705</v>
      </c>
      <c r="D2054" t="inlineStr">
        <is>
          <t>UPPSALA LÄN</t>
        </is>
      </c>
      <c r="E2054" t="inlineStr">
        <is>
          <t>HEBY</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59498-2021</t>
        </is>
      </c>
      <c r="B2055" s="1" t="n">
        <v>44491</v>
      </c>
      <c r="C2055" s="1" t="n">
        <v>45705</v>
      </c>
      <c r="D2055" t="inlineStr">
        <is>
          <t>UPPSALA LÄN</t>
        </is>
      </c>
      <c r="E2055" t="inlineStr">
        <is>
          <t>ÖSTHAMMAR</t>
        </is>
      </c>
      <c r="F2055" t="inlineStr">
        <is>
          <t>Bergvik skog öst AB</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59599-2021</t>
        </is>
      </c>
      <c r="B2056" s="1" t="n">
        <v>44491</v>
      </c>
      <c r="C2056" s="1" t="n">
        <v>45705</v>
      </c>
      <c r="D2056" t="inlineStr">
        <is>
          <t>UPPSALA LÄN</t>
        </is>
      </c>
      <c r="E2056" t="inlineStr">
        <is>
          <t>HEBY</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59881-2021</t>
        </is>
      </c>
      <c r="B2057" s="1" t="n">
        <v>44494</v>
      </c>
      <c r="C2057" s="1" t="n">
        <v>45705</v>
      </c>
      <c r="D2057" t="inlineStr">
        <is>
          <t>UPPSALA LÄN</t>
        </is>
      </c>
      <c r="E2057" t="inlineStr">
        <is>
          <t>UPPSALA</t>
        </is>
      </c>
      <c r="F2057" t="inlineStr">
        <is>
          <t>Allmännings- och besparingsskogar</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60047-2021</t>
        </is>
      </c>
      <c r="B2058" s="1" t="n">
        <v>44495</v>
      </c>
      <c r="C2058" s="1" t="n">
        <v>45705</v>
      </c>
      <c r="D2058" t="inlineStr">
        <is>
          <t>UPPSALA LÄN</t>
        </is>
      </c>
      <c r="E2058" t="inlineStr">
        <is>
          <t>ÖSTHAMMAR</t>
        </is>
      </c>
      <c r="F2058" t="inlineStr">
        <is>
          <t>Övriga Aktiebolag</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60032-2021</t>
        </is>
      </c>
      <c r="B2059" s="1" t="n">
        <v>44495</v>
      </c>
      <c r="C2059" s="1" t="n">
        <v>45705</v>
      </c>
      <c r="D2059" t="inlineStr">
        <is>
          <t>UPPSALA LÄN</t>
        </is>
      </c>
      <c r="E2059" t="inlineStr">
        <is>
          <t>UPPSALA</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60295-2021</t>
        </is>
      </c>
      <c r="B2060" s="1" t="n">
        <v>44495</v>
      </c>
      <c r="C2060" s="1" t="n">
        <v>45705</v>
      </c>
      <c r="D2060" t="inlineStr">
        <is>
          <t>UPPSALA LÄN</t>
        </is>
      </c>
      <c r="E2060" t="inlineStr">
        <is>
          <t>HEBY</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60577-2021</t>
        </is>
      </c>
      <c r="B2061" s="1" t="n">
        <v>44496</v>
      </c>
      <c r="C2061" s="1" t="n">
        <v>45705</v>
      </c>
      <c r="D2061" t="inlineStr">
        <is>
          <t>UPPSALA LÄN</t>
        </is>
      </c>
      <c r="E2061" t="inlineStr">
        <is>
          <t>ÖSTHAMMAR</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60584-2021</t>
        </is>
      </c>
      <c r="B2062" s="1" t="n">
        <v>44496</v>
      </c>
      <c r="C2062" s="1" t="n">
        <v>45705</v>
      </c>
      <c r="D2062" t="inlineStr">
        <is>
          <t>UPPSALA LÄN</t>
        </is>
      </c>
      <c r="E2062" t="inlineStr">
        <is>
          <t>ÖSTHAMMAR</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60441-2021</t>
        </is>
      </c>
      <c r="B2063" s="1" t="n">
        <v>44496</v>
      </c>
      <c r="C2063" s="1" t="n">
        <v>45705</v>
      </c>
      <c r="D2063" t="inlineStr">
        <is>
          <t>UPPSALA LÄN</t>
        </is>
      </c>
      <c r="E2063" t="inlineStr">
        <is>
          <t>TIERP</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60533-2021</t>
        </is>
      </c>
      <c r="B2064" s="1" t="n">
        <v>44496</v>
      </c>
      <c r="C2064" s="1" t="n">
        <v>45705</v>
      </c>
      <c r="D2064" t="inlineStr">
        <is>
          <t>UPPSALA LÄN</t>
        </is>
      </c>
      <c r="E2064" t="inlineStr">
        <is>
          <t>ENKÖPING</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60429-2021</t>
        </is>
      </c>
      <c r="B2065" s="1" t="n">
        <v>44496</v>
      </c>
      <c r="C2065" s="1" t="n">
        <v>45705</v>
      </c>
      <c r="D2065" t="inlineStr">
        <is>
          <t>UPPSALA LÄN</t>
        </is>
      </c>
      <c r="E2065" t="inlineStr">
        <is>
          <t>TIERP</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61008-2021</t>
        </is>
      </c>
      <c r="B2066" s="1" t="n">
        <v>44497</v>
      </c>
      <c r="C2066" s="1" t="n">
        <v>45705</v>
      </c>
      <c r="D2066" t="inlineStr">
        <is>
          <t>UPPSALA LÄN</t>
        </is>
      </c>
      <c r="E2066" t="inlineStr">
        <is>
          <t>UPPSALA</t>
        </is>
      </c>
      <c r="G2066" t="n">
        <v>6.3</v>
      </c>
      <c r="H2066" t="n">
        <v>0</v>
      </c>
      <c r="I2066" t="n">
        <v>0</v>
      </c>
      <c r="J2066" t="n">
        <v>0</v>
      </c>
      <c r="K2066" t="n">
        <v>0</v>
      </c>
      <c r="L2066" t="n">
        <v>0</v>
      </c>
      <c r="M2066" t="n">
        <v>0</v>
      </c>
      <c r="N2066" t="n">
        <v>0</v>
      </c>
      <c r="O2066" t="n">
        <v>0</v>
      </c>
      <c r="P2066" t="n">
        <v>0</v>
      </c>
      <c r="Q2066" t="n">
        <v>0</v>
      </c>
      <c r="R2066" s="2" t="inlineStr"/>
    </row>
    <row r="2067" ht="15" customHeight="1">
      <c r="A2067" t="inlineStr">
        <is>
          <t>A 60885-2021</t>
        </is>
      </c>
      <c r="B2067" s="1" t="n">
        <v>44497</v>
      </c>
      <c r="C2067" s="1" t="n">
        <v>45705</v>
      </c>
      <c r="D2067" t="inlineStr">
        <is>
          <t>UPPSALA LÄN</t>
        </is>
      </c>
      <c r="E2067" t="inlineStr">
        <is>
          <t>KNIVSTA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60908-2021</t>
        </is>
      </c>
      <c r="B2068" s="1" t="n">
        <v>44497</v>
      </c>
      <c r="C2068" s="1" t="n">
        <v>45705</v>
      </c>
      <c r="D2068" t="inlineStr">
        <is>
          <t>UPPSALA LÄN</t>
        </is>
      </c>
      <c r="E2068" t="inlineStr">
        <is>
          <t>TIERP</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60917-2021</t>
        </is>
      </c>
      <c r="B2069" s="1" t="n">
        <v>44497</v>
      </c>
      <c r="C2069" s="1" t="n">
        <v>45705</v>
      </c>
      <c r="D2069" t="inlineStr">
        <is>
          <t>UPPSALA LÄN</t>
        </is>
      </c>
      <c r="E2069" t="inlineStr">
        <is>
          <t>UPPSALA</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60874-2021</t>
        </is>
      </c>
      <c r="B2070" s="1" t="n">
        <v>44497</v>
      </c>
      <c r="C2070" s="1" t="n">
        <v>45705</v>
      </c>
      <c r="D2070" t="inlineStr">
        <is>
          <t>UPPSALA LÄN</t>
        </is>
      </c>
      <c r="E2070" t="inlineStr">
        <is>
          <t>ENKÖPING</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61076-2021</t>
        </is>
      </c>
      <c r="B2071" s="1" t="n">
        <v>44497</v>
      </c>
      <c r="C2071" s="1" t="n">
        <v>45705</v>
      </c>
      <c r="D2071" t="inlineStr">
        <is>
          <t>UPPSALA LÄN</t>
        </is>
      </c>
      <c r="E2071" t="inlineStr">
        <is>
          <t>ENKÖPING</t>
        </is>
      </c>
      <c r="G2071" t="n">
        <v>0.2</v>
      </c>
      <c r="H2071" t="n">
        <v>0</v>
      </c>
      <c r="I2071" t="n">
        <v>0</v>
      </c>
      <c r="J2071" t="n">
        <v>0</v>
      </c>
      <c r="K2071" t="n">
        <v>0</v>
      </c>
      <c r="L2071" t="n">
        <v>0</v>
      </c>
      <c r="M2071" t="n">
        <v>0</v>
      </c>
      <c r="N2071" t="n">
        <v>0</v>
      </c>
      <c r="O2071" t="n">
        <v>0</v>
      </c>
      <c r="P2071" t="n">
        <v>0</v>
      </c>
      <c r="Q2071" t="n">
        <v>0</v>
      </c>
      <c r="R2071" s="2" t="inlineStr"/>
    </row>
    <row r="2072" ht="15" customHeight="1">
      <c r="A2072" t="inlineStr">
        <is>
          <t>A 60925-2021</t>
        </is>
      </c>
      <c r="B2072" s="1" t="n">
        <v>44497</v>
      </c>
      <c r="C2072" s="1" t="n">
        <v>45705</v>
      </c>
      <c r="D2072" t="inlineStr">
        <is>
          <t>UPPSALA LÄN</t>
        </is>
      </c>
      <c r="E2072" t="inlineStr">
        <is>
          <t>UPPSALA</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61746-2021</t>
        </is>
      </c>
      <c r="B2073" s="1" t="n">
        <v>44498</v>
      </c>
      <c r="C2073" s="1" t="n">
        <v>45705</v>
      </c>
      <c r="D2073" t="inlineStr">
        <is>
          <t>UPPSALA LÄN</t>
        </is>
      </c>
      <c r="E2073" t="inlineStr">
        <is>
          <t>ÖSTHAMMAR</t>
        </is>
      </c>
      <c r="G2073" t="n">
        <v>5.6</v>
      </c>
      <c r="H2073" t="n">
        <v>0</v>
      </c>
      <c r="I2073" t="n">
        <v>0</v>
      </c>
      <c r="J2073" t="n">
        <v>0</v>
      </c>
      <c r="K2073" t="n">
        <v>0</v>
      </c>
      <c r="L2073" t="n">
        <v>0</v>
      </c>
      <c r="M2073" t="n">
        <v>0</v>
      </c>
      <c r="N2073" t="n">
        <v>0</v>
      </c>
      <c r="O2073" t="n">
        <v>0</v>
      </c>
      <c r="P2073" t="n">
        <v>0</v>
      </c>
      <c r="Q2073" t="n">
        <v>0</v>
      </c>
      <c r="R2073" s="2" t="inlineStr"/>
    </row>
    <row r="2074" ht="15" customHeight="1">
      <c r="A2074" t="inlineStr">
        <is>
          <t>A 61555-2021</t>
        </is>
      </c>
      <c r="B2074" s="1" t="n">
        <v>44501</v>
      </c>
      <c r="C2074" s="1" t="n">
        <v>45705</v>
      </c>
      <c r="D2074" t="inlineStr">
        <is>
          <t>UPPSALA LÄN</t>
        </is>
      </c>
      <c r="E2074" t="inlineStr">
        <is>
          <t>ÖSTHAMMAR</t>
        </is>
      </c>
      <c r="F2074" t="inlineStr">
        <is>
          <t>Sveaskog</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61553-2021</t>
        </is>
      </c>
      <c r="B2075" s="1" t="n">
        <v>44501</v>
      </c>
      <c r="C2075" s="1" t="n">
        <v>45705</v>
      </c>
      <c r="D2075" t="inlineStr">
        <is>
          <t>UPPSALA LÄN</t>
        </is>
      </c>
      <c r="E2075" t="inlineStr">
        <is>
          <t>ENKÖPING</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61560-2021</t>
        </is>
      </c>
      <c r="B2076" s="1" t="n">
        <v>44501</v>
      </c>
      <c r="C2076" s="1" t="n">
        <v>45705</v>
      </c>
      <c r="D2076" t="inlineStr">
        <is>
          <t>UPPSALA LÄN</t>
        </is>
      </c>
      <c r="E2076" t="inlineStr">
        <is>
          <t>ÖSTHAMMAR</t>
        </is>
      </c>
      <c r="F2076" t="inlineStr">
        <is>
          <t>Sveaskog</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61817-2021</t>
        </is>
      </c>
      <c r="B2077" s="1" t="n">
        <v>44501</v>
      </c>
      <c r="C2077" s="1" t="n">
        <v>45705</v>
      </c>
      <c r="D2077" t="inlineStr">
        <is>
          <t>UPPSALA LÄN</t>
        </is>
      </c>
      <c r="E2077" t="inlineStr">
        <is>
          <t>ÖSTHAMMAR</t>
        </is>
      </c>
      <c r="F2077" t="inlineStr">
        <is>
          <t>Bergvik skog öst AB</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61805-2021</t>
        </is>
      </c>
      <c r="B2078" s="1" t="n">
        <v>44501</v>
      </c>
      <c r="C2078" s="1" t="n">
        <v>45705</v>
      </c>
      <c r="D2078" t="inlineStr">
        <is>
          <t>UPPSALA LÄN</t>
        </is>
      </c>
      <c r="E2078" t="inlineStr">
        <is>
          <t>UPPSALA</t>
        </is>
      </c>
      <c r="F2078" t="inlineStr">
        <is>
          <t>Bergvik skog öst AB</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61952-2021</t>
        </is>
      </c>
      <c r="B2079" s="1" t="n">
        <v>44502</v>
      </c>
      <c r="C2079" s="1" t="n">
        <v>45705</v>
      </c>
      <c r="D2079" t="inlineStr">
        <is>
          <t>UPPSALA LÄN</t>
        </is>
      </c>
      <c r="E2079" t="inlineStr">
        <is>
          <t>ENKÖPING</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62046-2021</t>
        </is>
      </c>
      <c r="B2080" s="1" t="n">
        <v>44502</v>
      </c>
      <c r="C2080" s="1" t="n">
        <v>45705</v>
      </c>
      <c r="D2080" t="inlineStr">
        <is>
          <t>UPPSALA LÄN</t>
        </is>
      </c>
      <c r="E2080" t="inlineStr">
        <is>
          <t>ENKÖPING</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62471-2021</t>
        </is>
      </c>
      <c r="B2081" s="1" t="n">
        <v>44503</v>
      </c>
      <c r="C2081" s="1" t="n">
        <v>45705</v>
      </c>
      <c r="D2081" t="inlineStr">
        <is>
          <t>UPPSALA LÄN</t>
        </is>
      </c>
      <c r="E2081" t="inlineStr">
        <is>
          <t>UPPSALA</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62441-2021</t>
        </is>
      </c>
      <c r="B2082" s="1" t="n">
        <v>44503</v>
      </c>
      <c r="C2082" s="1" t="n">
        <v>45705</v>
      </c>
      <c r="D2082" t="inlineStr">
        <is>
          <t>UPPSALA LÄN</t>
        </is>
      </c>
      <c r="E2082" t="inlineStr">
        <is>
          <t>KNIVSTA</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62854-2021</t>
        </is>
      </c>
      <c r="B2083" s="1" t="n">
        <v>44504</v>
      </c>
      <c r="C2083" s="1" t="n">
        <v>45705</v>
      </c>
      <c r="D2083" t="inlineStr">
        <is>
          <t>UPPSALA LÄN</t>
        </is>
      </c>
      <c r="E2083" t="inlineStr">
        <is>
          <t>ÖSTHAMMAR</t>
        </is>
      </c>
      <c r="F2083" t="inlineStr">
        <is>
          <t>Bergvik skog öst AB</t>
        </is>
      </c>
      <c r="G2083" t="n">
        <v>10.3</v>
      </c>
      <c r="H2083" t="n">
        <v>0</v>
      </c>
      <c r="I2083" t="n">
        <v>0</v>
      </c>
      <c r="J2083" t="n">
        <v>0</v>
      </c>
      <c r="K2083" t="n">
        <v>0</v>
      </c>
      <c r="L2083" t="n">
        <v>0</v>
      </c>
      <c r="M2083" t="n">
        <v>0</v>
      </c>
      <c r="N2083" t="n">
        <v>0</v>
      </c>
      <c r="O2083" t="n">
        <v>0</v>
      </c>
      <c r="P2083" t="n">
        <v>0</v>
      </c>
      <c r="Q2083" t="n">
        <v>0</v>
      </c>
      <c r="R2083" s="2" t="inlineStr"/>
    </row>
    <row r="2084" ht="15" customHeight="1">
      <c r="A2084" t="inlineStr">
        <is>
          <t>A 62764-2021</t>
        </is>
      </c>
      <c r="B2084" s="1" t="n">
        <v>44504</v>
      </c>
      <c r="C2084" s="1" t="n">
        <v>45705</v>
      </c>
      <c r="D2084" t="inlineStr">
        <is>
          <t>UPPSALA LÄN</t>
        </is>
      </c>
      <c r="E2084" t="inlineStr">
        <is>
          <t>HEBY</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62782-2021</t>
        </is>
      </c>
      <c r="B2085" s="1" t="n">
        <v>44504</v>
      </c>
      <c r="C2085" s="1" t="n">
        <v>45705</v>
      </c>
      <c r="D2085" t="inlineStr">
        <is>
          <t>UPPSALA LÄN</t>
        </is>
      </c>
      <c r="E2085" t="inlineStr">
        <is>
          <t>ÖSTHAMMAR</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62897-2021</t>
        </is>
      </c>
      <c r="B2086" s="1" t="n">
        <v>44504</v>
      </c>
      <c r="C2086" s="1" t="n">
        <v>45705</v>
      </c>
      <c r="D2086" t="inlineStr">
        <is>
          <t>UPPSALA LÄN</t>
        </is>
      </c>
      <c r="E2086" t="inlineStr">
        <is>
          <t>TIERP</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62865-2021</t>
        </is>
      </c>
      <c r="B2087" s="1" t="n">
        <v>44504</v>
      </c>
      <c r="C2087" s="1" t="n">
        <v>45705</v>
      </c>
      <c r="D2087" t="inlineStr">
        <is>
          <t>UPPSALA LÄN</t>
        </is>
      </c>
      <c r="E2087" t="inlineStr">
        <is>
          <t>UPPSALA</t>
        </is>
      </c>
      <c r="F2087" t="inlineStr">
        <is>
          <t>Bergvik skog öst AB</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63011-2021</t>
        </is>
      </c>
      <c r="B2088" s="1" t="n">
        <v>44504</v>
      </c>
      <c r="C2088" s="1" t="n">
        <v>45705</v>
      </c>
      <c r="D2088" t="inlineStr">
        <is>
          <t>UPPSALA LÄN</t>
        </is>
      </c>
      <c r="E2088" t="inlineStr">
        <is>
          <t>UPPSALA</t>
        </is>
      </c>
      <c r="G2088" t="n">
        <v>11.2</v>
      </c>
      <c r="H2088" t="n">
        <v>0</v>
      </c>
      <c r="I2088" t="n">
        <v>0</v>
      </c>
      <c r="J2088" t="n">
        <v>0</v>
      </c>
      <c r="K2088" t="n">
        <v>0</v>
      </c>
      <c r="L2088" t="n">
        <v>0</v>
      </c>
      <c r="M2088" t="n">
        <v>0</v>
      </c>
      <c r="N2088" t="n">
        <v>0</v>
      </c>
      <c r="O2088" t="n">
        <v>0</v>
      </c>
      <c r="P2088" t="n">
        <v>0</v>
      </c>
      <c r="Q2088" t="n">
        <v>0</v>
      </c>
      <c r="R2088" s="2" t="inlineStr"/>
    </row>
    <row r="2089" ht="15" customHeight="1">
      <c r="A2089" t="inlineStr">
        <is>
          <t>A 63310-2021</t>
        </is>
      </c>
      <c r="B2089" s="1" t="n">
        <v>44508</v>
      </c>
      <c r="C2089" s="1" t="n">
        <v>45705</v>
      </c>
      <c r="D2089" t="inlineStr">
        <is>
          <t>UPPSALA LÄN</t>
        </is>
      </c>
      <c r="E2089" t="inlineStr">
        <is>
          <t>ENKÖPING</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63400-2021</t>
        </is>
      </c>
      <c r="B2090" s="1" t="n">
        <v>44508</v>
      </c>
      <c r="C2090" s="1" t="n">
        <v>45705</v>
      </c>
      <c r="D2090" t="inlineStr">
        <is>
          <t>UPPSALA LÄN</t>
        </is>
      </c>
      <c r="E2090" t="inlineStr">
        <is>
          <t>ENKÖPING</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63307-2021</t>
        </is>
      </c>
      <c r="B2091" s="1" t="n">
        <v>44508</v>
      </c>
      <c r="C2091" s="1" t="n">
        <v>45705</v>
      </c>
      <c r="D2091" t="inlineStr">
        <is>
          <t>UPPSALA LÄN</t>
        </is>
      </c>
      <c r="E2091" t="inlineStr">
        <is>
          <t>UPPSALA</t>
        </is>
      </c>
      <c r="F2091" t="inlineStr">
        <is>
          <t>Bergvik skog öst AB</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63393-2021</t>
        </is>
      </c>
      <c r="B2092" s="1" t="n">
        <v>44508</v>
      </c>
      <c r="C2092" s="1" t="n">
        <v>45705</v>
      </c>
      <c r="D2092" t="inlineStr">
        <is>
          <t>UPPSALA LÄN</t>
        </is>
      </c>
      <c r="E2092" t="inlineStr">
        <is>
          <t>HEBY</t>
        </is>
      </c>
      <c r="F2092" t="inlineStr">
        <is>
          <t>Bergvik skog öst AB</t>
        </is>
      </c>
      <c r="G2092" t="n">
        <v>4.9</v>
      </c>
      <c r="H2092" t="n">
        <v>0</v>
      </c>
      <c r="I2092" t="n">
        <v>0</v>
      </c>
      <c r="J2092" t="n">
        <v>0</v>
      </c>
      <c r="K2092" t="n">
        <v>0</v>
      </c>
      <c r="L2092" t="n">
        <v>0</v>
      </c>
      <c r="M2092" t="n">
        <v>0</v>
      </c>
      <c r="N2092" t="n">
        <v>0</v>
      </c>
      <c r="O2092" t="n">
        <v>0</v>
      </c>
      <c r="P2092" t="n">
        <v>0</v>
      </c>
      <c r="Q2092" t="n">
        <v>0</v>
      </c>
      <c r="R2092" s="2" t="inlineStr"/>
    </row>
    <row r="2093" ht="15" customHeight="1">
      <c r="A2093" t="inlineStr">
        <is>
          <t>A 63405-2021</t>
        </is>
      </c>
      <c r="B2093" s="1" t="n">
        <v>44508</v>
      </c>
      <c r="C2093" s="1" t="n">
        <v>45705</v>
      </c>
      <c r="D2093" t="inlineStr">
        <is>
          <t>UPPSALA LÄN</t>
        </is>
      </c>
      <c r="E2093" t="inlineStr">
        <is>
          <t>ENKÖPING</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63501-2021</t>
        </is>
      </c>
      <c r="B2094" s="1" t="n">
        <v>44508</v>
      </c>
      <c r="C2094" s="1" t="n">
        <v>45705</v>
      </c>
      <c r="D2094" t="inlineStr">
        <is>
          <t>UPPSALA LÄN</t>
        </is>
      </c>
      <c r="E2094" t="inlineStr">
        <is>
          <t>HEBY</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63460-2021</t>
        </is>
      </c>
      <c r="B2095" s="1" t="n">
        <v>44508</v>
      </c>
      <c r="C2095" s="1" t="n">
        <v>45705</v>
      </c>
      <c r="D2095" t="inlineStr">
        <is>
          <t>UPPSALA LÄN</t>
        </is>
      </c>
      <c r="E2095" t="inlineStr">
        <is>
          <t>KNIVSTA</t>
        </is>
      </c>
      <c r="F2095" t="inlineStr">
        <is>
          <t>Holmen skog AB</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62451-2021</t>
        </is>
      </c>
      <c r="B2096" s="1" t="n">
        <v>44509</v>
      </c>
      <c r="C2096" s="1" t="n">
        <v>45705</v>
      </c>
      <c r="D2096" t="inlineStr">
        <is>
          <t>UPPSALA LÄN</t>
        </is>
      </c>
      <c r="E2096" t="inlineStr">
        <is>
          <t>KNIVSTA</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63826-2021</t>
        </is>
      </c>
      <c r="B2097" s="1" t="n">
        <v>44509</v>
      </c>
      <c r="C2097" s="1" t="n">
        <v>45705</v>
      </c>
      <c r="D2097" t="inlineStr">
        <is>
          <t>UPPSALA LÄN</t>
        </is>
      </c>
      <c r="E2097" t="inlineStr">
        <is>
          <t>HEBY</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63959-2021</t>
        </is>
      </c>
      <c r="B2098" s="1" t="n">
        <v>44509</v>
      </c>
      <c r="C2098" s="1" t="n">
        <v>45705</v>
      </c>
      <c r="D2098" t="inlineStr">
        <is>
          <t>UPPSALA LÄN</t>
        </is>
      </c>
      <c r="E2098" t="inlineStr">
        <is>
          <t>HEBY</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63955-2021</t>
        </is>
      </c>
      <c r="B2099" s="1" t="n">
        <v>44509</v>
      </c>
      <c r="C2099" s="1" t="n">
        <v>45705</v>
      </c>
      <c r="D2099" t="inlineStr">
        <is>
          <t>UPPSALA LÄN</t>
        </is>
      </c>
      <c r="E2099" t="inlineStr">
        <is>
          <t>HEBY</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64016-2021</t>
        </is>
      </c>
      <c r="B2100" s="1" t="n">
        <v>44510</v>
      </c>
      <c r="C2100" s="1" t="n">
        <v>45705</v>
      </c>
      <c r="D2100" t="inlineStr">
        <is>
          <t>UPPSALA LÄN</t>
        </is>
      </c>
      <c r="E2100" t="inlineStr">
        <is>
          <t>UPPSALA</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64044-2021</t>
        </is>
      </c>
      <c r="B2101" s="1" t="n">
        <v>44510</v>
      </c>
      <c r="C2101" s="1" t="n">
        <v>45705</v>
      </c>
      <c r="D2101" t="inlineStr">
        <is>
          <t>UPPSALA LÄN</t>
        </is>
      </c>
      <c r="E2101" t="inlineStr">
        <is>
          <t>KNIVSTA</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64364-2021</t>
        </is>
      </c>
      <c r="B2102" s="1" t="n">
        <v>44511</v>
      </c>
      <c r="C2102" s="1" t="n">
        <v>45705</v>
      </c>
      <c r="D2102" t="inlineStr">
        <is>
          <t>UPPSALA LÄN</t>
        </is>
      </c>
      <c r="E2102" t="inlineStr">
        <is>
          <t>HEBY</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64413-2021</t>
        </is>
      </c>
      <c r="B2103" s="1" t="n">
        <v>44511</v>
      </c>
      <c r="C2103" s="1" t="n">
        <v>45705</v>
      </c>
      <c r="D2103" t="inlineStr">
        <is>
          <t>UPPSALA LÄN</t>
        </is>
      </c>
      <c r="E2103" t="inlineStr">
        <is>
          <t>HEBY</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64586-2021</t>
        </is>
      </c>
      <c r="B2104" s="1" t="n">
        <v>44511</v>
      </c>
      <c r="C2104" s="1" t="n">
        <v>45705</v>
      </c>
      <c r="D2104" t="inlineStr">
        <is>
          <t>UPPSALA LÄN</t>
        </is>
      </c>
      <c r="E2104" t="inlineStr">
        <is>
          <t>ÖSTHAMMAR</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64771-2021</t>
        </is>
      </c>
      <c r="B2105" s="1" t="n">
        <v>44512</v>
      </c>
      <c r="C2105" s="1" t="n">
        <v>45705</v>
      </c>
      <c r="D2105" t="inlineStr">
        <is>
          <t>UPPSALA LÄN</t>
        </is>
      </c>
      <c r="E2105" t="inlineStr">
        <is>
          <t>HEBY</t>
        </is>
      </c>
      <c r="F2105" t="inlineStr">
        <is>
          <t>Bergvik skog öst AB</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64857-2021</t>
        </is>
      </c>
      <c r="B2106" s="1" t="n">
        <v>44512</v>
      </c>
      <c r="C2106" s="1" t="n">
        <v>45705</v>
      </c>
      <c r="D2106" t="inlineStr">
        <is>
          <t>UPPSALA LÄN</t>
        </is>
      </c>
      <c r="E2106" t="inlineStr">
        <is>
          <t>UPPSALA</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64811-2021</t>
        </is>
      </c>
      <c r="B2107" s="1" t="n">
        <v>44512</v>
      </c>
      <c r="C2107" s="1" t="n">
        <v>45705</v>
      </c>
      <c r="D2107" t="inlineStr">
        <is>
          <t>UPPSALA LÄN</t>
        </is>
      </c>
      <c r="E2107" t="inlineStr">
        <is>
          <t>ÖSTHAMMAR</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64856-2021</t>
        </is>
      </c>
      <c r="B2108" s="1" t="n">
        <v>44512</v>
      </c>
      <c r="C2108" s="1" t="n">
        <v>45705</v>
      </c>
      <c r="D2108" t="inlineStr">
        <is>
          <t>UPPSALA LÄN</t>
        </is>
      </c>
      <c r="E2108" t="inlineStr">
        <is>
          <t>UPPSALA</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64872-2021</t>
        </is>
      </c>
      <c r="B2109" s="1" t="n">
        <v>44512</v>
      </c>
      <c r="C2109" s="1" t="n">
        <v>45705</v>
      </c>
      <c r="D2109" t="inlineStr">
        <is>
          <t>UPPSALA LÄN</t>
        </is>
      </c>
      <c r="E2109" t="inlineStr">
        <is>
          <t>ÖSTHAMMAR</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64858-2021</t>
        </is>
      </c>
      <c r="B2110" s="1" t="n">
        <v>44512</v>
      </c>
      <c r="C2110" s="1" t="n">
        <v>45705</v>
      </c>
      <c r="D2110" t="inlineStr">
        <is>
          <t>UPPSALA LÄN</t>
        </is>
      </c>
      <c r="E2110" t="inlineStr">
        <is>
          <t>UPPSALA</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64899-2021</t>
        </is>
      </c>
      <c r="B2111" s="1" t="n">
        <v>44512</v>
      </c>
      <c r="C2111" s="1" t="n">
        <v>45705</v>
      </c>
      <c r="D2111" t="inlineStr">
        <is>
          <t>UPPSALA LÄN</t>
        </is>
      </c>
      <c r="E2111" t="inlineStr">
        <is>
          <t>HEBY</t>
        </is>
      </c>
      <c r="F2111" t="inlineStr">
        <is>
          <t>Bergvik skog öst AB</t>
        </is>
      </c>
      <c r="G2111" t="n">
        <v>7.6</v>
      </c>
      <c r="H2111" t="n">
        <v>0</v>
      </c>
      <c r="I2111" t="n">
        <v>0</v>
      </c>
      <c r="J2111" t="n">
        <v>0</v>
      </c>
      <c r="K2111" t="n">
        <v>0</v>
      </c>
      <c r="L2111" t="n">
        <v>0</v>
      </c>
      <c r="M2111" t="n">
        <v>0</v>
      </c>
      <c r="N2111" t="n">
        <v>0</v>
      </c>
      <c r="O2111" t="n">
        <v>0</v>
      </c>
      <c r="P2111" t="n">
        <v>0</v>
      </c>
      <c r="Q2111" t="n">
        <v>0</v>
      </c>
      <c r="R2111" s="2" t="inlineStr"/>
    </row>
    <row r="2112" ht="15" customHeight="1">
      <c r="A2112" t="inlineStr">
        <is>
          <t>A 64855-2021</t>
        </is>
      </c>
      <c r="B2112" s="1" t="n">
        <v>44512</v>
      </c>
      <c r="C2112" s="1" t="n">
        <v>45705</v>
      </c>
      <c r="D2112" t="inlineStr">
        <is>
          <t>UPPSALA LÄN</t>
        </is>
      </c>
      <c r="E2112" t="inlineStr">
        <is>
          <t>UPPSALA</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64885-2021</t>
        </is>
      </c>
      <c r="B2113" s="1" t="n">
        <v>44512</v>
      </c>
      <c r="C2113" s="1" t="n">
        <v>45705</v>
      </c>
      <c r="D2113" t="inlineStr">
        <is>
          <t>UPPSALA LÄN</t>
        </is>
      </c>
      <c r="E2113" t="inlineStr">
        <is>
          <t>ÖSTHAMMAR</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65020-2021</t>
        </is>
      </c>
      <c r="B2114" s="1" t="n">
        <v>44515</v>
      </c>
      <c r="C2114" s="1" t="n">
        <v>45705</v>
      </c>
      <c r="D2114" t="inlineStr">
        <is>
          <t>UPPSALA LÄN</t>
        </is>
      </c>
      <c r="E2114" t="inlineStr">
        <is>
          <t>ÖSTHAMMAR</t>
        </is>
      </c>
      <c r="F2114" t="inlineStr">
        <is>
          <t>Sveaskog</t>
        </is>
      </c>
      <c r="G2114" t="n">
        <v>4.7</v>
      </c>
      <c r="H2114" t="n">
        <v>0</v>
      </c>
      <c r="I2114" t="n">
        <v>0</v>
      </c>
      <c r="J2114" t="n">
        <v>0</v>
      </c>
      <c r="K2114" t="n">
        <v>0</v>
      </c>
      <c r="L2114" t="n">
        <v>0</v>
      </c>
      <c r="M2114" t="n">
        <v>0</v>
      </c>
      <c r="N2114" t="n">
        <v>0</v>
      </c>
      <c r="O2114" t="n">
        <v>0</v>
      </c>
      <c r="P2114" t="n">
        <v>0</v>
      </c>
      <c r="Q2114" t="n">
        <v>0</v>
      </c>
      <c r="R2114" s="2" t="inlineStr"/>
    </row>
    <row r="2115" ht="15" customHeight="1">
      <c r="A2115" t="inlineStr">
        <is>
          <t>A 65165-2021</t>
        </is>
      </c>
      <c r="B2115" s="1" t="n">
        <v>44515</v>
      </c>
      <c r="C2115" s="1" t="n">
        <v>45705</v>
      </c>
      <c r="D2115" t="inlineStr">
        <is>
          <t>UPPSALA LÄN</t>
        </is>
      </c>
      <c r="E2115" t="inlineStr">
        <is>
          <t>ÖSTHAMMAR</t>
        </is>
      </c>
      <c r="F2115" t="inlineStr">
        <is>
          <t>Sveaskog</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65255-2021</t>
        </is>
      </c>
      <c r="B2116" s="1" t="n">
        <v>44515</v>
      </c>
      <c r="C2116" s="1" t="n">
        <v>45705</v>
      </c>
      <c r="D2116" t="inlineStr">
        <is>
          <t>UPPSALA LÄN</t>
        </is>
      </c>
      <c r="E2116" t="inlineStr">
        <is>
          <t>TIERP</t>
        </is>
      </c>
      <c r="G2116" t="n">
        <v>6.3</v>
      </c>
      <c r="H2116" t="n">
        <v>0</v>
      </c>
      <c r="I2116" t="n">
        <v>0</v>
      </c>
      <c r="J2116" t="n">
        <v>0</v>
      </c>
      <c r="K2116" t="n">
        <v>0</v>
      </c>
      <c r="L2116" t="n">
        <v>0</v>
      </c>
      <c r="M2116" t="n">
        <v>0</v>
      </c>
      <c r="N2116" t="n">
        <v>0</v>
      </c>
      <c r="O2116" t="n">
        <v>0</v>
      </c>
      <c r="P2116" t="n">
        <v>0</v>
      </c>
      <c r="Q2116" t="n">
        <v>0</v>
      </c>
      <c r="R2116" s="2" t="inlineStr"/>
    </row>
    <row r="2117" ht="15" customHeight="1">
      <c r="A2117" t="inlineStr">
        <is>
          <t>A 65132-2021</t>
        </is>
      </c>
      <c r="B2117" s="1" t="n">
        <v>44515</v>
      </c>
      <c r="C2117" s="1" t="n">
        <v>45705</v>
      </c>
      <c r="D2117" t="inlineStr">
        <is>
          <t>UPPSALA LÄN</t>
        </is>
      </c>
      <c r="E2117" t="inlineStr">
        <is>
          <t>UPPSALA</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65104-2021</t>
        </is>
      </c>
      <c r="B2118" s="1" t="n">
        <v>44515</v>
      </c>
      <c r="C2118" s="1" t="n">
        <v>45705</v>
      </c>
      <c r="D2118" t="inlineStr">
        <is>
          <t>UPPSALA LÄN</t>
        </is>
      </c>
      <c r="E2118" t="inlineStr">
        <is>
          <t>ÖSTHAMMAR</t>
        </is>
      </c>
      <c r="F2118" t="inlineStr">
        <is>
          <t>Sveaskog</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65028-2021</t>
        </is>
      </c>
      <c r="B2119" s="1" t="n">
        <v>44515</v>
      </c>
      <c r="C2119" s="1" t="n">
        <v>45705</v>
      </c>
      <c r="D2119" t="inlineStr">
        <is>
          <t>UPPSALA LÄN</t>
        </is>
      </c>
      <c r="E2119" t="inlineStr">
        <is>
          <t>ÖSTHAMMAR</t>
        </is>
      </c>
      <c r="F2119" t="inlineStr">
        <is>
          <t>Sveaskog</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65491-2021</t>
        </is>
      </c>
      <c r="B2120" s="1" t="n">
        <v>44516</v>
      </c>
      <c r="C2120" s="1" t="n">
        <v>45705</v>
      </c>
      <c r="D2120" t="inlineStr">
        <is>
          <t>UPPSALA LÄN</t>
        </is>
      </c>
      <c r="E2120" t="inlineStr">
        <is>
          <t>TIERP</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65626-2021</t>
        </is>
      </c>
      <c r="B2121" s="1" t="n">
        <v>44516</v>
      </c>
      <c r="C2121" s="1" t="n">
        <v>45705</v>
      </c>
      <c r="D2121" t="inlineStr">
        <is>
          <t>UPPSALA LÄN</t>
        </is>
      </c>
      <c r="E2121" t="inlineStr">
        <is>
          <t>HEBY</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65623-2021</t>
        </is>
      </c>
      <c r="B2122" s="1" t="n">
        <v>44516</v>
      </c>
      <c r="C2122" s="1" t="n">
        <v>45705</v>
      </c>
      <c r="D2122" t="inlineStr">
        <is>
          <t>UPPSALA LÄN</t>
        </is>
      </c>
      <c r="E2122" t="inlineStr">
        <is>
          <t>HEBY</t>
        </is>
      </c>
      <c r="G2122" t="n">
        <v>0.2</v>
      </c>
      <c r="H2122" t="n">
        <v>0</v>
      </c>
      <c r="I2122" t="n">
        <v>0</v>
      </c>
      <c r="J2122" t="n">
        <v>0</v>
      </c>
      <c r="K2122" t="n">
        <v>0</v>
      </c>
      <c r="L2122" t="n">
        <v>0</v>
      </c>
      <c r="M2122" t="n">
        <v>0</v>
      </c>
      <c r="N2122" t="n">
        <v>0</v>
      </c>
      <c r="O2122" t="n">
        <v>0</v>
      </c>
      <c r="P2122" t="n">
        <v>0</v>
      </c>
      <c r="Q2122" t="n">
        <v>0</v>
      </c>
      <c r="R2122" s="2" t="inlineStr"/>
    </row>
    <row r="2123" ht="15" customHeight="1">
      <c r="A2123" t="inlineStr">
        <is>
          <t>A 65659-2021</t>
        </is>
      </c>
      <c r="B2123" s="1" t="n">
        <v>44516</v>
      </c>
      <c r="C2123" s="1" t="n">
        <v>45705</v>
      </c>
      <c r="D2123" t="inlineStr">
        <is>
          <t>UPPSALA LÄN</t>
        </is>
      </c>
      <c r="E2123" t="inlineStr">
        <is>
          <t>UPPSALA</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65631-2021</t>
        </is>
      </c>
      <c r="B2124" s="1" t="n">
        <v>44516</v>
      </c>
      <c r="C2124" s="1" t="n">
        <v>45705</v>
      </c>
      <c r="D2124" t="inlineStr">
        <is>
          <t>UPPSALA LÄN</t>
        </is>
      </c>
      <c r="E2124" t="inlineStr">
        <is>
          <t>HEBY</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65695-2021</t>
        </is>
      </c>
      <c r="B2125" s="1" t="n">
        <v>44516</v>
      </c>
      <c r="C2125" s="1" t="n">
        <v>45705</v>
      </c>
      <c r="D2125" t="inlineStr">
        <is>
          <t>UPPSALA LÄN</t>
        </is>
      </c>
      <c r="E2125" t="inlineStr">
        <is>
          <t>UPPSALA</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65809-2021</t>
        </is>
      </c>
      <c r="B2126" s="1" t="n">
        <v>44517</v>
      </c>
      <c r="C2126" s="1" t="n">
        <v>45705</v>
      </c>
      <c r="D2126" t="inlineStr">
        <is>
          <t>UPPSALA LÄN</t>
        </is>
      </c>
      <c r="E2126" t="inlineStr">
        <is>
          <t>UPPSALA</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65811-2021</t>
        </is>
      </c>
      <c r="B2127" s="1" t="n">
        <v>44517</v>
      </c>
      <c r="C2127" s="1" t="n">
        <v>45705</v>
      </c>
      <c r="D2127" t="inlineStr">
        <is>
          <t>UPPSALA LÄN</t>
        </is>
      </c>
      <c r="E2127" t="inlineStr">
        <is>
          <t>UPPSALA</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65964-2021</t>
        </is>
      </c>
      <c r="B2128" s="1" t="n">
        <v>44517</v>
      </c>
      <c r="C2128" s="1" t="n">
        <v>45705</v>
      </c>
      <c r="D2128" t="inlineStr">
        <is>
          <t>UPPSALA LÄN</t>
        </is>
      </c>
      <c r="E2128" t="inlineStr">
        <is>
          <t>UPPSALA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65836-2021</t>
        </is>
      </c>
      <c r="B2129" s="1" t="n">
        <v>44517</v>
      </c>
      <c r="C2129" s="1" t="n">
        <v>45705</v>
      </c>
      <c r="D2129" t="inlineStr">
        <is>
          <t>UPPSALA LÄN</t>
        </is>
      </c>
      <c r="E2129" t="inlineStr">
        <is>
          <t>HÅBO</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66029-2021</t>
        </is>
      </c>
      <c r="B2130" s="1" t="n">
        <v>44517</v>
      </c>
      <c r="C2130" s="1" t="n">
        <v>45705</v>
      </c>
      <c r="D2130" t="inlineStr">
        <is>
          <t>UPPSALA LÄN</t>
        </is>
      </c>
      <c r="E2130" t="inlineStr">
        <is>
          <t>HEBY</t>
        </is>
      </c>
      <c r="F2130" t="inlineStr">
        <is>
          <t>Bergvik skog öst AB</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66055-2021</t>
        </is>
      </c>
      <c r="B2131" s="1" t="n">
        <v>44517</v>
      </c>
      <c r="C2131" s="1" t="n">
        <v>45705</v>
      </c>
      <c r="D2131" t="inlineStr">
        <is>
          <t>UPPSALA LÄN</t>
        </is>
      </c>
      <c r="E2131" t="inlineStr">
        <is>
          <t>HEBY</t>
        </is>
      </c>
      <c r="F2131" t="inlineStr">
        <is>
          <t>Bergvik skog öst AB</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66025-2021</t>
        </is>
      </c>
      <c r="B2132" s="1" t="n">
        <v>44517</v>
      </c>
      <c r="C2132" s="1" t="n">
        <v>45705</v>
      </c>
      <c r="D2132" t="inlineStr">
        <is>
          <t>UPPSALA LÄN</t>
        </is>
      </c>
      <c r="E2132" t="inlineStr">
        <is>
          <t>HEBY</t>
        </is>
      </c>
      <c r="F2132" t="inlineStr">
        <is>
          <t>Bergvik skog öst AB</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66256-2021</t>
        </is>
      </c>
      <c r="B2133" s="1" t="n">
        <v>44518</v>
      </c>
      <c r="C2133" s="1" t="n">
        <v>45705</v>
      </c>
      <c r="D2133" t="inlineStr">
        <is>
          <t>UPPSALA LÄN</t>
        </is>
      </c>
      <c r="E2133" t="inlineStr">
        <is>
          <t>KNIVSTA</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66239-2021</t>
        </is>
      </c>
      <c r="B2134" s="1" t="n">
        <v>44518</v>
      </c>
      <c r="C2134" s="1" t="n">
        <v>45705</v>
      </c>
      <c r="D2134" t="inlineStr">
        <is>
          <t>UPPSALA LÄN</t>
        </is>
      </c>
      <c r="E2134" t="inlineStr">
        <is>
          <t>UPPSALA</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66241-2021</t>
        </is>
      </c>
      <c r="B2135" s="1" t="n">
        <v>44518</v>
      </c>
      <c r="C2135" s="1" t="n">
        <v>45705</v>
      </c>
      <c r="D2135" t="inlineStr">
        <is>
          <t>UPPSALA LÄN</t>
        </is>
      </c>
      <c r="E2135" t="inlineStr">
        <is>
          <t>TIERP</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66298-2021</t>
        </is>
      </c>
      <c r="B2136" s="1" t="n">
        <v>44518</v>
      </c>
      <c r="C2136" s="1" t="n">
        <v>45705</v>
      </c>
      <c r="D2136" t="inlineStr">
        <is>
          <t>UPPSALA LÄN</t>
        </is>
      </c>
      <c r="E2136" t="inlineStr">
        <is>
          <t>KNIVSTA</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66310-2021</t>
        </is>
      </c>
      <c r="B2137" s="1" t="n">
        <v>44518</v>
      </c>
      <c r="C2137" s="1" t="n">
        <v>45705</v>
      </c>
      <c r="D2137" t="inlineStr">
        <is>
          <t>UPPSALA LÄN</t>
        </is>
      </c>
      <c r="E2137" t="inlineStr">
        <is>
          <t>KNIVSTA</t>
        </is>
      </c>
      <c r="G2137" t="n">
        <v>14.1</v>
      </c>
      <c r="H2137" t="n">
        <v>0</v>
      </c>
      <c r="I2137" t="n">
        <v>0</v>
      </c>
      <c r="J2137" t="n">
        <v>0</v>
      </c>
      <c r="K2137" t="n">
        <v>0</v>
      </c>
      <c r="L2137" t="n">
        <v>0</v>
      </c>
      <c r="M2137" t="n">
        <v>0</v>
      </c>
      <c r="N2137" t="n">
        <v>0</v>
      </c>
      <c r="O2137" t="n">
        <v>0</v>
      </c>
      <c r="P2137" t="n">
        <v>0</v>
      </c>
      <c r="Q2137" t="n">
        <v>0</v>
      </c>
      <c r="R2137" s="2" t="inlineStr"/>
    </row>
    <row r="2138" ht="15" customHeight="1">
      <c r="A2138" t="inlineStr">
        <is>
          <t>A 66284-2021</t>
        </is>
      </c>
      <c r="B2138" s="1" t="n">
        <v>44518</v>
      </c>
      <c r="C2138" s="1" t="n">
        <v>45705</v>
      </c>
      <c r="D2138" t="inlineStr">
        <is>
          <t>UPPSALA LÄN</t>
        </is>
      </c>
      <c r="E2138" t="inlineStr">
        <is>
          <t>KNIVSTA</t>
        </is>
      </c>
      <c r="G2138" t="n">
        <v>6.9</v>
      </c>
      <c r="H2138" t="n">
        <v>0</v>
      </c>
      <c r="I2138" t="n">
        <v>0</v>
      </c>
      <c r="J2138" t="n">
        <v>0</v>
      </c>
      <c r="K2138" t="n">
        <v>0</v>
      </c>
      <c r="L2138" t="n">
        <v>0</v>
      </c>
      <c r="M2138" t="n">
        <v>0</v>
      </c>
      <c r="N2138" t="n">
        <v>0</v>
      </c>
      <c r="O2138" t="n">
        <v>0</v>
      </c>
      <c r="P2138" t="n">
        <v>0</v>
      </c>
      <c r="Q2138" t="n">
        <v>0</v>
      </c>
      <c r="R2138" s="2" t="inlineStr"/>
    </row>
    <row r="2139" ht="15" customHeight="1">
      <c r="A2139" t="inlineStr">
        <is>
          <t>A 66293-2021</t>
        </is>
      </c>
      <c r="B2139" s="1" t="n">
        <v>44518</v>
      </c>
      <c r="C2139" s="1" t="n">
        <v>45705</v>
      </c>
      <c r="D2139" t="inlineStr">
        <is>
          <t>UPPSALA LÄN</t>
        </is>
      </c>
      <c r="E2139" t="inlineStr">
        <is>
          <t>KNIVSTA</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66336-2021</t>
        </is>
      </c>
      <c r="B2140" s="1" t="n">
        <v>44518</v>
      </c>
      <c r="C2140" s="1" t="n">
        <v>45705</v>
      </c>
      <c r="D2140" t="inlineStr">
        <is>
          <t>UPPSALA LÄN</t>
        </is>
      </c>
      <c r="E2140" t="inlineStr">
        <is>
          <t>KNIVSTA</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66305-2021</t>
        </is>
      </c>
      <c r="B2141" s="1" t="n">
        <v>44518</v>
      </c>
      <c r="C2141" s="1" t="n">
        <v>45705</v>
      </c>
      <c r="D2141" t="inlineStr">
        <is>
          <t>UPPSALA LÄN</t>
        </is>
      </c>
      <c r="E2141" t="inlineStr">
        <is>
          <t>KNIVSTA</t>
        </is>
      </c>
      <c r="G2141" t="n">
        <v>8.300000000000001</v>
      </c>
      <c r="H2141" t="n">
        <v>0</v>
      </c>
      <c r="I2141" t="n">
        <v>0</v>
      </c>
      <c r="J2141" t="n">
        <v>0</v>
      </c>
      <c r="K2141" t="n">
        <v>0</v>
      </c>
      <c r="L2141" t="n">
        <v>0</v>
      </c>
      <c r="M2141" t="n">
        <v>0</v>
      </c>
      <c r="N2141" t="n">
        <v>0</v>
      </c>
      <c r="O2141" t="n">
        <v>0</v>
      </c>
      <c r="P2141" t="n">
        <v>0</v>
      </c>
      <c r="Q2141" t="n">
        <v>0</v>
      </c>
      <c r="R2141" s="2" t="inlineStr"/>
    </row>
    <row r="2142" ht="15" customHeight="1">
      <c r="A2142" t="inlineStr">
        <is>
          <t>A 66519-2021</t>
        </is>
      </c>
      <c r="B2142" s="1" t="n">
        <v>44519</v>
      </c>
      <c r="C2142" s="1" t="n">
        <v>45705</v>
      </c>
      <c r="D2142" t="inlineStr">
        <is>
          <t>UPPSALA LÄN</t>
        </is>
      </c>
      <c r="E2142" t="inlineStr">
        <is>
          <t>HEBY</t>
        </is>
      </c>
      <c r="F2142" t="inlineStr">
        <is>
          <t>Sveaskog</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66549-2021</t>
        </is>
      </c>
      <c r="B2143" s="1" t="n">
        <v>44519</v>
      </c>
      <c r="C2143" s="1" t="n">
        <v>45705</v>
      </c>
      <c r="D2143" t="inlineStr">
        <is>
          <t>UPPSALA LÄN</t>
        </is>
      </c>
      <c r="E2143" t="inlineStr">
        <is>
          <t>ÖSTHAMMAR</t>
        </is>
      </c>
      <c r="F2143" t="inlineStr">
        <is>
          <t>Bergvik skog öst AB</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66517-2021</t>
        </is>
      </c>
      <c r="B2144" s="1" t="n">
        <v>44519</v>
      </c>
      <c r="C2144" s="1" t="n">
        <v>45705</v>
      </c>
      <c r="D2144" t="inlineStr">
        <is>
          <t>UPPSALA LÄN</t>
        </is>
      </c>
      <c r="E2144" t="inlineStr">
        <is>
          <t>HEBY</t>
        </is>
      </c>
      <c r="F2144" t="inlineStr">
        <is>
          <t>Sveaskog</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66521-2021</t>
        </is>
      </c>
      <c r="B2145" s="1" t="n">
        <v>44519</v>
      </c>
      <c r="C2145" s="1" t="n">
        <v>45705</v>
      </c>
      <c r="D2145" t="inlineStr">
        <is>
          <t>UPPSALA LÄN</t>
        </is>
      </c>
      <c r="E2145" t="inlineStr">
        <is>
          <t>HEBY</t>
        </is>
      </c>
      <c r="F2145" t="inlineStr">
        <is>
          <t>Sveaskog</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66690-2021</t>
        </is>
      </c>
      <c r="B2146" s="1" t="n">
        <v>44519</v>
      </c>
      <c r="C2146" s="1" t="n">
        <v>45705</v>
      </c>
      <c r="D2146" t="inlineStr">
        <is>
          <t>UPPSALA LÄN</t>
        </is>
      </c>
      <c r="E2146" t="inlineStr">
        <is>
          <t>UPPSALA</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66686-2021</t>
        </is>
      </c>
      <c r="B2147" s="1" t="n">
        <v>44519</v>
      </c>
      <c r="C2147" s="1" t="n">
        <v>45705</v>
      </c>
      <c r="D2147" t="inlineStr">
        <is>
          <t>UPPSALA LÄN</t>
        </is>
      </c>
      <c r="E2147" t="inlineStr">
        <is>
          <t>UPPSALA</t>
        </is>
      </c>
      <c r="G2147" t="n">
        <v>6.4</v>
      </c>
      <c r="H2147" t="n">
        <v>0</v>
      </c>
      <c r="I2147" t="n">
        <v>0</v>
      </c>
      <c r="J2147" t="n">
        <v>0</v>
      </c>
      <c r="K2147" t="n">
        <v>0</v>
      </c>
      <c r="L2147" t="n">
        <v>0</v>
      </c>
      <c r="M2147" t="n">
        <v>0</v>
      </c>
      <c r="N2147" t="n">
        <v>0</v>
      </c>
      <c r="O2147" t="n">
        <v>0</v>
      </c>
      <c r="P2147" t="n">
        <v>0</v>
      </c>
      <c r="Q2147" t="n">
        <v>0</v>
      </c>
      <c r="R2147" s="2" t="inlineStr"/>
    </row>
    <row r="2148" ht="15" customHeight="1">
      <c r="A2148" t="inlineStr">
        <is>
          <t>A 66818-2021</t>
        </is>
      </c>
      <c r="B2148" s="1" t="n">
        <v>44522</v>
      </c>
      <c r="C2148" s="1" t="n">
        <v>45705</v>
      </c>
      <c r="D2148" t="inlineStr">
        <is>
          <t>UPPSALA LÄN</t>
        </is>
      </c>
      <c r="E2148" t="inlineStr">
        <is>
          <t>HEBY</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66873-2021</t>
        </is>
      </c>
      <c r="B2149" s="1" t="n">
        <v>44522</v>
      </c>
      <c r="C2149" s="1" t="n">
        <v>45705</v>
      </c>
      <c r="D2149" t="inlineStr">
        <is>
          <t>UPPSALA LÄN</t>
        </is>
      </c>
      <c r="E2149" t="inlineStr">
        <is>
          <t>HEBY</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66779-2021</t>
        </is>
      </c>
      <c r="B2150" s="1" t="n">
        <v>44522</v>
      </c>
      <c r="C2150" s="1" t="n">
        <v>45705</v>
      </c>
      <c r="D2150" t="inlineStr">
        <is>
          <t>UPPSALA LÄN</t>
        </is>
      </c>
      <c r="E2150" t="inlineStr">
        <is>
          <t>ÖSTHAMMAR</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66794-2021</t>
        </is>
      </c>
      <c r="B2151" s="1" t="n">
        <v>44522</v>
      </c>
      <c r="C2151" s="1" t="n">
        <v>45705</v>
      </c>
      <c r="D2151" t="inlineStr">
        <is>
          <t>UPPSALA LÄN</t>
        </is>
      </c>
      <c r="E2151" t="inlineStr">
        <is>
          <t>UPPSALA</t>
        </is>
      </c>
      <c r="G2151" t="n">
        <v>4.9</v>
      </c>
      <c r="H2151" t="n">
        <v>0</v>
      </c>
      <c r="I2151" t="n">
        <v>0</v>
      </c>
      <c r="J2151" t="n">
        <v>0</v>
      </c>
      <c r="K2151" t="n">
        <v>0</v>
      </c>
      <c r="L2151" t="n">
        <v>0</v>
      </c>
      <c r="M2151" t="n">
        <v>0</v>
      </c>
      <c r="N2151" t="n">
        <v>0</v>
      </c>
      <c r="O2151" t="n">
        <v>0</v>
      </c>
      <c r="P2151" t="n">
        <v>0</v>
      </c>
      <c r="Q2151" t="n">
        <v>0</v>
      </c>
      <c r="R2151" s="2" t="inlineStr"/>
    </row>
    <row r="2152" ht="15" customHeight="1">
      <c r="A2152" t="inlineStr">
        <is>
          <t>A 66927-2021</t>
        </is>
      </c>
      <c r="B2152" s="1" t="n">
        <v>44522</v>
      </c>
      <c r="C2152" s="1" t="n">
        <v>45705</v>
      </c>
      <c r="D2152" t="inlineStr">
        <is>
          <t>UPPSALA LÄN</t>
        </is>
      </c>
      <c r="E2152" t="inlineStr">
        <is>
          <t>UPPSALA</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66983-2021</t>
        </is>
      </c>
      <c r="B2153" s="1" t="n">
        <v>44522</v>
      </c>
      <c r="C2153" s="1" t="n">
        <v>45705</v>
      </c>
      <c r="D2153" t="inlineStr">
        <is>
          <t>UPPSALA LÄN</t>
        </is>
      </c>
      <c r="E2153" t="inlineStr">
        <is>
          <t>UPPSALA</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67005-2021</t>
        </is>
      </c>
      <c r="B2154" s="1" t="n">
        <v>44522</v>
      </c>
      <c r="C2154" s="1" t="n">
        <v>45705</v>
      </c>
      <c r="D2154" t="inlineStr">
        <is>
          <t>UPPSALA LÄN</t>
        </is>
      </c>
      <c r="E2154" t="inlineStr">
        <is>
          <t>HÅBO</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67033-2021</t>
        </is>
      </c>
      <c r="B2155" s="1" t="n">
        <v>44522</v>
      </c>
      <c r="C2155" s="1" t="n">
        <v>45705</v>
      </c>
      <c r="D2155" t="inlineStr">
        <is>
          <t>UPPSALA LÄN</t>
        </is>
      </c>
      <c r="E2155" t="inlineStr">
        <is>
          <t>ÖSTHAMMAR</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67030-2021</t>
        </is>
      </c>
      <c r="B2156" s="1" t="n">
        <v>44522</v>
      </c>
      <c r="C2156" s="1" t="n">
        <v>45705</v>
      </c>
      <c r="D2156" t="inlineStr">
        <is>
          <t>UPPSALA LÄN</t>
        </is>
      </c>
      <c r="E2156" t="inlineStr">
        <is>
          <t>ÖSTHAMMAR</t>
        </is>
      </c>
      <c r="G2156" t="n">
        <v>8.6</v>
      </c>
      <c r="H2156" t="n">
        <v>0</v>
      </c>
      <c r="I2156" t="n">
        <v>0</v>
      </c>
      <c r="J2156" t="n">
        <v>0</v>
      </c>
      <c r="K2156" t="n">
        <v>0</v>
      </c>
      <c r="L2156" t="n">
        <v>0</v>
      </c>
      <c r="M2156" t="n">
        <v>0</v>
      </c>
      <c r="N2156" t="n">
        <v>0</v>
      </c>
      <c r="O2156" t="n">
        <v>0</v>
      </c>
      <c r="P2156" t="n">
        <v>0</v>
      </c>
      <c r="Q2156" t="n">
        <v>0</v>
      </c>
      <c r="R2156" s="2" t="inlineStr"/>
    </row>
    <row r="2157" ht="15" customHeight="1">
      <c r="A2157" t="inlineStr">
        <is>
          <t>A 67151-2021</t>
        </is>
      </c>
      <c r="B2157" s="1" t="n">
        <v>44523</v>
      </c>
      <c r="C2157" s="1" t="n">
        <v>45705</v>
      </c>
      <c r="D2157" t="inlineStr">
        <is>
          <t>UPPSALA LÄN</t>
        </is>
      </c>
      <c r="E2157" t="inlineStr">
        <is>
          <t>ÖSTHAMMAR</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67199-2021</t>
        </is>
      </c>
      <c r="B2158" s="1" t="n">
        <v>44523</v>
      </c>
      <c r="C2158" s="1" t="n">
        <v>45705</v>
      </c>
      <c r="D2158" t="inlineStr">
        <is>
          <t>UPPSALA LÄN</t>
        </is>
      </c>
      <c r="E2158" t="inlineStr">
        <is>
          <t>ÖSTHAMMAR</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67217-2021</t>
        </is>
      </c>
      <c r="B2159" s="1" t="n">
        <v>44523</v>
      </c>
      <c r="C2159" s="1" t="n">
        <v>45705</v>
      </c>
      <c r="D2159" t="inlineStr">
        <is>
          <t>UPPSALA LÄN</t>
        </is>
      </c>
      <c r="E2159" t="inlineStr">
        <is>
          <t>ÖSTHAMMAR</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67664-2021</t>
        </is>
      </c>
      <c r="B2160" s="1" t="n">
        <v>44524</v>
      </c>
      <c r="C2160" s="1" t="n">
        <v>45705</v>
      </c>
      <c r="D2160" t="inlineStr">
        <is>
          <t>UPPSALA LÄN</t>
        </is>
      </c>
      <c r="E2160" t="inlineStr">
        <is>
          <t>HEBY</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67859-2021</t>
        </is>
      </c>
      <c r="B2161" s="1" t="n">
        <v>44525</v>
      </c>
      <c r="C2161" s="1" t="n">
        <v>45705</v>
      </c>
      <c r="D2161" t="inlineStr">
        <is>
          <t>UPPSALA LÄN</t>
        </is>
      </c>
      <c r="E2161" t="inlineStr">
        <is>
          <t>ÖSTHAMMAR</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67848-2021</t>
        </is>
      </c>
      <c r="B2162" s="1" t="n">
        <v>44525</v>
      </c>
      <c r="C2162" s="1" t="n">
        <v>45705</v>
      </c>
      <c r="D2162" t="inlineStr">
        <is>
          <t>UPPSALA LÄN</t>
        </is>
      </c>
      <c r="E2162" t="inlineStr">
        <is>
          <t>ÖSTHAMMAR</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67982-2021</t>
        </is>
      </c>
      <c r="B2163" s="1" t="n">
        <v>44525</v>
      </c>
      <c r="C2163" s="1" t="n">
        <v>45705</v>
      </c>
      <c r="D2163" t="inlineStr">
        <is>
          <t>UPPSALA LÄN</t>
        </is>
      </c>
      <c r="E2163" t="inlineStr">
        <is>
          <t>ENKÖPING</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67991-2021</t>
        </is>
      </c>
      <c r="B2164" s="1" t="n">
        <v>44525</v>
      </c>
      <c r="C2164" s="1" t="n">
        <v>45705</v>
      </c>
      <c r="D2164" t="inlineStr">
        <is>
          <t>UPPSALA LÄN</t>
        </is>
      </c>
      <c r="E2164" t="inlineStr">
        <is>
          <t>UPPSALA</t>
        </is>
      </c>
      <c r="F2164" t="inlineStr">
        <is>
          <t>Bergvik skog öst AB</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67984-2021</t>
        </is>
      </c>
      <c r="B2165" s="1" t="n">
        <v>44525</v>
      </c>
      <c r="C2165" s="1" t="n">
        <v>45705</v>
      </c>
      <c r="D2165" t="inlineStr">
        <is>
          <t>UPPSALA LÄN</t>
        </is>
      </c>
      <c r="E2165" t="inlineStr">
        <is>
          <t>ENKÖPING</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68236-2021</t>
        </is>
      </c>
      <c r="B2166" s="1" t="n">
        <v>44526</v>
      </c>
      <c r="C2166" s="1" t="n">
        <v>45705</v>
      </c>
      <c r="D2166" t="inlineStr">
        <is>
          <t>UPPSALA LÄN</t>
        </is>
      </c>
      <c r="E2166" t="inlineStr">
        <is>
          <t>HEBY</t>
        </is>
      </c>
      <c r="F2166" t="inlineStr">
        <is>
          <t>Bergvik skog öst AB</t>
        </is>
      </c>
      <c r="G2166" t="n">
        <v>6.7</v>
      </c>
      <c r="H2166" t="n">
        <v>0</v>
      </c>
      <c r="I2166" t="n">
        <v>0</v>
      </c>
      <c r="J2166" t="n">
        <v>0</v>
      </c>
      <c r="K2166" t="n">
        <v>0</v>
      </c>
      <c r="L2166" t="n">
        <v>0</v>
      </c>
      <c r="M2166" t="n">
        <v>0</v>
      </c>
      <c r="N2166" t="n">
        <v>0</v>
      </c>
      <c r="O2166" t="n">
        <v>0</v>
      </c>
      <c r="P2166" t="n">
        <v>0</v>
      </c>
      <c r="Q2166" t="n">
        <v>0</v>
      </c>
      <c r="R2166" s="2" t="inlineStr"/>
    </row>
    <row r="2167" ht="15" customHeight="1">
      <c r="A2167" t="inlineStr">
        <is>
          <t>A 68696-2021</t>
        </is>
      </c>
      <c r="B2167" s="1" t="n">
        <v>44526</v>
      </c>
      <c r="C2167" s="1" t="n">
        <v>45705</v>
      </c>
      <c r="D2167" t="inlineStr">
        <is>
          <t>UPPSALA LÄN</t>
        </is>
      </c>
      <c r="E2167" t="inlineStr">
        <is>
          <t>UPPSALA</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68118-2021</t>
        </is>
      </c>
      <c r="B2168" s="1" t="n">
        <v>44526</v>
      </c>
      <c r="C2168" s="1" t="n">
        <v>45705</v>
      </c>
      <c r="D2168" t="inlineStr">
        <is>
          <t>UPPSALA LÄN</t>
        </is>
      </c>
      <c r="E2168" t="inlineStr">
        <is>
          <t>ENKÖPING</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68127-2021</t>
        </is>
      </c>
      <c r="B2169" s="1" t="n">
        <v>44526</v>
      </c>
      <c r="C2169" s="1" t="n">
        <v>45705</v>
      </c>
      <c r="D2169" t="inlineStr">
        <is>
          <t>UPPSALA LÄN</t>
        </is>
      </c>
      <c r="E2169" t="inlineStr">
        <is>
          <t>ENKÖPING</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68107-2021</t>
        </is>
      </c>
      <c r="B2170" s="1" t="n">
        <v>44526</v>
      </c>
      <c r="C2170" s="1" t="n">
        <v>45705</v>
      </c>
      <c r="D2170" t="inlineStr">
        <is>
          <t>UPPSALA LÄN</t>
        </is>
      </c>
      <c r="E2170" t="inlineStr">
        <is>
          <t>ENKÖPING</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68130-2021</t>
        </is>
      </c>
      <c r="B2171" s="1" t="n">
        <v>44526</v>
      </c>
      <c r="C2171" s="1" t="n">
        <v>45705</v>
      </c>
      <c r="D2171" t="inlineStr">
        <is>
          <t>UPPSALA LÄN</t>
        </is>
      </c>
      <c r="E2171" t="inlineStr">
        <is>
          <t>ENKÖPING</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68123-2021</t>
        </is>
      </c>
      <c r="B2172" s="1" t="n">
        <v>44526</v>
      </c>
      <c r="C2172" s="1" t="n">
        <v>45705</v>
      </c>
      <c r="D2172" t="inlineStr">
        <is>
          <t>UPPSALA LÄN</t>
        </is>
      </c>
      <c r="E2172" t="inlineStr">
        <is>
          <t>ENKÖPING</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68139-2021</t>
        </is>
      </c>
      <c r="B2173" s="1" t="n">
        <v>44526</v>
      </c>
      <c r="C2173" s="1" t="n">
        <v>45705</v>
      </c>
      <c r="D2173" t="inlineStr">
        <is>
          <t>UPPSALA LÄN</t>
        </is>
      </c>
      <c r="E2173" t="inlineStr">
        <is>
          <t>UPPSALA</t>
        </is>
      </c>
      <c r="F2173" t="inlineStr">
        <is>
          <t>Bergvik skog öst AB</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68296-2021</t>
        </is>
      </c>
      <c r="B2174" s="1" t="n">
        <v>44526</v>
      </c>
      <c r="C2174" s="1" t="n">
        <v>45705</v>
      </c>
      <c r="D2174" t="inlineStr">
        <is>
          <t>UPPSALA LÄN</t>
        </is>
      </c>
      <c r="E2174" t="inlineStr">
        <is>
          <t>UPPSALA</t>
        </is>
      </c>
      <c r="G2174" t="n">
        <v>9.699999999999999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68520-2021</t>
        </is>
      </c>
      <c r="B2175" s="1" t="n">
        <v>44529</v>
      </c>
      <c r="C2175" s="1" t="n">
        <v>45705</v>
      </c>
      <c r="D2175" t="inlineStr">
        <is>
          <t>UPPSALA LÄN</t>
        </is>
      </c>
      <c r="E2175" t="inlineStr">
        <is>
          <t>HEBY</t>
        </is>
      </c>
      <c r="G2175" t="n">
        <v>5.4</v>
      </c>
      <c r="H2175" t="n">
        <v>0</v>
      </c>
      <c r="I2175" t="n">
        <v>0</v>
      </c>
      <c r="J2175" t="n">
        <v>0</v>
      </c>
      <c r="K2175" t="n">
        <v>0</v>
      </c>
      <c r="L2175" t="n">
        <v>0</v>
      </c>
      <c r="M2175" t="n">
        <v>0</v>
      </c>
      <c r="N2175" t="n">
        <v>0</v>
      </c>
      <c r="O2175" t="n">
        <v>0</v>
      </c>
      <c r="P2175" t="n">
        <v>0</v>
      </c>
      <c r="Q2175" t="n">
        <v>0</v>
      </c>
      <c r="R2175" s="2" t="inlineStr"/>
    </row>
    <row r="2176" ht="15" customHeight="1">
      <c r="A2176" t="inlineStr">
        <is>
          <t>A 68410-2021</t>
        </is>
      </c>
      <c r="B2176" s="1" t="n">
        <v>44529</v>
      </c>
      <c r="C2176" s="1" t="n">
        <v>45705</v>
      </c>
      <c r="D2176" t="inlineStr">
        <is>
          <t>UPPSALA LÄN</t>
        </is>
      </c>
      <c r="E2176" t="inlineStr">
        <is>
          <t>TIERP</t>
        </is>
      </c>
      <c r="F2176" t="inlineStr">
        <is>
          <t>Bergvik skog öst AB</t>
        </is>
      </c>
      <c r="G2176" t="n">
        <v>35.5</v>
      </c>
      <c r="H2176" t="n">
        <v>0</v>
      </c>
      <c r="I2176" t="n">
        <v>0</v>
      </c>
      <c r="J2176" t="n">
        <v>0</v>
      </c>
      <c r="K2176" t="n">
        <v>0</v>
      </c>
      <c r="L2176" t="n">
        <v>0</v>
      </c>
      <c r="M2176" t="n">
        <v>0</v>
      </c>
      <c r="N2176" t="n">
        <v>0</v>
      </c>
      <c r="O2176" t="n">
        <v>0</v>
      </c>
      <c r="P2176" t="n">
        <v>0</v>
      </c>
      <c r="Q2176" t="n">
        <v>0</v>
      </c>
      <c r="R2176" s="2" t="inlineStr"/>
    </row>
    <row r="2177" ht="15" customHeight="1">
      <c r="A2177" t="inlineStr">
        <is>
          <t>A 68585-2021</t>
        </is>
      </c>
      <c r="B2177" s="1" t="n">
        <v>44529</v>
      </c>
      <c r="C2177" s="1" t="n">
        <v>45705</v>
      </c>
      <c r="D2177" t="inlineStr">
        <is>
          <t>UPPSALA LÄN</t>
        </is>
      </c>
      <c r="E2177" t="inlineStr">
        <is>
          <t>HEBY</t>
        </is>
      </c>
      <c r="G2177" t="n">
        <v>7.1</v>
      </c>
      <c r="H2177" t="n">
        <v>0</v>
      </c>
      <c r="I2177" t="n">
        <v>0</v>
      </c>
      <c r="J2177" t="n">
        <v>0</v>
      </c>
      <c r="K2177" t="n">
        <v>0</v>
      </c>
      <c r="L2177" t="n">
        <v>0</v>
      </c>
      <c r="M2177" t="n">
        <v>0</v>
      </c>
      <c r="N2177" t="n">
        <v>0</v>
      </c>
      <c r="O2177" t="n">
        <v>0</v>
      </c>
      <c r="P2177" t="n">
        <v>0</v>
      </c>
      <c r="Q2177" t="n">
        <v>0</v>
      </c>
      <c r="R2177" s="2" t="inlineStr"/>
    </row>
    <row r="2178" ht="15" customHeight="1">
      <c r="A2178" t="inlineStr">
        <is>
          <t>A 69067-2021</t>
        </is>
      </c>
      <c r="B2178" s="1" t="n">
        <v>44530</v>
      </c>
      <c r="C2178" s="1" t="n">
        <v>45705</v>
      </c>
      <c r="D2178" t="inlineStr">
        <is>
          <t>UPPSALA LÄN</t>
        </is>
      </c>
      <c r="E2178" t="inlineStr">
        <is>
          <t>UPPSALA</t>
        </is>
      </c>
      <c r="F2178" t="inlineStr">
        <is>
          <t>Holmen skog AB</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69432-2021</t>
        </is>
      </c>
      <c r="B2179" s="1" t="n">
        <v>44531</v>
      </c>
      <c r="C2179" s="1" t="n">
        <v>45705</v>
      </c>
      <c r="D2179" t="inlineStr">
        <is>
          <t>UPPSALA LÄN</t>
        </is>
      </c>
      <c r="E2179" t="inlineStr">
        <is>
          <t>UPPSALA</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69344-2021</t>
        </is>
      </c>
      <c r="B2180" s="1" t="n">
        <v>44531</v>
      </c>
      <c r="C2180" s="1" t="n">
        <v>45705</v>
      </c>
      <c r="D2180" t="inlineStr">
        <is>
          <t>UPPSALA LÄN</t>
        </is>
      </c>
      <c r="E2180" t="inlineStr">
        <is>
          <t>ENKÖPING</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69214-2021</t>
        </is>
      </c>
      <c r="B2181" s="1" t="n">
        <v>44531</v>
      </c>
      <c r="C2181" s="1" t="n">
        <v>45705</v>
      </c>
      <c r="D2181" t="inlineStr">
        <is>
          <t>UPPSALA LÄN</t>
        </is>
      </c>
      <c r="E2181" t="inlineStr">
        <is>
          <t>UPPSALA</t>
        </is>
      </c>
      <c r="F2181" t="inlineStr">
        <is>
          <t>Bergvik skog öst AB</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69377-2021</t>
        </is>
      </c>
      <c r="B2182" s="1" t="n">
        <v>44531</v>
      </c>
      <c r="C2182" s="1" t="n">
        <v>45705</v>
      </c>
      <c r="D2182" t="inlineStr">
        <is>
          <t>UPPSALA LÄN</t>
        </is>
      </c>
      <c r="E2182" t="inlineStr">
        <is>
          <t>HEBY</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69397-2021</t>
        </is>
      </c>
      <c r="B2183" s="1" t="n">
        <v>44531</v>
      </c>
      <c r="C2183" s="1" t="n">
        <v>45705</v>
      </c>
      <c r="D2183" t="inlineStr">
        <is>
          <t>UPPSALA LÄN</t>
        </is>
      </c>
      <c r="E2183" t="inlineStr">
        <is>
          <t>UPPSALA</t>
        </is>
      </c>
      <c r="F2183" t="inlineStr">
        <is>
          <t>Bergvik skog öst AB</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69436-2021</t>
        </is>
      </c>
      <c r="B2184" s="1" t="n">
        <v>44531</v>
      </c>
      <c r="C2184" s="1" t="n">
        <v>45705</v>
      </c>
      <c r="D2184" t="inlineStr">
        <is>
          <t>UPPSALA LÄN</t>
        </is>
      </c>
      <c r="E2184" t="inlineStr">
        <is>
          <t>UPPSALA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69505-2021</t>
        </is>
      </c>
      <c r="B2185" s="1" t="n">
        <v>44531</v>
      </c>
      <c r="C2185" s="1" t="n">
        <v>45705</v>
      </c>
      <c r="D2185" t="inlineStr">
        <is>
          <t>UPPSALA LÄN</t>
        </is>
      </c>
      <c r="E2185" t="inlineStr">
        <is>
          <t>ÖSTHAMMAR</t>
        </is>
      </c>
      <c r="F2185" t="inlineStr">
        <is>
          <t>Bergvik skog öst AB</t>
        </is>
      </c>
      <c r="G2185" t="n">
        <v>5.4</v>
      </c>
      <c r="H2185" t="n">
        <v>0</v>
      </c>
      <c r="I2185" t="n">
        <v>0</v>
      </c>
      <c r="J2185" t="n">
        <v>0</v>
      </c>
      <c r="K2185" t="n">
        <v>0</v>
      </c>
      <c r="L2185" t="n">
        <v>0</v>
      </c>
      <c r="M2185" t="n">
        <v>0</v>
      </c>
      <c r="N2185" t="n">
        <v>0</v>
      </c>
      <c r="O2185" t="n">
        <v>0</v>
      </c>
      <c r="P2185" t="n">
        <v>0</v>
      </c>
      <c r="Q2185" t="n">
        <v>0</v>
      </c>
      <c r="R2185" s="2" t="inlineStr"/>
    </row>
    <row r="2186" ht="15" customHeight="1">
      <c r="A2186" t="inlineStr">
        <is>
          <t>A 69411-2021</t>
        </is>
      </c>
      <c r="B2186" s="1" t="n">
        <v>44531</v>
      </c>
      <c r="C2186" s="1" t="n">
        <v>45705</v>
      </c>
      <c r="D2186" t="inlineStr">
        <is>
          <t>UPPSALA LÄN</t>
        </is>
      </c>
      <c r="E2186" t="inlineStr">
        <is>
          <t>ÖSTHAMMAR</t>
        </is>
      </c>
      <c r="F2186" t="inlineStr">
        <is>
          <t>Bergvik skog öst AB</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69439-2021</t>
        </is>
      </c>
      <c r="B2187" s="1" t="n">
        <v>44531</v>
      </c>
      <c r="C2187" s="1" t="n">
        <v>45705</v>
      </c>
      <c r="D2187" t="inlineStr">
        <is>
          <t>UPPSALA LÄN</t>
        </is>
      </c>
      <c r="E2187" t="inlineStr">
        <is>
          <t>UPPSALA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69518-2021</t>
        </is>
      </c>
      <c r="B2188" s="1" t="n">
        <v>44531</v>
      </c>
      <c r="C2188" s="1" t="n">
        <v>45705</v>
      </c>
      <c r="D2188" t="inlineStr">
        <is>
          <t>UPPSALA LÄN</t>
        </is>
      </c>
      <c r="E2188" t="inlineStr">
        <is>
          <t>ÖSTHAMMAR</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69711-2021</t>
        </is>
      </c>
      <c r="B2189" s="1" t="n">
        <v>44532</v>
      </c>
      <c r="C2189" s="1" t="n">
        <v>45705</v>
      </c>
      <c r="D2189" t="inlineStr">
        <is>
          <t>UPPSALA LÄN</t>
        </is>
      </c>
      <c r="E2189" t="inlineStr">
        <is>
          <t>UPPSALA</t>
        </is>
      </c>
      <c r="G2189" t="n">
        <v>10.2</v>
      </c>
      <c r="H2189" t="n">
        <v>0</v>
      </c>
      <c r="I2189" t="n">
        <v>0</v>
      </c>
      <c r="J2189" t="n">
        <v>0</v>
      </c>
      <c r="K2189" t="n">
        <v>0</v>
      </c>
      <c r="L2189" t="n">
        <v>0</v>
      </c>
      <c r="M2189" t="n">
        <v>0</v>
      </c>
      <c r="N2189" t="n">
        <v>0</v>
      </c>
      <c r="O2189" t="n">
        <v>0</v>
      </c>
      <c r="P2189" t="n">
        <v>0</v>
      </c>
      <c r="Q2189" t="n">
        <v>0</v>
      </c>
      <c r="R2189" s="2" t="inlineStr"/>
    </row>
    <row r="2190" ht="15" customHeight="1">
      <c r="A2190" t="inlineStr">
        <is>
          <t>A 69595-2021</t>
        </is>
      </c>
      <c r="B2190" s="1" t="n">
        <v>44532</v>
      </c>
      <c r="C2190" s="1" t="n">
        <v>45705</v>
      </c>
      <c r="D2190" t="inlineStr">
        <is>
          <t>UPPSALA LÄN</t>
        </is>
      </c>
      <c r="E2190" t="inlineStr">
        <is>
          <t>UPPSALA</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69698-2021</t>
        </is>
      </c>
      <c r="B2191" s="1" t="n">
        <v>44532</v>
      </c>
      <c r="C2191" s="1" t="n">
        <v>45705</v>
      </c>
      <c r="D2191" t="inlineStr">
        <is>
          <t>UPPSALA LÄN</t>
        </is>
      </c>
      <c r="E2191" t="inlineStr">
        <is>
          <t>UPPSALA</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69691-2021</t>
        </is>
      </c>
      <c r="B2192" s="1" t="n">
        <v>44532</v>
      </c>
      <c r="C2192" s="1" t="n">
        <v>45705</v>
      </c>
      <c r="D2192" t="inlineStr">
        <is>
          <t>UPPSALA LÄN</t>
        </is>
      </c>
      <c r="E2192" t="inlineStr">
        <is>
          <t>UPPSALA</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69597-2021</t>
        </is>
      </c>
      <c r="B2193" s="1" t="n">
        <v>44532</v>
      </c>
      <c r="C2193" s="1" t="n">
        <v>45705</v>
      </c>
      <c r="D2193" t="inlineStr">
        <is>
          <t>UPPSALA LÄN</t>
        </is>
      </c>
      <c r="E2193" t="inlineStr">
        <is>
          <t>HEBY</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69791-2021</t>
        </is>
      </c>
      <c r="B2194" s="1" t="n">
        <v>44532</v>
      </c>
      <c r="C2194" s="1" t="n">
        <v>45705</v>
      </c>
      <c r="D2194" t="inlineStr">
        <is>
          <t>UPPSALA LÄN</t>
        </is>
      </c>
      <c r="E2194" t="inlineStr">
        <is>
          <t>ENKÖPING</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69794-2021</t>
        </is>
      </c>
      <c r="B2195" s="1" t="n">
        <v>44532</v>
      </c>
      <c r="C2195" s="1" t="n">
        <v>45705</v>
      </c>
      <c r="D2195" t="inlineStr">
        <is>
          <t>UPPSALA LÄN</t>
        </is>
      </c>
      <c r="E2195" t="inlineStr">
        <is>
          <t>ENKÖPING</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69841-2021</t>
        </is>
      </c>
      <c r="B2196" s="1" t="n">
        <v>44532</v>
      </c>
      <c r="C2196" s="1" t="n">
        <v>45705</v>
      </c>
      <c r="D2196" t="inlineStr">
        <is>
          <t>UPPSALA LÄN</t>
        </is>
      </c>
      <c r="E2196" t="inlineStr">
        <is>
          <t>TIERP</t>
        </is>
      </c>
      <c r="G2196" t="n">
        <v>4.6</v>
      </c>
      <c r="H2196" t="n">
        <v>0</v>
      </c>
      <c r="I2196" t="n">
        <v>0</v>
      </c>
      <c r="J2196" t="n">
        <v>0</v>
      </c>
      <c r="K2196" t="n">
        <v>0</v>
      </c>
      <c r="L2196" t="n">
        <v>0</v>
      </c>
      <c r="M2196" t="n">
        <v>0</v>
      </c>
      <c r="N2196" t="n">
        <v>0</v>
      </c>
      <c r="O2196" t="n">
        <v>0</v>
      </c>
      <c r="P2196" t="n">
        <v>0</v>
      </c>
      <c r="Q2196" t="n">
        <v>0</v>
      </c>
      <c r="R2196" s="2" t="inlineStr"/>
    </row>
    <row r="2197" ht="15" customHeight="1">
      <c r="A2197" t="inlineStr">
        <is>
          <t>A 69879-2021</t>
        </is>
      </c>
      <c r="B2197" s="1" t="n">
        <v>44532</v>
      </c>
      <c r="C2197" s="1" t="n">
        <v>45705</v>
      </c>
      <c r="D2197" t="inlineStr">
        <is>
          <t>UPPSALA LÄN</t>
        </is>
      </c>
      <c r="E2197" t="inlineStr">
        <is>
          <t>ENKÖPING</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70158-2021</t>
        </is>
      </c>
      <c r="B2198" s="1" t="n">
        <v>44533</v>
      </c>
      <c r="C2198" s="1" t="n">
        <v>45705</v>
      </c>
      <c r="D2198" t="inlineStr">
        <is>
          <t>UPPSALA LÄN</t>
        </is>
      </c>
      <c r="E2198" t="inlineStr">
        <is>
          <t>HEBY</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70154-2021</t>
        </is>
      </c>
      <c r="B2199" s="1" t="n">
        <v>44533</v>
      </c>
      <c r="C2199" s="1" t="n">
        <v>45705</v>
      </c>
      <c r="D2199" t="inlineStr">
        <is>
          <t>UPPSALA LÄN</t>
        </is>
      </c>
      <c r="E2199" t="inlineStr">
        <is>
          <t>HEBY</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70032-2021</t>
        </is>
      </c>
      <c r="B2200" s="1" t="n">
        <v>44533</v>
      </c>
      <c r="C2200" s="1" t="n">
        <v>45705</v>
      </c>
      <c r="D2200" t="inlineStr">
        <is>
          <t>UPPSALA LÄN</t>
        </is>
      </c>
      <c r="E2200" t="inlineStr">
        <is>
          <t>UPPSALA</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70031-2021</t>
        </is>
      </c>
      <c r="B2201" s="1" t="n">
        <v>44533</v>
      </c>
      <c r="C2201" s="1" t="n">
        <v>45705</v>
      </c>
      <c r="D2201" t="inlineStr">
        <is>
          <t>UPPSALA LÄN</t>
        </is>
      </c>
      <c r="E2201" t="inlineStr">
        <is>
          <t>UPPSALA</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70008-2021</t>
        </is>
      </c>
      <c r="B2202" s="1" t="n">
        <v>44533</v>
      </c>
      <c r="C2202" s="1" t="n">
        <v>45705</v>
      </c>
      <c r="D2202" t="inlineStr">
        <is>
          <t>UPPSALA LÄN</t>
        </is>
      </c>
      <c r="E2202" t="inlineStr">
        <is>
          <t>ÖSTHAMMAR</t>
        </is>
      </c>
      <c r="F2202" t="inlineStr">
        <is>
          <t>Sveaskog</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70359-2021</t>
        </is>
      </c>
      <c r="B2203" s="1" t="n">
        <v>44535</v>
      </c>
      <c r="C2203" s="1" t="n">
        <v>45705</v>
      </c>
      <c r="D2203" t="inlineStr">
        <is>
          <t>UPPSALA LÄN</t>
        </is>
      </c>
      <c r="E2203" t="inlineStr">
        <is>
          <t>UPPSALA</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70228-2021</t>
        </is>
      </c>
      <c r="B2204" s="1" t="n">
        <v>44535</v>
      </c>
      <c r="C2204" s="1" t="n">
        <v>45705</v>
      </c>
      <c r="D2204" t="inlineStr">
        <is>
          <t>UPPSALA LÄN</t>
        </is>
      </c>
      <c r="E2204" t="inlineStr">
        <is>
          <t>UPPSALA</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70408-2021</t>
        </is>
      </c>
      <c r="B2205" s="1" t="n">
        <v>44536</v>
      </c>
      <c r="C2205" s="1" t="n">
        <v>45705</v>
      </c>
      <c r="D2205" t="inlineStr">
        <is>
          <t>UPPSALA LÄN</t>
        </is>
      </c>
      <c r="E2205" t="inlineStr">
        <is>
          <t>ÖSTHAMMAR</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70700-2021</t>
        </is>
      </c>
      <c r="B2206" s="1" t="n">
        <v>44537</v>
      </c>
      <c r="C2206" s="1" t="n">
        <v>45705</v>
      </c>
      <c r="D2206" t="inlineStr">
        <is>
          <t>UPPSALA LÄN</t>
        </is>
      </c>
      <c r="E2206" t="inlineStr">
        <is>
          <t>KNIVSTA</t>
        </is>
      </c>
      <c r="F2206" t="inlineStr">
        <is>
          <t>Holmen skog AB</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70996-2021</t>
        </is>
      </c>
      <c r="B2207" s="1" t="n">
        <v>44538</v>
      </c>
      <c r="C2207" s="1" t="n">
        <v>45705</v>
      </c>
      <c r="D2207" t="inlineStr">
        <is>
          <t>UPPSALA LÄN</t>
        </is>
      </c>
      <c r="E2207" t="inlineStr">
        <is>
          <t>UPPSALA</t>
        </is>
      </c>
      <c r="F2207" t="inlineStr">
        <is>
          <t>Bergvik skog öst AB</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70976-2021</t>
        </is>
      </c>
      <c r="B2208" s="1" t="n">
        <v>44538</v>
      </c>
      <c r="C2208" s="1" t="n">
        <v>45705</v>
      </c>
      <c r="D2208" t="inlineStr">
        <is>
          <t>UPPSALA LÄN</t>
        </is>
      </c>
      <c r="E2208" t="inlineStr">
        <is>
          <t>HEBY</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71563-2021</t>
        </is>
      </c>
      <c r="B2209" s="1" t="n">
        <v>44540</v>
      </c>
      <c r="C2209" s="1" t="n">
        <v>45705</v>
      </c>
      <c r="D2209" t="inlineStr">
        <is>
          <t>UPPSALA LÄN</t>
        </is>
      </c>
      <c r="E2209" t="inlineStr">
        <is>
          <t>UPPSALA</t>
        </is>
      </c>
      <c r="F2209" t="inlineStr">
        <is>
          <t>Allmännings- och besparingsskogar</t>
        </is>
      </c>
      <c r="G2209" t="n">
        <v>7.7</v>
      </c>
      <c r="H2209" t="n">
        <v>0</v>
      </c>
      <c r="I2209" t="n">
        <v>0</v>
      </c>
      <c r="J2209" t="n">
        <v>0</v>
      </c>
      <c r="K2209" t="n">
        <v>0</v>
      </c>
      <c r="L2209" t="n">
        <v>0</v>
      </c>
      <c r="M2209" t="n">
        <v>0</v>
      </c>
      <c r="N2209" t="n">
        <v>0</v>
      </c>
      <c r="O2209" t="n">
        <v>0</v>
      </c>
      <c r="P2209" t="n">
        <v>0</v>
      </c>
      <c r="Q2209" t="n">
        <v>0</v>
      </c>
      <c r="R2209" s="2" t="inlineStr"/>
    </row>
    <row r="2210" ht="15" customHeight="1">
      <c r="A2210" t="inlineStr">
        <is>
          <t>A 71641-2021</t>
        </is>
      </c>
      <c r="B2210" s="1" t="n">
        <v>44543</v>
      </c>
      <c r="C2210" s="1" t="n">
        <v>45705</v>
      </c>
      <c r="D2210" t="inlineStr">
        <is>
          <t>UPPSALA LÄN</t>
        </is>
      </c>
      <c r="E2210" t="inlineStr">
        <is>
          <t>ENKÖPING</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71675-2021</t>
        </is>
      </c>
      <c r="B2211" s="1" t="n">
        <v>44543</v>
      </c>
      <c r="C2211" s="1" t="n">
        <v>45705</v>
      </c>
      <c r="D2211" t="inlineStr">
        <is>
          <t>UPPSALA LÄN</t>
        </is>
      </c>
      <c r="E2211" t="inlineStr">
        <is>
          <t>UPPSALA</t>
        </is>
      </c>
      <c r="F2211" t="inlineStr">
        <is>
          <t>Bergvik skog öst AB</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71774-2021</t>
        </is>
      </c>
      <c r="B2212" s="1" t="n">
        <v>44543</v>
      </c>
      <c r="C2212" s="1" t="n">
        <v>45705</v>
      </c>
      <c r="D2212" t="inlineStr">
        <is>
          <t>UPPSALA LÄN</t>
        </is>
      </c>
      <c r="E2212" t="inlineStr">
        <is>
          <t>TIERP</t>
        </is>
      </c>
      <c r="G2212" t="n">
        <v>12.9</v>
      </c>
      <c r="H2212" t="n">
        <v>0</v>
      </c>
      <c r="I2212" t="n">
        <v>0</v>
      </c>
      <c r="J2212" t="n">
        <v>0</v>
      </c>
      <c r="K2212" t="n">
        <v>0</v>
      </c>
      <c r="L2212" t="n">
        <v>0</v>
      </c>
      <c r="M2212" t="n">
        <v>0</v>
      </c>
      <c r="N2212" t="n">
        <v>0</v>
      </c>
      <c r="O2212" t="n">
        <v>0</v>
      </c>
      <c r="P2212" t="n">
        <v>0</v>
      </c>
      <c r="Q2212" t="n">
        <v>0</v>
      </c>
      <c r="R2212" s="2" t="inlineStr"/>
    </row>
    <row r="2213" ht="15" customHeight="1">
      <c r="A2213" t="inlineStr">
        <is>
          <t>A 71643-2021</t>
        </is>
      </c>
      <c r="B2213" s="1" t="n">
        <v>44543</v>
      </c>
      <c r="C2213" s="1" t="n">
        <v>45705</v>
      </c>
      <c r="D2213" t="inlineStr">
        <is>
          <t>UPPSALA LÄN</t>
        </is>
      </c>
      <c r="E2213" t="inlineStr">
        <is>
          <t>UPPSALA</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71671-2021</t>
        </is>
      </c>
      <c r="B2214" s="1" t="n">
        <v>44543</v>
      </c>
      <c r="C2214" s="1" t="n">
        <v>45705</v>
      </c>
      <c r="D2214" t="inlineStr">
        <is>
          <t>UPPSALA LÄN</t>
        </is>
      </c>
      <c r="E2214" t="inlineStr">
        <is>
          <t>UPPSALA</t>
        </is>
      </c>
      <c r="F2214" t="inlineStr">
        <is>
          <t>Bergvik skog öst AB</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72180-2021</t>
        </is>
      </c>
      <c r="B2215" s="1" t="n">
        <v>44543</v>
      </c>
      <c r="C2215" s="1" t="n">
        <v>45705</v>
      </c>
      <c r="D2215" t="inlineStr">
        <is>
          <t>UPPSALA LÄN</t>
        </is>
      </c>
      <c r="E2215" t="inlineStr">
        <is>
          <t>HEBY</t>
        </is>
      </c>
      <c r="G2215" t="n">
        <v>3.9</v>
      </c>
      <c r="H2215" t="n">
        <v>0</v>
      </c>
      <c r="I2215" t="n">
        <v>0</v>
      </c>
      <c r="J2215" t="n">
        <v>0</v>
      </c>
      <c r="K2215" t="n">
        <v>0</v>
      </c>
      <c r="L2215" t="n">
        <v>0</v>
      </c>
      <c r="M2215" t="n">
        <v>0</v>
      </c>
      <c r="N2215" t="n">
        <v>0</v>
      </c>
      <c r="O2215" t="n">
        <v>0</v>
      </c>
      <c r="P2215" t="n">
        <v>0</v>
      </c>
      <c r="Q2215" t="n">
        <v>0</v>
      </c>
      <c r="R2215" s="2" t="inlineStr"/>
    </row>
    <row r="2216" ht="15" customHeight="1">
      <c r="A2216" t="inlineStr">
        <is>
          <t>A 72179-2021</t>
        </is>
      </c>
      <c r="B2216" s="1" t="n">
        <v>44544</v>
      </c>
      <c r="C2216" s="1" t="n">
        <v>45705</v>
      </c>
      <c r="D2216" t="inlineStr">
        <is>
          <t>UPPSALA LÄN</t>
        </is>
      </c>
      <c r="E2216" t="inlineStr">
        <is>
          <t>HEBY</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72225-2021</t>
        </is>
      </c>
      <c r="B2217" s="1" t="n">
        <v>44544</v>
      </c>
      <c r="C2217" s="1" t="n">
        <v>45705</v>
      </c>
      <c r="D2217" t="inlineStr">
        <is>
          <t>UPPSALA LÄN</t>
        </is>
      </c>
      <c r="E2217" t="inlineStr">
        <is>
          <t>UPPSALA</t>
        </is>
      </c>
      <c r="G2217" t="n">
        <v>6.2</v>
      </c>
      <c r="H2217" t="n">
        <v>0</v>
      </c>
      <c r="I2217" t="n">
        <v>0</v>
      </c>
      <c r="J2217" t="n">
        <v>0</v>
      </c>
      <c r="K2217" t="n">
        <v>0</v>
      </c>
      <c r="L2217" t="n">
        <v>0</v>
      </c>
      <c r="M2217" t="n">
        <v>0</v>
      </c>
      <c r="N2217" t="n">
        <v>0</v>
      </c>
      <c r="O2217" t="n">
        <v>0</v>
      </c>
      <c r="P2217" t="n">
        <v>0</v>
      </c>
      <c r="Q2217" t="n">
        <v>0</v>
      </c>
      <c r="R2217" s="2" t="inlineStr"/>
    </row>
    <row r="2218" ht="15" customHeight="1">
      <c r="A2218" t="inlineStr">
        <is>
          <t>A 72224-2021</t>
        </is>
      </c>
      <c r="B2218" s="1" t="n">
        <v>44544</v>
      </c>
      <c r="C2218" s="1" t="n">
        <v>45705</v>
      </c>
      <c r="D2218" t="inlineStr">
        <is>
          <t>UPPSALA LÄN</t>
        </is>
      </c>
      <c r="E2218" t="inlineStr">
        <is>
          <t>UPPSALA</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72260-2021</t>
        </is>
      </c>
      <c r="B2219" s="1" t="n">
        <v>44545</v>
      </c>
      <c r="C2219" s="1" t="n">
        <v>45705</v>
      </c>
      <c r="D2219" t="inlineStr">
        <is>
          <t>UPPSALA LÄN</t>
        </is>
      </c>
      <c r="E2219" t="inlineStr">
        <is>
          <t>HEBY</t>
        </is>
      </c>
      <c r="G2219" t="n">
        <v>10</v>
      </c>
      <c r="H2219" t="n">
        <v>0</v>
      </c>
      <c r="I2219" t="n">
        <v>0</v>
      </c>
      <c r="J2219" t="n">
        <v>0</v>
      </c>
      <c r="K2219" t="n">
        <v>0</v>
      </c>
      <c r="L2219" t="n">
        <v>0</v>
      </c>
      <c r="M2219" t="n">
        <v>0</v>
      </c>
      <c r="N2219" t="n">
        <v>0</v>
      </c>
      <c r="O2219" t="n">
        <v>0</v>
      </c>
      <c r="P2219" t="n">
        <v>0</v>
      </c>
      <c r="Q2219" t="n">
        <v>0</v>
      </c>
      <c r="R2219" s="2" t="inlineStr"/>
    </row>
    <row r="2220" ht="15" customHeight="1">
      <c r="A2220" t="inlineStr">
        <is>
          <t>A 72471-2021</t>
        </is>
      </c>
      <c r="B2220" s="1" t="n">
        <v>44545</v>
      </c>
      <c r="C2220" s="1" t="n">
        <v>45705</v>
      </c>
      <c r="D2220" t="inlineStr">
        <is>
          <t>UPPSALA LÄN</t>
        </is>
      </c>
      <c r="E2220" t="inlineStr">
        <is>
          <t>KNIVSTA</t>
        </is>
      </c>
      <c r="F2220" t="inlineStr">
        <is>
          <t>Holmen skog AB</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72627-2021</t>
        </is>
      </c>
      <c r="B2221" s="1" t="n">
        <v>44546</v>
      </c>
      <c r="C2221" s="1" t="n">
        <v>45705</v>
      </c>
      <c r="D2221" t="inlineStr">
        <is>
          <t>UPPSALA LÄN</t>
        </is>
      </c>
      <c r="E2221" t="inlineStr">
        <is>
          <t>ÖSTHAMMAR</t>
        </is>
      </c>
      <c r="F2221" t="inlineStr">
        <is>
          <t>Bergvik skog öst AB</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72628-2021</t>
        </is>
      </c>
      <c r="B2222" s="1" t="n">
        <v>44546</v>
      </c>
      <c r="C2222" s="1" t="n">
        <v>45705</v>
      </c>
      <c r="D2222" t="inlineStr">
        <is>
          <t>UPPSALA LÄN</t>
        </is>
      </c>
      <c r="E2222" t="inlineStr">
        <is>
          <t>ENKÖPING</t>
        </is>
      </c>
      <c r="F2222" t="inlineStr">
        <is>
          <t>Allmännings- och besparingsskogar</t>
        </is>
      </c>
      <c r="G2222" t="n">
        <v>7.1</v>
      </c>
      <c r="H2222" t="n">
        <v>0</v>
      </c>
      <c r="I2222" t="n">
        <v>0</v>
      </c>
      <c r="J2222" t="n">
        <v>0</v>
      </c>
      <c r="K2222" t="n">
        <v>0</v>
      </c>
      <c r="L2222" t="n">
        <v>0</v>
      </c>
      <c r="M2222" t="n">
        <v>0</v>
      </c>
      <c r="N2222" t="n">
        <v>0</v>
      </c>
      <c r="O2222" t="n">
        <v>0</v>
      </c>
      <c r="P2222" t="n">
        <v>0</v>
      </c>
      <c r="Q2222" t="n">
        <v>0</v>
      </c>
      <c r="R2222" s="2" t="inlineStr"/>
    </row>
    <row r="2223" ht="15" customHeight="1">
      <c r="A2223" t="inlineStr">
        <is>
          <t>A 72637-2021</t>
        </is>
      </c>
      <c r="B2223" s="1" t="n">
        <v>44546</v>
      </c>
      <c r="C2223" s="1" t="n">
        <v>45705</v>
      </c>
      <c r="D2223" t="inlineStr">
        <is>
          <t>UPPSALA LÄN</t>
        </is>
      </c>
      <c r="E2223" t="inlineStr">
        <is>
          <t>ÖSTHAMMAR</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72914-2021</t>
        </is>
      </c>
      <c r="B2224" s="1" t="n">
        <v>44547</v>
      </c>
      <c r="C2224" s="1" t="n">
        <v>45705</v>
      </c>
      <c r="D2224" t="inlineStr">
        <is>
          <t>UPPSALA LÄN</t>
        </is>
      </c>
      <c r="E2224" t="inlineStr">
        <is>
          <t>TIERP</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72883-2021</t>
        </is>
      </c>
      <c r="B2225" s="1" t="n">
        <v>44547</v>
      </c>
      <c r="C2225" s="1" t="n">
        <v>45705</v>
      </c>
      <c r="D2225" t="inlineStr">
        <is>
          <t>UPPSALA LÄN</t>
        </is>
      </c>
      <c r="E2225" t="inlineStr">
        <is>
          <t>KNIVSTA</t>
        </is>
      </c>
      <c r="F2225" t="inlineStr">
        <is>
          <t>Holmen skog AB</t>
        </is>
      </c>
      <c r="G2225" t="n">
        <v>7.7</v>
      </c>
      <c r="H2225" t="n">
        <v>0</v>
      </c>
      <c r="I2225" t="n">
        <v>0</v>
      </c>
      <c r="J2225" t="n">
        <v>0</v>
      </c>
      <c r="K2225" t="n">
        <v>0</v>
      </c>
      <c r="L2225" t="n">
        <v>0</v>
      </c>
      <c r="M2225" t="n">
        <v>0</v>
      </c>
      <c r="N2225" t="n">
        <v>0</v>
      </c>
      <c r="O2225" t="n">
        <v>0</v>
      </c>
      <c r="P2225" t="n">
        <v>0</v>
      </c>
      <c r="Q2225" t="n">
        <v>0</v>
      </c>
      <c r="R2225" s="2" t="inlineStr"/>
    </row>
    <row r="2226" ht="15" customHeight="1">
      <c r="A2226" t="inlineStr">
        <is>
          <t>A 72840-2021</t>
        </is>
      </c>
      <c r="B2226" s="1" t="n">
        <v>44547</v>
      </c>
      <c r="C2226" s="1" t="n">
        <v>45705</v>
      </c>
      <c r="D2226" t="inlineStr">
        <is>
          <t>UPPSALA LÄN</t>
        </is>
      </c>
      <c r="E2226" t="inlineStr">
        <is>
          <t>ENKÖPING</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72885-2021</t>
        </is>
      </c>
      <c r="B2227" s="1" t="n">
        <v>44547</v>
      </c>
      <c r="C2227" s="1" t="n">
        <v>45705</v>
      </c>
      <c r="D2227" t="inlineStr">
        <is>
          <t>UPPSALA LÄN</t>
        </is>
      </c>
      <c r="E2227" t="inlineStr">
        <is>
          <t>KNIVSTA</t>
        </is>
      </c>
      <c r="F2227" t="inlineStr">
        <is>
          <t>Holmen skog AB</t>
        </is>
      </c>
      <c r="G2227" t="n">
        <v>5.3</v>
      </c>
      <c r="H2227" t="n">
        <v>0</v>
      </c>
      <c r="I2227" t="n">
        <v>0</v>
      </c>
      <c r="J2227" t="n">
        <v>0</v>
      </c>
      <c r="K2227" t="n">
        <v>0</v>
      </c>
      <c r="L2227" t="n">
        <v>0</v>
      </c>
      <c r="M2227" t="n">
        <v>0</v>
      </c>
      <c r="N2227" t="n">
        <v>0</v>
      </c>
      <c r="O2227" t="n">
        <v>0</v>
      </c>
      <c r="P2227" t="n">
        <v>0</v>
      </c>
      <c r="Q2227" t="n">
        <v>0</v>
      </c>
      <c r="R2227" s="2" t="inlineStr"/>
    </row>
    <row r="2228" ht="15" customHeight="1">
      <c r="A2228" t="inlineStr">
        <is>
          <t>A 72969-2021</t>
        </is>
      </c>
      <c r="B2228" s="1" t="n">
        <v>44548</v>
      </c>
      <c r="C2228" s="1" t="n">
        <v>45705</v>
      </c>
      <c r="D2228" t="inlineStr">
        <is>
          <t>UPPSALA LÄN</t>
        </is>
      </c>
      <c r="E2228" t="inlineStr">
        <is>
          <t>ÖSTHAMMAR</t>
        </is>
      </c>
      <c r="F2228" t="inlineStr">
        <is>
          <t>Bergvik skog öst AB</t>
        </is>
      </c>
      <c r="G2228" t="n">
        <v>8</v>
      </c>
      <c r="H2228" t="n">
        <v>0</v>
      </c>
      <c r="I2228" t="n">
        <v>0</v>
      </c>
      <c r="J2228" t="n">
        <v>0</v>
      </c>
      <c r="K2228" t="n">
        <v>0</v>
      </c>
      <c r="L2228" t="n">
        <v>0</v>
      </c>
      <c r="M2228" t="n">
        <v>0</v>
      </c>
      <c r="N2228" t="n">
        <v>0</v>
      </c>
      <c r="O2228" t="n">
        <v>0</v>
      </c>
      <c r="P2228" t="n">
        <v>0</v>
      </c>
      <c r="Q2228" t="n">
        <v>0</v>
      </c>
      <c r="R2228" s="2" t="inlineStr"/>
    </row>
    <row r="2229" ht="15" customHeight="1">
      <c r="A2229" t="inlineStr">
        <is>
          <t>A 72967-2021</t>
        </is>
      </c>
      <c r="B2229" s="1" t="n">
        <v>44548</v>
      </c>
      <c r="C2229" s="1" t="n">
        <v>45705</v>
      </c>
      <c r="D2229" t="inlineStr">
        <is>
          <t>UPPSALA LÄN</t>
        </is>
      </c>
      <c r="E2229" t="inlineStr">
        <is>
          <t>KNIVSTA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72973-2021</t>
        </is>
      </c>
      <c r="B2230" s="1" t="n">
        <v>44548</v>
      </c>
      <c r="C2230" s="1" t="n">
        <v>45705</v>
      </c>
      <c r="D2230" t="inlineStr">
        <is>
          <t>UPPSALA LÄN</t>
        </is>
      </c>
      <c r="E2230" t="inlineStr">
        <is>
          <t>UPPSALA</t>
        </is>
      </c>
      <c r="F2230" t="inlineStr">
        <is>
          <t>Holmen skog AB</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73326-2021</t>
        </is>
      </c>
      <c r="B2231" s="1" t="n">
        <v>44548</v>
      </c>
      <c r="C2231" s="1" t="n">
        <v>45705</v>
      </c>
      <c r="D2231" t="inlineStr">
        <is>
          <t>UPPSALA LÄN</t>
        </is>
      </c>
      <c r="E2231" t="inlineStr">
        <is>
          <t>UPPSALA</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72975-2021</t>
        </is>
      </c>
      <c r="B2232" s="1" t="n">
        <v>44548</v>
      </c>
      <c r="C2232" s="1" t="n">
        <v>45705</v>
      </c>
      <c r="D2232" t="inlineStr">
        <is>
          <t>UPPSALA LÄN</t>
        </is>
      </c>
      <c r="E2232" t="inlineStr">
        <is>
          <t>TIERP</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72966-2021</t>
        </is>
      </c>
      <c r="B2233" s="1" t="n">
        <v>44548</v>
      </c>
      <c r="C2233" s="1" t="n">
        <v>45705</v>
      </c>
      <c r="D2233" t="inlineStr">
        <is>
          <t>UPPSALA LÄN</t>
        </is>
      </c>
      <c r="E2233" t="inlineStr">
        <is>
          <t>KNIVSTA</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73044-2021</t>
        </is>
      </c>
      <c r="B2234" s="1" t="n">
        <v>44550</v>
      </c>
      <c r="C2234" s="1" t="n">
        <v>45705</v>
      </c>
      <c r="D2234" t="inlineStr">
        <is>
          <t>UPPSALA LÄN</t>
        </is>
      </c>
      <c r="E2234" t="inlineStr">
        <is>
          <t>UPPSALA</t>
        </is>
      </c>
      <c r="F2234" t="inlineStr">
        <is>
          <t>Sveaskog</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73238-2021</t>
        </is>
      </c>
      <c r="B2235" s="1" t="n">
        <v>44550</v>
      </c>
      <c r="C2235" s="1" t="n">
        <v>45705</v>
      </c>
      <c r="D2235" t="inlineStr">
        <is>
          <t>UPPSALA LÄN</t>
        </is>
      </c>
      <c r="E2235" t="inlineStr">
        <is>
          <t>HEBY</t>
        </is>
      </c>
      <c r="G2235" t="n">
        <v>4.5</v>
      </c>
      <c r="H2235" t="n">
        <v>0</v>
      </c>
      <c r="I2235" t="n">
        <v>0</v>
      </c>
      <c r="J2235" t="n">
        <v>0</v>
      </c>
      <c r="K2235" t="n">
        <v>0</v>
      </c>
      <c r="L2235" t="n">
        <v>0</v>
      </c>
      <c r="M2235" t="n">
        <v>0</v>
      </c>
      <c r="N2235" t="n">
        <v>0</v>
      </c>
      <c r="O2235" t="n">
        <v>0</v>
      </c>
      <c r="P2235" t="n">
        <v>0</v>
      </c>
      <c r="Q2235" t="n">
        <v>0</v>
      </c>
      <c r="R2235" s="2" t="inlineStr"/>
    </row>
    <row r="2236" ht="15" customHeight="1">
      <c r="A2236" t="inlineStr">
        <is>
          <t>A 73483-2021</t>
        </is>
      </c>
      <c r="B2236" s="1" t="n">
        <v>44550</v>
      </c>
      <c r="C2236" s="1" t="n">
        <v>45705</v>
      </c>
      <c r="D2236" t="inlineStr">
        <is>
          <t>UPPSALA LÄN</t>
        </is>
      </c>
      <c r="E2236" t="inlineStr">
        <is>
          <t>ÖSTHAMMAR</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73385-2021</t>
        </is>
      </c>
      <c r="B2237" s="1" t="n">
        <v>44551</v>
      </c>
      <c r="C2237" s="1" t="n">
        <v>45705</v>
      </c>
      <c r="D2237" t="inlineStr">
        <is>
          <t>UPPSALA LÄN</t>
        </is>
      </c>
      <c r="E2237" t="inlineStr">
        <is>
          <t>HEBY</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73468-2021</t>
        </is>
      </c>
      <c r="B2238" s="1" t="n">
        <v>44551</v>
      </c>
      <c r="C2238" s="1" t="n">
        <v>45705</v>
      </c>
      <c r="D2238" t="inlineStr">
        <is>
          <t>UPPSALA LÄN</t>
        </is>
      </c>
      <c r="E2238" t="inlineStr">
        <is>
          <t>UPPSALA</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73518-2021</t>
        </is>
      </c>
      <c r="B2239" s="1" t="n">
        <v>44551</v>
      </c>
      <c r="C2239" s="1" t="n">
        <v>45705</v>
      </c>
      <c r="D2239" t="inlineStr">
        <is>
          <t>UPPSALA LÄN</t>
        </is>
      </c>
      <c r="E2239" t="inlineStr">
        <is>
          <t>UPPSALA</t>
        </is>
      </c>
      <c r="F2239" t="inlineStr">
        <is>
          <t>Holmen skog AB</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73531-2021</t>
        </is>
      </c>
      <c r="B2240" s="1" t="n">
        <v>44551</v>
      </c>
      <c r="C2240" s="1" t="n">
        <v>45705</v>
      </c>
      <c r="D2240" t="inlineStr">
        <is>
          <t>UPPSALA LÄN</t>
        </is>
      </c>
      <c r="E2240" t="inlineStr">
        <is>
          <t>UPPSALA</t>
        </is>
      </c>
      <c r="F2240" t="inlineStr">
        <is>
          <t>Holmen skog AB</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73622-2021</t>
        </is>
      </c>
      <c r="B2241" s="1" t="n">
        <v>44552</v>
      </c>
      <c r="C2241" s="1" t="n">
        <v>45705</v>
      </c>
      <c r="D2241" t="inlineStr">
        <is>
          <t>UPPSALA LÄN</t>
        </is>
      </c>
      <c r="E2241" t="inlineStr">
        <is>
          <t>HEBY</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73592-2021</t>
        </is>
      </c>
      <c r="B2242" s="1" t="n">
        <v>44552</v>
      </c>
      <c r="C2242" s="1" t="n">
        <v>45705</v>
      </c>
      <c r="D2242" t="inlineStr">
        <is>
          <t>UPPSALA LÄN</t>
        </is>
      </c>
      <c r="E2242" t="inlineStr">
        <is>
          <t>ÖSTHAMMAR</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73754-2021</t>
        </is>
      </c>
      <c r="B2243" s="1" t="n">
        <v>44552</v>
      </c>
      <c r="C2243" s="1" t="n">
        <v>45705</v>
      </c>
      <c r="D2243" t="inlineStr">
        <is>
          <t>UPPSALA LÄN</t>
        </is>
      </c>
      <c r="E2243" t="inlineStr">
        <is>
          <t>KNIVSTA</t>
        </is>
      </c>
      <c r="F2243" t="inlineStr">
        <is>
          <t>Holmen skog AB</t>
        </is>
      </c>
      <c r="G2243" t="n">
        <v>8.6</v>
      </c>
      <c r="H2243" t="n">
        <v>0</v>
      </c>
      <c r="I2243" t="n">
        <v>0</v>
      </c>
      <c r="J2243" t="n">
        <v>0</v>
      </c>
      <c r="K2243" t="n">
        <v>0</v>
      </c>
      <c r="L2243" t="n">
        <v>0</v>
      </c>
      <c r="M2243" t="n">
        <v>0</v>
      </c>
      <c r="N2243" t="n">
        <v>0</v>
      </c>
      <c r="O2243" t="n">
        <v>0</v>
      </c>
      <c r="P2243" t="n">
        <v>0</v>
      </c>
      <c r="Q2243" t="n">
        <v>0</v>
      </c>
      <c r="R2243" s="2" t="inlineStr"/>
    </row>
    <row r="2244" ht="15" customHeight="1">
      <c r="A2244" t="inlineStr">
        <is>
          <t>A 74019-2021</t>
        </is>
      </c>
      <c r="B2244" s="1" t="n">
        <v>44553</v>
      </c>
      <c r="C2244" s="1" t="n">
        <v>45705</v>
      </c>
      <c r="D2244" t="inlineStr">
        <is>
          <t>UPPSALA LÄN</t>
        </is>
      </c>
      <c r="E2244" t="inlineStr">
        <is>
          <t>UPPSALA</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73965-2021</t>
        </is>
      </c>
      <c r="B2245" s="1" t="n">
        <v>44553</v>
      </c>
      <c r="C2245" s="1" t="n">
        <v>45705</v>
      </c>
      <c r="D2245" t="inlineStr">
        <is>
          <t>UPPSALA LÄN</t>
        </is>
      </c>
      <c r="E2245" t="inlineStr">
        <is>
          <t>ÖSTHAMMAR</t>
        </is>
      </c>
      <c r="F2245" t="inlineStr">
        <is>
          <t>Bergvik skog öst AB</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74023-2021</t>
        </is>
      </c>
      <c r="B2246" s="1" t="n">
        <v>44553</v>
      </c>
      <c r="C2246" s="1" t="n">
        <v>45705</v>
      </c>
      <c r="D2246" t="inlineStr">
        <is>
          <t>UPPSALA LÄN</t>
        </is>
      </c>
      <c r="E2246" t="inlineStr">
        <is>
          <t>UPPSALA</t>
        </is>
      </c>
      <c r="G2246" t="n">
        <v>5.4</v>
      </c>
      <c r="H2246" t="n">
        <v>0</v>
      </c>
      <c r="I2246" t="n">
        <v>0</v>
      </c>
      <c r="J2246" t="n">
        <v>0</v>
      </c>
      <c r="K2246" t="n">
        <v>0</v>
      </c>
      <c r="L2246" t="n">
        <v>0</v>
      </c>
      <c r="M2246" t="n">
        <v>0</v>
      </c>
      <c r="N2246" t="n">
        <v>0</v>
      </c>
      <c r="O2246" t="n">
        <v>0</v>
      </c>
      <c r="P2246" t="n">
        <v>0</v>
      </c>
      <c r="Q2246" t="n">
        <v>0</v>
      </c>
      <c r="R2246" s="2" t="inlineStr"/>
    </row>
    <row r="2247" ht="15" customHeight="1">
      <c r="A2247" t="inlineStr">
        <is>
          <t>A 73982-2021</t>
        </is>
      </c>
      <c r="B2247" s="1" t="n">
        <v>44555</v>
      </c>
      <c r="C2247" s="1" t="n">
        <v>45705</v>
      </c>
      <c r="D2247" t="inlineStr">
        <is>
          <t>UPPSALA LÄN</t>
        </is>
      </c>
      <c r="E2247" t="inlineStr">
        <is>
          <t>ÖSTHAMMAR</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73983-2021</t>
        </is>
      </c>
      <c r="B2248" s="1" t="n">
        <v>44555</v>
      </c>
      <c r="C2248" s="1" t="n">
        <v>45705</v>
      </c>
      <c r="D2248" t="inlineStr">
        <is>
          <t>UPPSALA LÄN</t>
        </is>
      </c>
      <c r="E2248" t="inlineStr">
        <is>
          <t>ÖSTHAMMAR</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74090-2021</t>
        </is>
      </c>
      <c r="B2249" s="1" t="n">
        <v>44557</v>
      </c>
      <c r="C2249" s="1" t="n">
        <v>45705</v>
      </c>
      <c r="D2249" t="inlineStr">
        <is>
          <t>UPPSALA LÄN</t>
        </is>
      </c>
      <c r="E2249" t="inlineStr">
        <is>
          <t>ENKÖPING</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74215-2021</t>
        </is>
      </c>
      <c r="B2250" s="1" t="n">
        <v>44558</v>
      </c>
      <c r="C2250" s="1" t="n">
        <v>45705</v>
      </c>
      <c r="D2250" t="inlineStr">
        <is>
          <t>UPPSALA LÄN</t>
        </is>
      </c>
      <c r="E2250" t="inlineStr">
        <is>
          <t>HEBY</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74429-2021</t>
        </is>
      </c>
      <c r="B2251" s="1" t="n">
        <v>44560</v>
      </c>
      <c r="C2251" s="1" t="n">
        <v>45705</v>
      </c>
      <c r="D2251" t="inlineStr">
        <is>
          <t>UPPSALA LÄN</t>
        </is>
      </c>
      <c r="E2251" t="inlineStr">
        <is>
          <t>ÖSTHAMMAR</t>
        </is>
      </c>
      <c r="F2251" t="inlineStr">
        <is>
          <t>Bergvik skog öst AB</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74467-2021</t>
        </is>
      </c>
      <c r="B2252" s="1" t="n">
        <v>44560</v>
      </c>
      <c r="C2252" s="1" t="n">
        <v>45705</v>
      </c>
      <c r="D2252" t="inlineStr">
        <is>
          <t>UPPSALA LÄN</t>
        </is>
      </c>
      <c r="E2252" t="inlineStr">
        <is>
          <t>ÖSTHAMMAR</t>
        </is>
      </c>
      <c r="F2252" t="inlineStr">
        <is>
          <t>Bergvik skog öst AB</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74473-2021</t>
        </is>
      </c>
      <c r="B2253" s="1" t="n">
        <v>44560</v>
      </c>
      <c r="C2253" s="1" t="n">
        <v>45705</v>
      </c>
      <c r="D2253" t="inlineStr">
        <is>
          <t>UPPSALA LÄN</t>
        </is>
      </c>
      <c r="E2253" t="inlineStr">
        <is>
          <t>TIERP</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74493-2021</t>
        </is>
      </c>
      <c r="B2254" s="1" t="n">
        <v>44560</v>
      </c>
      <c r="C2254" s="1" t="n">
        <v>45705</v>
      </c>
      <c r="D2254" t="inlineStr">
        <is>
          <t>UPPSALA LÄN</t>
        </is>
      </c>
      <c r="E2254" t="inlineStr">
        <is>
          <t>UPPSALA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74428-2021</t>
        </is>
      </c>
      <c r="B2255" s="1" t="n">
        <v>44560</v>
      </c>
      <c r="C2255" s="1" t="n">
        <v>45705</v>
      </c>
      <c r="D2255" t="inlineStr">
        <is>
          <t>UPPSALA LÄN</t>
        </is>
      </c>
      <c r="E2255" t="inlineStr">
        <is>
          <t>ÖSTHAMMAR</t>
        </is>
      </c>
      <c r="F2255" t="inlineStr">
        <is>
          <t>Bergvik skog öst AB</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74436-2021</t>
        </is>
      </c>
      <c r="B2256" s="1" t="n">
        <v>44560</v>
      </c>
      <c r="C2256" s="1" t="n">
        <v>45705</v>
      </c>
      <c r="D2256" t="inlineStr">
        <is>
          <t>UPPSALA LÄN</t>
        </is>
      </c>
      <c r="E2256" t="inlineStr">
        <is>
          <t>ÖSTHAMMAR</t>
        </is>
      </c>
      <c r="F2256" t="inlineStr">
        <is>
          <t>Bergvik skog öst AB</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74495-2021</t>
        </is>
      </c>
      <c r="B2257" s="1" t="n">
        <v>44560</v>
      </c>
      <c r="C2257" s="1" t="n">
        <v>45705</v>
      </c>
      <c r="D2257" t="inlineStr">
        <is>
          <t>UPPSALA LÄN</t>
        </is>
      </c>
      <c r="E2257" t="inlineStr">
        <is>
          <t>UPPSALA</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312-2022</t>
        </is>
      </c>
      <c r="B2258" s="1" t="n">
        <v>44565</v>
      </c>
      <c r="C2258" s="1" t="n">
        <v>45705</v>
      </c>
      <c r="D2258" t="inlineStr">
        <is>
          <t>UPPSALA LÄN</t>
        </is>
      </c>
      <c r="E2258" t="inlineStr">
        <is>
          <t>HEBY</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279-2022</t>
        </is>
      </c>
      <c r="B2259" s="1" t="n">
        <v>44565</v>
      </c>
      <c r="C2259" s="1" t="n">
        <v>45705</v>
      </c>
      <c r="D2259" t="inlineStr">
        <is>
          <t>UPPSALA LÄN</t>
        </is>
      </c>
      <c r="E2259" t="inlineStr">
        <is>
          <t>HEBY</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498-2022</t>
        </is>
      </c>
      <c r="B2260" s="1" t="n">
        <v>44566</v>
      </c>
      <c r="C2260" s="1" t="n">
        <v>45705</v>
      </c>
      <c r="D2260" t="inlineStr">
        <is>
          <t>UPPSALA LÄN</t>
        </is>
      </c>
      <c r="E2260" t="inlineStr">
        <is>
          <t>ENKÖPING</t>
        </is>
      </c>
      <c r="F2260" t="inlineStr">
        <is>
          <t>Övriga statliga verk och myndigheter</t>
        </is>
      </c>
      <c r="G2260" t="n">
        <v>11.1</v>
      </c>
      <c r="H2260" t="n">
        <v>0</v>
      </c>
      <c r="I2260" t="n">
        <v>0</v>
      </c>
      <c r="J2260" t="n">
        <v>0</v>
      </c>
      <c r="K2260" t="n">
        <v>0</v>
      </c>
      <c r="L2260" t="n">
        <v>0</v>
      </c>
      <c r="M2260" t="n">
        <v>0</v>
      </c>
      <c r="N2260" t="n">
        <v>0</v>
      </c>
      <c r="O2260" t="n">
        <v>0</v>
      </c>
      <c r="P2260" t="n">
        <v>0</v>
      </c>
      <c r="Q2260" t="n">
        <v>0</v>
      </c>
      <c r="R2260" s="2" t="inlineStr"/>
    </row>
    <row r="2261" ht="15" customHeight="1">
      <c r="A2261" t="inlineStr">
        <is>
          <t>A 612-2022</t>
        </is>
      </c>
      <c r="B2261" s="1" t="n">
        <v>44567</v>
      </c>
      <c r="C2261" s="1" t="n">
        <v>45705</v>
      </c>
      <c r="D2261" t="inlineStr">
        <is>
          <t>UPPSALA LÄN</t>
        </is>
      </c>
      <c r="E2261" t="inlineStr">
        <is>
          <t>UPPSALA</t>
        </is>
      </c>
      <c r="F2261" t="inlineStr">
        <is>
          <t>Holmen skog AB</t>
        </is>
      </c>
      <c r="G2261" t="n">
        <v>6.6</v>
      </c>
      <c r="H2261" t="n">
        <v>0</v>
      </c>
      <c r="I2261" t="n">
        <v>0</v>
      </c>
      <c r="J2261" t="n">
        <v>0</v>
      </c>
      <c r="K2261" t="n">
        <v>0</v>
      </c>
      <c r="L2261" t="n">
        <v>0</v>
      </c>
      <c r="M2261" t="n">
        <v>0</v>
      </c>
      <c r="N2261" t="n">
        <v>0</v>
      </c>
      <c r="O2261" t="n">
        <v>0</v>
      </c>
      <c r="P2261" t="n">
        <v>0</v>
      </c>
      <c r="Q2261" t="n">
        <v>0</v>
      </c>
      <c r="R2261" s="2" t="inlineStr"/>
    </row>
    <row r="2262" ht="15" customHeight="1">
      <c r="A2262" t="inlineStr">
        <is>
          <t>A 671-2022</t>
        </is>
      </c>
      <c r="B2262" s="1" t="n">
        <v>44568</v>
      </c>
      <c r="C2262" s="1" t="n">
        <v>45705</v>
      </c>
      <c r="D2262" t="inlineStr">
        <is>
          <t>UPPSALA LÄN</t>
        </is>
      </c>
      <c r="E2262" t="inlineStr">
        <is>
          <t>ENKÖPING</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733-2022</t>
        </is>
      </c>
      <c r="B2263" s="1" t="n">
        <v>44568</v>
      </c>
      <c r="C2263" s="1" t="n">
        <v>45705</v>
      </c>
      <c r="D2263" t="inlineStr">
        <is>
          <t>UPPSALA LÄN</t>
        </is>
      </c>
      <c r="E2263" t="inlineStr">
        <is>
          <t>UPPSALA</t>
        </is>
      </c>
      <c r="F2263" t="inlineStr">
        <is>
          <t>Holmen skog AB</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963-2022</t>
        </is>
      </c>
      <c r="B2264" s="1" t="n">
        <v>44568</v>
      </c>
      <c r="C2264" s="1" t="n">
        <v>45705</v>
      </c>
      <c r="D2264" t="inlineStr">
        <is>
          <t>UPPSALA LÄN</t>
        </is>
      </c>
      <c r="E2264" t="inlineStr">
        <is>
          <t>HEBY</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752-2022</t>
        </is>
      </c>
      <c r="B2265" s="1" t="n">
        <v>44569</v>
      </c>
      <c r="C2265" s="1" t="n">
        <v>45705</v>
      </c>
      <c r="D2265" t="inlineStr">
        <is>
          <t>UPPSALA LÄN</t>
        </is>
      </c>
      <c r="E2265" t="inlineStr">
        <is>
          <t>UPPSALA</t>
        </is>
      </c>
      <c r="F2265" t="inlineStr">
        <is>
          <t>Holmen skog AB</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750-2022</t>
        </is>
      </c>
      <c r="B2266" s="1" t="n">
        <v>44569</v>
      </c>
      <c r="C2266" s="1" t="n">
        <v>45705</v>
      </c>
      <c r="D2266" t="inlineStr">
        <is>
          <t>UPPSALA LÄN</t>
        </is>
      </c>
      <c r="E2266" t="inlineStr">
        <is>
          <t>UPPSALA</t>
        </is>
      </c>
      <c r="F2266" t="inlineStr">
        <is>
          <t>Holmen skog AB</t>
        </is>
      </c>
      <c r="G2266" t="n">
        <v>6</v>
      </c>
      <c r="H2266" t="n">
        <v>0</v>
      </c>
      <c r="I2266" t="n">
        <v>0</v>
      </c>
      <c r="J2266" t="n">
        <v>0</v>
      </c>
      <c r="K2266" t="n">
        <v>0</v>
      </c>
      <c r="L2266" t="n">
        <v>0</v>
      </c>
      <c r="M2266" t="n">
        <v>0</v>
      </c>
      <c r="N2266" t="n">
        <v>0</v>
      </c>
      <c r="O2266" t="n">
        <v>0</v>
      </c>
      <c r="P2266" t="n">
        <v>0</v>
      </c>
      <c r="Q2266" t="n">
        <v>0</v>
      </c>
      <c r="R2266" s="2" t="inlineStr"/>
    </row>
    <row r="2267" ht="15" customHeight="1">
      <c r="A2267" t="inlineStr">
        <is>
          <t>A 759-2022</t>
        </is>
      </c>
      <c r="B2267" s="1" t="n">
        <v>44569</v>
      </c>
      <c r="C2267" s="1" t="n">
        <v>45705</v>
      </c>
      <c r="D2267" t="inlineStr">
        <is>
          <t>UPPSALA LÄN</t>
        </is>
      </c>
      <c r="E2267" t="inlineStr">
        <is>
          <t>UPPSALA</t>
        </is>
      </c>
      <c r="F2267" t="inlineStr">
        <is>
          <t>Holmen skog AB</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758-2022</t>
        </is>
      </c>
      <c r="B2268" s="1" t="n">
        <v>44569</v>
      </c>
      <c r="C2268" s="1" t="n">
        <v>45705</v>
      </c>
      <c r="D2268" t="inlineStr">
        <is>
          <t>UPPSALA LÄN</t>
        </is>
      </c>
      <c r="E2268" t="inlineStr">
        <is>
          <t>UPPSALA</t>
        </is>
      </c>
      <c r="F2268" t="inlineStr">
        <is>
          <t>Holmen skog AB</t>
        </is>
      </c>
      <c r="G2268" t="n">
        <v>5.2</v>
      </c>
      <c r="H2268" t="n">
        <v>0</v>
      </c>
      <c r="I2268" t="n">
        <v>0</v>
      </c>
      <c r="J2268" t="n">
        <v>0</v>
      </c>
      <c r="K2268" t="n">
        <v>0</v>
      </c>
      <c r="L2268" t="n">
        <v>0</v>
      </c>
      <c r="M2268" t="n">
        <v>0</v>
      </c>
      <c r="N2268" t="n">
        <v>0</v>
      </c>
      <c r="O2268" t="n">
        <v>0</v>
      </c>
      <c r="P2268" t="n">
        <v>0</v>
      </c>
      <c r="Q2268" t="n">
        <v>0</v>
      </c>
      <c r="R2268" s="2" t="inlineStr"/>
    </row>
    <row r="2269" ht="15" customHeight="1">
      <c r="A2269" t="inlineStr">
        <is>
          <t>A 917-2022</t>
        </is>
      </c>
      <c r="B2269" s="1" t="n">
        <v>44571</v>
      </c>
      <c r="C2269" s="1" t="n">
        <v>45705</v>
      </c>
      <c r="D2269" t="inlineStr">
        <is>
          <t>UPPSALA LÄN</t>
        </is>
      </c>
      <c r="E2269" t="inlineStr">
        <is>
          <t>UPPSALA</t>
        </is>
      </c>
      <c r="F2269" t="inlineStr">
        <is>
          <t>Bergvik skog öst AB</t>
        </is>
      </c>
      <c r="G2269" t="n">
        <v>4.1</v>
      </c>
      <c r="H2269" t="n">
        <v>0</v>
      </c>
      <c r="I2269" t="n">
        <v>0</v>
      </c>
      <c r="J2269" t="n">
        <v>0</v>
      </c>
      <c r="K2269" t="n">
        <v>0</v>
      </c>
      <c r="L2269" t="n">
        <v>0</v>
      </c>
      <c r="M2269" t="n">
        <v>0</v>
      </c>
      <c r="N2269" t="n">
        <v>0</v>
      </c>
      <c r="O2269" t="n">
        <v>0</v>
      </c>
      <c r="P2269" t="n">
        <v>0</v>
      </c>
      <c r="Q2269" t="n">
        <v>0</v>
      </c>
      <c r="R2269" s="2" t="inlineStr"/>
    </row>
    <row r="2270" ht="15" customHeight="1">
      <c r="A2270" t="inlineStr">
        <is>
          <t>A 871-2022</t>
        </is>
      </c>
      <c r="B2270" s="1" t="n">
        <v>44571</v>
      </c>
      <c r="C2270" s="1" t="n">
        <v>45705</v>
      </c>
      <c r="D2270" t="inlineStr">
        <is>
          <t>UPPSALA LÄN</t>
        </is>
      </c>
      <c r="E2270" t="inlineStr">
        <is>
          <t>TIERP</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874-2022</t>
        </is>
      </c>
      <c r="B2271" s="1" t="n">
        <v>44571</v>
      </c>
      <c r="C2271" s="1" t="n">
        <v>45705</v>
      </c>
      <c r="D2271" t="inlineStr">
        <is>
          <t>UPPSALA LÄN</t>
        </is>
      </c>
      <c r="E2271" t="inlineStr">
        <is>
          <t>UPPSALA</t>
        </is>
      </c>
      <c r="G2271" t="n">
        <v>7.2</v>
      </c>
      <c r="H2271" t="n">
        <v>0</v>
      </c>
      <c r="I2271" t="n">
        <v>0</v>
      </c>
      <c r="J2271" t="n">
        <v>0</v>
      </c>
      <c r="K2271" t="n">
        <v>0</v>
      </c>
      <c r="L2271" t="n">
        <v>0</v>
      </c>
      <c r="M2271" t="n">
        <v>0</v>
      </c>
      <c r="N2271" t="n">
        <v>0</v>
      </c>
      <c r="O2271" t="n">
        <v>0</v>
      </c>
      <c r="P2271" t="n">
        <v>0</v>
      </c>
      <c r="Q2271" t="n">
        <v>0</v>
      </c>
      <c r="R2271" s="2" t="inlineStr"/>
    </row>
    <row r="2272" ht="15" customHeight="1">
      <c r="A2272" t="inlineStr">
        <is>
          <t>A 1037-2022</t>
        </is>
      </c>
      <c r="B2272" s="1" t="n">
        <v>44571</v>
      </c>
      <c r="C2272" s="1" t="n">
        <v>45705</v>
      </c>
      <c r="D2272" t="inlineStr">
        <is>
          <t>UPPSALA LÄN</t>
        </is>
      </c>
      <c r="E2272" t="inlineStr">
        <is>
          <t>UPPSALA</t>
        </is>
      </c>
      <c r="F2272" t="inlineStr">
        <is>
          <t>Holmen skog AB</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1148-2022</t>
        </is>
      </c>
      <c r="B2273" s="1" t="n">
        <v>44572</v>
      </c>
      <c r="C2273" s="1" t="n">
        <v>45705</v>
      </c>
      <c r="D2273" t="inlineStr">
        <is>
          <t>UPPSALA LÄN</t>
        </is>
      </c>
      <c r="E2273" t="inlineStr">
        <is>
          <t>UPPSALA</t>
        </is>
      </c>
      <c r="F2273" t="inlineStr">
        <is>
          <t>Kyrkan</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1238-2022</t>
        </is>
      </c>
      <c r="B2274" s="1" t="n">
        <v>44572</v>
      </c>
      <c r="C2274" s="1" t="n">
        <v>45705</v>
      </c>
      <c r="D2274" t="inlineStr">
        <is>
          <t>UPPSALA LÄN</t>
        </is>
      </c>
      <c r="E2274" t="inlineStr">
        <is>
          <t>ÖSTHAMMAR</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1323-2022</t>
        </is>
      </c>
      <c r="B2275" s="1" t="n">
        <v>44572</v>
      </c>
      <c r="C2275" s="1" t="n">
        <v>45705</v>
      </c>
      <c r="D2275" t="inlineStr">
        <is>
          <t>UPPSALA LÄN</t>
        </is>
      </c>
      <c r="E2275" t="inlineStr">
        <is>
          <t>KNIVSTA</t>
        </is>
      </c>
      <c r="F2275" t="inlineStr">
        <is>
          <t>Holmen skog AB</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1298-2022</t>
        </is>
      </c>
      <c r="B2276" s="1" t="n">
        <v>44572</v>
      </c>
      <c r="C2276" s="1" t="n">
        <v>45705</v>
      </c>
      <c r="D2276" t="inlineStr">
        <is>
          <t>UPPSALA LÄN</t>
        </is>
      </c>
      <c r="E2276" t="inlineStr">
        <is>
          <t>UPPSALA</t>
        </is>
      </c>
      <c r="F2276" t="inlineStr">
        <is>
          <t>Holmen skog AB</t>
        </is>
      </c>
      <c r="G2276" t="n">
        <v>5.3</v>
      </c>
      <c r="H2276" t="n">
        <v>0</v>
      </c>
      <c r="I2276" t="n">
        <v>0</v>
      </c>
      <c r="J2276" t="n">
        <v>0</v>
      </c>
      <c r="K2276" t="n">
        <v>0</v>
      </c>
      <c r="L2276" t="n">
        <v>0</v>
      </c>
      <c r="M2276" t="n">
        <v>0</v>
      </c>
      <c r="N2276" t="n">
        <v>0</v>
      </c>
      <c r="O2276" t="n">
        <v>0</v>
      </c>
      <c r="P2276" t="n">
        <v>0</v>
      </c>
      <c r="Q2276" t="n">
        <v>0</v>
      </c>
      <c r="R2276" s="2" t="inlineStr"/>
    </row>
    <row r="2277" ht="15" customHeight="1">
      <c r="A2277" t="inlineStr">
        <is>
          <t>A 1462-2022</t>
        </is>
      </c>
      <c r="B2277" s="1" t="n">
        <v>44573</v>
      </c>
      <c r="C2277" s="1" t="n">
        <v>45705</v>
      </c>
      <c r="D2277" t="inlineStr">
        <is>
          <t>UPPSALA LÄN</t>
        </is>
      </c>
      <c r="E2277" t="inlineStr">
        <is>
          <t>HEBY</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1609-2022</t>
        </is>
      </c>
      <c r="B2278" s="1" t="n">
        <v>44573</v>
      </c>
      <c r="C2278" s="1" t="n">
        <v>45705</v>
      </c>
      <c r="D2278" t="inlineStr">
        <is>
          <t>UPPSALA LÄN</t>
        </is>
      </c>
      <c r="E2278" t="inlineStr">
        <is>
          <t>ÖSTHAMMAR</t>
        </is>
      </c>
      <c r="G2278" t="n">
        <v>5.3</v>
      </c>
      <c r="H2278" t="n">
        <v>0</v>
      </c>
      <c r="I2278" t="n">
        <v>0</v>
      </c>
      <c r="J2278" t="n">
        <v>0</v>
      </c>
      <c r="K2278" t="n">
        <v>0</v>
      </c>
      <c r="L2278" t="n">
        <v>0</v>
      </c>
      <c r="M2278" t="n">
        <v>0</v>
      </c>
      <c r="N2278" t="n">
        <v>0</v>
      </c>
      <c r="O2278" t="n">
        <v>0</v>
      </c>
      <c r="P2278" t="n">
        <v>0</v>
      </c>
      <c r="Q2278" t="n">
        <v>0</v>
      </c>
      <c r="R2278" s="2" t="inlineStr"/>
    </row>
    <row r="2279" ht="15" customHeight="1">
      <c r="A2279" t="inlineStr">
        <is>
          <t>A 1731-2022</t>
        </is>
      </c>
      <c r="B2279" s="1" t="n">
        <v>44574</v>
      </c>
      <c r="C2279" s="1" t="n">
        <v>45705</v>
      </c>
      <c r="D2279" t="inlineStr">
        <is>
          <t>UPPSALA LÄN</t>
        </is>
      </c>
      <c r="E2279" t="inlineStr">
        <is>
          <t>UPPSALA</t>
        </is>
      </c>
      <c r="G2279" t="n">
        <v>10.1</v>
      </c>
      <c r="H2279" t="n">
        <v>0</v>
      </c>
      <c r="I2279" t="n">
        <v>0</v>
      </c>
      <c r="J2279" t="n">
        <v>0</v>
      </c>
      <c r="K2279" t="n">
        <v>0</v>
      </c>
      <c r="L2279" t="n">
        <v>0</v>
      </c>
      <c r="M2279" t="n">
        <v>0</v>
      </c>
      <c r="N2279" t="n">
        <v>0</v>
      </c>
      <c r="O2279" t="n">
        <v>0</v>
      </c>
      <c r="P2279" t="n">
        <v>0</v>
      </c>
      <c r="Q2279" t="n">
        <v>0</v>
      </c>
      <c r="R2279" s="2" t="inlineStr"/>
    </row>
    <row r="2280" ht="15" customHeight="1">
      <c r="A2280" t="inlineStr">
        <is>
          <t>A 1755-2022</t>
        </is>
      </c>
      <c r="B2280" s="1" t="n">
        <v>44574</v>
      </c>
      <c r="C2280" s="1" t="n">
        <v>45705</v>
      </c>
      <c r="D2280" t="inlineStr">
        <is>
          <t>UPPSALA LÄN</t>
        </is>
      </c>
      <c r="E2280" t="inlineStr">
        <is>
          <t>HEBY</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1752-2022</t>
        </is>
      </c>
      <c r="B2281" s="1" t="n">
        <v>44574</v>
      </c>
      <c r="C2281" s="1" t="n">
        <v>45705</v>
      </c>
      <c r="D2281" t="inlineStr">
        <is>
          <t>UPPSALA LÄN</t>
        </is>
      </c>
      <c r="E2281" t="inlineStr">
        <is>
          <t>HEBY</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1760-2022</t>
        </is>
      </c>
      <c r="B2282" s="1" t="n">
        <v>44574</v>
      </c>
      <c r="C2282" s="1" t="n">
        <v>45705</v>
      </c>
      <c r="D2282" t="inlineStr">
        <is>
          <t>UPPSALA LÄN</t>
        </is>
      </c>
      <c r="E2282" t="inlineStr">
        <is>
          <t>HEBY</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1963-2022</t>
        </is>
      </c>
      <c r="B2283" s="1" t="n">
        <v>44575</v>
      </c>
      <c r="C2283" s="1" t="n">
        <v>45705</v>
      </c>
      <c r="D2283" t="inlineStr">
        <is>
          <t>UPPSALA LÄN</t>
        </is>
      </c>
      <c r="E2283" t="inlineStr">
        <is>
          <t>UPPSALA</t>
        </is>
      </c>
      <c r="F2283" t="inlineStr">
        <is>
          <t>Bergvik skog öst AB</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1971-2022</t>
        </is>
      </c>
      <c r="B2284" s="1" t="n">
        <v>44575</v>
      </c>
      <c r="C2284" s="1" t="n">
        <v>45705</v>
      </c>
      <c r="D2284" t="inlineStr">
        <is>
          <t>UPPSALA LÄN</t>
        </is>
      </c>
      <c r="E2284" t="inlineStr">
        <is>
          <t>ENKÖPING</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1962-2022</t>
        </is>
      </c>
      <c r="B2285" s="1" t="n">
        <v>44575</v>
      </c>
      <c r="C2285" s="1" t="n">
        <v>45705</v>
      </c>
      <c r="D2285" t="inlineStr">
        <is>
          <t>UPPSALA LÄN</t>
        </is>
      </c>
      <c r="E2285" t="inlineStr">
        <is>
          <t>ENKÖPING</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1975-2022</t>
        </is>
      </c>
      <c r="B2286" s="1" t="n">
        <v>44575</v>
      </c>
      <c r="C2286" s="1" t="n">
        <v>45705</v>
      </c>
      <c r="D2286" t="inlineStr">
        <is>
          <t>UPPSALA LÄN</t>
        </is>
      </c>
      <c r="E2286" t="inlineStr">
        <is>
          <t>UPPSALA</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1979-2022</t>
        </is>
      </c>
      <c r="B2287" s="1" t="n">
        <v>44575</v>
      </c>
      <c r="C2287" s="1" t="n">
        <v>45705</v>
      </c>
      <c r="D2287" t="inlineStr">
        <is>
          <t>UPPSALA LÄN</t>
        </is>
      </c>
      <c r="E2287" t="inlineStr">
        <is>
          <t>ENKÖPING</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1936-2022</t>
        </is>
      </c>
      <c r="B2288" s="1" t="n">
        <v>44575</v>
      </c>
      <c r="C2288" s="1" t="n">
        <v>45705</v>
      </c>
      <c r="D2288" t="inlineStr">
        <is>
          <t>UPPSALA LÄN</t>
        </is>
      </c>
      <c r="E2288" t="inlineStr">
        <is>
          <t>UPPSALA</t>
        </is>
      </c>
      <c r="F2288" t="inlineStr">
        <is>
          <t>Bergvik skog öst AB</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1992-2022</t>
        </is>
      </c>
      <c r="B2289" s="1" t="n">
        <v>44575</v>
      </c>
      <c r="C2289" s="1" t="n">
        <v>45705</v>
      </c>
      <c r="D2289" t="inlineStr">
        <is>
          <t>UPPSALA LÄN</t>
        </is>
      </c>
      <c r="E2289" t="inlineStr">
        <is>
          <t>ENKÖPING</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1960-2022</t>
        </is>
      </c>
      <c r="B2290" s="1" t="n">
        <v>44575</v>
      </c>
      <c r="C2290" s="1" t="n">
        <v>45705</v>
      </c>
      <c r="D2290" t="inlineStr">
        <is>
          <t>UPPSALA LÄN</t>
        </is>
      </c>
      <c r="E2290" t="inlineStr">
        <is>
          <t>ENKÖPING</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1965-2022</t>
        </is>
      </c>
      <c r="B2291" s="1" t="n">
        <v>44575</v>
      </c>
      <c r="C2291" s="1" t="n">
        <v>45705</v>
      </c>
      <c r="D2291" t="inlineStr">
        <is>
          <t>UPPSALA LÄN</t>
        </is>
      </c>
      <c r="E2291" t="inlineStr">
        <is>
          <t>ENKÖPING</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1978-2022</t>
        </is>
      </c>
      <c r="B2292" s="1" t="n">
        <v>44575</v>
      </c>
      <c r="C2292" s="1" t="n">
        <v>45705</v>
      </c>
      <c r="D2292" t="inlineStr">
        <is>
          <t>UPPSALA LÄN</t>
        </is>
      </c>
      <c r="E2292" t="inlineStr">
        <is>
          <t>UPPSALA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2017-2022</t>
        </is>
      </c>
      <c r="B2293" s="1" t="n">
        <v>44575</v>
      </c>
      <c r="C2293" s="1" t="n">
        <v>45705</v>
      </c>
      <c r="D2293" t="inlineStr">
        <is>
          <t>UPPSALA LÄN</t>
        </is>
      </c>
      <c r="E2293" t="inlineStr">
        <is>
          <t>UPPSALA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2085-2022</t>
        </is>
      </c>
      <c r="B2294" s="1" t="n">
        <v>44576</v>
      </c>
      <c r="C2294" s="1" t="n">
        <v>45705</v>
      </c>
      <c r="D2294" t="inlineStr">
        <is>
          <t>UPPSALA LÄN</t>
        </is>
      </c>
      <c r="E2294" t="inlineStr">
        <is>
          <t>ÖSTHAMMAR</t>
        </is>
      </c>
      <c r="F2294" t="inlineStr">
        <is>
          <t>Bergvik skog öst AB</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2108-2022</t>
        </is>
      </c>
      <c r="B2295" s="1" t="n">
        <v>44577</v>
      </c>
      <c r="C2295" s="1" t="n">
        <v>45705</v>
      </c>
      <c r="D2295" t="inlineStr">
        <is>
          <t>UPPSALA LÄN</t>
        </is>
      </c>
      <c r="E2295" t="inlineStr">
        <is>
          <t>ÖSTHAMMAR</t>
        </is>
      </c>
      <c r="F2295" t="inlineStr">
        <is>
          <t>Bergvik skog öst AB</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2168-2022</t>
        </is>
      </c>
      <c r="B2296" s="1" t="n">
        <v>44578</v>
      </c>
      <c r="C2296" s="1" t="n">
        <v>45705</v>
      </c>
      <c r="D2296" t="inlineStr">
        <is>
          <t>UPPSALA LÄN</t>
        </is>
      </c>
      <c r="E2296" t="inlineStr">
        <is>
          <t>ÖSTHAMMAR</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2228-2022</t>
        </is>
      </c>
      <c r="B2297" s="1" t="n">
        <v>44578</v>
      </c>
      <c r="C2297" s="1" t="n">
        <v>45705</v>
      </c>
      <c r="D2297" t="inlineStr">
        <is>
          <t>UPPSALA LÄN</t>
        </is>
      </c>
      <c r="E2297" t="inlineStr">
        <is>
          <t>UPPSALA</t>
        </is>
      </c>
      <c r="F2297" t="inlineStr">
        <is>
          <t>Bergvik skog öst AB</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2128-2022</t>
        </is>
      </c>
      <c r="B2298" s="1" t="n">
        <v>44578</v>
      </c>
      <c r="C2298" s="1" t="n">
        <v>45705</v>
      </c>
      <c r="D2298" t="inlineStr">
        <is>
          <t>UPPSALA LÄN</t>
        </is>
      </c>
      <c r="E2298" t="inlineStr">
        <is>
          <t>HEBY</t>
        </is>
      </c>
      <c r="F2298" t="inlineStr">
        <is>
          <t>Bergvik skog väst AB</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2248-2022</t>
        </is>
      </c>
      <c r="B2299" s="1" t="n">
        <v>44578</v>
      </c>
      <c r="C2299" s="1" t="n">
        <v>45705</v>
      </c>
      <c r="D2299" t="inlineStr">
        <is>
          <t>UPPSALA LÄN</t>
        </is>
      </c>
      <c r="E2299" t="inlineStr">
        <is>
          <t>TIERP</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3638-2022</t>
        </is>
      </c>
      <c r="B2300" s="1" t="n">
        <v>44578</v>
      </c>
      <c r="C2300" s="1" t="n">
        <v>45705</v>
      </c>
      <c r="D2300" t="inlineStr">
        <is>
          <t>UPPSALA LÄN</t>
        </is>
      </c>
      <c r="E2300" t="inlineStr">
        <is>
          <t>ÖSTHAMMAR</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2535-2022</t>
        </is>
      </c>
      <c r="B2301" s="1" t="n">
        <v>44579</v>
      </c>
      <c r="C2301" s="1" t="n">
        <v>45705</v>
      </c>
      <c r="D2301" t="inlineStr">
        <is>
          <t>UPPSALA LÄN</t>
        </is>
      </c>
      <c r="E2301" t="inlineStr">
        <is>
          <t>TIERP</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2534-2022</t>
        </is>
      </c>
      <c r="B2302" s="1" t="n">
        <v>44579</v>
      </c>
      <c r="C2302" s="1" t="n">
        <v>45705</v>
      </c>
      <c r="D2302" t="inlineStr">
        <is>
          <t>UPPSALA LÄN</t>
        </is>
      </c>
      <c r="E2302" t="inlineStr">
        <is>
          <t>TIERP</t>
        </is>
      </c>
      <c r="G2302" t="n">
        <v>7.1</v>
      </c>
      <c r="H2302" t="n">
        <v>0</v>
      </c>
      <c r="I2302" t="n">
        <v>0</v>
      </c>
      <c r="J2302" t="n">
        <v>0</v>
      </c>
      <c r="K2302" t="n">
        <v>0</v>
      </c>
      <c r="L2302" t="n">
        <v>0</v>
      </c>
      <c r="M2302" t="n">
        <v>0</v>
      </c>
      <c r="N2302" t="n">
        <v>0</v>
      </c>
      <c r="O2302" t="n">
        <v>0</v>
      </c>
      <c r="P2302" t="n">
        <v>0</v>
      </c>
      <c r="Q2302" t="n">
        <v>0</v>
      </c>
      <c r="R2302" s="2" t="inlineStr"/>
    </row>
    <row r="2303" ht="15" customHeight="1">
      <c r="A2303" t="inlineStr">
        <is>
          <t>A 2559-2022</t>
        </is>
      </c>
      <c r="B2303" s="1" t="n">
        <v>44580</v>
      </c>
      <c r="C2303" s="1" t="n">
        <v>45705</v>
      </c>
      <c r="D2303" t="inlineStr">
        <is>
          <t>UPPSALA LÄN</t>
        </is>
      </c>
      <c r="E2303" t="inlineStr">
        <is>
          <t>TIERP</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2680-2022</t>
        </is>
      </c>
      <c r="B2304" s="1" t="n">
        <v>44580</v>
      </c>
      <c r="C2304" s="1" t="n">
        <v>45705</v>
      </c>
      <c r="D2304" t="inlineStr">
        <is>
          <t>UPPSALA LÄN</t>
        </is>
      </c>
      <c r="E2304" t="inlineStr">
        <is>
          <t>ENKÖPING</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2771-2022</t>
        </is>
      </c>
      <c r="B2305" s="1" t="n">
        <v>44581</v>
      </c>
      <c r="C2305" s="1" t="n">
        <v>45705</v>
      </c>
      <c r="D2305" t="inlineStr">
        <is>
          <t>UPPSALA LÄN</t>
        </is>
      </c>
      <c r="E2305" t="inlineStr">
        <is>
          <t>TIERP</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2795-2022</t>
        </is>
      </c>
      <c r="B2306" s="1" t="n">
        <v>44581</v>
      </c>
      <c r="C2306" s="1" t="n">
        <v>45705</v>
      </c>
      <c r="D2306" t="inlineStr">
        <is>
          <t>UPPSALA LÄN</t>
        </is>
      </c>
      <c r="E2306" t="inlineStr">
        <is>
          <t>TIERP</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2814-2022</t>
        </is>
      </c>
      <c r="B2307" s="1" t="n">
        <v>44581</v>
      </c>
      <c r="C2307" s="1" t="n">
        <v>45705</v>
      </c>
      <c r="D2307" t="inlineStr">
        <is>
          <t>UPPSALA LÄN</t>
        </is>
      </c>
      <c r="E2307" t="inlineStr">
        <is>
          <t>TIERP</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2927-2022</t>
        </is>
      </c>
      <c r="B2308" s="1" t="n">
        <v>44581</v>
      </c>
      <c r="C2308" s="1" t="n">
        <v>45705</v>
      </c>
      <c r="D2308" t="inlineStr">
        <is>
          <t>UPPSALA LÄN</t>
        </is>
      </c>
      <c r="E2308" t="inlineStr">
        <is>
          <t>UPPSALA</t>
        </is>
      </c>
      <c r="F2308" t="inlineStr">
        <is>
          <t>Holmen skog AB</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3259-2022</t>
        </is>
      </c>
      <c r="B2309" s="1" t="n">
        <v>44583</v>
      </c>
      <c r="C2309" s="1" t="n">
        <v>45705</v>
      </c>
      <c r="D2309" t="inlineStr">
        <is>
          <t>UPPSALA LÄN</t>
        </is>
      </c>
      <c r="E2309" t="inlineStr">
        <is>
          <t>UPPSALA</t>
        </is>
      </c>
      <c r="F2309" t="inlineStr">
        <is>
          <t>Holmen skog AB</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3261-2022</t>
        </is>
      </c>
      <c r="B2310" s="1" t="n">
        <v>44583</v>
      </c>
      <c r="C2310" s="1" t="n">
        <v>45705</v>
      </c>
      <c r="D2310" t="inlineStr">
        <is>
          <t>UPPSALA LÄN</t>
        </is>
      </c>
      <c r="E2310" t="inlineStr">
        <is>
          <t>UPPSALA</t>
        </is>
      </c>
      <c r="F2310" t="inlineStr">
        <is>
          <t>Holmen skog AB</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3252-2022</t>
        </is>
      </c>
      <c r="B2311" s="1" t="n">
        <v>44583</v>
      </c>
      <c r="C2311" s="1" t="n">
        <v>45705</v>
      </c>
      <c r="D2311" t="inlineStr">
        <is>
          <t>UPPSALA LÄN</t>
        </is>
      </c>
      <c r="E2311" t="inlineStr">
        <is>
          <t>UPPSALA</t>
        </is>
      </c>
      <c r="F2311" t="inlineStr">
        <is>
          <t>Holmen skog AB</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3258-2022</t>
        </is>
      </c>
      <c r="B2312" s="1" t="n">
        <v>44583</v>
      </c>
      <c r="C2312" s="1" t="n">
        <v>45705</v>
      </c>
      <c r="D2312" t="inlineStr">
        <is>
          <t>UPPSALA LÄN</t>
        </is>
      </c>
      <c r="E2312" t="inlineStr">
        <is>
          <t>UPPSALA</t>
        </is>
      </c>
      <c r="F2312" t="inlineStr">
        <is>
          <t>Holmen skog AB</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3262-2022</t>
        </is>
      </c>
      <c r="B2313" s="1" t="n">
        <v>44583</v>
      </c>
      <c r="C2313" s="1" t="n">
        <v>45705</v>
      </c>
      <c r="D2313" t="inlineStr">
        <is>
          <t>UPPSALA LÄN</t>
        </is>
      </c>
      <c r="E2313" t="inlineStr">
        <is>
          <t>UPPSALA</t>
        </is>
      </c>
      <c r="F2313" t="inlineStr">
        <is>
          <t>Holmen skog AB</t>
        </is>
      </c>
      <c r="G2313" t="n">
        <v>5.4</v>
      </c>
      <c r="H2313" t="n">
        <v>0</v>
      </c>
      <c r="I2313" t="n">
        <v>0</v>
      </c>
      <c r="J2313" t="n">
        <v>0</v>
      </c>
      <c r="K2313" t="n">
        <v>0</v>
      </c>
      <c r="L2313" t="n">
        <v>0</v>
      </c>
      <c r="M2313" t="n">
        <v>0</v>
      </c>
      <c r="N2313" t="n">
        <v>0</v>
      </c>
      <c r="O2313" t="n">
        <v>0</v>
      </c>
      <c r="P2313" t="n">
        <v>0</v>
      </c>
      <c r="Q2313" t="n">
        <v>0</v>
      </c>
      <c r="R2313" s="2" t="inlineStr"/>
    </row>
    <row r="2314" ht="15" customHeight="1">
      <c r="A2314" t="inlineStr">
        <is>
          <t>A 3255-2022</t>
        </is>
      </c>
      <c r="B2314" s="1" t="n">
        <v>44583</v>
      </c>
      <c r="C2314" s="1" t="n">
        <v>45705</v>
      </c>
      <c r="D2314" t="inlineStr">
        <is>
          <t>UPPSALA LÄN</t>
        </is>
      </c>
      <c r="E2314" t="inlineStr">
        <is>
          <t>UPPSALA</t>
        </is>
      </c>
      <c r="F2314" t="inlineStr">
        <is>
          <t>Holmen skog AB</t>
        </is>
      </c>
      <c r="G2314" t="n">
        <v>5.6</v>
      </c>
      <c r="H2314" t="n">
        <v>0</v>
      </c>
      <c r="I2314" t="n">
        <v>0</v>
      </c>
      <c r="J2314" t="n">
        <v>0</v>
      </c>
      <c r="K2314" t="n">
        <v>0</v>
      </c>
      <c r="L2314" t="n">
        <v>0</v>
      </c>
      <c r="M2314" t="n">
        <v>0</v>
      </c>
      <c r="N2314" t="n">
        <v>0</v>
      </c>
      <c r="O2314" t="n">
        <v>0</v>
      </c>
      <c r="P2314" t="n">
        <v>0</v>
      </c>
      <c r="Q2314" t="n">
        <v>0</v>
      </c>
      <c r="R2314" s="2" t="inlineStr"/>
    </row>
    <row r="2315" ht="15" customHeight="1">
      <c r="A2315" t="inlineStr">
        <is>
          <t>A 3260-2022</t>
        </is>
      </c>
      <c r="B2315" s="1" t="n">
        <v>44583</v>
      </c>
      <c r="C2315" s="1" t="n">
        <v>45705</v>
      </c>
      <c r="D2315" t="inlineStr">
        <is>
          <t>UPPSALA LÄN</t>
        </is>
      </c>
      <c r="E2315" t="inlineStr">
        <is>
          <t>UPPSALA</t>
        </is>
      </c>
      <c r="F2315" t="inlineStr">
        <is>
          <t>Holmen skog AB</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3284-2022</t>
        </is>
      </c>
      <c r="B2316" s="1" t="n">
        <v>44584</v>
      </c>
      <c r="C2316" s="1" t="n">
        <v>45705</v>
      </c>
      <c r="D2316" t="inlineStr">
        <is>
          <t>UPPSALA LÄN</t>
        </is>
      </c>
      <c r="E2316" t="inlineStr">
        <is>
          <t>UPPSALA</t>
        </is>
      </c>
      <c r="F2316" t="inlineStr">
        <is>
          <t>Holmen skog AB</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3287-2022</t>
        </is>
      </c>
      <c r="B2317" s="1" t="n">
        <v>44584</v>
      </c>
      <c r="C2317" s="1" t="n">
        <v>45705</v>
      </c>
      <c r="D2317" t="inlineStr">
        <is>
          <t>UPPSALA LÄN</t>
        </is>
      </c>
      <c r="E2317" t="inlineStr">
        <is>
          <t>UPPSALA</t>
        </is>
      </c>
      <c r="F2317" t="inlineStr">
        <is>
          <t>Holmen skog AB</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3496-2022</t>
        </is>
      </c>
      <c r="B2318" s="1" t="n">
        <v>44585</v>
      </c>
      <c r="C2318" s="1" t="n">
        <v>45705</v>
      </c>
      <c r="D2318" t="inlineStr">
        <is>
          <t>UPPSALA LÄN</t>
        </is>
      </c>
      <c r="E2318" t="inlineStr">
        <is>
          <t>HEBY</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3574-2022</t>
        </is>
      </c>
      <c r="B2319" s="1" t="n">
        <v>44586</v>
      </c>
      <c r="C2319" s="1" t="n">
        <v>45705</v>
      </c>
      <c r="D2319" t="inlineStr">
        <is>
          <t>UPPSALA LÄN</t>
        </is>
      </c>
      <c r="E2319" t="inlineStr">
        <is>
          <t>HEBY</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3641-2022</t>
        </is>
      </c>
      <c r="B2320" s="1" t="n">
        <v>44586</v>
      </c>
      <c r="C2320" s="1" t="n">
        <v>45705</v>
      </c>
      <c r="D2320" t="inlineStr">
        <is>
          <t>UPPSALA LÄN</t>
        </is>
      </c>
      <c r="E2320" t="inlineStr">
        <is>
          <t>HEBY</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3725-2022</t>
        </is>
      </c>
      <c r="B2321" s="1" t="n">
        <v>44586</v>
      </c>
      <c r="C2321" s="1" t="n">
        <v>45705</v>
      </c>
      <c r="D2321" t="inlineStr">
        <is>
          <t>UPPSALA LÄN</t>
        </is>
      </c>
      <c r="E2321" t="inlineStr">
        <is>
          <t>ÖSTHAMMAR</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3732-2022</t>
        </is>
      </c>
      <c r="B2322" s="1" t="n">
        <v>44586</v>
      </c>
      <c r="C2322" s="1" t="n">
        <v>45705</v>
      </c>
      <c r="D2322" t="inlineStr">
        <is>
          <t>UPPSALA LÄN</t>
        </is>
      </c>
      <c r="E2322" t="inlineStr">
        <is>
          <t>ÖSTHAMMAR</t>
        </is>
      </c>
      <c r="F2322" t="inlineStr">
        <is>
          <t>Bergvik skog öst AB</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3740-2022</t>
        </is>
      </c>
      <c r="B2323" s="1" t="n">
        <v>44586</v>
      </c>
      <c r="C2323" s="1" t="n">
        <v>45705</v>
      </c>
      <c r="D2323" t="inlineStr">
        <is>
          <t>UPPSALA LÄN</t>
        </is>
      </c>
      <c r="E2323" t="inlineStr">
        <is>
          <t>ÖSTHAMMAR</t>
        </is>
      </c>
      <c r="F2323" t="inlineStr">
        <is>
          <t>Bergvik skog öst AB</t>
        </is>
      </c>
      <c r="G2323" t="n">
        <v>7.7</v>
      </c>
      <c r="H2323" t="n">
        <v>0</v>
      </c>
      <c r="I2323" t="n">
        <v>0</v>
      </c>
      <c r="J2323" t="n">
        <v>0</v>
      </c>
      <c r="K2323" t="n">
        <v>0</v>
      </c>
      <c r="L2323" t="n">
        <v>0</v>
      </c>
      <c r="M2323" t="n">
        <v>0</v>
      </c>
      <c r="N2323" t="n">
        <v>0</v>
      </c>
      <c r="O2323" t="n">
        <v>0</v>
      </c>
      <c r="P2323" t="n">
        <v>0</v>
      </c>
      <c r="Q2323" t="n">
        <v>0</v>
      </c>
      <c r="R2323" s="2" t="inlineStr"/>
    </row>
    <row r="2324" ht="15" customHeight="1">
      <c r="A2324" t="inlineStr">
        <is>
          <t>A 3861-2022</t>
        </is>
      </c>
      <c r="B2324" s="1" t="n">
        <v>44587</v>
      </c>
      <c r="C2324" s="1" t="n">
        <v>45705</v>
      </c>
      <c r="D2324" t="inlineStr">
        <is>
          <t>UPPSALA LÄN</t>
        </is>
      </c>
      <c r="E2324" t="inlineStr">
        <is>
          <t>ENKÖPING</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3991-2022</t>
        </is>
      </c>
      <c r="B2325" s="1" t="n">
        <v>44587</v>
      </c>
      <c r="C2325" s="1" t="n">
        <v>45705</v>
      </c>
      <c r="D2325" t="inlineStr">
        <is>
          <t>UPPSALA LÄN</t>
        </is>
      </c>
      <c r="E2325" t="inlineStr">
        <is>
          <t>ÖSTHAMMAR</t>
        </is>
      </c>
      <c r="F2325" t="inlineStr">
        <is>
          <t>Bergvik skog öst AB</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3988-2022</t>
        </is>
      </c>
      <c r="B2326" s="1" t="n">
        <v>44587</v>
      </c>
      <c r="C2326" s="1" t="n">
        <v>45705</v>
      </c>
      <c r="D2326" t="inlineStr">
        <is>
          <t>UPPSALA LÄN</t>
        </is>
      </c>
      <c r="E2326" t="inlineStr">
        <is>
          <t>HEBY</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4059-2022</t>
        </is>
      </c>
      <c r="B2327" s="1" t="n">
        <v>44588</v>
      </c>
      <c r="C2327" s="1" t="n">
        <v>45705</v>
      </c>
      <c r="D2327" t="inlineStr">
        <is>
          <t>UPPSALA LÄN</t>
        </is>
      </c>
      <c r="E2327" t="inlineStr">
        <is>
          <t>UPPSALA</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4083-2022</t>
        </is>
      </c>
      <c r="B2328" s="1" t="n">
        <v>44588</v>
      </c>
      <c r="C2328" s="1" t="n">
        <v>45705</v>
      </c>
      <c r="D2328" t="inlineStr">
        <is>
          <t>UPPSALA LÄN</t>
        </is>
      </c>
      <c r="E2328" t="inlineStr">
        <is>
          <t>TIERP</t>
        </is>
      </c>
      <c r="G2328" t="n">
        <v>26.1</v>
      </c>
      <c r="H2328" t="n">
        <v>0</v>
      </c>
      <c r="I2328" t="n">
        <v>0</v>
      </c>
      <c r="J2328" t="n">
        <v>0</v>
      </c>
      <c r="K2328" t="n">
        <v>0</v>
      </c>
      <c r="L2328" t="n">
        <v>0</v>
      </c>
      <c r="M2328" t="n">
        <v>0</v>
      </c>
      <c r="N2328" t="n">
        <v>0</v>
      </c>
      <c r="O2328" t="n">
        <v>0</v>
      </c>
      <c r="P2328" t="n">
        <v>0</v>
      </c>
      <c r="Q2328" t="n">
        <v>0</v>
      </c>
      <c r="R2328" s="2" t="inlineStr"/>
    </row>
    <row r="2329" ht="15" customHeight="1">
      <c r="A2329" t="inlineStr">
        <is>
          <t>A 4101-2022</t>
        </is>
      </c>
      <c r="B2329" s="1" t="n">
        <v>44588</v>
      </c>
      <c r="C2329" s="1" t="n">
        <v>45705</v>
      </c>
      <c r="D2329" t="inlineStr">
        <is>
          <t>UPPSALA LÄN</t>
        </is>
      </c>
      <c r="E2329" t="inlineStr">
        <is>
          <t>ÖSTHAMMAR</t>
        </is>
      </c>
      <c r="G2329" t="n">
        <v>4.4</v>
      </c>
      <c r="H2329" t="n">
        <v>0</v>
      </c>
      <c r="I2329" t="n">
        <v>0</v>
      </c>
      <c r="J2329" t="n">
        <v>0</v>
      </c>
      <c r="K2329" t="n">
        <v>0</v>
      </c>
      <c r="L2329" t="n">
        <v>0</v>
      </c>
      <c r="M2329" t="n">
        <v>0</v>
      </c>
      <c r="N2329" t="n">
        <v>0</v>
      </c>
      <c r="O2329" t="n">
        <v>0</v>
      </c>
      <c r="P2329" t="n">
        <v>0</v>
      </c>
      <c r="Q2329" t="n">
        <v>0</v>
      </c>
      <c r="R2329" s="2" t="inlineStr"/>
    </row>
    <row r="2330" ht="15" customHeight="1">
      <c r="A2330" t="inlineStr">
        <is>
          <t>A 4170-2022</t>
        </is>
      </c>
      <c r="B2330" s="1" t="n">
        <v>44588</v>
      </c>
      <c r="C2330" s="1" t="n">
        <v>45705</v>
      </c>
      <c r="D2330" t="inlineStr">
        <is>
          <t>UPPSALA LÄN</t>
        </is>
      </c>
      <c r="E2330" t="inlineStr">
        <is>
          <t>ENKÖPING</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4312-2022</t>
        </is>
      </c>
      <c r="B2331" s="1" t="n">
        <v>44588</v>
      </c>
      <c r="C2331" s="1" t="n">
        <v>45705</v>
      </c>
      <c r="D2331" t="inlineStr">
        <is>
          <t>UPPSALA LÄN</t>
        </is>
      </c>
      <c r="E2331" t="inlineStr">
        <is>
          <t>UPPSALA</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4318-2022</t>
        </is>
      </c>
      <c r="B2332" s="1" t="n">
        <v>44588</v>
      </c>
      <c r="C2332" s="1" t="n">
        <v>45705</v>
      </c>
      <c r="D2332" t="inlineStr">
        <is>
          <t>UPPSALA LÄN</t>
        </is>
      </c>
      <c r="E2332" t="inlineStr">
        <is>
          <t>ÖSTHAMMAR</t>
        </is>
      </c>
      <c r="F2332" t="inlineStr">
        <is>
          <t>Bergvik skog öst AB</t>
        </is>
      </c>
      <c r="G2332" t="n">
        <v>9.6</v>
      </c>
      <c r="H2332" t="n">
        <v>0</v>
      </c>
      <c r="I2332" t="n">
        <v>0</v>
      </c>
      <c r="J2332" t="n">
        <v>0</v>
      </c>
      <c r="K2332" t="n">
        <v>0</v>
      </c>
      <c r="L2332" t="n">
        <v>0</v>
      </c>
      <c r="M2332" t="n">
        <v>0</v>
      </c>
      <c r="N2332" t="n">
        <v>0</v>
      </c>
      <c r="O2332" t="n">
        <v>0</v>
      </c>
      <c r="P2332" t="n">
        <v>0</v>
      </c>
      <c r="Q2332" t="n">
        <v>0</v>
      </c>
      <c r="R2332" s="2" t="inlineStr"/>
    </row>
    <row r="2333" ht="15" customHeight="1">
      <c r="A2333" t="inlineStr">
        <is>
          <t>A 4315-2022</t>
        </is>
      </c>
      <c r="B2333" s="1" t="n">
        <v>44588</v>
      </c>
      <c r="C2333" s="1" t="n">
        <v>45705</v>
      </c>
      <c r="D2333" t="inlineStr">
        <is>
          <t>UPPSALA LÄN</t>
        </is>
      </c>
      <c r="E2333" t="inlineStr">
        <is>
          <t>ÖSTHAMMAR</t>
        </is>
      </c>
      <c r="F2333" t="inlineStr">
        <is>
          <t>Bergvik skog öst AB</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4444-2022</t>
        </is>
      </c>
      <c r="B2334" s="1" t="n">
        <v>44589</v>
      </c>
      <c r="C2334" s="1" t="n">
        <v>45705</v>
      </c>
      <c r="D2334" t="inlineStr">
        <is>
          <t>UPPSALA LÄN</t>
        </is>
      </c>
      <c r="E2334" t="inlineStr">
        <is>
          <t>UPPSALA</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4491-2022</t>
        </is>
      </c>
      <c r="B2335" s="1" t="n">
        <v>44589</v>
      </c>
      <c r="C2335" s="1" t="n">
        <v>45705</v>
      </c>
      <c r="D2335" t="inlineStr">
        <is>
          <t>UPPSALA LÄN</t>
        </is>
      </c>
      <c r="E2335" t="inlineStr">
        <is>
          <t>ÖSTHAMMAR</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4357-2022</t>
        </is>
      </c>
      <c r="B2336" s="1" t="n">
        <v>44589</v>
      </c>
      <c r="C2336" s="1" t="n">
        <v>45705</v>
      </c>
      <c r="D2336" t="inlineStr">
        <is>
          <t>UPPSALA LÄN</t>
        </is>
      </c>
      <c r="E2336" t="inlineStr">
        <is>
          <t>ÖSTHAMMAR</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4563-2022</t>
        </is>
      </c>
      <c r="B2337" s="1" t="n">
        <v>44591</v>
      </c>
      <c r="C2337" s="1" t="n">
        <v>45705</v>
      </c>
      <c r="D2337" t="inlineStr">
        <is>
          <t>UPPSALA LÄN</t>
        </is>
      </c>
      <c r="E2337" t="inlineStr">
        <is>
          <t>ÖSTHAMMAR</t>
        </is>
      </c>
      <c r="F2337" t="inlineStr">
        <is>
          <t>Bergvik skog öst AB</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4562-2022</t>
        </is>
      </c>
      <c r="B2338" s="1" t="n">
        <v>44591</v>
      </c>
      <c r="C2338" s="1" t="n">
        <v>45705</v>
      </c>
      <c r="D2338" t="inlineStr">
        <is>
          <t>UPPSALA LÄN</t>
        </is>
      </c>
      <c r="E2338" t="inlineStr">
        <is>
          <t>ÖSTHAMMAR</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4561-2022</t>
        </is>
      </c>
      <c r="B2339" s="1" t="n">
        <v>44591</v>
      </c>
      <c r="C2339" s="1" t="n">
        <v>45705</v>
      </c>
      <c r="D2339" t="inlineStr">
        <is>
          <t>UPPSALA LÄN</t>
        </is>
      </c>
      <c r="E2339" t="inlineStr">
        <is>
          <t>ÖSTHAMMAR</t>
        </is>
      </c>
      <c r="F2339" t="inlineStr">
        <is>
          <t>Bergvik skog öst AB</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4559-2022</t>
        </is>
      </c>
      <c r="B2340" s="1" t="n">
        <v>44591</v>
      </c>
      <c r="C2340" s="1" t="n">
        <v>45705</v>
      </c>
      <c r="D2340" t="inlineStr">
        <is>
          <t>UPPSALA LÄN</t>
        </is>
      </c>
      <c r="E2340" t="inlineStr">
        <is>
          <t>ÖSTHAMMAR</t>
        </is>
      </c>
      <c r="F2340" t="inlineStr">
        <is>
          <t>Bergvik skog öst AB</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4565-2022</t>
        </is>
      </c>
      <c r="B2341" s="1" t="n">
        <v>44591</v>
      </c>
      <c r="C2341" s="1" t="n">
        <v>45705</v>
      </c>
      <c r="D2341" t="inlineStr">
        <is>
          <t>UPPSALA LÄN</t>
        </is>
      </c>
      <c r="E2341" t="inlineStr">
        <is>
          <t>ÖSTHAMMAR</t>
        </is>
      </c>
      <c r="F2341" t="inlineStr">
        <is>
          <t>Bergvik skog öst AB</t>
        </is>
      </c>
      <c r="G2341" t="n">
        <v>5.3</v>
      </c>
      <c r="H2341" t="n">
        <v>0</v>
      </c>
      <c r="I2341" t="n">
        <v>0</v>
      </c>
      <c r="J2341" t="n">
        <v>0</v>
      </c>
      <c r="K2341" t="n">
        <v>0</v>
      </c>
      <c r="L2341" t="n">
        <v>0</v>
      </c>
      <c r="M2341" t="n">
        <v>0</v>
      </c>
      <c r="N2341" t="n">
        <v>0</v>
      </c>
      <c r="O2341" t="n">
        <v>0</v>
      </c>
      <c r="P2341" t="n">
        <v>0</v>
      </c>
      <c r="Q2341" t="n">
        <v>0</v>
      </c>
      <c r="R2341" s="2" t="inlineStr"/>
    </row>
    <row r="2342" ht="15" customHeight="1">
      <c r="A2342" t="inlineStr">
        <is>
          <t>A 4597-2022</t>
        </is>
      </c>
      <c r="B2342" s="1" t="n">
        <v>44592</v>
      </c>
      <c r="C2342" s="1" t="n">
        <v>45705</v>
      </c>
      <c r="D2342" t="inlineStr">
        <is>
          <t>UPPSALA LÄN</t>
        </is>
      </c>
      <c r="E2342" t="inlineStr">
        <is>
          <t>TIERP</t>
        </is>
      </c>
      <c r="F2342" t="inlineStr">
        <is>
          <t>Bergvik skog öst AB</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4929-2022</t>
        </is>
      </c>
      <c r="B2343" s="1" t="n">
        <v>44593</v>
      </c>
      <c r="C2343" s="1" t="n">
        <v>45705</v>
      </c>
      <c r="D2343" t="inlineStr">
        <is>
          <t>UPPSALA LÄN</t>
        </is>
      </c>
      <c r="E2343" t="inlineStr">
        <is>
          <t>UPPSALA</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5023-2022</t>
        </is>
      </c>
      <c r="B2344" s="1" t="n">
        <v>44593</v>
      </c>
      <c r="C2344" s="1" t="n">
        <v>45705</v>
      </c>
      <c r="D2344" t="inlineStr">
        <is>
          <t>UPPSALA LÄN</t>
        </is>
      </c>
      <c r="E2344" t="inlineStr">
        <is>
          <t>TIERP</t>
        </is>
      </c>
      <c r="F2344" t="inlineStr">
        <is>
          <t>Bergvik skog väst AB</t>
        </is>
      </c>
      <c r="G2344" t="n">
        <v>14.8</v>
      </c>
      <c r="H2344" t="n">
        <v>0</v>
      </c>
      <c r="I2344" t="n">
        <v>0</v>
      </c>
      <c r="J2344" t="n">
        <v>0</v>
      </c>
      <c r="K2344" t="n">
        <v>0</v>
      </c>
      <c r="L2344" t="n">
        <v>0</v>
      </c>
      <c r="M2344" t="n">
        <v>0</v>
      </c>
      <c r="N2344" t="n">
        <v>0</v>
      </c>
      <c r="O2344" t="n">
        <v>0</v>
      </c>
      <c r="P2344" t="n">
        <v>0</v>
      </c>
      <c r="Q2344" t="n">
        <v>0</v>
      </c>
      <c r="R2344" s="2" t="inlineStr"/>
    </row>
    <row r="2345" ht="15" customHeight="1">
      <c r="A2345" t="inlineStr">
        <is>
          <t>A 5027-2022</t>
        </is>
      </c>
      <c r="B2345" s="1" t="n">
        <v>44593</v>
      </c>
      <c r="C2345" s="1" t="n">
        <v>45705</v>
      </c>
      <c r="D2345" t="inlineStr">
        <is>
          <t>UPPSALA LÄN</t>
        </is>
      </c>
      <c r="E2345" t="inlineStr">
        <is>
          <t>UPPSALA</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5081-2022</t>
        </is>
      </c>
      <c r="B2346" s="1" t="n">
        <v>44593</v>
      </c>
      <c r="C2346" s="1" t="n">
        <v>45705</v>
      </c>
      <c r="D2346" t="inlineStr">
        <is>
          <t>UPPSALA LÄN</t>
        </is>
      </c>
      <c r="E2346" t="inlineStr">
        <is>
          <t>UPPSALA</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5007-2022</t>
        </is>
      </c>
      <c r="B2347" s="1" t="n">
        <v>44593</v>
      </c>
      <c r="C2347" s="1" t="n">
        <v>45705</v>
      </c>
      <c r="D2347" t="inlineStr">
        <is>
          <t>UPPSALA LÄN</t>
        </is>
      </c>
      <c r="E2347" t="inlineStr">
        <is>
          <t>UPPSALA</t>
        </is>
      </c>
      <c r="F2347" t="inlineStr">
        <is>
          <t>BillerudKorsnäs AB</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5006-2022</t>
        </is>
      </c>
      <c r="B2348" s="1" t="n">
        <v>44593</v>
      </c>
      <c r="C2348" s="1" t="n">
        <v>45705</v>
      </c>
      <c r="D2348" t="inlineStr">
        <is>
          <t>UPPSALA LÄN</t>
        </is>
      </c>
      <c r="E2348" t="inlineStr">
        <is>
          <t>UPPSALA</t>
        </is>
      </c>
      <c r="F2348" t="inlineStr">
        <is>
          <t>BillerudKorsnäs AB</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5028-2022</t>
        </is>
      </c>
      <c r="B2349" s="1" t="n">
        <v>44593</v>
      </c>
      <c r="C2349" s="1" t="n">
        <v>45705</v>
      </c>
      <c r="D2349" t="inlineStr">
        <is>
          <t>UPPSALA LÄN</t>
        </is>
      </c>
      <c r="E2349" t="inlineStr">
        <is>
          <t>UPPSALA</t>
        </is>
      </c>
      <c r="F2349" t="inlineStr">
        <is>
          <t>Holmen skog AB</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5161-2022</t>
        </is>
      </c>
      <c r="B2350" s="1" t="n">
        <v>44594</v>
      </c>
      <c r="C2350" s="1" t="n">
        <v>45705</v>
      </c>
      <c r="D2350" t="inlineStr">
        <is>
          <t>UPPSALA LÄN</t>
        </is>
      </c>
      <c r="E2350" t="inlineStr">
        <is>
          <t>HEBY</t>
        </is>
      </c>
      <c r="G2350" t="n">
        <v>4</v>
      </c>
      <c r="H2350" t="n">
        <v>0</v>
      </c>
      <c r="I2350" t="n">
        <v>0</v>
      </c>
      <c r="J2350" t="n">
        <v>0</v>
      </c>
      <c r="K2350" t="n">
        <v>0</v>
      </c>
      <c r="L2350" t="n">
        <v>0</v>
      </c>
      <c r="M2350" t="n">
        <v>0</v>
      </c>
      <c r="N2350" t="n">
        <v>0</v>
      </c>
      <c r="O2350" t="n">
        <v>0</v>
      </c>
      <c r="P2350" t="n">
        <v>0</v>
      </c>
      <c r="Q2350" t="n">
        <v>0</v>
      </c>
      <c r="R2350" s="2" t="inlineStr"/>
    </row>
    <row r="2351" ht="15" customHeight="1">
      <c r="A2351" t="inlineStr">
        <is>
          <t>A 5188-2022</t>
        </is>
      </c>
      <c r="B2351" s="1" t="n">
        <v>44594</v>
      </c>
      <c r="C2351" s="1" t="n">
        <v>45705</v>
      </c>
      <c r="D2351" t="inlineStr">
        <is>
          <t>UPPSALA LÄN</t>
        </is>
      </c>
      <c r="E2351" t="inlineStr">
        <is>
          <t>ENKÖPING</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5309-2022</t>
        </is>
      </c>
      <c r="B2352" s="1" t="n">
        <v>44594</v>
      </c>
      <c r="C2352" s="1" t="n">
        <v>45705</v>
      </c>
      <c r="D2352" t="inlineStr">
        <is>
          <t>UPPSALA LÄN</t>
        </is>
      </c>
      <c r="E2352" t="inlineStr">
        <is>
          <t>UPPSALA</t>
        </is>
      </c>
      <c r="G2352" t="n">
        <v>4.8</v>
      </c>
      <c r="H2352" t="n">
        <v>0</v>
      </c>
      <c r="I2352" t="n">
        <v>0</v>
      </c>
      <c r="J2352" t="n">
        <v>0</v>
      </c>
      <c r="K2352" t="n">
        <v>0</v>
      </c>
      <c r="L2352" t="n">
        <v>0</v>
      </c>
      <c r="M2352" t="n">
        <v>0</v>
      </c>
      <c r="N2352" t="n">
        <v>0</v>
      </c>
      <c r="O2352" t="n">
        <v>0</v>
      </c>
      <c r="P2352" t="n">
        <v>0</v>
      </c>
      <c r="Q2352" t="n">
        <v>0</v>
      </c>
      <c r="R2352" s="2" t="inlineStr"/>
    </row>
    <row r="2353" ht="15" customHeight="1">
      <c r="A2353" t="inlineStr">
        <is>
          <t>A 5170-2022</t>
        </is>
      </c>
      <c r="B2353" s="1" t="n">
        <v>44594</v>
      </c>
      <c r="C2353" s="1" t="n">
        <v>45705</v>
      </c>
      <c r="D2353" t="inlineStr">
        <is>
          <t>UPPSALA LÄN</t>
        </is>
      </c>
      <c r="E2353" t="inlineStr">
        <is>
          <t>TIERP</t>
        </is>
      </c>
      <c r="F2353" t="inlineStr">
        <is>
          <t>Bergvik skog öst AB</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5189-2022</t>
        </is>
      </c>
      <c r="B2354" s="1" t="n">
        <v>44594</v>
      </c>
      <c r="C2354" s="1" t="n">
        <v>45705</v>
      </c>
      <c r="D2354" t="inlineStr">
        <is>
          <t>UPPSALA LÄN</t>
        </is>
      </c>
      <c r="E2354" t="inlineStr">
        <is>
          <t>UPPSALA</t>
        </is>
      </c>
      <c r="G2354" t="n">
        <v>5.9</v>
      </c>
      <c r="H2354" t="n">
        <v>0</v>
      </c>
      <c r="I2354" t="n">
        <v>0</v>
      </c>
      <c r="J2354" t="n">
        <v>0</v>
      </c>
      <c r="K2354" t="n">
        <v>0</v>
      </c>
      <c r="L2354" t="n">
        <v>0</v>
      </c>
      <c r="M2354" t="n">
        <v>0</v>
      </c>
      <c r="N2354" t="n">
        <v>0</v>
      </c>
      <c r="O2354" t="n">
        <v>0</v>
      </c>
      <c r="P2354" t="n">
        <v>0</v>
      </c>
      <c r="Q2354" t="n">
        <v>0</v>
      </c>
      <c r="R2354" s="2" t="inlineStr"/>
    </row>
    <row r="2355" ht="15" customHeight="1">
      <c r="A2355" t="inlineStr">
        <is>
          <t>A 5204-2022</t>
        </is>
      </c>
      <c r="B2355" s="1" t="n">
        <v>44594</v>
      </c>
      <c r="C2355" s="1" t="n">
        <v>45705</v>
      </c>
      <c r="D2355" t="inlineStr">
        <is>
          <t>UPPSALA LÄN</t>
        </is>
      </c>
      <c r="E2355" t="inlineStr">
        <is>
          <t>TIERP</t>
        </is>
      </c>
      <c r="F2355" t="inlineStr">
        <is>
          <t>Bergvik skog öst AB</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5266-2022</t>
        </is>
      </c>
      <c r="B2356" s="1" t="n">
        <v>44594</v>
      </c>
      <c r="C2356" s="1" t="n">
        <v>45705</v>
      </c>
      <c r="D2356" t="inlineStr">
        <is>
          <t>UPPSALA LÄN</t>
        </is>
      </c>
      <c r="E2356" t="inlineStr">
        <is>
          <t>TIERP</t>
        </is>
      </c>
      <c r="F2356" t="inlineStr">
        <is>
          <t>Bergvik skog väst AB</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5589-2022</t>
        </is>
      </c>
      <c r="B2357" s="1" t="n">
        <v>44595</v>
      </c>
      <c r="C2357" s="1" t="n">
        <v>45705</v>
      </c>
      <c r="D2357" t="inlineStr">
        <is>
          <t>UPPSALA LÄN</t>
        </is>
      </c>
      <c r="E2357" t="inlineStr">
        <is>
          <t>HEBY</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5526-2022</t>
        </is>
      </c>
      <c r="B2358" s="1" t="n">
        <v>44595</v>
      </c>
      <c r="C2358" s="1" t="n">
        <v>45705</v>
      </c>
      <c r="D2358" t="inlineStr">
        <is>
          <t>UPPSALA LÄN</t>
        </is>
      </c>
      <c r="E2358" t="inlineStr">
        <is>
          <t>ENKÖPING</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5855-2022</t>
        </is>
      </c>
      <c r="B2359" s="1" t="n">
        <v>44596</v>
      </c>
      <c r="C2359" s="1" t="n">
        <v>45705</v>
      </c>
      <c r="D2359" t="inlineStr">
        <is>
          <t>UPPSALA LÄN</t>
        </is>
      </c>
      <c r="E2359" t="inlineStr">
        <is>
          <t>ÖSTHAMMAR</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5918-2022</t>
        </is>
      </c>
      <c r="B2360" s="1" t="n">
        <v>44597</v>
      </c>
      <c r="C2360" s="1" t="n">
        <v>45705</v>
      </c>
      <c r="D2360" t="inlineStr">
        <is>
          <t>UPPSALA LÄN</t>
        </is>
      </c>
      <c r="E2360" t="inlineStr">
        <is>
          <t>TIERP</t>
        </is>
      </c>
      <c r="G2360" t="n">
        <v>4.7</v>
      </c>
      <c r="H2360" t="n">
        <v>0</v>
      </c>
      <c r="I2360" t="n">
        <v>0</v>
      </c>
      <c r="J2360" t="n">
        <v>0</v>
      </c>
      <c r="K2360" t="n">
        <v>0</v>
      </c>
      <c r="L2360" t="n">
        <v>0</v>
      </c>
      <c r="M2360" t="n">
        <v>0</v>
      </c>
      <c r="N2360" t="n">
        <v>0</v>
      </c>
      <c r="O2360" t="n">
        <v>0</v>
      </c>
      <c r="P2360" t="n">
        <v>0</v>
      </c>
      <c r="Q2360" t="n">
        <v>0</v>
      </c>
      <c r="R2360" s="2" t="inlineStr"/>
    </row>
    <row r="2361" ht="15" customHeight="1">
      <c r="A2361" t="inlineStr">
        <is>
          <t>A 5974-2022</t>
        </is>
      </c>
      <c r="B2361" s="1" t="n">
        <v>44597</v>
      </c>
      <c r="C2361" s="1" t="n">
        <v>45705</v>
      </c>
      <c r="D2361" t="inlineStr">
        <is>
          <t>UPPSALA LÄN</t>
        </is>
      </c>
      <c r="E2361" t="inlineStr">
        <is>
          <t>ÖSTHAMMAR</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5933-2022</t>
        </is>
      </c>
      <c r="B2362" s="1" t="n">
        <v>44598</v>
      </c>
      <c r="C2362" s="1" t="n">
        <v>45705</v>
      </c>
      <c r="D2362" t="inlineStr">
        <is>
          <t>UPPSALA LÄN</t>
        </is>
      </c>
      <c r="E2362" t="inlineStr">
        <is>
          <t>ÖSTHAMMAR</t>
        </is>
      </c>
      <c r="F2362" t="inlineStr">
        <is>
          <t>Bergvik skog öst AB</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5934-2022</t>
        </is>
      </c>
      <c r="B2363" s="1" t="n">
        <v>44598</v>
      </c>
      <c r="C2363" s="1" t="n">
        <v>45705</v>
      </c>
      <c r="D2363" t="inlineStr">
        <is>
          <t>UPPSALA LÄN</t>
        </is>
      </c>
      <c r="E2363" t="inlineStr">
        <is>
          <t>ÖSTHAMMAR</t>
        </is>
      </c>
      <c r="F2363" t="inlineStr">
        <is>
          <t>Bergvik skog öst AB</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5932-2022</t>
        </is>
      </c>
      <c r="B2364" s="1" t="n">
        <v>44598</v>
      </c>
      <c r="C2364" s="1" t="n">
        <v>45705</v>
      </c>
      <c r="D2364" t="inlineStr">
        <is>
          <t>UPPSALA LÄN</t>
        </is>
      </c>
      <c r="E2364" t="inlineStr">
        <is>
          <t>ÖSTHAMMAR</t>
        </is>
      </c>
      <c r="F2364" t="inlineStr">
        <is>
          <t>Bergvik skog öst AB</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5924-2022</t>
        </is>
      </c>
      <c r="B2365" s="1" t="n">
        <v>44598</v>
      </c>
      <c r="C2365" s="1" t="n">
        <v>45705</v>
      </c>
      <c r="D2365" t="inlineStr">
        <is>
          <t>UPPSALA LÄN</t>
        </is>
      </c>
      <c r="E2365" t="inlineStr">
        <is>
          <t>UPPSALA</t>
        </is>
      </c>
      <c r="G2365" t="n">
        <v>6.8</v>
      </c>
      <c r="H2365" t="n">
        <v>0</v>
      </c>
      <c r="I2365" t="n">
        <v>0</v>
      </c>
      <c r="J2365" t="n">
        <v>0</v>
      </c>
      <c r="K2365" t="n">
        <v>0</v>
      </c>
      <c r="L2365" t="n">
        <v>0</v>
      </c>
      <c r="M2365" t="n">
        <v>0</v>
      </c>
      <c r="N2365" t="n">
        <v>0</v>
      </c>
      <c r="O2365" t="n">
        <v>0</v>
      </c>
      <c r="P2365" t="n">
        <v>0</v>
      </c>
      <c r="Q2365" t="n">
        <v>0</v>
      </c>
      <c r="R2365" s="2" t="inlineStr"/>
    </row>
    <row r="2366" ht="15" customHeight="1">
      <c r="A2366" t="inlineStr">
        <is>
          <t>A 5931-2022</t>
        </is>
      </c>
      <c r="B2366" s="1" t="n">
        <v>44598</v>
      </c>
      <c r="C2366" s="1" t="n">
        <v>45705</v>
      </c>
      <c r="D2366" t="inlineStr">
        <is>
          <t>UPPSALA LÄN</t>
        </is>
      </c>
      <c r="E2366" t="inlineStr">
        <is>
          <t>ÖSTHAMMAR</t>
        </is>
      </c>
      <c r="F2366" t="inlineStr">
        <is>
          <t>Bergvik skog öst AB</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5989-2022</t>
        </is>
      </c>
      <c r="B2367" s="1" t="n">
        <v>44599</v>
      </c>
      <c r="C2367" s="1" t="n">
        <v>45705</v>
      </c>
      <c r="D2367" t="inlineStr">
        <is>
          <t>UPPSALA LÄN</t>
        </is>
      </c>
      <c r="E2367" t="inlineStr">
        <is>
          <t>UPPSALA</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6009-2022</t>
        </is>
      </c>
      <c r="B2368" s="1" t="n">
        <v>44599</v>
      </c>
      <c r="C2368" s="1" t="n">
        <v>45705</v>
      </c>
      <c r="D2368" t="inlineStr">
        <is>
          <t>UPPSALA LÄN</t>
        </is>
      </c>
      <c r="E2368" t="inlineStr">
        <is>
          <t>UPPSALA</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5996-2022</t>
        </is>
      </c>
      <c r="B2369" s="1" t="n">
        <v>44599</v>
      </c>
      <c r="C2369" s="1" t="n">
        <v>45705</v>
      </c>
      <c r="D2369" t="inlineStr">
        <is>
          <t>UPPSALA LÄN</t>
        </is>
      </c>
      <c r="E2369" t="inlineStr">
        <is>
          <t>UPPSALA</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6044-2022</t>
        </is>
      </c>
      <c r="B2370" s="1" t="n">
        <v>44599</v>
      </c>
      <c r="C2370" s="1" t="n">
        <v>45705</v>
      </c>
      <c r="D2370" t="inlineStr">
        <is>
          <t>UPPSALA LÄN</t>
        </is>
      </c>
      <c r="E2370" t="inlineStr">
        <is>
          <t>HEBY</t>
        </is>
      </c>
      <c r="G2370" t="n">
        <v>4.5</v>
      </c>
      <c r="H2370" t="n">
        <v>0</v>
      </c>
      <c r="I2370" t="n">
        <v>0</v>
      </c>
      <c r="J2370" t="n">
        <v>0</v>
      </c>
      <c r="K2370" t="n">
        <v>0</v>
      </c>
      <c r="L2370" t="n">
        <v>0</v>
      </c>
      <c r="M2370" t="n">
        <v>0</v>
      </c>
      <c r="N2370" t="n">
        <v>0</v>
      </c>
      <c r="O2370" t="n">
        <v>0</v>
      </c>
      <c r="P2370" t="n">
        <v>0</v>
      </c>
      <c r="Q2370" t="n">
        <v>0</v>
      </c>
      <c r="R2370" s="2" t="inlineStr"/>
    </row>
    <row r="2371" ht="15" customHeight="1">
      <c r="A2371" t="inlineStr">
        <is>
          <t>A 6143-2022</t>
        </is>
      </c>
      <c r="B2371" s="1" t="n">
        <v>44599</v>
      </c>
      <c r="C2371" s="1" t="n">
        <v>45705</v>
      </c>
      <c r="D2371" t="inlineStr">
        <is>
          <t>UPPSALA LÄN</t>
        </is>
      </c>
      <c r="E2371" t="inlineStr">
        <is>
          <t>ÖSTHAMMAR</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6153-2022</t>
        </is>
      </c>
      <c r="B2372" s="1" t="n">
        <v>44599</v>
      </c>
      <c r="C2372" s="1" t="n">
        <v>45705</v>
      </c>
      <c r="D2372" t="inlineStr">
        <is>
          <t>UPPSALA LÄN</t>
        </is>
      </c>
      <c r="E2372" t="inlineStr">
        <is>
          <t>ÖSTHAMMAR</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6254-2022</t>
        </is>
      </c>
      <c r="B2373" s="1" t="n">
        <v>44600</v>
      </c>
      <c r="C2373" s="1" t="n">
        <v>45705</v>
      </c>
      <c r="D2373" t="inlineStr">
        <is>
          <t>UPPSALA LÄN</t>
        </is>
      </c>
      <c r="E2373" t="inlineStr">
        <is>
          <t>TIERP</t>
        </is>
      </c>
      <c r="F2373" t="inlineStr">
        <is>
          <t>Bergvik skog öst AB</t>
        </is>
      </c>
      <c r="G2373" t="n">
        <v>6.1</v>
      </c>
      <c r="H2373" t="n">
        <v>0</v>
      </c>
      <c r="I2373" t="n">
        <v>0</v>
      </c>
      <c r="J2373" t="n">
        <v>0</v>
      </c>
      <c r="K2373" t="n">
        <v>0</v>
      </c>
      <c r="L2373" t="n">
        <v>0</v>
      </c>
      <c r="M2373" t="n">
        <v>0</v>
      </c>
      <c r="N2373" t="n">
        <v>0</v>
      </c>
      <c r="O2373" t="n">
        <v>0</v>
      </c>
      <c r="P2373" t="n">
        <v>0</v>
      </c>
      <c r="Q2373" t="n">
        <v>0</v>
      </c>
      <c r="R2373" s="2" t="inlineStr"/>
    </row>
    <row r="2374" ht="15" customHeight="1">
      <c r="A2374" t="inlineStr">
        <is>
          <t>A 6206-2022</t>
        </is>
      </c>
      <c r="B2374" s="1" t="n">
        <v>44600</v>
      </c>
      <c r="C2374" s="1" t="n">
        <v>45705</v>
      </c>
      <c r="D2374" t="inlineStr">
        <is>
          <t>UPPSALA LÄN</t>
        </is>
      </c>
      <c r="E2374" t="inlineStr">
        <is>
          <t>ÖSTHAMMAR</t>
        </is>
      </c>
      <c r="G2374" t="n">
        <v>7.4</v>
      </c>
      <c r="H2374" t="n">
        <v>0</v>
      </c>
      <c r="I2374" t="n">
        <v>0</v>
      </c>
      <c r="J2374" t="n">
        <v>0</v>
      </c>
      <c r="K2374" t="n">
        <v>0</v>
      </c>
      <c r="L2374" t="n">
        <v>0</v>
      </c>
      <c r="M2374" t="n">
        <v>0</v>
      </c>
      <c r="N2374" t="n">
        <v>0</v>
      </c>
      <c r="O2374" t="n">
        <v>0</v>
      </c>
      <c r="P2374" t="n">
        <v>0</v>
      </c>
      <c r="Q2374" t="n">
        <v>0</v>
      </c>
      <c r="R2374" s="2" t="inlineStr"/>
    </row>
    <row r="2375" ht="15" customHeight="1">
      <c r="A2375" t="inlineStr">
        <is>
          <t>A 6339-2022</t>
        </is>
      </c>
      <c r="B2375" s="1" t="n">
        <v>44600</v>
      </c>
      <c r="C2375" s="1" t="n">
        <v>45705</v>
      </c>
      <c r="D2375" t="inlineStr">
        <is>
          <t>UPPSALA LÄN</t>
        </is>
      </c>
      <c r="E2375" t="inlineStr">
        <is>
          <t>UPPSALA</t>
        </is>
      </c>
      <c r="G2375" t="n">
        <v>18.7</v>
      </c>
      <c r="H2375" t="n">
        <v>0</v>
      </c>
      <c r="I2375" t="n">
        <v>0</v>
      </c>
      <c r="J2375" t="n">
        <v>0</v>
      </c>
      <c r="K2375" t="n">
        <v>0</v>
      </c>
      <c r="L2375" t="n">
        <v>0</v>
      </c>
      <c r="M2375" t="n">
        <v>0</v>
      </c>
      <c r="N2375" t="n">
        <v>0</v>
      </c>
      <c r="O2375" t="n">
        <v>0</v>
      </c>
      <c r="P2375" t="n">
        <v>0</v>
      </c>
      <c r="Q2375" t="n">
        <v>0</v>
      </c>
      <c r="R2375" s="2" t="inlineStr"/>
    </row>
    <row r="2376" ht="15" customHeight="1">
      <c r="A2376" t="inlineStr">
        <is>
          <t>A 6356-2022</t>
        </is>
      </c>
      <c r="B2376" s="1" t="n">
        <v>44600</v>
      </c>
      <c r="C2376" s="1" t="n">
        <v>45705</v>
      </c>
      <c r="D2376" t="inlineStr">
        <is>
          <t>UPPSALA LÄN</t>
        </is>
      </c>
      <c r="E2376" t="inlineStr">
        <is>
          <t>ENKÖPING</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6313-2022</t>
        </is>
      </c>
      <c r="B2377" s="1" t="n">
        <v>44600</v>
      </c>
      <c r="C2377" s="1" t="n">
        <v>45705</v>
      </c>
      <c r="D2377" t="inlineStr">
        <is>
          <t>UPPSALA LÄN</t>
        </is>
      </c>
      <c r="E2377" t="inlineStr">
        <is>
          <t>ÖSTHAMMAR</t>
        </is>
      </c>
      <c r="G2377" t="n">
        <v>4</v>
      </c>
      <c r="H2377" t="n">
        <v>0</v>
      </c>
      <c r="I2377" t="n">
        <v>0</v>
      </c>
      <c r="J2377" t="n">
        <v>0</v>
      </c>
      <c r="K2377" t="n">
        <v>0</v>
      </c>
      <c r="L2377" t="n">
        <v>0</v>
      </c>
      <c r="M2377" t="n">
        <v>0</v>
      </c>
      <c r="N2377" t="n">
        <v>0</v>
      </c>
      <c r="O2377" t="n">
        <v>0</v>
      </c>
      <c r="P2377" t="n">
        <v>0</v>
      </c>
      <c r="Q2377" t="n">
        <v>0</v>
      </c>
      <c r="R2377" s="2" t="inlineStr"/>
    </row>
    <row r="2378" ht="15" customHeight="1">
      <c r="A2378" t="inlineStr">
        <is>
          <t>A 6408-2022</t>
        </is>
      </c>
      <c r="B2378" s="1" t="n">
        <v>44600</v>
      </c>
      <c r="C2378" s="1" t="n">
        <v>45705</v>
      </c>
      <c r="D2378" t="inlineStr">
        <is>
          <t>UPPSALA LÄN</t>
        </is>
      </c>
      <c r="E2378" t="inlineStr">
        <is>
          <t>UPPSALA</t>
        </is>
      </c>
      <c r="F2378" t="inlineStr">
        <is>
          <t>Bergvik skog öst AB</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6523-2022</t>
        </is>
      </c>
      <c r="B2379" s="1" t="n">
        <v>44601</v>
      </c>
      <c r="C2379" s="1" t="n">
        <v>45705</v>
      </c>
      <c r="D2379" t="inlineStr">
        <is>
          <t>UPPSALA LÄN</t>
        </is>
      </c>
      <c r="E2379" t="inlineStr">
        <is>
          <t>HEBY</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6717-2022</t>
        </is>
      </c>
      <c r="B2380" s="1" t="n">
        <v>44602</v>
      </c>
      <c r="C2380" s="1" t="n">
        <v>45705</v>
      </c>
      <c r="D2380" t="inlineStr">
        <is>
          <t>UPPSALA LÄN</t>
        </is>
      </c>
      <c r="E2380" t="inlineStr">
        <is>
          <t>UPPSALA</t>
        </is>
      </c>
      <c r="F2380" t="inlineStr">
        <is>
          <t>Övriga Aktiebolag</t>
        </is>
      </c>
      <c r="G2380" t="n">
        <v>6.7</v>
      </c>
      <c r="H2380" t="n">
        <v>0</v>
      </c>
      <c r="I2380" t="n">
        <v>0</v>
      </c>
      <c r="J2380" t="n">
        <v>0</v>
      </c>
      <c r="K2380" t="n">
        <v>0</v>
      </c>
      <c r="L2380" t="n">
        <v>0</v>
      </c>
      <c r="M2380" t="n">
        <v>0</v>
      </c>
      <c r="N2380" t="n">
        <v>0</v>
      </c>
      <c r="O2380" t="n">
        <v>0</v>
      </c>
      <c r="P2380" t="n">
        <v>0</v>
      </c>
      <c r="Q2380" t="n">
        <v>0</v>
      </c>
      <c r="R2380" s="2" t="inlineStr"/>
    </row>
    <row r="2381" ht="15" customHeight="1">
      <c r="A2381" t="inlineStr">
        <is>
          <t>A 6853-2022</t>
        </is>
      </c>
      <c r="B2381" s="1" t="n">
        <v>44602</v>
      </c>
      <c r="C2381" s="1" t="n">
        <v>45705</v>
      </c>
      <c r="D2381" t="inlineStr">
        <is>
          <t>UPPSALA LÄN</t>
        </is>
      </c>
      <c r="E2381" t="inlineStr">
        <is>
          <t>UPPSALA</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6863-2022</t>
        </is>
      </c>
      <c r="B2382" s="1" t="n">
        <v>44602</v>
      </c>
      <c r="C2382" s="1" t="n">
        <v>45705</v>
      </c>
      <c r="D2382" t="inlineStr">
        <is>
          <t>UPPSALA LÄN</t>
        </is>
      </c>
      <c r="E2382" t="inlineStr">
        <is>
          <t>UPPSALA</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6892-2022</t>
        </is>
      </c>
      <c r="B2383" s="1" t="n">
        <v>44602</v>
      </c>
      <c r="C2383" s="1" t="n">
        <v>45705</v>
      </c>
      <c r="D2383" t="inlineStr">
        <is>
          <t>UPPSALA LÄN</t>
        </is>
      </c>
      <c r="E2383" t="inlineStr">
        <is>
          <t>ÖSTHAMMAR</t>
        </is>
      </c>
      <c r="F2383" t="inlineStr">
        <is>
          <t>Bergvik skog öst AB</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6850-2022</t>
        </is>
      </c>
      <c r="B2384" s="1" t="n">
        <v>44602</v>
      </c>
      <c r="C2384" s="1" t="n">
        <v>45705</v>
      </c>
      <c r="D2384" t="inlineStr">
        <is>
          <t>UPPSALA LÄN</t>
        </is>
      </c>
      <c r="E2384" t="inlineStr">
        <is>
          <t>UPPSALA</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6851-2022</t>
        </is>
      </c>
      <c r="B2385" s="1" t="n">
        <v>44602</v>
      </c>
      <c r="C2385" s="1" t="n">
        <v>45705</v>
      </c>
      <c r="D2385" t="inlineStr">
        <is>
          <t>UPPSALA LÄN</t>
        </is>
      </c>
      <c r="E2385" t="inlineStr">
        <is>
          <t>UPPSALA</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6855-2022</t>
        </is>
      </c>
      <c r="B2386" s="1" t="n">
        <v>44602</v>
      </c>
      <c r="C2386" s="1" t="n">
        <v>45705</v>
      </c>
      <c r="D2386" t="inlineStr">
        <is>
          <t>UPPSALA LÄN</t>
        </is>
      </c>
      <c r="E2386" t="inlineStr">
        <is>
          <t>UPPSALA</t>
        </is>
      </c>
      <c r="G2386" t="n">
        <v>4.6</v>
      </c>
      <c r="H2386" t="n">
        <v>0</v>
      </c>
      <c r="I2386" t="n">
        <v>0</v>
      </c>
      <c r="J2386" t="n">
        <v>0</v>
      </c>
      <c r="K2386" t="n">
        <v>0</v>
      </c>
      <c r="L2386" t="n">
        <v>0</v>
      </c>
      <c r="M2386" t="n">
        <v>0</v>
      </c>
      <c r="N2386" t="n">
        <v>0</v>
      </c>
      <c r="O2386" t="n">
        <v>0</v>
      </c>
      <c r="P2386" t="n">
        <v>0</v>
      </c>
      <c r="Q2386" t="n">
        <v>0</v>
      </c>
      <c r="R2386" s="2" t="inlineStr"/>
    </row>
    <row r="2387" ht="15" customHeight="1">
      <c r="A2387" t="inlineStr">
        <is>
          <t>A 6860-2022</t>
        </is>
      </c>
      <c r="B2387" s="1" t="n">
        <v>44602</v>
      </c>
      <c r="C2387" s="1" t="n">
        <v>45705</v>
      </c>
      <c r="D2387" t="inlineStr">
        <is>
          <t>UPPSALA LÄN</t>
        </is>
      </c>
      <c r="E2387" t="inlineStr">
        <is>
          <t>UPPSALA</t>
        </is>
      </c>
      <c r="G2387" t="n">
        <v>14.8</v>
      </c>
      <c r="H2387" t="n">
        <v>0</v>
      </c>
      <c r="I2387" t="n">
        <v>0</v>
      </c>
      <c r="J2387" t="n">
        <v>0</v>
      </c>
      <c r="K2387" t="n">
        <v>0</v>
      </c>
      <c r="L2387" t="n">
        <v>0</v>
      </c>
      <c r="M2387" t="n">
        <v>0</v>
      </c>
      <c r="N2387" t="n">
        <v>0</v>
      </c>
      <c r="O2387" t="n">
        <v>0</v>
      </c>
      <c r="P2387" t="n">
        <v>0</v>
      </c>
      <c r="Q2387" t="n">
        <v>0</v>
      </c>
      <c r="R2387" s="2" t="inlineStr"/>
    </row>
    <row r="2388" ht="15" customHeight="1">
      <c r="A2388" t="inlineStr">
        <is>
          <t>A 6866-2022</t>
        </is>
      </c>
      <c r="B2388" s="1" t="n">
        <v>44602</v>
      </c>
      <c r="C2388" s="1" t="n">
        <v>45705</v>
      </c>
      <c r="D2388" t="inlineStr">
        <is>
          <t>UPPSALA LÄN</t>
        </is>
      </c>
      <c r="E2388" t="inlineStr">
        <is>
          <t>HEBY</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7068-2022</t>
        </is>
      </c>
      <c r="B2389" s="1" t="n">
        <v>44603</v>
      </c>
      <c r="C2389" s="1" t="n">
        <v>45705</v>
      </c>
      <c r="D2389" t="inlineStr">
        <is>
          <t>UPPSALA LÄN</t>
        </is>
      </c>
      <c r="E2389" t="inlineStr">
        <is>
          <t>TIERP</t>
        </is>
      </c>
      <c r="G2389" t="n">
        <v>5.2</v>
      </c>
      <c r="H2389" t="n">
        <v>0</v>
      </c>
      <c r="I2389" t="n">
        <v>0</v>
      </c>
      <c r="J2389" t="n">
        <v>0</v>
      </c>
      <c r="K2389" t="n">
        <v>0</v>
      </c>
      <c r="L2389" t="n">
        <v>0</v>
      </c>
      <c r="M2389" t="n">
        <v>0</v>
      </c>
      <c r="N2389" t="n">
        <v>0</v>
      </c>
      <c r="O2389" t="n">
        <v>0</v>
      </c>
      <c r="P2389" t="n">
        <v>0</v>
      </c>
      <c r="Q2389" t="n">
        <v>0</v>
      </c>
      <c r="R2389" s="2" t="inlineStr"/>
    </row>
    <row r="2390" ht="15" customHeight="1">
      <c r="A2390" t="inlineStr">
        <is>
          <t>A 6989-2022</t>
        </is>
      </c>
      <c r="B2390" s="1" t="n">
        <v>44603</v>
      </c>
      <c r="C2390" s="1" t="n">
        <v>45705</v>
      </c>
      <c r="D2390" t="inlineStr">
        <is>
          <t>UPPSALA LÄN</t>
        </is>
      </c>
      <c r="E2390" t="inlineStr">
        <is>
          <t>UPPSALA</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7040-2022</t>
        </is>
      </c>
      <c r="B2391" s="1" t="n">
        <v>44603</v>
      </c>
      <c r="C2391" s="1" t="n">
        <v>45705</v>
      </c>
      <c r="D2391" t="inlineStr">
        <is>
          <t>UPPSALA LÄN</t>
        </is>
      </c>
      <c r="E2391" t="inlineStr">
        <is>
          <t>UPPSALA</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7090-2022</t>
        </is>
      </c>
      <c r="B2392" s="1" t="n">
        <v>44603</v>
      </c>
      <c r="C2392" s="1" t="n">
        <v>45705</v>
      </c>
      <c r="D2392" t="inlineStr">
        <is>
          <t>UPPSALA LÄN</t>
        </is>
      </c>
      <c r="E2392" t="inlineStr">
        <is>
          <t>ENKÖPING</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7124-2022</t>
        </is>
      </c>
      <c r="B2393" s="1" t="n">
        <v>44603</v>
      </c>
      <c r="C2393" s="1" t="n">
        <v>45705</v>
      </c>
      <c r="D2393" t="inlineStr">
        <is>
          <t>UPPSALA LÄN</t>
        </is>
      </c>
      <c r="E2393" t="inlineStr">
        <is>
          <t>UPPSALA</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7181-2022</t>
        </is>
      </c>
      <c r="B2394" s="1" t="n">
        <v>44605</v>
      </c>
      <c r="C2394" s="1" t="n">
        <v>45705</v>
      </c>
      <c r="D2394" t="inlineStr">
        <is>
          <t>UPPSALA LÄN</t>
        </is>
      </c>
      <c r="E2394" t="inlineStr">
        <is>
          <t>ÖSTHAMMAR</t>
        </is>
      </c>
      <c r="F2394" t="inlineStr">
        <is>
          <t>Bergvik skog öst AB</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7302-2022</t>
        </is>
      </c>
      <c r="B2395" s="1" t="n">
        <v>44606</v>
      </c>
      <c r="C2395" s="1" t="n">
        <v>45705</v>
      </c>
      <c r="D2395" t="inlineStr">
        <is>
          <t>UPPSALA LÄN</t>
        </is>
      </c>
      <c r="E2395" t="inlineStr">
        <is>
          <t>ÖSTHAMMAR</t>
        </is>
      </c>
      <c r="G2395" t="n">
        <v>4</v>
      </c>
      <c r="H2395" t="n">
        <v>0</v>
      </c>
      <c r="I2395" t="n">
        <v>0</v>
      </c>
      <c r="J2395" t="n">
        <v>0</v>
      </c>
      <c r="K2395" t="n">
        <v>0</v>
      </c>
      <c r="L2395" t="n">
        <v>0</v>
      </c>
      <c r="M2395" t="n">
        <v>0</v>
      </c>
      <c r="N2395" t="n">
        <v>0</v>
      </c>
      <c r="O2395" t="n">
        <v>0</v>
      </c>
      <c r="P2395" t="n">
        <v>0</v>
      </c>
      <c r="Q2395" t="n">
        <v>0</v>
      </c>
      <c r="R2395" s="2" t="inlineStr"/>
    </row>
    <row r="2396" ht="15" customHeight="1">
      <c r="A2396" t="inlineStr">
        <is>
          <t>A 7284-2022</t>
        </is>
      </c>
      <c r="B2396" s="1" t="n">
        <v>44606</v>
      </c>
      <c r="C2396" s="1" t="n">
        <v>45705</v>
      </c>
      <c r="D2396" t="inlineStr">
        <is>
          <t>UPPSALA LÄN</t>
        </is>
      </c>
      <c r="E2396" t="inlineStr">
        <is>
          <t>ENKÖPING</t>
        </is>
      </c>
      <c r="G2396" t="n">
        <v>6.4</v>
      </c>
      <c r="H2396" t="n">
        <v>0</v>
      </c>
      <c r="I2396" t="n">
        <v>0</v>
      </c>
      <c r="J2396" t="n">
        <v>0</v>
      </c>
      <c r="K2396" t="n">
        <v>0</v>
      </c>
      <c r="L2396" t="n">
        <v>0</v>
      </c>
      <c r="M2396" t="n">
        <v>0</v>
      </c>
      <c r="N2396" t="n">
        <v>0</v>
      </c>
      <c r="O2396" t="n">
        <v>0</v>
      </c>
      <c r="P2396" t="n">
        <v>0</v>
      </c>
      <c r="Q2396" t="n">
        <v>0</v>
      </c>
      <c r="R2396" s="2" t="inlineStr"/>
    </row>
    <row r="2397" ht="15" customHeight="1">
      <c r="A2397" t="inlineStr">
        <is>
          <t>A 7409-2022</t>
        </is>
      </c>
      <c r="B2397" s="1" t="n">
        <v>44606</v>
      </c>
      <c r="C2397" s="1" t="n">
        <v>45705</v>
      </c>
      <c r="D2397" t="inlineStr">
        <is>
          <t>UPPSALA LÄN</t>
        </is>
      </c>
      <c r="E2397" t="inlineStr">
        <is>
          <t>UPPSALA</t>
        </is>
      </c>
      <c r="G2397" t="n">
        <v>4.3</v>
      </c>
      <c r="H2397" t="n">
        <v>0</v>
      </c>
      <c r="I2397" t="n">
        <v>0</v>
      </c>
      <c r="J2397" t="n">
        <v>0</v>
      </c>
      <c r="K2397" t="n">
        <v>0</v>
      </c>
      <c r="L2397" t="n">
        <v>0</v>
      </c>
      <c r="M2397" t="n">
        <v>0</v>
      </c>
      <c r="N2397" t="n">
        <v>0</v>
      </c>
      <c r="O2397" t="n">
        <v>0</v>
      </c>
      <c r="P2397" t="n">
        <v>0</v>
      </c>
      <c r="Q2397" t="n">
        <v>0</v>
      </c>
      <c r="R2397" s="2" t="inlineStr"/>
    </row>
    <row r="2398" ht="15" customHeight="1">
      <c r="A2398" t="inlineStr">
        <is>
          <t>A 7463-2022</t>
        </is>
      </c>
      <c r="B2398" s="1" t="n">
        <v>44607</v>
      </c>
      <c r="C2398" s="1" t="n">
        <v>45705</v>
      </c>
      <c r="D2398" t="inlineStr">
        <is>
          <t>UPPSALA LÄN</t>
        </is>
      </c>
      <c r="E2398" t="inlineStr">
        <is>
          <t>ENKÖPING</t>
        </is>
      </c>
      <c r="F2398" t="inlineStr">
        <is>
          <t>Övriga statliga verk och myndigheter</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7475-2022</t>
        </is>
      </c>
      <c r="B2399" s="1" t="n">
        <v>44607</v>
      </c>
      <c r="C2399" s="1" t="n">
        <v>45705</v>
      </c>
      <c r="D2399" t="inlineStr">
        <is>
          <t>UPPSALA LÄN</t>
        </is>
      </c>
      <c r="E2399" t="inlineStr">
        <is>
          <t>ÖSTHAMMAR</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7488-2022</t>
        </is>
      </c>
      <c r="B2400" s="1" t="n">
        <v>44607</v>
      </c>
      <c r="C2400" s="1" t="n">
        <v>45705</v>
      </c>
      <c r="D2400" t="inlineStr">
        <is>
          <t>UPPSALA LÄN</t>
        </is>
      </c>
      <c r="E2400" t="inlineStr">
        <is>
          <t>ÖSTHAMMAR</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7858-2022</t>
        </is>
      </c>
      <c r="B2401" s="1" t="n">
        <v>44608</v>
      </c>
      <c r="C2401" s="1" t="n">
        <v>45705</v>
      </c>
      <c r="D2401" t="inlineStr">
        <is>
          <t>UPPSALA LÄN</t>
        </is>
      </c>
      <c r="E2401" t="inlineStr">
        <is>
          <t>ÖSTHAMMAR</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7871-2022</t>
        </is>
      </c>
      <c r="B2402" s="1" t="n">
        <v>44608</v>
      </c>
      <c r="C2402" s="1" t="n">
        <v>45705</v>
      </c>
      <c r="D2402" t="inlineStr">
        <is>
          <t>UPPSALA LÄN</t>
        </is>
      </c>
      <c r="E2402" t="inlineStr">
        <is>
          <t>ÖSTHAMMAR</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7899-2022</t>
        </is>
      </c>
      <c r="B2403" s="1" t="n">
        <v>44608</v>
      </c>
      <c r="C2403" s="1" t="n">
        <v>45705</v>
      </c>
      <c r="D2403" t="inlineStr">
        <is>
          <t>UPPSALA LÄN</t>
        </is>
      </c>
      <c r="E2403" t="inlineStr">
        <is>
          <t>UPPSALA</t>
        </is>
      </c>
      <c r="F2403" t="inlineStr">
        <is>
          <t>Övriga Aktiebolag</t>
        </is>
      </c>
      <c r="G2403" t="n">
        <v>7.1</v>
      </c>
      <c r="H2403" t="n">
        <v>0</v>
      </c>
      <c r="I2403" t="n">
        <v>0</v>
      </c>
      <c r="J2403" t="n">
        <v>0</v>
      </c>
      <c r="K2403" t="n">
        <v>0</v>
      </c>
      <c r="L2403" t="n">
        <v>0</v>
      </c>
      <c r="M2403" t="n">
        <v>0</v>
      </c>
      <c r="N2403" t="n">
        <v>0</v>
      </c>
      <c r="O2403" t="n">
        <v>0</v>
      </c>
      <c r="P2403" t="n">
        <v>0</v>
      </c>
      <c r="Q2403" t="n">
        <v>0</v>
      </c>
      <c r="R2403" s="2" t="inlineStr"/>
    </row>
    <row r="2404" ht="15" customHeight="1">
      <c r="A2404" t="inlineStr">
        <is>
          <t>A 8090-2022</t>
        </is>
      </c>
      <c r="B2404" s="1" t="n">
        <v>44608</v>
      </c>
      <c r="C2404" s="1" t="n">
        <v>45705</v>
      </c>
      <c r="D2404" t="inlineStr">
        <is>
          <t>UPPSALA LÄN</t>
        </is>
      </c>
      <c r="E2404" t="inlineStr">
        <is>
          <t>UPPSALA</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7996-2022</t>
        </is>
      </c>
      <c r="B2405" s="1" t="n">
        <v>44609</v>
      </c>
      <c r="C2405" s="1" t="n">
        <v>45705</v>
      </c>
      <c r="D2405" t="inlineStr">
        <is>
          <t>UPPSALA LÄN</t>
        </is>
      </c>
      <c r="E2405" t="inlineStr">
        <is>
          <t>UPPSALA</t>
        </is>
      </c>
      <c r="F2405" t="inlineStr">
        <is>
          <t>Övriga Aktiebolag</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8007-2022</t>
        </is>
      </c>
      <c r="B2406" s="1" t="n">
        <v>44609</v>
      </c>
      <c r="C2406" s="1" t="n">
        <v>45705</v>
      </c>
      <c r="D2406" t="inlineStr">
        <is>
          <t>UPPSALA LÄN</t>
        </is>
      </c>
      <c r="E2406" t="inlineStr">
        <is>
          <t>UPPSALA</t>
        </is>
      </c>
      <c r="F2406" t="inlineStr">
        <is>
          <t>Övriga Aktiebolag</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7997-2022</t>
        </is>
      </c>
      <c r="B2407" s="1" t="n">
        <v>44609</v>
      </c>
      <c r="C2407" s="1" t="n">
        <v>45705</v>
      </c>
      <c r="D2407" t="inlineStr">
        <is>
          <t>UPPSALA LÄN</t>
        </is>
      </c>
      <c r="E2407" t="inlineStr">
        <is>
          <t>ÖSTHAMMAR</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8020-2022</t>
        </is>
      </c>
      <c r="B2408" s="1" t="n">
        <v>44609</v>
      </c>
      <c r="C2408" s="1" t="n">
        <v>45705</v>
      </c>
      <c r="D2408" t="inlineStr">
        <is>
          <t>UPPSALA LÄN</t>
        </is>
      </c>
      <c r="E2408" t="inlineStr">
        <is>
          <t>ENKÖPING</t>
        </is>
      </c>
      <c r="G2408" t="n">
        <v>6</v>
      </c>
      <c r="H2408" t="n">
        <v>0</v>
      </c>
      <c r="I2408" t="n">
        <v>0</v>
      </c>
      <c r="J2408" t="n">
        <v>0</v>
      </c>
      <c r="K2408" t="n">
        <v>0</v>
      </c>
      <c r="L2408" t="n">
        <v>0</v>
      </c>
      <c r="M2408" t="n">
        <v>0</v>
      </c>
      <c r="N2408" t="n">
        <v>0</v>
      </c>
      <c r="O2408" t="n">
        <v>0</v>
      </c>
      <c r="P2408" t="n">
        <v>0</v>
      </c>
      <c r="Q2408" t="n">
        <v>0</v>
      </c>
      <c r="R2408" s="2" t="inlineStr"/>
    </row>
    <row r="2409" ht="15" customHeight="1">
      <c r="A2409" t="inlineStr">
        <is>
          <t>A 8132-2022</t>
        </is>
      </c>
      <c r="B2409" s="1" t="n">
        <v>44609</v>
      </c>
      <c r="C2409" s="1" t="n">
        <v>45705</v>
      </c>
      <c r="D2409" t="inlineStr">
        <is>
          <t>UPPSALA LÄN</t>
        </is>
      </c>
      <c r="E2409" t="inlineStr">
        <is>
          <t>UPPSALA</t>
        </is>
      </c>
      <c r="F2409" t="inlineStr">
        <is>
          <t>Kommuner</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8152-2022</t>
        </is>
      </c>
      <c r="B2410" s="1" t="n">
        <v>44609</v>
      </c>
      <c r="C2410" s="1" t="n">
        <v>45705</v>
      </c>
      <c r="D2410" t="inlineStr">
        <is>
          <t>UPPSALA LÄN</t>
        </is>
      </c>
      <c r="E2410" t="inlineStr">
        <is>
          <t>ENKÖPING</t>
        </is>
      </c>
      <c r="F2410" t="inlineStr">
        <is>
          <t>Kyrkan</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8169-2022</t>
        </is>
      </c>
      <c r="B2411" s="1" t="n">
        <v>44609</v>
      </c>
      <c r="C2411" s="1" t="n">
        <v>45705</v>
      </c>
      <c r="D2411" t="inlineStr">
        <is>
          <t>UPPSALA LÄN</t>
        </is>
      </c>
      <c r="E2411" t="inlineStr">
        <is>
          <t>HEBY</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8182-2022</t>
        </is>
      </c>
      <c r="B2412" s="1" t="n">
        <v>44609</v>
      </c>
      <c r="C2412" s="1" t="n">
        <v>45705</v>
      </c>
      <c r="D2412" t="inlineStr">
        <is>
          <t>UPPSALA LÄN</t>
        </is>
      </c>
      <c r="E2412" t="inlineStr">
        <is>
          <t>HEBY</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8139-2022</t>
        </is>
      </c>
      <c r="B2413" s="1" t="n">
        <v>44609</v>
      </c>
      <c r="C2413" s="1" t="n">
        <v>45705</v>
      </c>
      <c r="D2413" t="inlineStr">
        <is>
          <t>UPPSALA LÄN</t>
        </is>
      </c>
      <c r="E2413" t="inlineStr">
        <is>
          <t>UPPSALA</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8283-2022</t>
        </is>
      </c>
      <c r="B2414" s="1" t="n">
        <v>44610</v>
      </c>
      <c r="C2414" s="1" t="n">
        <v>45705</v>
      </c>
      <c r="D2414" t="inlineStr">
        <is>
          <t>UPPSALA LÄN</t>
        </is>
      </c>
      <c r="E2414" t="inlineStr">
        <is>
          <t>ÖSTHAMMAR</t>
        </is>
      </c>
      <c r="F2414" t="inlineStr">
        <is>
          <t>Övriga Aktiebolag</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8404-2022</t>
        </is>
      </c>
      <c r="B2415" s="1" t="n">
        <v>44610</v>
      </c>
      <c r="C2415" s="1" t="n">
        <v>45705</v>
      </c>
      <c r="D2415" t="inlineStr">
        <is>
          <t>UPPSALA LÄN</t>
        </is>
      </c>
      <c r="E2415" t="inlineStr">
        <is>
          <t>UPPSALA</t>
        </is>
      </c>
      <c r="F2415" t="inlineStr">
        <is>
          <t>Allmännings- och besparingsskogar</t>
        </is>
      </c>
      <c r="G2415" t="n">
        <v>5.4</v>
      </c>
      <c r="H2415" t="n">
        <v>0</v>
      </c>
      <c r="I2415" t="n">
        <v>0</v>
      </c>
      <c r="J2415" t="n">
        <v>0</v>
      </c>
      <c r="K2415" t="n">
        <v>0</v>
      </c>
      <c r="L2415" t="n">
        <v>0</v>
      </c>
      <c r="M2415" t="n">
        <v>0</v>
      </c>
      <c r="N2415" t="n">
        <v>0</v>
      </c>
      <c r="O2415" t="n">
        <v>0</v>
      </c>
      <c r="P2415" t="n">
        <v>0</v>
      </c>
      <c r="Q2415" t="n">
        <v>0</v>
      </c>
      <c r="R2415" s="2" t="inlineStr"/>
    </row>
    <row r="2416" ht="15" customHeight="1">
      <c r="A2416" t="inlineStr">
        <is>
          <t>A 8475-2022</t>
        </is>
      </c>
      <c r="B2416" s="1" t="n">
        <v>44610</v>
      </c>
      <c r="C2416" s="1" t="n">
        <v>45705</v>
      </c>
      <c r="D2416" t="inlineStr">
        <is>
          <t>UPPSALA LÄN</t>
        </is>
      </c>
      <c r="E2416" t="inlineStr">
        <is>
          <t>UPPSALA</t>
        </is>
      </c>
      <c r="F2416" t="inlineStr">
        <is>
          <t>Allmännings- och besparingsskogar</t>
        </is>
      </c>
      <c r="G2416" t="n">
        <v>32.7</v>
      </c>
      <c r="H2416" t="n">
        <v>0</v>
      </c>
      <c r="I2416" t="n">
        <v>0</v>
      </c>
      <c r="J2416" t="n">
        <v>0</v>
      </c>
      <c r="K2416" t="n">
        <v>0</v>
      </c>
      <c r="L2416" t="n">
        <v>0</v>
      </c>
      <c r="M2416" t="n">
        <v>0</v>
      </c>
      <c r="N2416" t="n">
        <v>0</v>
      </c>
      <c r="O2416" t="n">
        <v>0</v>
      </c>
      <c r="P2416" t="n">
        <v>0</v>
      </c>
      <c r="Q2416" t="n">
        <v>0</v>
      </c>
      <c r="R2416" s="2" t="inlineStr"/>
    </row>
    <row r="2417" ht="15" customHeight="1">
      <c r="A2417" t="inlineStr">
        <is>
          <t>A 8465-2022</t>
        </is>
      </c>
      <c r="B2417" s="1" t="n">
        <v>44610</v>
      </c>
      <c r="C2417" s="1" t="n">
        <v>45705</v>
      </c>
      <c r="D2417" t="inlineStr">
        <is>
          <t>UPPSALA LÄN</t>
        </is>
      </c>
      <c r="E2417" t="inlineStr">
        <is>
          <t>UPPSALA</t>
        </is>
      </c>
      <c r="F2417" t="inlineStr">
        <is>
          <t>Allmännings- och besparingsskogar</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8451-2022</t>
        </is>
      </c>
      <c r="B2418" s="1" t="n">
        <v>44612</v>
      </c>
      <c r="C2418" s="1" t="n">
        <v>45705</v>
      </c>
      <c r="D2418" t="inlineStr">
        <is>
          <t>UPPSALA LÄN</t>
        </is>
      </c>
      <c r="E2418" t="inlineStr">
        <is>
          <t>UPPSALA</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8576-2022</t>
        </is>
      </c>
      <c r="B2419" s="1" t="n">
        <v>44613</v>
      </c>
      <c r="C2419" s="1" t="n">
        <v>45705</v>
      </c>
      <c r="D2419" t="inlineStr">
        <is>
          <t>UPPSALA LÄN</t>
        </is>
      </c>
      <c r="E2419" t="inlineStr">
        <is>
          <t>KNIVSTA</t>
        </is>
      </c>
      <c r="G2419" t="n">
        <v>3.6</v>
      </c>
      <c r="H2419" t="n">
        <v>0</v>
      </c>
      <c r="I2419" t="n">
        <v>0</v>
      </c>
      <c r="J2419" t="n">
        <v>0</v>
      </c>
      <c r="K2419" t="n">
        <v>0</v>
      </c>
      <c r="L2419" t="n">
        <v>0</v>
      </c>
      <c r="M2419" t="n">
        <v>0</v>
      </c>
      <c r="N2419" t="n">
        <v>0</v>
      </c>
      <c r="O2419" t="n">
        <v>0</v>
      </c>
      <c r="P2419" t="n">
        <v>0</v>
      </c>
      <c r="Q2419" t="n">
        <v>0</v>
      </c>
      <c r="R2419" s="2" t="inlineStr"/>
    </row>
    <row r="2420" ht="15" customHeight="1">
      <c r="A2420" t="inlineStr">
        <is>
          <t>A 8660-2022</t>
        </is>
      </c>
      <c r="B2420" s="1" t="n">
        <v>44613</v>
      </c>
      <c r="C2420" s="1" t="n">
        <v>45705</v>
      </c>
      <c r="D2420" t="inlineStr">
        <is>
          <t>UPPSALA LÄN</t>
        </is>
      </c>
      <c r="E2420" t="inlineStr">
        <is>
          <t>HEBY</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8592-2022</t>
        </is>
      </c>
      <c r="B2421" s="1" t="n">
        <v>44613</v>
      </c>
      <c r="C2421" s="1" t="n">
        <v>45705</v>
      </c>
      <c r="D2421" t="inlineStr">
        <is>
          <t>UPPSALA LÄN</t>
        </is>
      </c>
      <c r="E2421" t="inlineStr">
        <is>
          <t>ÖSTHAMMAR</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8708-2022</t>
        </is>
      </c>
      <c r="B2422" s="1" t="n">
        <v>44613</v>
      </c>
      <c r="C2422" s="1" t="n">
        <v>45705</v>
      </c>
      <c r="D2422" t="inlineStr">
        <is>
          <t>UPPSALA LÄN</t>
        </is>
      </c>
      <c r="E2422" t="inlineStr">
        <is>
          <t>ÖSTHAMMAR</t>
        </is>
      </c>
      <c r="G2422" t="n">
        <v>4.3</v>
      </c>
      <c r="H2422" t="n">
        <v>0</v>
      </c>
      <c r="I2422" t="n">
        <v>0</v>
      </c>
      <c r="J2422" t="n">
        <v>0</v>
      </c>
      <c r="K2422" t="n">
        <v>0</v>
      </c>
      <c r="L2422" t="n">
        <v>0</v>
      </c>
      <c r="M2422" t="n">
        <v>0</v>
      </c>
      <c r="N2422" t="n">
        <v>0</v>
      </c>
      <c r="O2422" t="n">
        <v>0</v>
      </c>
      <c r="P2422" t="n">
        <v>0</v>
      </c>
      <c r="Q2422" t="n">
        <v>0</v>
      </c>
      <c r="R2422" s="2" t="inlineStr"/>
    </row>
    <row r="2423" ht="15" customHeight="1">
      <c r="A2423" t="inlineStr">
        <is>
          <t>A 8710-2022</t>
        </is>
      </c>
      <c r="B2423" s="1" t="n">
        <v>44613</v>
      </c>
      <c r="C2423" s="1" t="n">
        <v>45705</v>
      </c>
      <c r="D2423" t="inlineStr">
        <is>
          <t>UPPSALA LÄN</t>
        </is>
      </c>
      <c r="E2423" t="inlineStr">
        <is>
          <t>ÖSTHAMMAR</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8537-2022</t>
        </is>
      </c>
      <c r="B2424" s="1" t="n">
        <v>44613</v>
      </c>
      <c r="C2424" s="1" t="n">
        <v>45705</v>
      </c>
      <c r="D2424" t="inlineStr">
        <is>
          <t>UPPSALA LÄN</t>
        </is>
      </c>
      <c r="E2424" t="inlineStr">
        <is>
          <t>ÖSTHAMMAR</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8554-2022</t>
        </is>
      </c>
      <c r="B2425" s="1" t="n">
        <v>44613</v>
      </c>
      <c r="C2425" s="1" t="n">
        <v>45705</v>
      </c>
      <c r="D2425" t="inlineStr">
        <is>
          <t>UPPSALA LÄN</t>
        </is>
      </c>
      <c r="E2425" t="inlineStr">
        <is>
          <t>ÖSTHAMMAR</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8556-2022</t>
        </is>
      </c>
      <c r="B2426" s="1" t="n">
        <v>44613</v>
      </c>
      <c r="C2426" s="1" t="n">
        <v>45705</v>
      </c>
      <c r="D2426" t="inlineStr">
        <is>
          <t>UPPSALA LÄN</t>
        </is>
      </c>
      <c r="E2426" t="inlineStr">
        <is>
          <t>ÖSTHAMMAR</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8775-2022</t>
        </is>
      </c>
      <c r="B2427" s="1" t="n">
        <v>44614</v>
      </c>
      <c r="C2427" s="1" t="n">
        <v>45705</v>
      </c>
      <c r="D2427" t="inlineStr">
        <is>
          <t>UPPSALA LÄN</t>
        </is>
      </c>
      <c r="E2427" t="inlineStr">
        <is>
          <t>ÖSTHAMMAR</t>
        </is>
      </c>
      <c r="G2427" t="n">
        <v>0.3</v>
      </c>
      <c r="H2427" t="n">
        <v>0</v>
      </c>
      <c r="I2427" t="n">
        <v>0</v>
      </c>
      <c r="J2427" t="n">
        <v>0</v>
      </c>
      <c r="K2427" t="n">
        <v>0</v>
      </c>
      <c r="L2427" t="n">
        <v>0</v>
      </c>
      <c r="M2427" t="n">
        <v>0</v>
      </c>
      <c r="N2427" t="n">
        <v>0</v>
      </c>
      <c r="O2427" t="n">
        <v>0</v>
      </c>
      <c r="P2427" t="n">
        <v>0</v>
      </c>
      <c r="Q2427" t="n">
        <v>0</v>
      </c>
      <c r="R2427" s="2" t="inlineStr"/>
    </row>
    <row r="2428" ht="15" customHeight="1">
      <c r="A2428" t="inlineStr">
        <is>
          <t>A 8758-2022</t>
        </is>
      </c>
      <c r="B2428" s="1" t="n">
        <v>44614</v>
      </c>
      <c r="C2428" s="1" t="n">
        <v>45705</v>
      </c>
      <c r="D2428" t="inlineStr">
        <is>
          <t>UPPSALA LÄN</t>
        </is>
      </c>
      <c r="E2428" t="inlineStr">
        <is>
          <t>HEBY</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8837-2022</t>
        </is>
      </c>
      <c r="B2429" s="1" t="n">
        <v>44614</v>
      </c>
      <c r="C2429" s="1" t="n">
        <v>45705</v>
      </c>
      <c r="D2429" t="inlineStr">
        <is>
          <t>UPPSALA LÄN</t>
        </is>
      </c>
      <c r="E2429" t="inlineStr">
        <is>
          <t>HEBY</t>
        </is>
      </c>
      <c r="G2429" t="n">
        <v>9.5</v>
      </c>
      <c r="H2429" t="n">
        <v>0</v>
      </c>
      <c r="I2429" t="n">
        <v>0</v>
      </c>
      <c r="J2429" t="n">
        <v>0</v>
      </c>
      <c r="K2429" t="n">
        <v>0</v>
      </c>
      <c r="L2429" t="n">
        <v>0</v>
      </c>
      <c r="M2429" t="n">
        <v>0</v>
      </c>
      <c r="N2429" t="n">
        <v>0</v>
      </c>
      <c r="O2429" t="n">
        <v>0</v>
      </c>
      <c r="P2429" t="n">
        <v>0</v>
      </c>
      <c r="Q2429" t="n">
        <v>0</v>
      </c>
      <c r="R2429" s="2" t="inlineStr"/>
    </row>
    <row r="2430" ht="15" customHeight="1">
      <c r="A2430" t="inlineStr">
        <is>
          <t>A 8762-2022</t>
        </is>
      </c>
      <c r="B2430" s="1" t="n">
        <v>44614</v>
      </c>
      <c r="C2430" s="1" t="n">
        <v>45705</v>
      </c>
      <c r="D2430" t="inlineStr">
        <is>
          <t>UPPSALA LÄN</t>
        </is>
      </c>
      <c r="E2430" t="inlineStr">
        <is>
          <t>HEBY</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8750-2022</t>
        </is>
      </c>
      <c r="B2431" s="1" t="n">
        <v>44614</v>
      </c>
      <c r="C2431" s="1" t="n">
        <v>45705</v>
      </c>
      <c r="D2431" t="inlineStr">
        <is>
          <t>UPPSALA LÄN</t>
        </is>
      </c>
      <c r="E2431" t="inlineStr">
        <is>
          <t>ÖSTHAMMAR</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8856-2022</t>
        </is>
      </c>
      <c r="B2432" s="1" t="n">
        <v>44614</v>
      </c>
      <c r="C2432" s="1" t="n">
        <v>45705</v>
      </c>
      <c r="D2432" t="inlineStr">
        <is>
          <t>UPPSALA LÄN</t>
        </is>
      </c>
      <c r="E2432" t="inlineStr">
        <is>
          <t>HEBY</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8850-2022</t>
        </is>
      </c>
      <c r="B2433" s="1" t="n">
        <v>44614</v>
      </c>
      <c r="C2433" s="1" t="n">
        <v>45705</v>
      </c>
      <c r="D2433" t="inlineStr">
        <is>
          <t>UPPSALA LÄN</t>
        </is>
      </c>
      <c r="E2433" t="inlineStr">
        <is>
          <t>HEBY</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8877-2022</t>
        </is>
      </c>
      <c r="B2434" s="1" t="n">
        <v>44614</v>
      </c>
      <c r="C2434" s="1" t="n">
        <v>45705</v>
      </c>
      <c r="D2434" t="inlineStr">
        <is>
          <t>UPPSALA LÄN</t>
        </is>
      </c>
      <c r="E2434" t="inlineStr">
        <is>
          <t>UPPSALA</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8933-2022</t>
        </is>
      </c>
      <c r="B2435" s="1" t="n">
        <v>44614</v>
      </c>
      <c r="C2435" s="1" t="n">
        <v>45705</v>
      </c>
      <c r="D2435" t="inlineStr">
        <is>
          <t>UPPSALA LÄN</t>
        </is>
      </c>
      <c r="E2435" t="inlineStr">
        <is>
          <t>UPPSALA</t>
        </is>
      </c>
      <c r="F2435" t="inlineStr">
        <is>
          <t>Holmen skog AB</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9167-2022</t>
        </is>
      </c>
      <c r="B2436" s="1" t="n">
        <v>44615</v>
      </c>
      <c r="C2436" s="1" t="n">
        <v>45705</v>
      </c>
      <c r="D2436" t="inlineStr">
        <is>
          <t>UPPSALA LÄN</t>
        </is>
      </c>
      <c r="E2436" t="inlineStr">
        <is>
          <t>HEBY</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9288-2022</t>
        </is>
      </c>
      <c r="B2437" s="1" t="n">
        <v>44616</v>
      </c>
      <c r="C2437" s="1" t="n">
        <v>45705</v>
      </c>
      <c r="D2437" t="inlineStr">
        <is>
          <t>UPPSALA LÄN</t>
        </is>
      </c>
      <c r="E2437" t="inlineStr">
        <is>
          <t>TIERP</t>
        </is>
      </c>
      <c r="G2437" t="n">
        <v>7.9</v>
      </c>
      <c r="H2437" t="n">
        <v>0</v>
      </c>
      <c r="I2437" t="n">
        <v>0</v>
      </c>
      <c r="J2437" t="n">
        <v>0</v>
      </c>
      <c r="K2437" t="n">
        <v>0</v>
      </c>
      <c r="L2437" t="n">
        <v>0</v>
      </c>
      <c r="M2437" t="n">
        <v>0</v>
      </c>
      <c r="N2437" t="n">
        <v>0</v>
      </c>
      <c r="O2437" t="n">
        <v>0</v>
      </c>
      <c r="P2437" t="n">
        <v>0</v>
      </c>
      <c r="Q2437" t="n">
        <v>0</v>
      </c>
      <c r="R2437" s="2" t="inlineStr"/>
    </row>
    <row r="2438" ht="15" customHeight="1">
      <c r="A2438" t="inlineStr">
        <is>
          <t>A 9206-2022</t>
        </is>
      </c>
      <c r="B2438" s="1" t="n">
        <v>44616</v>
      </c>
      <c r="C2438" s="1" t="n">
        <v>45705</v>
      </c>
      <c r="D2438" t="inlineStr">
        <is>
          <t>UPPSALA LÄN</t>
        </is>
      </c>
      <c r="E2438" t="inlineStr">
        <is>
          <t>UPPSALA</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9246-2022</t>
        </is>
      </c>
      <c r="B2439" s="1" t="n">
        <v>44616</v>
      </c>
      <c r="C2439" s="1" t="n">
        <v>45705</v>
      </c>
      <c r="D2439" t="inlineStr">
        <is>
          <t>UPPSALA LÄN</t>
        </is>
      </c>
      <c r="E2439" t="inlineStr">
        <is>
          <t>HEBY</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9242-2022</t>
        </is>
      </c>
      <c r="B2440" s="1" t="n">
        <v>44616</v>
      </c>
      <c r="C2440" s="1" t="n">
        <v>45705</v>
      </c>
      <c r="D2440" t="inlineStr">
        <is>
          <t>UPPSALA LÄN</t>
        </is>
      </c>
      <c r="E2440" t="inlineStr">
        <is>
          <t>UPPSALA</t>
        </is>
      </c>
      <c r="F2440" t="inlineStr">
        <is>
          <t>Övriga Aktiebolag</t>
        </is>
      </c>
      <c r="G2440" t="n">
        <v>5.9</v>
      </c>
      <c r="H2440" t="n">
        <v>0</v>
      </c>
      <c r="I2440" t="n">
        <v>0</v>
      </c>
      <c r="J2440" t="n">
        <v>0</v>
      </c>
      <c r="K2440" t="n">
        <v>0</v>
      </c>
      <c r="L2440" t="n">
        <v>0</v>
      </c>
      <c r="M2440" t="n">
        <v>0</v>
      </c>
      <c r="N2440" t="n">
        <v>0</v>
      </c>
      <c r="O2440" t="n">
        <v>0</v>
      </c>
      <c r="P2440" t="n">
        <v>0</v>
      </c>
      <c r="Q2440" t="n">
        <v>0</v>
      </c>
      <c r="R2440" s="2" t="inlineStr"/>
    </row>
    <row r="2441" ht="15" customHeight="1">
      <c r="A2441" t="inlineStr">
        <is>
          <t>A 9564-2022</t>
        </is>
      </c>
      <c r="B2441" s="1" t="n">
        <v>44617</v>
      </c>
      <c r="C2441" s="1" t="n">
        <v>45705</v>
      </c>
      <c r="D2441" t="inlineStr">
        <is>
          <t>UPPSALA LÄN</t>
        </is>
      </c>
      <c r="E2441" t="inlineStr">
        <is>
          <t>TIERP</t>
        </is>
      </c>
      <c r="G2441" t="n">
        <v>11.9</v>
      </c>
      <c r="H2441" t="n">
        <v>0</v>
      </c>
      <c r="I2441" t="n">
        <v>0</v>
      </c>
      <c r="J2441" t="n">
        <v>0</v>
      </c>
      <c r="K2441" t="n">
        <v>0</v>
      </c>
      <c r="L2441" t="n">
        <v>0</v>
      </c>
      <c r="M2441" t="n">
        <v>0</v>
      </c>
      <c r="N2441" t="n">
        <v>0</v>
      </c>
      <c r="O2441" t="n">
        <v>0</v>
      </c>
      <c r="P2441" t="n">
        <v>0</v>
      </c>
      <c r="Q2441" t="n">
        <v>0</v>
      </c>
      <c r="R2441" s="2" t="inlineStr"/>
    </row>
    <row r="2442" ht="15" customHeight="1">
      <c r="A2442" t="inlineStr">
        <is>
          <t>A 9592-2022</t>
        </is>
      </c>
      <c r="B2442" s="1" t="n">
        <v>44617</v>
      </c>
      <c r="C2442" s="1" t="n">
        <v>45705</v>
      </c>
      <c r="D2442" t="inlineStr">
        <is>
          <t>UPPSALA LÄN</t>
        </is>
      </c>
      <c r="E2442" t="inlineStr">
        <is>
          <t>UPPSALA</t>
        </is>
      </c>
      <c r="G2442" t="n">
        <v>7.5</v>
      </c>
      <c r="H2442" t="n">
        <v>0</v>
      </c>
      <c r="I2442" t="n">
        <v>0</v>
      </c>
      <c r="J2442" t="n">
        <v>0</v>
      </c>
      <c r="K2442" t="n">
        <v>0</v>
      </c>
      <c r="L2442" t="n">
        <v>0</v>
      </c>
      <c r="M2442" t="n">
        <v>0</v>
      </c>
      <c r="N2442" t="n">
        <v>0</v>
      </c>
      <c r="O2442" t="n">
        <v>0</v>
      </c>
      <c r="P2442" t="n">
        <v>0</v>
      </c>
      <c r="Q2442" t="n">
        <v>0</v>
      </c>
      <c r="R2442" s="2" t="inlineStr"/>
    </row>
    <row r="2443" ht="15" customHeight="1">
      <c r="A2443" t="inlineStr">
        <is>
          <t>A 9755-2022</t>
        </is>
      </c>
      <c r="B2443" s="1" t="n">
        <v>44618</v>
      </c>
      <c r="C2443" s="1" t="n">
        <v>45705</v>
      </c>
      <c r="D2443" t="inlineStr">
        <is>
          <t>UPPSALA LÄN</t>
        </is>
      </c>
      <c r="E2443" t="inlineStr">
        <is>
          <t>ÖSTHAMMAR</t>
        </is>
      </c>
      <c r="F2443" t="inlineStr">
        <is>
          <t>Bergvik skog öst AB</t>
        </is>
      </c>
      <c r="G2443" t="n">
        <v>13.9</v>
      </c>
      <c r="H2443" t="n">
        <v>0</v>
      </c>
      <c r="I2443" t="n">
        <v>0</v>
      </c>
      <c r="J2443" t="n">
        <v>0</v>
      </c>
      <c r="K2443" t="n">
        <v>0</v>
      </c>
      <c r="L2443" t="n">
        <v>0</v>
      </c>
      <c r="M2443" t="n">
        <v>0</v>
      </c>
      <c r="N2443" t="n">
        <v>0</v>
      </c>
      <c r="O2443" t="n">
        <v>0</v>
      </c>
      <c r="P2443" t="n">
        <v>0</v>
      </c>
      <c r="Q2443" t="n">
        <v>0</v>
      </c>
      <c r="R2443" s="2" t="inlineStr"/>
    </row>
    <row r="2444" ht="15" customHeight="1">
      <c r="A2444" t="inlineStr">
        <is>
          <t>A 9794-2022</t>
        </is>
      </c>
      <c r="B2444" s="1" t="n">
        <v>44620</v>
      </c>
      <c r="C2444" s="1" t="n">
        <v>45705</v>
      </c>
      <c r="D2444" t="inlineStr">
        <is>
          <t>UPPSALA LÄN</t>
        </is>
      </c>
      <c r="E2444" t="inlineStr">
        <is>
          <t>HEBY</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9824-2022</t>
        </is>
      </c>
      <c r="B2445" s="1" t="n">
        <v>44620</v>
      </c>
      <c r="C2445" s="1" t="n">
        <v>45705</v>
      </c>
      <c r="D2445" t="inlineStr">
        <is>
          <t>UPPSALA LÄN</t>
        </is>
      </c>
      <c r="E2445" t="inlineStr">
        <is>
          <t>HEBY</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9895-2022</t>
        </is>
      </c>
      <c r="B2446" s="1" t="n">
        <v>44620</v>
      </c>
      <c r="C2446" s="1" t="n">
        <v>45705</v>
      </c>
      <c r="D2446" t="inlineStr">
        <is>
          <t>UPPSALA LÄN</t>
        </is>
      </c>
      <c r="E2446" t="inlineStr">
        <is>
          <t>TIERP</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9789-2022</t>
        </is>
      </c>
      <c r="B2447" s="1" t="n">
        <v>44620</v>
      </c>
      <c r="C2447" s="1" t="n">
        <v>45705</v>
      </c>
      <c r="D2447" t="inlineStr">
        <is>
          <t>UPPSALA LÄN</t>
        </is>
      </c>
      <c r="E2447" t="inlineStr">
        <is>
          <t>ÖSTHAMMAR</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9795-2022</t>
        </is>
      </c>
      <c r="B2448" s="1" t="n">
        <v>44620</v>
      </c>
      <c r="C2448" s="1" t="n">
        <v>45705</v>
      </c>
      <c r="D2448" t="inlineStr">
        <is>
          <t>UPPSALA LÄN</t>
        </is>
      </c>
      <c r="E2448" t="inlineStr">
        <is>
          <t>ÖSTHAMMAR</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9815-2022</t>
        </is>
      </c>
      <c r="B2449" s="1" t="n">
        <v>44620</v>
      </c>
      <c r="C2449" s="1" t="n">
        <v>45705</v>
      </c>
      <c r="D2449" t="inlineStr">
        <is>
          <t>UPPSALA LÄN</t>
        </is>
      </c>
      <c r="E2449" t="inlineStr">
        <is>
          <t>HEBY</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10202-2022</t>
        </is>
      </c>
      <c r="B2450" s="1" t="n">
        <v>44622</v>
      </c>
      <c r="C2450" s="1" t="n">
        <v>45705</v>
      </c>
      <c r="D2450" t="inlineStr">
        <is>
          <t>UPPSALA LÄN</t>
        </is>
      </c>
      <c r="E2450" t="inlineStr">
        <is>
          <t>ENKÖPING</t>
        </is>
      </c>
      <c r="G2450" t="n">
        <v>5.6</v>
      </c>
      <c r="H2450" t="n">
        <v>0</v>
      </c>
      <c r="I2450" t="n">
        <v>0</v>
      </c>
      <c r="J2450" t="n">
        <v>0</v>
      </c>
      <c r="K2450" t="n">
        <v>0</v>
      </c>
      <c r="L2450" t="n">
        <v>0</v>
      </c>
      <c r="M2450" t="n">
        <v>0</v>
      </c>
      <c r="N2450" t="n">
        <v>0</v>
      </c>
      <c r="O2450" t="n">
        <v>0</v>
      </c>
      <c r="P2450" t="n">
        <v>0</v>
      </c>
      <c r="Q2450" t="n">
        <v>0</v>
      </c>
      <c r="R2450" s="2" t="inlineStr"/>
    </row>
    <row r="2451" ht="15" customHeight="1">
      <c r="A2451" t="inlineStr">
        <is>
          <t>A 10207-2022</t>
        </is>
      </c>
      <c r="B2451" s="1" t="n">
        <v>44622</v>
      </c>
      <c r="C2451" s="1" t="n">
        <v>45705</v>
      </c>
      <c r="D2451" t="inlineStr">
        <is>
          <t>UPPSALA LÄN</t>
        </is>
      </c>
      <c r="E2451" t="inlineStr">
        <is>
          <t>ENKÖPING</t>
        </is>
      </c>
      <c r="G2451" t="n">
        <v>4.9</v>
      </c>
      <c r="H2451" t="n">
        <v>0</v>
      </c>
      <c r="I2451" t="n">
        <v>0</v>
      </c>
      <c r="J2451" t="n">
        <v>0</v>
      </c>
      <c r="K2451" t="n">
        <v>0</v>
      </c>
      <c r="L2451" t="n">
        <v>0</v>
      </c>
      <c r="M2451" t="n">
        <v>0</v>
      </c>
      <c r="N2451" t="n">
        <v>0</v>
      </c>
      <c r="O2451" t="n">
        <v>0</v>
      </c>
      <c r="P2451" t="n">
        <v>0</v>
      </c>
      <c r="Q2451" t="n">
        <v>0</v>
      </c>
      <c r="R2451" s="2" t="inlineStr"/>
    </row>
    <row r="2452" ht="15" customHeight="1">
      <c r="A2452" t="inlineStr">
        <is>
          <t>A 10287-2022</t>
        </is>
      </c>
      <c r="B2452" s="1" t="n">
        <v>44622</v>
      </c>
      <c r="C2452" s="1" t="n">
        <v>45705</v>
      </c>
      <c r="D2452" t="inlineStr">
        <is>
          <t>UPPSALA LÄN</t>
        </is>
      </c>
      <c r="E2452" t="inlineStr">
        <is>
          <t>ÖSTHAMMAR</t>
        </is>
      </c>
      <c r="F2452" t="inlineStr">
        <is>
          <t>Bergvik skog öst AB</t>
        </is>
      </c>
      <c r="G2452" t="n">
        <v>0.2</v>
      </c>
      <c r="H2452" t="n">
        <v>0</v>
      </c>
      <c r="I2452" t="n">
        <v>0</v>
      </c>
      <c r="J2452" t="n">
        <v>0</v>
      </c>
      <c r="K2452" t="n">
        <v>0</v>
      </c>
      <c r="L2452" t="n">
        <v>0</v>
      </c>
      <c r="M2452" t="n">
        <v>0</v>
      </c>
      <c r="N2452" t="n">
        <v>0</v>
      </c>
      <c r="O2452" t="n">
        <v>0</v>
      </c>
      <c r="P2452" t="n">
        <v>0</v>
      </c>
      <c r="Q2452" t="n">
        <v>0</v>
      </c>
      <c r="R2452" s="2" t="inlineStr"/>
    </row>
    <row r="2453" ht="15" customHeight="1">
      <c r="A2453" t="inlineStr">
        <is>
          <t>A 10294-2022</t>
        </is>
      </c>
      <c r="B2453" s="1" t="n">
        <v>44622</v>
      </c>
      <c r="C2453" s="1" t="n">
        <v>45705</v>
      </c>
      <c r="D2453" t="inlineStr">
        <is>
          <t>UPPSALA LÄN</t>
        </is>
      </c>
      <c r="E2453" t="inlineStr">
        <is>
          <t>ÖSTHAMMAR</t>
        </is>
      </c>
      <c r="F2453" t="inlineStr">
        <is>
          <t>Bergvik skog öst AB</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10288-2022</t>
        </is>
      </c>
      <c r="B2454" s="1" t="n">
        <v>44622</v>
      </c>
      <c r="C2454" s="1" t="n">
        <v>45705</v>
      </c>
      <c r="D2454" t="inlineStr">
        <is>
          <t>UPPSALA LÄN</t>
        </is>
      </c>
      <c r="E2454" t="inlineStr">
        <is>
          <t>ÖSTHAMMAR</t>
        </is>
      </c>
      <c r="F2454" t="inlineStr">
        <is>
          <t>Bergvik skog öst AB</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10298-2022</t>
        </is>
      </c>
      <c r="B2455" s="1" t="n">
        <v>44622</v>
      </c>
      <c r="C2455" s="1" t="n">
        <v>45705</v>
      </c>
      <c r="D2455" t="inlineStr">
        <is>
          <t>UPPSALA LÄN</t>
        </is>
      </c>
      <c r="E2455" t="inlineStr">
        <is>
          <t>ÖSTHAMMAR</t>
        </is>
      </c>
      <c r="F2455" t="inlineStr">
        <is>
          <t>Bergvik skog öst AB</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10414-2022</t>
        </is>
      </c>
      <c r="B2456" s="1" t="n">
        <v>44623</v>
      </c>
      <c r="C2456" s="1" t="n">
        <v>45705</v>
      </c>
      <c r="D2456" t="inlineStr">
        <is>
          <t>UPPSALA LÄN</t>
        </is>
      </c>
      <c r="E2456" t="inlineStr">
        <is>
          <t>HEBY</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10411-2022</t>
        </is>
      </c>
      <c r="B2457" s="1" t="n">
        <v>44623</v>
      </c>
      <c r="C2457" s="1" t="n">
        <v>45705</v>
      </c>
      <c r="D2457" t="inlineStr">
        <is>
          <t>UPPSALA LÄN</t>
        </is>
      </c>
      <c r="E2457" t="inlineStr">
        <is>
          <t>UPPSALA</t>
        </is>
      </c>
      <c r="F2457" t="inlineStr">
        <is>
          <t>Övriga Aktiebolag</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10447-2022</t>
        </is>
      </c>
      <c r="B2458" s="1" t="n">
        <v>44623</v>
      </c>
      <c r="C2458" s="1" t="n">
        <v>45705</v>
      </c>
      <c r="D2458" t="inlineStr">
        <is>
          <t>UPPSALA LÄN</t>
        </is>
      </c>
      <c r="E2458" t="inlineStr">
        <is>
          <t>HEBY</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10383-2022</t>
        </is>
      </c>
      <c r="B2459" s="1" t="n">
        <v>44623</v>
      </c>
      <c r="C2459" s="1" t="n">
        <v>45705</v>
      </c>
      <c r="D2459" t="inlineStr">
        <is>
          <t>UPPSALA LÄN</t>
        </is>
      </c>
      <c r="E2459" t="inlineStr">
        <is>
          <t>UPPSALA</t>
        </is>
      </c>
      <c r="F2459" t="inlineStr">
        <is>
          <t>Övriga Aktiebolag</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10456-2022</t>
        </is>
      </c>
      <c r="B2460" s="1" t="n">
        <v>44623</v>
      </c>
      <c r="C2460" s="1" t="n">
        <v>45705</v>
      </c>
      <c r="D2460" t="inlineStr">
        <is>
          <t>UPPSALA LÄN</t>
        </is>
      </c>
      <c r="E2460" t="inlineStr">
        <is>
          <t>UPPSALA</t>
        </is>
      </c>
      <c r="F2460" t="inlineStr">
        <is>
          <t>Övriga Aktiebolag</t>
        </is>
      </c>
      <c r="G2460" t="n">
        <v>12.6</v>
      </c>
      <c r="H2460" t="n">
        <v>0</v>
      </c>
      <c r="I2460" t="n">
        <v>0</v>
      </c>
      <c r="J2460" t="n">
        <v>0</v>
      </c>
      <c r="K2460" t="n">
        <v>0</v>
      </c>
      <c r="L2460" t="n">
        <v>0</v>
      </c>
      <c r="M2460" t="n">
        <v>0</v>
      </c>
      <c r="N2460" t="n">
        <v>0</v>
      </c>
      <c r="O2460" t="n">
        <v>0</v>
      </c>
      <c r="P2460" t="n">
        <v>0</v>
      </c>
      <c r="Q2460" t="n">
        <v>0</v>
      </c>
      <c r="R2460" s="2" t="inlineStr"/>
    </row>
    <row r="2461" ht="15" customHeight="1">
      <c r="A2461" t="inlineStr">
        <is>
          <t>A 10458-2022</t>
        </is>
      </c>
      <c r="B2461" s="1" t="n">
        <v>44623</v>
      </c>
      <c r="C2461" s="1" t="n">
        <v>45705</v>
      </c>
      <c r="D2461" t="inlineStr">
        <is>
          <t>UPPSALA LÄN</t>
        </is>
      </c>
      <c r="E2461" t="inlineStr">
        <is>
          <t>ENKÖPING</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10465-2022</t>
        </is>
      </c>
      <c r="B2462" s="1" t="n">
        <v>44623</v>
      </c>
      <c r="C2462" s="1" t="n">
        <v>45705</v>
      </c>
      <c r="D2462" t="inlineStr">
        <is>
          <t>UPPSALA LÄN</t>
        </is>
      </c>
      <c r="E2462" t="inlineStr">
        <is>
          <t>ENKÖPING</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10464-2022</t>
        </is>
      </c>
      <c r="B2463" s="1" t="n">
        <v>44623</v>
      </c>
      <c r="C2463" s="1" t="n">
        <v>45705</v>
      </c>
      <c r="D2463" t="inlineStr">
        <is>
          <t>UPPSALA LÄN</t>
        </is>
      </c>
      <c r="E2463" t="inlineStr">
        <is>
          <t>UPPSALA</t>
        </is>
      </c>
      <c r="F2463" t="inlineStr">
        <is>
          <t>Övriga Aktiebolag</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10645-2022</t>
        </is>
      </c>
      <c r="B2464" s="1" t="n">
        <v>44624</v>
      </c>
      <c r="C2464" s="1" t="n">
        <v>45705</v>
      </c>
      <c r="D2464" t="inlineStr">
        <is>
          <t>UPPSALA LÄN</t>
        </is>
      </c>
      <c r="E2464" t="inlineStr">
        <is>
          <t>HEBY</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10565-2022</t>
        </is>
      </c>
      <c r="B2465" s="1" t="n">
        <v>44624</v>
      </c>
      <c r="C2465" s="1" t="n">
        <v>45705</v>
      </c>
      <c r="D2465" t="inlineStr">
        <is>
          <t>UPPSALA LÄN</t>
        </is>
      </c>
      <c r="E2465" t="inlineStr">
        <is>
          <t>UPPSALA</t>
        </is>
      </c>
      <c r="F2465" t="inlineStr">
        <is>
          <t>Bergvik skog öst AB</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10646-2022</t>
        </is>
      </c>
      <c r="B2466" s="1" t="n">
        <v>44624</v>
      </c>
      <c r="C2466" s="1" t="n">
        <v>45705</v>
      </c>
      <c r="D2466" t="inlineStr">
        <is>
          <t>UPPSALA LÄN</t>
        </is>
      </c>
      <c r="E2466" t="inlineStr">
        <is>
          <t>HEBY</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10674-2022</t>
        </is>
      </c>
      <c r="B2467" s="1" t="n">
        <v>44624</v>
      </c>
      <c r="C2467" s="1" t="n">
        <v>45705</v>
      </c>
      <c r="D2467" t="inlineStr">
        <is>
          <t>UPPSALA LÄN</t>
        </is>
      </c>
      <c r="E2467" t="inlineStr">
        <is>
          <t>UPPSALA</t>
        </is>
      </c>
      <c r="F2467" t="inlineStr">
        <is>
          <t>Bergvik skog öst AB</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10783-2022</t>
        </is>
      </c>
      <c r="B2468" s="1" t="n">
        <v>44627</v>
      </c>
      <c r="C2468" s="1" t="n">
        <v>45705</v>
      </c>
      <c r="D2468" t="inlineStr">
        <is>
          <t>UPPSALA LÄN</t>
        </is>
      </c>
      <c r="E2468" t="inlineStr">
        <is>
          <t>TIERP</t>
        </is>
      </c>
      <c r="G2468" t="n">
        <v>0.2</v>
      </c>
      <c r="H2468" t="n">
        <v>0</v>
      </c>
      <c r="I2468" t="n">
        <v>0</v>
      </c>
      <c r="J2468" t="n">
        <v>0</v>
      </c>
      <c r="K2468" t="n">
        <v>0</v>
      </c>
      <c r="L2468" t="n">
        <v>0</v>
      </c>
      <c r="M2468" t="n">
        <v>0</v>
      </c>
      <c r="N2468" t="n">
        <v>0</v>
      </c>
      <c r="O2468" t="n">
        <v>0</v>
      </c>
      <c r="P2468" t="n">
        <v>0</v>
      </c>
      <c r="Q2468" t="n">
        <v>0</v>
      </c>
      <c r="R2468" s="2" t="inlineStr"/>
    </row>
    <row r="2469" ht="15" customHeight="1">
      <c r="A2469" t="inlineStr">
        <is>
          <t>A 10780-2022</t>
        </is>
      </c>
      <c r="B2469" s="1" t="n">
        <v>44627</v>
      </c>
      <c r="C2469" s="1" t="n">
        <v>45705</v>
      </c>
      <c r="D2469" t="inlineStr">
        <is>
          <t>UPPSALA LÄN</t>
        </is>
      </c>
      <c r="E2469" t="inlineStr">
        <is>
          <t>TIERP</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10785-2022</t>
        </is>
      </c>
      <c r="B2470" s="1" t="n">
        <v>44627</v>
      </c>
      <c r="C2470" s="1" t="n">
        <v>45705</v>
      </c>
      <c r="D2470" t="inlineStr">
        <is>
          <t>UPPSALA LÄN</t>
        </is>
      </c>
      <c r="E2470" t="inlineStr">
        <is>
          <t>TIERP</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10777-2022</t>
        </is>
      </c>
      <c r="B2471" s="1" t="n">
        <v>44627</v>
      </c>
      <c r="C2471" s="1" t="n">
        <v>45705</v>
      </c>
      <c r="D2471" t="inlineStr">
        <is>
          <t>UPPSALA LÄN</t>
        </is>
      </c>
      <c r="E2471" t="inlineStr">
        <is>
          <t>TIERP</t>
        </is>
      </c>
      <c r="G2471" t="n">
        <v>0.3</v>
      </c>
      <c r="H2471" t="n">
        <v>0</v>
      </c>
      <c r="I2471" t="n">
        <v>0</v>
      </c>
      <c r="J2471" t="n">
        <v>0</v>
      </c>
      <c r="K2471" t="n">
        <v>0</v>
      </c>
      <c r="L2471" t="n">
        <v>0</v>
      </c>
      <c r="M2471" t="n">
        <v>0</v>
      </c>
      <c r="N2471" t="n">
        <v>0</v>
      </c>
      <c r="O2471" t="n">
        <v>0</v>
      </c>
      <c r="P2471" t="n">
        <v>0</v>
      </c>
      <c r="Q2471" t="n">
        <v>0</v>
      </c>
      <c r="R2471" s="2" t="inlineStr"/>
    </row>
    <row r="2472" ht="15" customHeight="1">
      <c r="A2472" t="inlineStr">
        <is>
          <t>A 10980-2022</t>
        </is>
      </c>
      <c r="B2472" s="1" t="n">
        <v>44628</v>
      </c>
      <c r="C2472" s="1" t="n">
        <v>45705</v>
      </c>
      <c r="D2472" t="inlineStr">
        <is>
          <t>UPPSALA LÄN</t>
        </is>
      </c>
      <c r="E2472" t="inlineStr">
        <is>
          <t>ÖSTHAMMAR</t>
        </is>
      </c>
      <c r="G2472" t="n">
        <v>7.4</v>
      </c>
      <c r="H2472" t="n">
        <v>0</v>
      </c>
      <c r="I2472" t="n">
        <v>0</v>
      </c>
      <c r="J2472" t="n">
        <v>0</v>
      </c>
      <c r="K2472" t="n">
        <v>0</v>
      </c>
      <c r="L2472" t="n">
        <v>0</v>
      </c>
      <c r="M2472" t="n">
        <v>0</v>
      </c>
      <c r="N2472" t="n">
        <v>0</v>
      </c>
      <c r="O2472" t="n">
        <v>0</v>
      </c>
      <c r="P2472" t="n">
        <v>0</v>
      </c>
      <c r="Q2472" t="n">
        <v>0</v>
      </c>
      <c r="R2472" s="2" t="inlineStr"/>
    </row>
    <row r="2473" ht="15" customHeight="1">
      <c r="A2473" t="inlineStr">
        <is>
          <t>A 11162-2022</t>
        </is>
      </c>
      <c r="B2473" s="1" t="n">
        <v>44629</v>
      </c>
      <c r="C2473" s="1" t="n">
        <v>45705</v>
      </c>
      <c r="D2473" t="inlineStr">
        <is>
          <t>UPPSALA LÄN</t>
        </is>
      </c>
      <c r="E2473" t="inlineStr">
        <is>
          <t>UPPSALA</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11224-2022</t>
        </is>
      </c>
      <c r="B2474" s="1" t="n">
        <v>44629</v>
      </c>
      <c r="C2474" s="1" t="n">
        <v>45705</v>
      </c>
      <c r="D2474" t="inlineStr">
        <is>
          <t>UPPSALA LÄN</t>
        </is>
      </c>
      <c r="E2474" t="inlineStr">
        <is>
          <t>UPPSALA</t>
        </is>
      </c>
      <c r="F2474" t="inlineStr">
        <is>
          <t>Bergvik skog öst AB</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11547-2022</t>
        </is>
      </c>
      <c r="B2475" s="1" t="n">
        <v>44631</v>
      </c>
      <c r="C2475" s="1" t="n">
        <v>45705</v>
      </c>
      <c r="D2475" t="inlineStr">
        <is>
          <t>UPPSALA LÄN</t>
        </is>
      </c>
      <c r="E2475" t="inlineStr">
        <is>
          <t>ÖSTHAMMAR</t>
        </is>
      </c>
      <c r="G2475" t="n">
        <v>4.4</v>
      </c>
      <c r="H2475" t="n">
        <v>0</v>
      </c>
      <c r="I2475" t="n">
        <v>0</v>
      </c>
      <c r="J2475" t="n">
        <v>0</v>
      </c>
      <c r="K2475" t="n">
        <v>0</v>
      </c>
      <c r="L2475" t="n">
        <v>0</v>
      </c>
      <c r="M2475" t="n">
        <v>0</v>
      </c>
      <c r="N2475" t="n">
        <v>0</v>
      </c>
      <c r="O2475" t="n">
        <v>0</v>
      </c>
      <c r="P2475" t="n">
        <v>0</v>
      </c>
      <c r="Q2475" t="n">
        <v>0</v>
      </c>
      <c r="R2475" s="2" t="inlineStr"/>
    </row>
    <row r="2476" ht="15" customHeight="1">
      <c r="A2476" t="inlineStr">
        <is>
          <t>A 11529-2022</t>
        </is>
      </c>
      <c r="B2476" s="1" t="n">
        <v>44631</v>
      </c>
      <c r="C2476" s="1" t="n">
        <v>45705</v>
      </c>
      <c r="D2476" t="inlineStr">
        <is>
          <t>UPPSALA LÄN</t>
        </is>
      </c>
      <c r="E2476" t="inlineStr">
        <is>
          <t>TIERP</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11496-2022</t>
        </is>
      </c>
      <c r="B2477" s="1" t="n">
        <v>44631</v>
      </c>
      <c r="C2477" s="1" t="n">
        <v>45705</v>
      </c>
      <c r="D2477" t="inlineStr">
        <is>
          <t>UPPSALA LÄN</t>
        </is>
      </c>
      <c r="E2477" t="inlineStr">
        <is>
          <t>TIERP</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11643-2022</t>
        </is>
      </c>
      <c r="B2478" s="1" t="n">
        <v>44631</v>
      </c>
      <c r="C2478" s="1" t="n">
        <v>45705</v>
      </c>
      <c r="D2478" t="inlineStr">
        <is>
          <t>UPPSALA LÄN</t>
        </is>
      </c>
      <c r="E2478" t="inlineStr">
        <is>
          <t>ÖSTHAMMAR</t>
        </is>
      </c>
      <c r="F2478" t="inlineStr">
        <is>
          <t>Bergvik skog öst AB</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11787-2022</t>
        </is>
      </c>
      <c r="B2479" s="1" t="n">
        <v>44634</v>
      </c>
      <c r="C2479" s="1" t="n">
        <v>45705</v>
      </c>
      <c r="D2479" t="inlineStr">
        <is>
          <t>UPPSALA LÄN</t>
        </is>
      </c>
      <c r="E2479" t="inlineStr">
        <is>
          <t>UPPSALA</t>
        </is>
      </c>
      <c r="F2479" t="inlineStr">
        <is>
          <t>Holmen skog AB</t>
        </is>
      </c>
      <c r="G2479" t="n">
        <v>6.2</v>
      </c>
      <c r="H2479" t="n">
        <v>0</v>
      </c>
      <c r="I2479" t="n">
        <v>0</v>
      </c>
      <c r="J2479" t="n">
        <v>0</v>
      </c>
      <c r="K2479" t="n">
        <v>0</v>
      </c>
      <c r="L2479" t="n">
        <v>0</v>
      </c>
      <c r="M2479" t="n">
        <v>0</v>
      </c>
      <c r="N2479" t="n">
        <v>0</v>
      </c>
      <c r="O2479" t="n">
        <v>0</v>
      </c>
      <c r="P2479" t="n">
        <v>0</v>
      </c>
      <c r="Q2479" t="n">
        <v>0</v>
      </c>
      <c r="R2479" s="2" t="inlineStr"/>
    </row>
    <row r="2480" ht="15" customHeight="1">
      <c r="A2480" t="inlineStr">
        <is>
          <t>A 11824-2022</t>
        </is>
      </c>
      <c r="B2480" s="1" t="n">
        <v>44634</v>
      </c>
      <c r="C2480" s="1" t="n">
        <v>45705</v>
      </c>
      <c r="D2480" t="inlineStr">
        <is>
          <t>UPPSALA LÄN</t>
        </is>
      </c>
      <c r="E2480" t="inlineStr">
        <is>
          <t>TIERP</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11693-2022</t>
        </is>
      </c>
      <c r="B2481" s="1" t="n">
        <v>44634</v>
      </c>
      <c r="C2481" s="1" t="n">
        <v>45705</v>
      </c>
      <c r="D2481" t="inlineStr">
        <is>
          <t>UPPSALA LÄN</t>
        </is>
      </c>
      <c r="E2481" t="inlineStr">
        <is>
          <t>UPPSALA</t>
        </is>
      </c>
      <c r="G2481" t="n">
        <v>4</v>
      </c>
      <c r="H2481" t="n">
        <v>0</v>
      </c>
      <c r="I2481" t="n">
        <v>0</v>
      </c>
      <c r="J2481" t="n">
        <v>0</v>
      </c>
      <c r="K2481" t="n">
        <v>0</v>
      </c>
      <c r="L2481" t="n">
        <v>0</v>
      </c>
      <c r="M2481" t="n">
        <v>0</v>
      </c>
      <c r="N2481" t="n">
        <v>0</v>
      </c>
      <c r="O2481" t="n">
        <v>0</v>
      </c>
      <c r="P2481" t="n">
        <v>0</v>
      </c>
      <c r="Q2481" t="n">
        <v>0</v>
      </c>
      <c r="R2481" s="2" t="inlineStr"/>
    </row>
    <row r="2482" ht="15" customHeight="1">
      <c r="A2482" t="inlineStr">
        <is>
          <t>A 11884-2022</t>
        </is>
      </c>
      <c r="B2482" s="1" t="n">
        <v>44635</v>
      </c>
      <c r="C2482" s="1" t="n">
        <v>45705</v>
      </c>
      <c r="D2482" t="inlineStr">
        <is>
          <t>UPPSALA LÄN</t>
        </is>
      </c>
      <c r="E2482" t="inlineStr">
        <is>
          <t>ÖSTHAMMAR</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11987-2022</t>
        </is>
      </c>
      <c r="B2483" s="1" t="n">
        <v>44635</v>
      </c>
      <c r="C2483" s="1" t="n">
        <v>45705</v>
      </c>
      <c r="D2483" t="inlineStr">
        <is>
          <t>UPPSALA LÄN</t>
        </is>
      </c>
      <c r="E2483" t="inlineStr">
        <is>
          <t>ÖSTHAMMAR</t>
        </is>
      </c>
      <c r="F2483" t="inlineStr">
        <is>
          <t>Bergvik skog öst AB</t>
        </is>
      </c>
      <c r="G2483" t="n">
        <v>0.3</v>
      </c>
      <c r="H2483" t="n">
        <v>0</v>
      </c>
      <c r="I2483" t="n">
        <v>0</v>
      </c>
      <c r="J2483" t="n">
        <v>0</v>
      </c>
      <c r="K2483" t="n">
        <v>0</v>
      </c>
      <c r="L2483" t="n">
        <v>0</v>
      </c>
      <c r="M2483" t="n">
        <v>0</v>
      </c>
      <c r="N2483" t="n">
        <v>0</v>
      </c>
      <c r="O2483" t="n">
        <v>0</v>
      </c>
      <c r="P2483" t="n">
        <v>0</v>
      </c>
      <c r="Q2483" t="n">
        <v>0</v>
      </c>
      <c r="R2483" s="2" t="inlineStr"/>
    </row>
    <row r="2484" ht="15" customHeight="1">
      <c r="A2484" t="inlineStr">
        <is>
          <t>A 11986-2022</t>
        </is>
      </c>
      <c r="B2484" s="1" t="n">
        <v>44635</v>
      </c>
      <c r="C2484" s="1" t="n">
        <v>45705</v>
      </c>
      <c r="D2484" t="inlineStr">
        <is>
          <t>UPPSALA LÄN</t>
        </is>
      </c>
      <c r="E2484" t="inlineStr">
        <is>
          <t>ÖSTHAMMAR</t>
        </is>
      </c>
      <c r="F2484" t="inlineStr">
        <is>
          <t>Bergvik skog öst AB</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12176-2022</t>
        </is>
      </c>
      <c r="B2485" s="1" t="n">
        <v>44636</v>
      </c>
      <c r="C2485" s="1" t="n">
        <v>45705</v>
      </c>
      <c r="D2485" t="inlineStr">
        <is>
          <t>UPPSALA LÄN</t>
        </is>
      </c>
      <c r="E2485" t="inlineStr">
        <is>
          <t>ÖSTHAMMAR</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12189-2022</t>
        </is>
      </c>
      <c r="B2486" s="1" t="n">
        <v>44636</v>
      </c>
      <c r="C2486" s="1" t="n">
        <v>45705</v>
      </c>
      <c r="D2486" t="inlineStr">
        <is>
          <t>UPPSALA LÄN</t>
        </is>
      </c>
      <c r="E2486" t="inlineStr">
        <is>
          <t>TIERP</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12194-2022</t>
        </is>
      </c>
      <c r="B2487" s="1" t="n">
        <v>44636</v>
      </c>
      <c r="C2487" s="1" t="n">
        <v>45705</v>
      </c>
      <c r="D2487" t="inlineStr">
        <is>
          <t>UPPSALA LÄN</t>
        </is>
      </c>
      <c r="E2487" t="inlineStr">
        <is>
          <t>TIERP</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12221-2022</t>
        </is>
      </c>
      <c r="B2488" s="1" t="n">
        <v>44637</v>
      </c>
      <c r="C2488" s="1" t="n">
        <v>45705</v>
      </c>
      <c r="D2488" t="inlineStr">
        <is>
          <t>UPPSALA LÄN</t>
        </is>
      </c>
      <c r="E2488" t="inlineStr">
        <is>
          <t>UPPSALA</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12293-2022</t>
        </is>
      </c>
      <c r="B2489" s="1" t="n">
        <v>44637</v>
      </c>
      <c r="C2489" s="1" t="n">
        <v>45705</v>
      </c>
      <c r="D2489" t="inlineStr">
        <is>
          <t>UPPSALA LÄN</t>
        </is>
      </c>
      <c r="E2489" t="inlineStr">
        <is>
          <t>UPPSALA</t>
        </is>
      </c>
      <c r="F2489" t="inlineStr">
        <is>
          <t>Kommuner</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12449-2022</t>
        </is>
      </c>
      <c r="B2490" s="1" t="n">
        <v>44638</v>
      </c>
      <c r="C2490" s="1" t="n">
        <v>45705</v>
      </c>
      <c r="D2490" t="inlineStr">
        <is>
          <t>UPPSALA LÄN</t>
        </is>
      </c>
      <c r="E2490" t="inlineStr">
        <is>
          <t>TIERP</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12624-2022</t>
        </is>
      </c>
      <c r="B2491" s="1" t="n">
        <v>44641</v>
      </c>
      <c r="C2491" s="1" t="n">
        <v>45705</v>
      </c>
      <c r="D2491" t="inlineStr">
        <is>
          <t>UPPSALA LÄN</t>
        </is>
      </c>
      <c r="E2491" t="inlineStr">
        <is>
          <t>TIERP</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13009-2022</t>
        </is>
      </c>
      <c r="B2492" s="1" t="n">
        <v>44643</v>
      </c>
      <c r="C2492" s="1" t="n">
        <v>45705</v>
      </c>
      <c r="D2492" t="inlineStr">
        <is>
          <t>UPPSALA LÄN</t>
        </is>
      </c>
      <c r="E2492" t="inlineStr">
        <is>
          <t>UPPSALA</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12999-2022</t>
        </is>
      </c>
      <c r="B2493" s="1" t="n">
        <v>44643</v>
      </c>
      <c r="C2493" s="1" t="n">
        <v>45705</v>
      </c>
      <c r="D2493" t="inlineStr">
        <is>
          <t>UPPSALA LÄN</t>
        </is>
      </c>
      <c r="E2493" t="inlineStr">
        <is>
          <t>ÖSTHAMMAR</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13044-2022</t>
        </is>
      </c>
      <c r="B2494" s="1" t="n">
        <v>44643</v>
      </c>
      <c r="C2494" s="1" t="n">
        <v>45705</v>
      </c>
      <c r="D2494" t="inlineStr">
        <is>
          <t>UPPSALA LÄN</t>
        </is>
      </c>
      <c r="E2494" t="inlineStr">
        <is>
          <t>ÖSTHAMMAR</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13093-2022</t>
        </is>
      </c>
      <c r="B2495" s="1" t="n">
        <v>44643</v>
      </c>
      <c r="C2495" s="1" t="n">
        <v>45705</v>
      </c>
      <c r="D2495" t="inlineStr">
        <is>
          <t>UPPSALA LÄN</t>
        </is>
      </c>
      <c r="E2495" t="inlineStr">
        <is>
          <t>ÖSTHAMMAR</t>
        </is>
      </c>
      <c r="F2495" t="inlineStr">
        <is>
          <t>Bergvik skog öst AB</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13134-2022</t>
        </is>
      </c>
      <c r="B2496" s="1" t="n">
        <v>44644</v>
      </c>
      <c r="C2496" s="1" t="n">
        <v>45705</v>
      </c>
      <c r="D2496" t="inlineStr">
        <is>
          <t>UPPSALA LÄN</t>
        </is>
      </c>
      <c r="E2496" t="inlineStr">
        <is>
          <t>UPPSALA</t>
        </is>
      </c>
      <c r="F2496" t="inlineStr">
        <is>
          <t>Övriga Aktiebolag</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13237-2022</t>
        </is>
      </c>
      <c r="B2497" s="1" t="n">
        <v>44644</v>
      </c>
      <c r="C2497" s="1" t="n">
        <v>45705</v>
      </c>
      <c r="D2497" t="inlineStr">
        <is>
          <t>UPPSALA LÄN</t>
        </is>
      </c>
      <c r="E2497" t="inlineStr">
        <is>
          <t>TIERP</t>
        </is>
      </c>
      <c r="G2497" t="n">
        <v>7.8</v>
      </c>
      <c r="H2497" t="n">
        <v>0</v>
      </c>
      <c r="I2497" t="n">
        <v>0</v>
      </c>
      <c r="J2497" t="n">
        <v>0</v>
      </c>
      <c r="K2497" t="n">
        <v>0</v>
      </c>
      <c r="L2497" t="n">
        <v>0</v>
      </c>
      <c r="M2497" t="n">
        <v>0</v>
      </c>
      <c r="N2497" t="n">
        <v>0</v>
      </c>
      <c r="O2497" t="n">
        <v>0</v>
      </c>
      <c r="P2497" t="n">
        <v>0</v>
      </c>
      <c r="Q2497" t="n">
        <v>0</v>
      </c>
      <c r="R2497" s="2" t="inlineStr"/>
    </row>
    <row r="2498" ht="15" customHeight="1">
      <c r="A2498" t="inlineStr">
        <is>
          <t>A 13213-2022</t>
        </is>
      </c>
      <c r="B2498" s="1" t="n">
        <v>44644</v>
      </c>
      <c r="C2498" s="1" t="n">
        <v>45705</v>
      </c>
      <c r="D2498" t="inlineStr">
        <is>
          <t>UPPSALA LÄN</t>
        </is>
      </c>
      <c r="E2498" t="inlineStr">
        <is>
          <t>HEBY</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13243-2022</t>
        </is>
      </c>
      <c r="B2499" s="1" t="n">
        <v>44644</v>
      </c>
      <c r="C2499" s="1" t="n">
        <v>45705</v>
      </c>
      <c r="D2499" t="inlineStr">
        <is>
          <t>UPPSALA LÄN</t>
        </is>
      </c>
      <c r="E2499" t="inlineStr">
        <is>
          <t>HEBY</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13128-2022</t>
        </is>
      </c>
      <c r="B2500" s="1" t="n">
        <v>44644</v>
      </c>
      <c r="C2500" s="1" t="n">
        <v>45705</v>
      </c>
      <c r="D2500" t="inlineStr">
        <is>
          <t>UPPSALA LÄN</t>
        </is>
      </c>
      <c r="E2500" t="inlineStr">
        <is>
          <t>UPPSALA</t>
        </is>
      </c>
      <c r="F2500" t="inlineStr">
        <is>
          <t>Övriga Aktiebolag</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13238-2022</t>
        </is>
      </c>
      <c r="B2501" s="1" t="n">
        <v>44644</v>
      </c>
      <c r="C2501" s="1" t="n">
        <v>45705</v>
      </c>
      <c r="D2501" t="inlineStr">
        <is>
          <t>UPPSALA LÄN</t>
        </is>
      </c>
      <c r="E2501" t="inlineStr">
        <is>
          <t>ÖSTHAMMAR</t>
        </is>
      </c>
      <c r="G2501" t="n">
        <v>6.5</v>
      </c>
      <c r="H2501" t="n">
        <v>0</v>
      </c>
      <c r="I2501" t="n">
        <v>0</v>
      </c>
      <c r="J2501" t="n">
        <v>0</v>
      </c>
      <c r="K2501" t="n">
        <v>0</v>
      </c>
      <c r="L2501" t="n">
        <v>0</v>
      </c>
      <c r="M2501" t="n">
        <v>0</v>
      </c>
      <c r="N2501" t="n">
        <v>0</v>
      </c>
      <c r="O2501" t="n">
        <v>0</v>
      </c>
      <c r="P2501" t="n">
        <v>0</v>
      </c>
      <c r="Q2501" t="n">
        <v>0</v>
      </c>
      <c r="R2501" s="2" t="inlineStr"/>
    </row>
    <row r="2502" ht="15" customHeight="1">
      <c r="A2502" t="inlineStr">
        <is>
          <t>A 13279-2022</t>
        </is>
      </c>
      <c r="B2502" s="1" t="n">
        <v>44644</v>
      </c>
      <c r="C2502" s="1" t="n">
        <v>45705</v>
      </c>
      <c r="D2502" t="inlineStr">
        <is>
          <t>UPPSALA LÄN</t>
        </is>
      </c>
      <c r="E2502" t="inlineStr">
        <is>
          <t>ÖSTHAMMAR</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13386-2022</t>
        </is>
      </c>
      <c r="B2503" s="1" t="n">
        <v>44645</v>
      </c>
      <c r="C2503" s="1" t="n">
        <v>45705</v>
      </c>
      <c r="D2503" t="inlineStr">
        <is>
          <t>UPPSALA LÄN</t>
        </is>
      </c>
      <c r="E2503" t="inlineStr">
        <is>
          <t>UPPSALA</t>
        </is>
      </c>
      <c r="G2503" t="n">
        <v>8.699999999999999</v>
      </c>
      <c r="H2503" t="n">
        <v>0</v>
      </c>
      <c r="I2503" t="n">
        <v>0</v>
      </c>
      <c r="J2503" t="n">
        <v>0</v>
      </c>
      <c r="K2503" t="n">
        <v>0</v>
      </c>
      <c r="L2503" t="n">
        <v>0</v>
      </c>
      <c r="M2503" t="n">
        <v>0</v>
      </c>
      <c r="N2503" t="n">
        <v>0</v>
      </c>
      <c r="O2503" t="n">
        <v>0</v>
      </c>
      <c r="P2503" t="n">
        <v>0</v>
      </c>
      <c r="Q2503" t="n">
        <v>0</v>
      </c>
      <c r="R2503" s="2" t="inlineStr"/>
    </row>
    <row r="2504" ht="15" customHeight="1">
      <c r="A2504" t="inlineStr">
        <is>
          <t>A 13343-2022</t>
        </is>
      </c>
      <c r="B2504" s="1" t="n">
        <v>44645</v>
      </c>
      <c r="C2504" s="1" t="n">
        <v>45705</v>
      </c>
      <c r="D2504" t="inlineStr">
        <is>
          <t>UPPSALA LÄN</t>
        </is>
      </c>
      <c r="E2504" t="inlineStr">
        <is>
          <t>UPPSALA</t>
        </is>
      </c>
      <c r="F2504" t="inlineStr">
        <is>
          <t>Övriga Aktiebolag</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13656-2022</t>
        </is>
      </c>
      <c r="B2505" s="1" t="n">
        <v>44648</v>
      </c>
      <c r="C2505" s="1" t="n">
        <v>45705</v>
      </c>
      <c r="D2505" t="inlineStr">
        <is>
          <t>UPPSALA LÄN</t>
        </is>
      </c>
      <c r="E2505" t="inlineStr">
        <is>
          <t>TIERP</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13650-2022</t>
        </is>
      </c>
      <c r="B2506" s="1" t="n">
        <v>44648</v>
      </c>
      <c r="C2506" s="1" t="n">
        <v>45705</v>
      </c>
      <c r="D2506" t="inlineStr">
        <is>
          <t>UPPSALA LÄN</t>
        </is>
      </c>
      <c r="E2506" t="inlineStr">
        <is>
          <t>TIERP</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13892-2022</t>
        </is>
      </c>
      <c r="B2507" s="1" t="n">
        <v>44649</v>
      </c>
      <c r="C2507" s="1" t="n">
        <v>45705</v>
      </c>
      <c r="D2507" t="inlineStr">
        <is>
          <t>UPPSALA LÄN</t>
        </is>
      </c>
      <c r="E2507" t="inlineStr">
        <is>
          <t>UPPSALA</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13867-2022</t>
        </is>
      </c>
      <c r="B2508" s="1" t="n">
        <v>44649</v>
      </c>
      <c r="C2508" s="1" t="n">
        <v>45705</v>
      </c>
      <c r="D2508" t="inlineStr">
        <is>
          <t>UPPSALA LÄN</t>
        </is>
      </c>
      <c r="E2508" t="inlineStr">
        <is>
          <t>ÖSTHAMMAR</t>
        </is>
      </c>
      <c r="F2508" t="inlineStr">
        <is>
          <t>Bergvik skog öst AB</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13901-2022</t>
        </is>
      </c>
      <c r="B2509" s="1" t="n">
        <v>44649</v>
      </c>
      <c r="C2509" s="1" t="n">
        <v>45705</v>
      </c>
      <c r="D2509" t="inlineStr">
        <is>
          <t>UPPSALA LÄN</t>
        </is>
      </c>
      <c r="E2509" t="inlineStr">
        <is>
          <t>UPPSALA</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13988-2022</t>
        </is>
      </c>
      <c r="B2510" s="1" t="n">
        <v>44650</v>
      </c>
      <c r="C2510" s="1" t="n">
        <v>45705</v>
      </c>
      <c r="D2510" t="inlineStr">
        <is>
          <t>UPPSALA LÄN</t>
        </is>
      </c>
      <c r="E2510" t="inlineStr">
        <is>
          <t>HEBY</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14008-2022</t>
        </is>
      </c>
      <c r="B2511" s="1" t="n">
        <v>44650</v>
      </c>
      <c r="C2511" s="1" t="n">
        <v>45705</v>
      </c>
      <c r="D2511" t="inlineStr">
        <is>
          <t>UPPSALA LÄN</t>
        </is>
      </c>
      <c r="E2511" t="inlineStr">
        <is>
          <t>HEBY</t>
        </is>
      </c>
      <c r="F2511" t="inlineStr">
        <is>
          <t>Bergvik skog öst AB</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14272-2022</t>
        </is>
      </c>
      <c r="B2512" s="1" t="n">
        <v>44651</v>
      </c>
      <c r="C2512" s="1" t="n">
        <v>45705</v>
      </c>
      <c r="D2512" t="inlineStr">
        <is>
          <t>UPPSALA LÄN</t>
        </is>
      </c>
      <c r="E2512" t="inlineStr">
        <is>
          <t>ÖSTHAMMAR</t>
        </is>
      </c>
      <c r="F2512" t="inlineStr">
        <is>
          <t>Bergvik skog öst AB</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14124-2022</t>
        </is>
      </c>
      <c r="B2513" s="1" t="n">
        <v>44651</v>
      </c>
      <c r="C2513" s="1" t="n">
        <v>45705</v>
      </c>
      <c r="D2513" t="inlineStr">
        <is>
          <t>UPPSALA LÄN</t>
        </is>
      </c>
      <c r="E2513" t="inlineStr">
        <is>
          <t>ÖSTHAMMAR</t>
        </is>
      </c>
      <c r="F2513" t="inlineStr">
        <is>
          <t>Bergvik skog öst AB</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14187-2022</t>
        </is>
      </c>
      <c r="B2514" s="1" t="n">
        <v>44651</v>
      </c>
      <c r="C2514" s="1" t="n">
        <v>45705</v>
      </c>
      <c r="D2514" t="inlineStr">
        <is>
          <t>UPPSALA LÄN</t>
        </is>
      </c>
      <c r="E2514" t="inlineStr">
        <is>
          <t>ÖSTHAMMAR</t>
        </is>
      </c>
      <c r="F2514" t="inlineStr">
        <is>
          <t>Övriga Aktiebolag</t>
        </is>
      </c>
      <c r="G2514" t="n">
        <v>14.1</v>
      </c>
      <c r="H2514" t="n">
        <v>0</v>
      </c>
      <c r="I2514" t="n">
        <v>0</v>
      </c>
      <c r="J2514" t="n">
        <v>0</v>
      </c>
      <c r="K2514" t="n">
        <v>0</v>
      </c>
      <c r="L2514" t="n">
        <v>0</v>
      </c>
      <c r="M2514" t="n">
        <v>0</v>
      </c>
      <c r="N2514" t="n">
        <v>0</v>
      </c>
      <c r="O2514" t="n">
        <v>0</v>
      </c>
      <c r="P2514" t="n">
        <v>0</v>
      </c>
      <c r="Q2514" t="n">
        <v>0</v>
      </c>
      <c r="R2514" s="2" t="inlineStr"/>
    </row>
    <row r="2515" ht="15" customHeight="1">
      <c r="A2515" t="inlineStr">
        <is>
          <t>A 14271-2022</t>
        </is>
      </c>
      <c r="B2515" s="1" t="n">
        <v>44651</v>
      </c>
      <c r="C2515" s="1" t="n">
        <v>45705</v>
      </c>
      <c r="D2515" t="inlineStr">
        <is>
          <t>UPPSALA LÄN</t>
        </is>
      </c>
      <c r="E2515" t="inlineStr">
        <is>
          <t>ÖSTHAMMAR</t>
        </is>
      </c>
      <c r="F2515" t="inlineStr">
        <is>
          <t>Bergvik skog öst AB</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14337-2022</t>
        </is>
      </c>
      <c r="B2516" s="1" t="n">
        <v>44652</v>
      </c>
      <c r="C2516" s="1" t="n">
        <v>45705</v>
      </c>
      <c r="D2516" t="inlineStr">
        <is>
          <t>UPPSALA LÄN</t>
        </is>
      </c>
      <c r="E2516" t="inlineStr">
        <is>
          <t>UPPSALA</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14355-2022</t>
        </is>
      </c>
      <c r="B2517" s="1" t="n">
        <v>44652</v>
      </c>
      <c r="C2517" s="1" t="n">
        <v>45705</v>
      </c>
      <c r="D2517" t="inlineStr">
        <is>
          <t>UPPSALA LÄN</t>
        </is>
      </c>
      <c r="E2517" t="inlineStr">
        <is>
          <t>UPPSALA</t>
        </is>
      </c>
      <c r="F2517" t="inlineStr">
        <is>
          <t>Bergvik skog öst AB</t>
        </is>
      </c>
      <c r="G2517" t="n">
        <v>7.8</v>
      </c>
      <c r="H2517" t="n">
        <v>0</v>
      </c>
      <c r="I2517" t="n">
        <v>0</v>
      </c>
      <c r="J2517" t="n">
        <v>0</v>
      </c>
      <c r="K2517" t="n">
        <v>0</v>
      </c>
      <c r="L2517" t="n">
        <v>0</v>
      </c>
      <c r="M2517" t="n">
        <v>0</v>
      </c>
      <c r="N2517" t="n">
        <v>0</v>
      </c>
      <c r="O2517" t="n">
        <v>0</v>
      </c>
      <c r="P2517" t="n">
        <v>0</v>
      </c>
      <c r="Q2517" t="n">
        <v>0</v>
      </c>
      <c r="R2517" s="2" t="inlineStr"/>
    </row>
    <row r="2518" ht="15" customHeight="1">
      <c r="A2518" t="inlineStr">
        <is>
          <t>A 14340-2022</t>
        </is>
      </c>
      <c r="B2518" s="1" t="n">
        <v>44652</v>
      </c>
      <c r="C2518" s="1" t="n">
        <v>45705</v>
      </c>
      <c r="D2518" t="inlineStr">
        <is>
          <t>UPPSALA LÄN</t>
        </is>
      </c>
      <c r="E2518" t="inlineStr">
        <is>
          <t>UPPSALA</t>
        </is>
      </c>
      <c r="F2518" t="inlineStr">
        <is>
          <t>Bergvik skog öst AB</t>
        </is>
      </c>
      <c r="G2518" t="n">
        <v>4</v>
      </c>
      <c r="H2518" t="n">
        <v>0</v>
      </c>
      <c r="I2518" t="n">
        <v>0</v>
      </c>
      <c r="J2518" t="n">
        <v>0</v>
      </c>
      <c r="K2518" t="n">
        <v>0</v>
      </c>
      <c r="L2518" t="n">
        <v>0</v>
      </c>
      <c r="M2518" t="n">
        <v>0</v>
      </c>
      <c r="N2518" t="n">
        <v>0</v>
      </c>
      <c r="O2518" t="n">
        <v>0</v>
      </c>
      <c r="P2518" t="n">
        <v>0</v>
      </c>
      <c r="Q2518" t="n">
        <v>0</v>
      </c>
      <c r="R2518" s="2" t="inlineStr"/>
    </row>
    <row r="2519" ht="15" customHeight="1">
      <c r="A2519" t="inlineStr">
        <is>
          <t>A 14531-2022</t>
        </is>
      </c>
      <c r="B2519" s="1" t="n">
        <v>44655</v>
      </c>
      <c r="C2519" s="1" t="n">
        <v>45705</v>
      </c>
      <c r="D2519" t="inlineStr">
        <is>
          <t>UPPSALA LÄN</t>
        </is>
      </c>
      <c r="E2519" t="inlineStr">
        <is>
          <t>ENKÖPING</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14603-2022</t>
        </is>
      </c>
      <c r="B2520" s="1" t="n">
        <v>44655</v>
      </c>
      <c r="C2520" s="1" t="n">
        <v>45705</v>
      </c>
      <c r="D2520" t="inlineStr">
        <is>
          <t>UPPSALA LÄN</t>
        </is>
      </c>
      <c r="E2520" t="inlineStr">
        <is>
          <t>HEBY</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14602-2022</t>
        </is>
      </c>
      <c r="B2521" s="1" t="n">
        <v>44655</v>
      </c>
      <c r="C2521" s="1" t="n">
        <v>45705</v>
      </c>
      <c r="D2521" t="inlineStr">
        <is>
          <t>UPPSALA LÄN</t>
        </is>
      </c>
      <c r="E2521" t="inlineStr">
        <is>
          <t>HEBY</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14622-2022</t>
        </is>
      </c>
      <c r="B2522" s="1" t="n">
        <v>44655</v>
      </c>
      <c r="C2522" s="1" t="n">
        <v>45705</v>
      </c>
      <c r="D2522" t="inlineStr">
        <is>
          <t>UPPSALA LÄN</t>
        </is>
      </c>
      <c r="E2522" t="inlineStr">
        <is>
          <t>UPPSALA</t>
        </is>
      </c>
      <c r="F2522" t="inlineStr">
        <is>
          <t>Övriga Aktiebolag</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14671-2022</t>
        </is>
      </c>
      <c r="B2523" s="1" t="n">
        <v>44655</v>
      </c>
      <c r="C2523" s="1" t="n">
        <v>45705</v>
      </c>
      <c r="D2523" t="inlineStr">
        <is>
          <t>UPPSALA LÄN</t>
        </is>
      </c>
      <c r="E2523" t="inlineStr">
        <is>
          <t>ÖSTHAMMAR</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14860-2022</t>
        </is>
      </c>
      <c r="B2524" s="1" t="n">
        <v>44656</v>
      </c>
      <c r="C2524" s="1" t="n">
        <v>45705</v>
      </c>
      <c r="D2524" t="inlineStr">
        <is>
          <t>UPPSALA LÄN</t>
        </is>
      </c>
      <c r="E2524" t="inlineStr">
        <is>
          <t>TIERP</t>
        </is>
      </c>
      <c r="F2524" t="inlineStr">
        <is>
          <t>Bergvik skog öst AB</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15064-2022</t>
        </is>
      </c>
      <c r="B2525" s="1" t="n">
        <v>44657</v>
      </c>
      <c r="C2525" s="1" t="n">
        <v>45705</v>
      </c>
      <c r="D2525" t="inlineStr">
        <is>
          <t>UPPSALA LÄN</t>
        </is>
      </c>
      <c r="E2525" t="inlineStr">
        <is>
          <t>ÖSTHAMMAR</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15021-2022</t>
        </is>
      </c>
      <c r="B2526" s="1" t="n">
        <v>44657</v>
      </c>
      <c r="C2526" s="1" t="n">
        <v>45705</v>
      </c>
      <c r="D2526" t="inlineStr">
        <is>
          <t>UPPSALA LÄN</t>
        </is>
      </c>
      <c r="E2526" t="inlineStr">
        <is>
          <t>ENKÖPING</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15311-2022</t>
        </is>
      </c>
      <c r="B2527" s="1" t="n">
        <v>44659</v>
      </c>
      <c r="C2527" s="1" t="n">
        <v>45705</v>
      </c>
      <c r="D2527" t="inlineStr">
        <is>
          <t>UPPSALA LÄN</t>
        </is>
      </c>
      <c r="E2527" t="inlineStr">
        <is>
          <t>ÖSTHAMMAR</t>
        </is>
      </c>
      <c r="G2527" t="n">
        <v>5.5</v>
      </c>
      <c r="H2527" t="n">
        <v>0</v>
      </c>
      <c r="I2527" t="n">
        <v>0</v>
      </c>
      <c r="J2527" t="n">
        <v>0</v>
      </c>
      <c r="K2527" t="n">
        <v>0</v>
      </c>
      <c r="L2527" t="n">
        <v>0</v>
      </c>
      <c r="M2527" t="n">
        <v>0</v>
      </c>
      <c r="N2527" t="n">
        <v>0</v>
      </c>
      <c r="O2527" t="n">
        <v>0</v>
      </c>
      <c r="P2527" t="n">
        <v>0</v>
      </c>
      <c r="Q2527" t="n">
        <v>0</v>
      </c>
      <c r="R2527" s="2" t="inlineStr"/>
    </row>
    <row r="2528" ht="15" customHeight="1">
      <c r="A2528" t="inlineStr">
        <is>
          <t>A 15326-2022</t>
        </is>
      </c>
      <c r="B2528" s="1" t="n">
        <v>44659</v>
      </c>
      <c r="C2528" s="1" t="n">
        <v>45705</v>
      </c>
      <c r="D2528" t="inlineStr">
        <is>
          <t>UPPSALA LÄN</t>
        </is>
      </c>
      <c r="E2528" t="inlineStr">
        <is>
          <t>HEBY</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15436-2022</t>
        </is>
      </c>
      <c r="B2529" s="1" t="n">
        <v>44659</v>
      </c>
      <c r="C2529" s="1" t="n">
        <v>45705</v>
      </c>
      <c r="D2529" t="inlineStr">
        <is>
          <t>UPPSALA LÄN</t>
        </is>
      </c>
      <c r="E2529" t="inlineStr">
        <is>
          <t>UPPSALA</t>
        </is>
      </c>
      <c r="G2529" t="n">
        <v>14.4</v>
      </c>
      <c r="H2529" t="n">
        <v>0</v>
      </c>
      <c r="I2529" t="n">
        <v>0</v>
      </c>
      <c r="J2529" t="n">
        <v>0</v>
      </c>
      <c r="K2529" t="n">
        <v>0</v>
      </c>
      <c r="L2529" t="n">
        <v>0</v>
      </c>
      <c r="M2529" t="n">
        <v>0</v>
      </c>
      <c r="N2529" t="n">
        <v>0</v>
      </c>
      <c r="O2529" t="n">
        <v>0</v>
      </c>
      <c r="P2529" t="n">
        <v>0</v>
      </c>
      <c r="Q2529" t="n">
        <v>0</v>
      </c>
      <c r="R2529" s="2" t="inlineStr"/>
    </row>
    <row r="2530" ht="15" customHeight="1">
      <c r="A2530" t="inlineStr">
        <is>
          <t>A 15377-2022</t>
        </is>
      </c>
      <c r="B2530" s="1" t="n">
        <v>44659</v>
      </c>
      <c r="C2530" s="1" t="n">
        <v>45705</v>
      </c>
      <c r="D2530" t="inlineStr">
        <is>
          <t>UPPSALA LÄN</t>
        </is>
      </c>
      <c r="E2530" t="inlineStr">
        <is>
          <t>UPPSALA</t>
        </is>
      </c>
      <c r="F2530" t="inlineStr">
        <is>
          <t>Bergvik skog öst AB</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15310-2022</t>
        </is>
      </c>
      <c r="B2531" s="1" t="n">
        <v>44659</v>
      </c>
      <c r="C2531" s="1" t="n">
        <v>45705</v>
      </c>
      <c r="D2531" t="inlineStr">
        <is>
          <t>UPPSALA LÄN</t>
        </is>
      </c>
      <c r="E2531" t="inlineStr">
        <is>
          <t>UPPSALA</t>
        </is>
      </c>
      <c r="F2531" t="inlineStr">
        <is>
          <t>Bergvik skog öst AB</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15334-2022</t>
        </is>
      </c>
      <c r="B2532" s="1" t="n">
        <v>44659</v>
      </c>
      <c r="C2532" s="1" t="n">
        <v>45705</v>
      </c>
      <c r="D2532" t="inlineStr">
        <is>
          <t>UPPSALA LÄN</t>
        </is>
      </c>
      <c r="E2532" t="inlineStr">
        <is>
          <t>ÖSTHAMMAR</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15447-2022</t>
        </is>
      </c>
      <c r="B2533" s="1" t="n">
        <v>44660</v>
      </c>
      <c r="C2533" s="1" t="n">
        <v>45705</v>
      </c>
      <c r="D2533" t="inlineStr">
        <is>
          <t>UPPSALA LÄN</t>
        </is>
      </c>
      <c r="E2533" t="inlineStr">
        <is>
          <t>ÖSTHAMMAR</t>
        </is>
      </c>
      <c r="F2533" t="inlineStr">
        <is>
          <t>Bergvik skog öst AB</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15445-2022</t>
        </is>
      </c>
      <c r="B2534" s="1" t="n">
        <v>44660</v>
      </c>
      <c r="C2534" s="1" t="n">
        <v>45705</v>
      </c>
      <c r="D2534" t="inlineStr">
        <is>
          <t>UPPSALA LÄN</t>
        </is>
      </c>
      <c r="E2534" t="inlineStr">
        <is>
          <t>ÖSTHAMMAR</t>
        </is>
      </c>
      <c r="F2534" t="inlineStr">
        <is>
          <t>Bergvik skog öst AB</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15449-2022</t>
        </is>
      </c>
      <c r="B2535" s="1" t="n">
        <v>44660</v>
      </c>
      <c r="C2535" s="1" t="n">
        <v>45705</v>
      </c>
      <c r="D2535" t="inlineStr">
        <is>
          <t>UPPSALA LÄN</t>
        </is>
      </c>
      <c r="E2535" t="inlineStr">
        <is>
          <t>ÖSTHAMMAR</t>
        </is>
      </c>
      <c r="F2535" t="inlineStr">
        <is>
          <t>Bergvik skog öst AB</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15456-2022</t>
        </is>
      </c>
      <c r="B2536" s="1" t="n">
        <v>44661</v>
      </c>
      <c r="C2536" s="1" t="n">
        <v>45705</v>
      </c>
      <c r="D2536" t="inlineStr">
        <is>
          <t>UPPSALA LÄN</t>
        </is>
      </c>
      <c r="E2536" t="inlineStr">
        <is>
          <t>ÖSTHAMMAR</t>
        </is>
      </c>
      <c r="F2536" t="inlineStr">
        <is>
          <t>Bergvik skog öst AB</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15457-2022</t>
        </is>
      </c>
      <c r="B2537" s="1" t="n">
        <v>44661</v>
      </c>
      <c r="C2537" s="1" t="n">
        <v>45705</v>
      </c>
      <c r="D2537" t="inlineStr">
        <is>
          <t>UPPSALA LÄN</t>
        </is>
      </c>
      <c r="E2537" t="inlineStr">
        <is>
          <t>ÖSTHAMMAR</t>
        </is>
      </c>
      <c r="F2537" t="inlineStr">
        <is>
          <t>Bergvik skog öst AB</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15619-2022</t>
        </is>
      </c>
      <c r="B2538" s="1" t="n">
        <v>44662</v>
      </c>
      <c r="C2538" s="1" t="n">
        <v>45705</v>
      </c>
      <c r="D2538" t="inlineStr">
        <is>
          <t>UPPSALA LÄN</t>
        </is>
      </c>
      <c r="E2538" t="inlineStr">
        <is>
          <t>HEBY</t>
        </is>
      </c>
      <c r="F2538" t="inlineStr">
        <is>
          <t>Bergvik skog öst AB</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15614-2022</t>
        </is>
      </c>
      <c r="B2539" s="1" t="n">
        <v>44662</v>
      </c>
      <c r="C2539" s="1" t="n">
        <v>45705</v>
      </c>
      <c r="D2539" t="inlineStr">
        <is>
          <t>UPPSALA LÄN</t>
        </is>
      </c>
      <c r="E2539" t="inlineStr">
        <is>
          <t>HEBY</t>
        </is>
      </c>
      <c r="F2539" t="inlineStr">
        <is>
          <t>Bergvik skog öst AB</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15583-2022</t>
        </is>
      </c>
      <c r="B2540" s="1" t="n">
        <v>44662</v>
      </c>
      <c r="C2540" s="1" t="n">
        <v>45705</v>
      </c>
      <c r="D2540" t="inlineStr">
        <is>
          <t>UPPSALA LÄN</t>
        </is>
      </c>
      <c r="E2540" t="inlineStr">
        <is>
          <t>UPPSALA</t>
        </is>
      </c>
      <c r="F2540" t="inlineStr">
        <is>
          <t>Övriga Aktiebolag</t>
        </is>
      </c>
      <c r="G2540" t="n">
        <v>4.3</v>
      </c>
      <c r="H2540" t="n">
        <v>0</v>
      </c>
      <c r="I2540" t="n">
        <v>0</v>
      </c>
      <c r="J2540" t="n">
        <v>0</v>
      </c>
      <c r="K2540" t="n">
        <v>0</v>
      </c>
      <c r="L2540" t="n">
        <v>0</v>
      </c>
      <c r="M2540" t="n">
        <v>0</v>
      </c>
      <c r="N2540" t="n">
        <v>0</v>
      </c>
      <c r="O2540" t="n">
        <v>0</v>
      </c>
      <c r="P2540" t="n">
        <v>0</v>
      </c>
      <c r="Q2540" t="n">
        <v>0</v>
      </c>
      <c r="R2540" s="2" t="inlineStr"/>
    </row>
    <row r="2541" ht="15" customHeight="1">
      <c r="A2541" t="inlineStr">
        <is>
          <t>A 15735-2022</t>
        </is>
      </c>
      <c r="B2541" s="1" t="n">
        <v>44663</v>
      </c>
      <c r="C2541" s="1" t="n">
        <v>45705</v>
      </c>
      <c r="D2541" t="inlineStr">
        <is>
          <t>UPPSALA LÄN</t>
        </is>
      </c>
      <c r="E2541" t="inlineStr">
        <is>
          <t>UPPSALA</t>
        </is>
      </c>
      <c r="F2541" t="inlineStr">
        <is>
          <t>Bergvik skog öst AB</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15847-2022</t>
        </is>
      </c>
      <c r="B2542" s="1" t="n">
        <v>44664</v>
      </c>
      <c r="C2542" s="1" t="n">
        <v>45705</v>
      </c>
      <c r="D2542" t="inlineStr">
        <is>
          <t>UPPSALA LÄN</t>
        </is>
      </c>
      <c r="E2542" t="inlineStr">
        <is>
          <t>ÖSTHAMMAR</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15924-2022</t>
        </is>
      </c>
      <c r="B2543" s="1" t="n">
        <v>44664</v>
      </c>
      <c r="C2543" s="1" t="n">
        <v>45705</v>
      </c>
      <c r="D2543" t="inlineStr">
        <is>
          <t>UPPSALA LÄN</t>
        </is>
      </c>
      <c r="E2543" t="inlineStr">
        <is>
          <t>ENKÖPING</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15942-2022</t>
        </is>
      </c>
      <c r="B2544" s="1" t="n">
        <v>44664</v>
      </c>
      <c r="C2544" s="1" t="n">
        <v>45705</v>
      </c>
      <c r="D2544" t="inlineStr">
        <is>
          <t>UPPSALA LÄN</t>
        </is>
      </c>
      <c r="E2544" t="inlineStr">
        <is>
          <t>ENKÖPING</t>
        </is>
      </c>
      <c r="G2544" t="n">
        <v>6.6</v>
      </c>
      <c r="H2544" t="n">
        <v>0</v>
      </c>
      <c r="I2544" t="n">
        <v>0</v>
      </c>
      <c r="J2544" t="n">
        <v>0</v>
      </c>
      <c r="K2544" t="n">
        <v>0</v>
      </c>
      <c r="L2544" t="n">
        <v>0</v>
      </c>
      <c r="M2544" t="n">
        <v>0</v>
      </c>
      <c r="N2544" t="n">
        <v>0</v>
      </c>
      <c r="O2544" t="n">
        <v>0</v>
      </c>
      <c r="P2544" t="n">
        <v>0</v>
      </c>
      <c r="Q2544" t="n">
        <v>0</v>
      </c>
      <c r="R2544" s="2" t="inlineStr"/>
    </row>
    <row r="2545" ht="15" customHeight="1">
      <c r="A2545" t="inlineStr">
        <is>
          <t>A 15845-2022</t>
        </is>
      </c>
      <c r="B2545" s="1" t="n">
        <v>44664</v>
      </c>
      <c r="C2545" s="1" t="n">
        <v>45705</v>
      </c>
      <c r="D2545" t="inlineStr">
        <is>
          <t>UPPSALA LÄN</t>
        </is>
      </c>
      <c r="E2545" t="inlineStr">
        <is>
          <t>ÖSTHAMMAR</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15928-2022</t>
        </is>
      </c>
      <c r="B2546" s="1" t="n">
        <v>44664</v>
      </c>
      <c r="C2546" s="1" t="n">
        <v>45705</v>
      </c>
      <c r="D2546" t="inlineStr">
        <is>
          <t>UPPSALA LÄN</t>
        </is>
      </c>
      <c r="E2546" t="inlineStr">
        <is>
          <t>ÖSTHAMMAR</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15943-2022</t>
        </is>
      </c>
      <c r="B2547" s="1" t="n">
        <v>44664</v>
      </c>
      <c r="C2547" s="1" t="n">
        <v>45705</v>
      </c>
      <c r="D2547" t="inlineStr">
        <is>
          <t>UPPSALA LÄN</t>
        </is>
      </c>
      <c r="E2547" t="inlineStr">
        <is>
          <t>ENKÖPING</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15939-2022</t>
        </is>
      </c>
      <c r="B2548" s="1" t="n">
        <v>44664</v>
      </c>
      <c r="C2548" s="1" t="n">
        <v>45705</v>
      </c>
      <c r="D2548" t="inlineStr">
        <is>
          <t>UPPSALA LÄN</t>
        </is>
      </c>
      <c r="E2548" t="inlineStr">
        <is>
          <t>ENKÖPING</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16141-2022</t>
        </is>
      </c>
      <c r="B2549" s="1" t="n">
        <v>44665</v>
      </c>
      <c r="C2549" s="1" t="n">
        <v>45705</v>
      </c>
      <c r="D2549" t="inlineStr">
        <is>
          <t>UPPSALA LÄN</t>
        </is>
      </c>
      <c r="E2549" t="inlineStr">
        <is>
          <t>ÖSTHAMMAR</t>
        </is>
      </c>
      <c r="F2549" t="inlineStr">
        <is>
          <t>Bergvik skog öst AB</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16126-2022</t>
        </is>
      </c>
      <c r="B2550" s="1" t="n">
        <v>44665</v>
      </c>
      <c r="C2550" s="1" t="n">
        <v>45705</v>
      </c>
      <c r="D2550" t="inlineStr">
        <is>
          <t>UPPSALA LÄN</t>
        </is>
      </c>
      <c r="E2550" t="inlineStr">
        <is>
          <t>UPPSALA</t>
        </is>
      </c>
      <c r="F2550" t="inlineStr">
        <is>
          <t>Bergvik skog öst AB</t>
        </is>
      </c>
      <c r="G2550" t="n">
        <v>4.4</v>
      </c>
      <c r="H2550" t="n">
        <v>0</v>
      </c>
      <c r="I2550" t="n">
        <v>0</v>
      </c>
      <c r="J2550" t="n">
        <v>0</v>
      </c>
      <c r="K2550" t="n">
        <v>0</v>
      </c>
      <c r="L2550" t="n">
        <v>0</v>
      </c>
      <c r="M2550" t="n">
        <v>0</v>
      </c>
      <c r="N2550" t="n">
        <v>0</v>
      </c>
      <c r="O2550" t="n">
        <v>0</v>
      </c>
      <c r="P2550" t="n">
        <v>0</v>
      </c>
      <c r="Q2550" t="n">
        <v>0</v>
      </c>
      <c r="R2550" s="2" t="inlineStr"/>
    </row>
    <row r="2551" ht="15" customHeight="1">
      <c r="A2551" t="inlineStr">
        <is>
          <t>A 16142-2022</t>
        </is>
      </c>
      <c r="B2551" s="1" t="n">
        <v>44665</v>
      </c>
      <c r="C2551" s="1" t="n">
        <v>45705</v>
      </c>
      <c r="D2551" t="inlineStr">
        <is>
          <t>UPPSALA LÄN</t>
        </is>
      </c>
      <c r="E2551" t="inlineStr">
        <is>
          <t>ÖSTHAMMAR</t>
        </is>
      </c>
      <c r="F2551" t="inlineStr">
        <is>
          <t>Bergvik skog öst AB</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16167-2022</t>
        </is>
      </c>
      <c r="B2552" s="1" t="n">
        <v>44667</v>
      </c>
      <c r="C2552" s="1" t="n">
        <v>45705</v>
      </c>
      <c r="D2552" t="inlineStr">
        <is>
          <t>UPPSALA LÄN</t>
        </is>
      </c>
      <c r="E2552" t="inlineStr">
        <is>
          <t>ÖSTHAMMAR</t>
        </is>
      </c>
      <c r="F2552" t="inlineStr">
        <is>
          <t>Bergvik skog öst AB</t>
        </is>
      </c>
      <c r="G2552" t="n">
        <v>18.7</v>
      </c>
      <c r="H2552" t="n">
        <v>0</v>
      </c>
      <c r="I2552" t="n">
        <v>0</v>
      </c>
      <c r="J2552" t="n">
        <v>0</v>
      </c>
      <c r="K2552" t="n">
        <v>0</v>
      </c>
      <c r="L2552" t="n">
        <v>0</v>
      </c>
      <c r="M2552" t="n">
        <v>0</v>
      </c>
      <c r="N2552" t="n">
        <v>0</v>
      </c>
      <c r="O2552" t="n">
        <v>0</v>
      </c>
      <c r="P2552" t="n">
        <v>0</v>
      </c>
      <c r="Q2552" t="n">
        <v>0</v>
      </c>
      <c r="R2552" s="2" t="inlineStr"/>
    </row>
    <row r="2553" ht="15" customHeight="1">
      <c r="A2553" t="inlineStr">
        <is>
          <t>A 16185-2022</t>
        </is>
      </c>
      <c r="B2553" s="1" t="n">
        <v>44669</v>
      </c>
      <c r="C2553" s="1" t="n">
        <v>45705</v>
      </c>
      <c r="D2553" t="inlineStr">
        <is>
          <t>UPPSALA LÄN</t>
        </is>
      </c>
      <c r="E2553" t="inlineStr">
        <is>
          <t>ÖSTHAMMAR</t>
        </is>
      </c>
      <c r="F2553" t="inlineStr">
        <is>
          <t>Bergvik skog öst AB</t>
        </is>
      </c>
      <c r="G2553" t="n">
        <v>0.3</v>
      </c>
      <c r="H2553" t="n">
        <v>0</v>
      </c>
      <c r="I2553" t="n">
        <v>0</v>
      </c>
      <c r="J2553" t="n">
        <v>0</v>
      </c>
      <c r="K2553" t="n">
        <v>0</v>
      </c>
      <c r="L2553" t="n">
        <v>0</v>
      </c>
      <c r="M2553" t="n">
        <v>0</v>
      </c>
      <c r="N2553" t="n">
        <v>0</v>
      </c>
      <c r="O2553" t="n">
        <v>0</v>
      </c>
      <c r="P2553" t="n">
        <v>0</v>
      </c>
      <c r="Q2553" t="n">
        <v>0</v>
      </c>
      <c r="R2553" s="2" t="inlineStr"/>
    </row>
    <row r="2554" ht="15" customHeight="1">
      <c r="A2554" t="inlineStr">
        <is>
          <t>A 16184-2022</t>
        </is>
      </c>
      <c r="B2554" s="1" t="n">
        <v>44669</v>
      </c>
      <c r="C2554" s="1" t="n">
        <v>45705</v>
      </c>
      <c r="D2554" t="inlineStr">
        <is>
          <t>UPPSALA LÄN</t>
        </is>
      </c>
      <c r="E2554" t="inlineStr">
        <is>
          <t>ÖSTHAMMAR</t>
        </is>
      </c>
      <c r="F2554" t="inlineStr">
        <is>
          <t>Bergvik skog öst AB</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16253-2022</t>
        </is>
      </c>
      <c r="B2555" s="1" t="n">
        <v>44670</v>
      </c>
      <c r="C2555" s="1" t="n">
        <v>45705</v>
      </c>
      <c r="D2555" t="inlineStr">
        <is>
          <t>UPPSALA LÄN</t>
        </is>
      </c>
      <c r="E2555" t="inlineStr">
        <is>
          <t>TIERP</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16254-2022</t>
        </is>
      </c>
      <c r="B2556" s="1" t="n">
        <v>44670</v>
      </c>
      <c r="C2556" s="1" t="n">
        <v>45705</v>
      </c>
      <c r="D2556" t="inlineStr">
        <is>
          <t>UPPSALA LÄN</t>
        </is>
      </c>
      <c r="E2556" t="inlineStr">
        <is>
          <t>ÖSTHAMMAR</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16556-2022</t>
        </is>
      </c>
      <c r="B2557" s="1" t="n">
        <v>44672</v>
      </c>
      <c r="C2557" s="1" t="n">
        <v>45705</v>
      </c>
      <c r="D2557" t="inlineStr">
        <is>
          <t>UPPSALA LÄN</t>
        </is>
      </c>
      <c r="E2557" t="inlineStr">
        <is>
          <t>TIERP</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16773-2022</t>
        </is>
      </c>
      <c r="B2558" s="1" t="n">
        <v>44673</v>
      </c>
      <c r="C2558" s="1" t="n">
        <v>45705</v>
      </c>
      <c r="D2558" t="inlineStr">
        <is>
          <t>UPPSALA LÄN</t>
        </is>
      </c>
      <c r="E2558" t="inlineStr">
        <is>
          <t>KNIVSTA</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16804-2022</t>
        </is>
      </c>
      <c r="B2559" s="1" t="n">
        <v>44673</v>
      </c>
      <c r="C2559" s="1" t="n">
        <v>45705</v>
      </c>
      <c r="D2559" t="inlineStr">
        <is>
          <t>UPPSALA LÄN</t>
        </is>
      </c>
      <c r="E2559" t="inlineStr">
        <is>
          <t>UPPSALA</t>
        </is>
      </c>
      <c r="F2559" t="inlineStr">
        <is>
          <t>Bergvik skog öst AB</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16828-2022</t>
        </is>
      </c>
      <c r="B2560" s="1" t="n">
        <v>44673</v>
      </c>
      <c r="C2560" s="1" t="n">
        <v>45705</v>
      </c>
      <c r="D2560" t="inlineStr">
        <is>
          <t>UPPSALA LÄN</t>
        </is>
      </c>
      <c r="E2560" t="inlineStr">
        <is>
          <t>UPPSALA</t>
        </is>
      </c>
      <c r="F2560" t="inlineStr">
        <is>
          <t>Bergvik skog öst AB</t>
        </is>
      </c>
      <c r="G2560" t="n">
        <v>4.1</v>
      </c>
      <c r="H2560" t="n">
        <v>0</v>
      </c>
      <c r="I2560" t="n">
        <v>0</v>
      </c>
      <c r="J2560" t="n">
        <v>0</v>
      </c>
      <c r="K2560" t="n">
        <v>0</v>
      </c>
      <c r="L2560" t="n">
        <v>0</v>
      </c>
      <c r="M2560" t="n">
        <v>0</v>
      </c>
      <c r="N2560" t="n">
        <v>0</v>
      </c>
      <c r="O2560" t="n">
        <v>0</v>
      </c>
      <c r="P2560" t="n">
        <v>0</v>
      </c>
      <c r="Q2560" t="n">
        <v>0</v>
      </c>
      <c r="R2560" s="2" t="inlineStr"/>
    </row>
    <row r="2561" ht="15" customHeight="1">
      <c r="A2561" t="inlineStr">
        <is>
          <t>A 16827-2022</t>
        </is>
      </c>
      <c r="B2561" s="1" t="n">
        <v>44673</v>
      </c>
      <c r="C2561" s="1" t="n">
        <v>45705</v>
      </c>
      <c r="D2561" t="inlineStr">
        <is>
          <t>UPPSALA LÄN</t>
        </is>
      </c>
      <c r="E2561" t="inlineStr">
        <is>
          <t>UPPSALA</t>
        </is>
      </c>
      <c r="F2561" t="inlineStr">
        <is>
          <t>Bergvik skog öst AB</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16798-2022</t>
        </is>
      </c>
      <c r="B2562" s="1" t="n">
        <v>44673</v>
      </c>
      <c r="C2562" s="1" t="n">
        <v>45705</v>
      </c>
      <c r="D2562" t="inlineStr">
        <is>
          <t>UPPSALA LÄN</t>
        </is>
      </c>
      <c r="E2562" t="inlineStr">
        <is>
          <t>HEBY</t>
        </is>
      </c>
      <c r="F2562" t="inlineStr">
        <is>
          <t>Allmännings- och besparingsskogar</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16775-2022</t>
        </is>
      </c>
      <c r="B2563" s="1" t="n">
        <v>44673</v>
      </c>
      <c r="C2563" s="1" t="n">
        <v>45705</v>
      </c>
      <c r="D2563" t="inlineStr">
        <is>
          <t>UPPSALA LÄN</t>
        </is>
      </c>
      <c r="E2563" t="inlineStr">
        <is>
          <t>KNIVSTA</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16831-2022</t>
        </is>
      </c>
      <c r="B2564" s="1" t="n">
        <v>44673</v>
      </c>
      <c r="C2564" s="1" t="n">
        <v>45705</v>
      </c>
      <c r="D2564" t="inlineStr">
        <is>
          <t>UPPSALA LÄN</t>
        </is>
      </c>
      <c r="E2564" t="inlineStr">
        <is>
          <t>UPPSALA</t>
        </is>
      </c>
      <c r="F2564" t="inlineStr">
        <is>
          <t>Bergvik skog öst AB</t>
        </is>
      </c>
      <c r="G2564" t="n">
        <v>5.8</v>
      </c>
      <c r="H2564" t="n">
        <v>0</v>
      </c>
      <c r="I2564" t="n">
        <v>0</v>
      </c>
      <c r="J2564" t="n">
        <v>0</v>
      </c>
      <c r="K2564" t="n">
        <v>0</v>
      </c>
      <c r="L2564" t="n">
        <v>0</v>
      </c>
      <c r="M2564" t="n">
        <v>0</v>
      </c>
      <c r="N2564" t="n">
        <v>0</v>
      </c>
      <c r="O2564" t="n">
        <v>0</v>
      </c>
      <c r="P2564" t="n">
        <v>0</v>
      </c>
      <c r="Q2564" t="n">
        <v>0</v>
      </c>
      <c r="R2564" s="2" t="inlineStr"/>
    </row>
    <row r="2565" ht="15" customHeight="1">
      <c r="A2565" t="inlineStr">
        <is>
          <t>A 16826-2022</t>
        </is>
      </c>
      <c r="B2565" s="1" t="n">
        <v>44673</v>
      </c>
      <c r="C2565" s="1" t="n">
        <v>45705</v>
      </c>
      <c r="D2565" t="inlineStr">
        <is>
          <t>UPPSALA LÄN</t>
        </is>
      </c>
      <c r="E2565" t="inlineStr">
        <is>
          <t>UPPSALA</t>
        </is>
      </c>
      <c r="F2565" t="inlineStr">
        <is>
          <t>Bergvik skog öst AB</t>
        </is>
      </c>
      <c r="G2565" t="n">
        <v>7.1</v>
      </c>
      <c r="H2565" t="n">
        <v>0</v>
      </c>
      <c r="I2565" t="n">
        <v>0</v>
      </c>
      <c r="J2565" t="n">
        <v>0</v>
      </c>
      <c r="K2565" t="n">
        <v>0</v>
      </c>
      <c r="L2565" t="n">
        <v>0</v>
      </c>
      <c r="M2565" t="n">
        <v>0</v>
      </c>
      <c r="N2565" t="n">
        <v>0</v>
      </c>
      <c r="O2565" t="n">
        <v>0</v>
      </c>
      <c r="P2565" t="n">
        <v>0</v>
      </c>
      <c r="Q2565" t="n">
        <v>0</v>
      </c>
      <c r="R2565" s="2" t="inlineStr"/>
    </row>
    <row r="2566" ht="15" customHeight="1">
      <c r="A2566" t="inlineStr">
        <is>
          <t>A 16761-2022</t>
        </is>
      </c>
      <c r="B2566" s="1" t="n">
        <v>44673</v>
      </c>
      <c r="C2566" s="1" t="n">
        <v>45705</v>
      </c>
      <c r="D2566" t="inlineStr">
        <is>
          <t>UPPSALA LÄN</t>
        </is>
      </c>
      <c r="E2566" t="inlineStr">
        <is>
          <t>UPPSALA</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16942-2022</t>
        </is>
      </c>
      <c r="B2567" s="1" t="n">
        <v>44676</v>
      </c>
      <c r="C2567" s="1" t="n">
        <v>45705</v>
      </c>
      <c r="D2567" t="inlineStr">
        <is>
          <t>UPPSALA LÄN</t>
        </is>
      </c>
      <c r="E2567" t="inlineStr">
        <is>
          <t>UPPSALA</t>
        </is>
      </c>
      <c r="F2567" t="inlineStr">
        <is>
          <t>Bergvik skog öst AB</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16892-2022</t>
        </is>
      </c>
      <c r="B2568" s="1" t="n">
        <v>44676</v>
      </c>
      <c r="C2568" s="1" t="n">
        <v>45705</v>
      </c>
      <c r="D2568" t="inlineStr">
        <is>
          <t>UPPSALA LÄN</t>
        </is>
      </c>
      <c r="E2568" t="inlineStr">
        <is>
          <t>UPPSALA</t>
        </is>
      </c>
      <c r="F2568" t="inlineStr">
        <is>
          <t>Bergvik skog öst AB</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16916-2022</t>
        </is>
      </c>
      <c r="B2569" s="1" t="n">
        <v>44676</v>
      </c>
      <c r="C2569" s="1" t="n">
        <v>45705</v>
      </c>
      <c r="D2569" t="inlineStr">
        <is>
          <t>UPPSALA LÄN</t>
        </is>
      </c>
      <c r="E2569" t="inlineStr">
        <is>
          <t>ENKÖPING</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16967-2022</t>
        </is>
      </c>
      <c r="B2570" s="1" t="n">
        <v>44676</v>
      </c>
      <c r="C2570" s="1" t="n">
        <v>45705</v>
      </c>
      <c r="D2570" t="inlineStr">
        <is>
          <t>UPPSALA LÄN</t>
        </is>
      </c>
      <c r="E2570" t="inlineStr">
        <is>
          <t>ENKÖPING</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16978-2022</t>
        </is>
      </c>
      <c r="B2571" s="1" t="n">
        <v>44676</v>
      </c>
      <c r="C2571" s="1" t="n">
        <v>45705</v>
      </c>
      <c r="D2571" t="inlineStr">
        <is>
          <t>UPPSALA LÄN</t>
        </is>
      </c>
      <c r="E2571" t="inlineStr">
        <is>
          <t>UPPSALA</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16898-2022</t>
        </is>
      </c>
      <c r="B2572" s="1" t="n">
        <v>44676</v>
      </c>
      <c r="C2572" s="1" t="n">
        <v>45705</v>
      </c>
      <c r="D2572" t="inlineStr">
        <is>
          <t>UPPSALA LÄN</t>
        </is>
      </c>
      <c r="E2572" t="inlineStr">
        <is>
          <t>UPPSALA</t>
        </is>
      </c>
      <c r="F2572" t="inlineStr">
        <is>
          <t>Bergvik skog öst AB</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16933-2022</t>
        </is>
      </c>
      <c r="B2573" s="1" t="n">
        <v>44676</v>
      </c>
      <c r="C2573" s="1" t="n">
        <v>45705</v>
      </c>
      <c r="D2573" t="inlineStr">
        <is>
          <t>UPPSALA LÄN</t>
        </is>
      </c>
      <c r="E2573" t="inlineStr">
        <is>
          <t>ÖSTHAMMAR</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16990-2022</t>
        </is>
      </c>
      <c r="B2574" s="1" t="n">
        <v>44676</v>
      </c>
      <c r="C2574" s="1" t="n">
        <v>45705</v>
      </c>
      <c r="D2574" t="inlineStr">
        <is>
          <t>UPPSALA LÄN</t>
        </is>
      </c>
      <c r="E2574" t="inlineStr">
        <is>
          <t>ÄLVKARLEBY</t>
        </is>
      </c>
      <c r="F2574" t="inlineStr">
        <is>
          <t>Bergvik skog väst AB</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17013-2022</t>
        </is>
      </c>
      <c r="B2575" s="1" t="n">
        <v>44676</v>
      </c>
      <c r="C2575" s="1" t="n">
        <v>45705</v>
      </c>
      <c r="D2575" t="inlineStr">
        <is>
          <t>UPPSALA LÄN</t>
        </is>
      </c>
      <c r="E2575" t="inlineStr">
        <is>
          <t>ÖSTHAMMAR</t>
        </is>
      </c>
      <c r="F2575" t="inlineStr">
        <is>
          <t>Bergvik skog öst AB</t>
        </is>
      </c>
      <c r="G2575" t="n">
        <v>0.2</v>
      </c>
      <c r="H2575" t="n">
        <v>0</v>
      </c>
      <c r="I2575" t="n">
        <v>0</v>
      </c>
      <c r="J2575" t="n">
        <v>0</v>
      </c>
      <c r="K2575" t="n">
        <v>0</v>
      </c>
      <c r="L2575" t="n">
        <v>0</v>
      </c>
      <c r="M2575" t="n">
        <v>0</v>
      </c>
      <c r="N2575" t="n">
        <v>0</v>
      </c>
      <c r="O2575" t="n">
        <v>0</v>
      </c>
      <c r="P2575" t="n">
        <v>0</v>
      </c>
      <c r="Q2575" t="n">
        <v>0</v>
      </c>
      <c r="R2575" s="2" t="inlineStr"/>
    </row>
    <row r="2576" ht="15" customHeight="1">
      <c r="A2576" t="inlineStr">
        <is>
          <t>A 17158-2022</t>
        </is>
      </c>
      <c r="B2576" s="1" t="n">
        <v>44677</v>
      </c>
      <c r="C2576" s="1" t="n">
        <v>45705</v>
      </c>
      <c r="D2576" t="inlineStr">
        <is>
          <t>UPPSALA LÄN</t>
        </is>
      </c>
      <c r="E2576" t="inlineStr">
        <is>
          <t>TIERP</t>
        </is>
      </c>
      <c r="F2576" t="inlineStr">
        <is>
          <t>Övriga Aktiebolag</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17074-2022</t>
        </is>
      </c>
      <c r="B2577" s="1" t="n">
        <v>44677</v>
      </c>
      <c r="C2577" s="1" t="n">
        <v>45705</v>
      </c>
      <c r="D2577" t="inlineStr">
        <is>
          <t>UPPSALA LÄN</t>
        </is>
      </c>
      <c r="E2577" t="inlineStr">
        <is>
          <t>TIERP</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17298-2022</t>
        </is>
      </c>
      <c r="B2578" s="1" t="n">
        <v>44678</v>
      </c>
      <c r="C2578" s="1" t="n">
        <v>45705</v>
      </c>
      <c r="D2578" t="inlineStr">
        <is>
          <t>UPPSALA LÄN</t>
        </is>
      </c>
      <c r="E2578" t="inlineStr">
        <is>
          <t>ENKÖPING</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17332-2022</t>
        </is>
      </c>
      <c r="B2579" s="1" t="n">
        <v>44678</v>
      </c>
      <c r="C2579" s="1" t="n">
        <v>45705</v>
      </c>
      <c r="D2579" t="inlineStr">
        <is>
          <t>UPPSALA LÄN</t>
        </is>
      </c>
      <c r="E2579" t="inlineStr">
        <is>
          <t>HEBY</t>
        </is>
      </c>
      <c r="G2579" t="n">
        <v>5.8</v>
      </c>
      <c r="H2579" t="n">
        <v>0</v>
      </c>
      <c r="I2579" t="n">
        <v>0</v>
      </c>
      <c r="J2579" t="n">
        <v>0</v>
      </c>
      <c r="K2579" t="n">
        <v>0</v>
      </c>
      <c r="L2579" t="n">
        <v>0</v>
      </c>
      <c r="M2579" t="n">
        <v>0</v>
      </c>
      <c r="N2579" t="n">
        <v>0</v>
      </c>
      <c r="O2579" t="n">
        <v>0</v>
      </c>
      <c r="P2579" t="n">
        <v>0</v>
      </c>
      <c r="Q2579" t="n">
        <v>0</v>
      </c>
      <c r="R2579" s="2" t="inlineStr"/>
    </row>
    <row r="2580" ht="15" customHeight="1">
      <c r="A2580" t="inlineStr">
        <is>
          <t>A 17232-2022</t>
        </is>
      </c>
      <c r="B2580" s="1" t="n">
        <v>44678</v>
      </c>
      <c r="C2580" s="1" t="n">
        <v>45705</v>
      </c>
      <c r="D2580" t="inlineStr">
        <is>
          <t>UPPSALA LÄN</t>
        </is>
      </c>
      <c r="E2580" t="inlineStr">
        <is>
          <t>UPPSALA</t>
        </is>
      </c>
      <c r="F2580" t="inlineStr">
        <is>
          <t>Övriga Aktiebolag</t>
        </is>
      </c>
      <c r="G2580" t="n">
        <v>7.4</v>
      </c>
      <c r="H2580" t="n">
        <v>0</v>
      </c>
      <c r="I2580" t="n">
        <v>0</v>
      </c>
      <c r="J2580" t="n">
        <v>0</v>
      </c>
      <c r="K2580" t="n">
        <v>0</v>
      </c>
      <c r="L2580" t="n">
        <v>0</v>
      </c>
      <c r="M2580" t="n">
        <v>0</v>
      </c>
      <c r="N2580" t="n">
        <v>0</v>
      </c>
      <c r="O2580" t="n">
        <v>0</v>
      </c>
      <c r="P2580" t="n">
        <v>0</v>
      </c>
      <c r="Q2580" t="n">
        <v>0</v>
      </c>
      <c r="R2580" s="2" t="inlineStr"/>
    </row>
    <row r="2581" ht="15" customHeight="1">
      <c r="A2581" t="inlineStr">
        <is>
          <t>A 17465-2022</t>
        </is>
      </c>
      <c r="B2581" s="1" t="n">
        <v>44679</v>
      </c>
      <c r="C2581" s="1" t="n">
        <v>45705</v>
      </c>
      <c r="D2581" t="inlineStr">
        <is>
          <t>UPPSALA LÄN</t>
        </is>
      </c>
      <c r="E2581" t="inlineStr">
        <is>
          <t>ENKÖPING</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17467-2022</t>
        </is>
      </c>
      <c r="B2582" s="1" t="n">
        <v>44679</v>
      </c>
      <c r="C2582" s="1" t="n">
        <v>45705</v>
      </c>
      <c r="D2582" t="inlineStr">
        <is>
          <t>UPPSALA LÄN</t>
        </is>
      </c>
      <c r="E2582" t="inlineStr">
        <is>
          <t>ENKÖPING</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17562-2022</t>
        </is>
      </c>
      <c r="B2583" s="1" t="n">
        <v>44679</v>
      </c>
      <c r="C2583" s="1" t="n">
        <v>45705</v>
      </c>
      <c r="D2583" t="inlineStr">
        <is>
          <t>UPPSALA LÄN</t>
        </is>
      </c>
      <c r="E2583" t="inlineStr">
        <is>
          <t>UPPSALA</t>
        </is>
      </c>
      <c r="F2583" t="inlineStr">
        <is>
          <t>Bergvik skog öst AB</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17558-2022</t>
        </is>
      </c>
      <c r="B2584" s="1" t="n">
        <v>44679</v>
      </c>
      <c r="C2584" s="1" t="n">
        <v>45705</v>
      </c>
      <c r="D2584" t="inlineStr">
        <is>
          <t>UPPSALA LÄN</t>
        </is>
      </c>
      <c r="E2584" t="inlineStr">
        <is>
          <t>UPPSALA</t>
        </is>
      </c>
      <c r="F2584" t="inlineStr">
        <is>
          <t>Bergvik skog öst AB</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17453-2022</t>
        </is>
      </c>
      <c r="B2585" s="1" t="n">
        <v>44679</v>
      </c>
      <c r="C2585" s="1" t="n">
        <v>45705</v>
      </c>
      <c r="D2585" t="inlineStr">
        <is>
          <t>UPPSALA LÄN</t>
        </is>
      </c>
      <c r="E2585" t="inlineStr">
        <is>
          <t>ENKÖPING</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17719-2022</t>
        </is>
      </c>
      <c r="B2586" s="1" t="n">
        <v>44680</v>
      </c>
      <c r="C2586" s="1" t="n">
        <v>45705</v>
      </c>
      <c r="D2586" t="inlineStr">
        <is>
          <t>UPPSALA LÄN</t>
        </is>
      </c>
      <c r="E2586" t="inlineStr">
        <is>
          <t>ENKÖPING</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17704-2022</t>
        </is>
      </c>
      <c r="B2587" s="1" t="n">
        <v>44680</v>
      </c>
      <c r="C2587" s="1" t="n">
        <v>45705</v>
      </c>
      <c r="D2587" t="inlineStr">
        <is>
          <t>UPPSALA LÄN</t>
        </is>
      </c>
      <c r="E2587" t="inlineStr">
        <is>
          <t>ENKÖPING</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17947-2022</t>
        </is>
      </c>
      <c r="B2588" s="1" t="n">
        <v>44683</v>
      </c>
      <c r="C2588" s="1" t="n">
        <v>45705</v>
      </c>
      <c r="D2588" t="inlineStr">
        <is>
          <t>UPPSALA LÄN</t>
        </is>
      </c>
      <c r="E2588" t="inlineStr">
        <is>
          <t>ÖSTHAMMAR</t>
        </is>
      </c>
      <c r="G2588" t="n">
        <v>5.5</v>
      </c>
      <c r="H2588" t="n">
        <v>0</v>
      </c>
      <c r="I2588" t="n">
        <v>0</v>
      </c>
      <c r="J2588" t="n">
        <v>0</v>
      </c>
      <c r="K2588" t="n">
        <v>0</v>
      </c>
      <c r="L2588" t="n">
        <v>0</v>
      </c>
      <c r="M2588" t="n">
        <v>0</v>
      </c>
      <c r="N2588" t="n">
        <v>0</v>
      </c>
      <c r="O2588" t="n">
        <v>0</v>
      </c>
      <c r="P2588" t="n">
        <v>0</v>
      </c>
      <c r="Q2588" t="n">
        <v>0</v>
      </c>
      <c r="R2588" s="2" t="inlineStr"/>
    </row>
    <row r="2589" ht="15" customHeight="1">
      <c r="A2589" t="inlineStr">
        <is>
          <t>A 17981-2022</t>
        </is>
      </c>
      <c r="B2589" s="1" t="n">
        <v>44683</v>
      </c>
      <c r="C2589" s="1" t="n">
        <v>45705</v>
      </c>
      <c r="D2589" t="inlineStr">
        <is>
          <t>UPPSALA LÄN</t>
        </is>
      </c>
      <c r="E2589" t="inlineStr">
        <is>
          <t>UPPSALA</t>
        </is>
      </c>
      <c r="F2589" t="inlineStr">
        <is>
          <t>Bergvik skog öst AB</t>
        </is>
      </c>
      <c r="G2589" t="n">
        <v>6.7</v>
      </c>
      <c r="H2589" t="n">
        <v>0</v>
      </c>
      <c r="I2589" t="n">
        <v>0</v>
      </c>
      <c r="J2589" t="n">
        <v>0</v>
      </c>
      <c r="K2589" t="n">
        <v>0</v>
      </c>
      <c r="L2589" t="n">
        <v>0</v>
      </c>
      <c r="M2589" t="n">
        <v>0</v>
      </c>
      <c r="N2589" t="n">
        <v>0</v>
      </c>
      <c r="O2589" t="n">
        <v>0</v>
      </c>
      <c r="P2589" t="n">
        <v>0</v>
      </c>
      <c r="Q2589" t="n">
        <v>0</v>
      </c>
      <c r="R2589" s="2" t="inlineStr"/>
    </row>
    <row r="2590" ht="15" customHeight="1">
      <c r="A2590" t="inlineStr">
        <is>
          <t>A 18097-2022</t>
        </is>
      </c>
      <c r="B2590" s="1" t="n">
        <v>44684</v>
      </c>
      <c r="C2590" s="1" t="n">
        <v>45705</v>
      </c>
      <c r="D2590" t="inlineStr">
        <is>
          <t>UPPSALA LÄN</t>
        </is>
      </c>
      <c r="E2590" t="inlineStr">
        <is>
          <t>TIERP</t>
        </is>
      </c>
      <c r="F2590" t="inlineStr">
        <is>
          <t>Bergvik skog öst AB</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18144-2022</t>
        </is>
      </c>
      <c r="B2591" s="1" t="n">
        <v>44684</v>
      </c>
      <c r="C2591" s="1" t="n">
        <v>45705</v>
      </c>
      <c r="D2591" t="inlineStr">
        <is>
          <t>UPPSALA LÄN</t>
        </is>
      </c>
      <c r="E2591" t="inlineStr">
        <is>
          <t>HEBY</t>
        </is>
      </c>
      <c r="F2591" t="inlineStr">
        <is>
          <t>Bergvik skog väst AB</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18183-2022</t>
        </is>
      </c>
      <c r="B2592" s="1" t="n">
        <v>44684</v>
      </c>
      <c r="C2592" s="1" t="n">
        <v>45705</v>
      </c>
      <c r="D2592" t="inlineStr">
        <is>
          <t>UPPSALA LÄN</t>
        </is>
      </c>
      <c r="E2592" t="inlineStr">
        <is>
          <t>ÖSTHAMMAR</t>
        </is>
      </c>
      <c r="G2592" t="n">
        <v>0.2</v>
      </c>
      <c r="H2592" t="n">
        <v>0</v>
      </c>
      <c r="I2592" t="n">
        <v>0</v>
      </c>
      <c r="J2592" t="n">
        <v>0</v>
      </c>
      <c r="K2592" t="n">
        <v>0</v>
      </c>
      <c r="L2592" t="n">
        <v>0</v>
      </c>
      <c r="M2592" t="n">
        <v>0</v>
      </c>
      <c r="N2592" t="n">
        <v>0</v>
      </c>
      <c r="O2592" t="n">
        <v>0</v>
      </c>
      <c r="P2592" t="n">
        <v>0</v>
      </c>
      <c r="Q2592" t="n">
        <v>0</v>
      </c>
      <c r="R2592" s="2" t="inlineStr"/>
    </row>
    <row r="2593" ht="15" customHeight="1">
      <c r="A2593" t="inlineStr">
        <is>
          <t>A 18130-2022</t>
        </is>
      </c>
      <c r="B2593" s="1" t="n">
        <v>44684</v>
      </c>
      <c r="C2593" s="1" t="n">
        <v>45705</v>
      </c>
      <c r="D2593" t="inlineStr">
        <is>
          <t>UPPSALA LÄN</t>
        </is>
      </c>
      <c r="E2593" t="inlineStr">
        <is>
          <t>TIERP</t>
        </is>
      </c>
      <c r="G2593" t="n">
        <v>7.6</v>
      </c>
      <c r="H2593" t="n">
        <v>0</v>
      </c>
      <c r="I2593" t="n">
        <v>0</v>
      </c>
      <c r="J2593" t="n">
        <v>0</v>
      </c>
      <c r="K2593" t="n">
        <v>0</v>
      </c>
      <c r="L2593" t="n">
        <v>0</v>
      </c>
      <c r="M2593" t="n">
        <v>0</v>
      </c>
      <c r="N2593" t="n">
        <v>0</v>
      </c>
      <c r="O2593" t="n">
        <v>0</v>
      </c>
      <c r="P2593" t="n">
        <v>0</v>
      </c>
      <c r="Q2593" t="n">
        <v>0</v>
      </c>
      <c r="R2593" s="2" t="inlineStr"/>
    </row>
    <row r="2594" ht="15" customHeight="1">
      <c r="A2594" t="inlineStr">
        <is>
          <t>A 18330-2022</t>
        </is>
      </c>
      <c r="B2594" s="1" t="n">
        <v>44685</v>
      </c>
      <c r="C2594" s="1" t="n">
        <v>45705</v>
      </c>
      <c r="D2594" t="inlineStr">
        <is>
          <t>UPPSALA LÄN</t>
        </is>
      </c>
      <c r="E2594" t="inlineStr">
        <is>
          <t>UPPSALA</t>
        </is>
      </c>
      <c r="F2594" t="inlineStr">
        <is>
          <t>Bergvik skog öst AB</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18336-2022</t>
        </is>
      </c>
      <c r="B2595" s="1" t="n">
        <v>44685</v>
      </c>
      <c r="C2595" s="1" t="n">
        <v>45705</v>
      </c>
      <c r="D2595" t="inlineStr">
        <is>
          <t>UPPSALA LÄN</t>
        </is>
      </c>
      <c r="E2595" t="inlineStr">
        <is>
          <t>HEBY</t>
        </is>
      </c>
      <c r="G2595" t="n">
        <v>9.6</v>
      </c>
      <c r="H2595" t="n">
        <v>0</v>
      </c>
      <c r="I2595" t="n">
        <v>0</v>
      </c>
      <c r="J2595" t="n">
        <v>0</v>
      </c>
      <c r="K2595" t="n">
        <v>0</v>
      </c>
      <c r="L2595" t="n">
        <v>0</v>
      </c>
      <c r="M2595" t="n">
        <v>0</v>
      </c>
      <c r="N2595" t="n">
        <v>0</v>
      </c>
      <c r="O2595" t="n">
        <v>0</v>
      </c>
      <c r="P2595" t="n">
        <v>0</v>
      </c>
      <c r="Q2595" t="n">
        <v>0</v>
      </c>
      <c r="R2595" s="2" t="inlineStr"/>
    </row>
    <row r="2596" ht="15" customHeight="1">
      <c r="A2596" t="inlineStr">
        <is>
          <t>A 18258-2022</t>
        </is>
      </c>
      <c r="B2596" s="1" t="n">
        <v>44685</v>
      </c>
      <c r="C2596" s="1" t="n">
        <v>45705</v>
      </c>
      <c r="D2596" t="inlineStr">
        <is>
          <t>UPPSALA LÄN</t>
        </is>
      </c>
      <c r="E2596" t="inlineStr">
        <is>
          <t>KNIVSTA</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18521-2022</t>
        </is>
      </c>
      <c r="B2597" s="1" t="n">
        <v>44686</v>
      </c>
      <c r="C2597" s="1" t="n">
        <v>45705</v>
      </c>
      <c r="D2597" t="inlineStr">
        <is>
          <t>UPPSALA LÄN</t>
        </is>
      </c>
      <c r="E2597" t="inlineStr">
        <is>
          <t>UPPSALA</t>
        </is>
      </c>
      <c r="F2597" t="inlineStr">
        <is>
          <t>Bergvik skog öst AB</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18431-2022</t>
        </is>
      </c>
      <c r="B2598" s="1" t="n">
        <v>44686</v>
      </c>
      <c r="C2598" s="1" t="n">
        <v>45705</v>
      </c>
      <c r="D2598" t="inlineStr">
        <is>
          <t>UPPSALA LÄN</t>
        </is>
      </c>
      <c r="E2598" t="inlineStr">
        <is>
          <t>TIERP</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18732-2022</t>
        </is>
      </c>
      <c r="B2599" s="1" t="n">
        <v>44687</v>
      </c>
      <c r="C2599" s="1" t="n">
        <v>45705</v>
      </c>
      <c r="D2599" t="inlineStr">
        <is>
          <t>UPPSALA LÄN</t>
        </is>
      </c>
      <c r="E2599" t="inlineStr">
        <is>
          <t>ÖSTHAMMAR</t>
        </is>
      </c>
      <c r="G2599" t="n">
        <v>10.5</v>
      </c>
      <c r="H2599" t="n">
        <v>0</v>
      </c>
      <c r="I2599" t="n">
        <v>0</v>
      </c>
      <c r="J2599" t="n">
        <v>0</v>
      </c>
      <c r="K2599" t="n">
        <v>0</v>
      </c>
      <c r="L2599" t="n">
        <v>0</v>
      </c>
      <c r="M2599" t="n">
        <v>0</v>
      </c>
      <c r="N2599" t="n">
        <v>0</v>
      </c>
      <c r="O2599" t="n">
        <v>0</v>
      </c>
      <c r="P2599" t="n">
        <v>0</v>
      </c>
      <c r="Q2599" t="n">
        <v>0</v>
      </c>
      <c r="R2599" s="2" t="inlineStr"/>
    </row>
    <row r="2600" ht="15" customHeight="1">
      <c r="A2600" t="inlineStr">
        <is>
          <t>A 18583-2022</t>
        </is>
      </c>
      <c r="B2600" s="1" t="n">
        <v>44687</v>
      </c>
      <c r="C2600" s="1" t="n">
        <v>45705</v>
      </c>
      <c r="D2600" t="inlineStr">
        <is>
          <t>UPPSALA LÄN</t>
        </is>
      </c>
      <c r="E2600" t="inlineStr">
        <is>
          <t>UPPSALA</t>
        </is>
      </c>
      <c r="F2600" t="inlineStr">
        <is>
          <t>Övriga Aktiebolag</t>
        </is>
      </c>
      <c r="G2600" t="n">
        <v>6.4</v>
      </c>
      <c r="H2600" t="n">
        <v>0</v>
      </c>
      <c r="I2600" t="n">
        <v>0</v>
      </c>
      <c r="J2600" t="n">
        <v>0</v>
      </c>
      <c r="K2600" t="n">
        <v>0</v>
      </c>
      <c r="L2600" t="n">
        <v>0</v>
      </c>
      <c r="M2600" t="n">
        <v>0</v>
      </c>
      <c r="N2600" t="n">
        <v>0</v>
      </c>
      <c r="O2600" t="n">
        <v>0</v>
      </c>
      <c r="P2600" t="n">
        <v>0</v>
      </c>
      <c r="Q2600" t="n">
        <v>0</v>
      </c>
      <c r="R2600" s="2" t="inlineStr"/>
    </row>
    <row r="2601" ht="15" customHeight="1">
      <c r="A2601" t="inlineStr">
        <is>
          <t>A 18609-2022</t>
        </is>
      </c>
      <c r="B2601" s="1" t="n">
        <v>44687</v>
      </c>
      <c r="C2601" s="1" t="n">
        <v>45705</v>
      </c>
      <c r="D2601" t="inlineStr">
        <is>
          <t>UPPSALA LÄN</t>
        </is>
      </c>
      <c r="E2601" t="inlineStr">
        <is>
          <t>TIERP</t>
        </is>
      </c>
      <c r="G2601" t="n">
        <v>6.3</v>
      </c>
      <c r="H2601" t="n">
        <v>0</v>
      </c>
      <c r="I2601" t="n">
        <v>0</v>
      </c>
      <c r="J2601" t="n">
        <v>0</v>
      </c>
      <c r="K2601" t="n">
        <v>0</v>
      </c>
      <c r="L2601" t="n">
        <v>0</v>
      </c>
      <c r="M2601" t="n">
        <v>0</v>
      </c>
      <c r="N2601" t="n">
        <v>0</v>
      </c>
      <c r="O2601" t="n">
        <v>0</v>
      </c>
      <c r="P2601" t="n">
        <v>0</v>
      </c>
      <c r="Q2601" t="n">
        <v>0</v>
      </c>
      <c r="R2601" s="2" t="inlineStr"/>
    </row>
    <row r="2602" ht="15" customHeight="1">
      <c r="A2602" t="inlineStr">
        <is>
          <t>A 18727-2022</t>
        </is>
      </c>
      <c r="B2602" s="1" t="n">
        <v>44687</v>
      </c>
      <c r="C2602" s="1" t="n">
        <v>45705</v>
      </c>
      <c r="D2602" t="inlineStr">
        <is>
          <t>UPPSALA LÄN</t>
        </is>
      </c>
      <c r="E2602" t="inlineStr">
        <is>
          <t>ÖSTHAMMAR</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18728-2022</t>
        </is>
      </c>
      <c r="B2603" s="1" t="n">
        <v>44687</v>
      </c>
      <c r="C2603" s="1" t="n">
        <v>45705</v>
      </c>
      <c r="D2603" t="inlineStr">
        <is>
          <t>UPPSALA LÄN</t>
        </is>
      </c>
      <c r="E2603" t="inlineStr">
        <is>
          <t>ÖSTHAMMAR</t>
        </is>
      </c>
      <c r="G2603" t="n">
        <v>8.1</v>
      </c>
      <c r="H2603" t="n">
        <v>0</v>
      </c>
      <c r="I2603" t="n">
        <v>0</v>
      </c>
      <c r="J2603" t="n">
        <v>0</v>
      </c>
      <c r="K2603" t="n">
        <v>0</v>
      </c>
      <c r="L2603" t="n">
        <v>0</v>
      </c>
      <c r="M2603" t="n">
        <v>0</v>
      </c>
      <c r="N2603" t="n">
        <v>0</v>
      </c>
      <c r="O2603" t="n">
        <v>0</v>
      </c>
      <c r="P2603" t="n">
        <v>0</v>
      </c>
      <c r="Q2603" t="n">
        <v>0</v>
      </c>
      <c r="R2603" s="2" t="inlineStr"/>
    </row>
    <row r="2604" ht="15" customHeight="1">
      <c r="A2604" t="inlineStr">
        <is>
          <t>A 18734-2022</t>
        </is>
      </c>
      <c r="B2604" s="1" t="n">
        <v>44687</v>
      </c>
      <c r="C2604" s="1" t="n">
        <v>45705</v>
      </c>
      <c r="D2604" t="inlineStr">
        <is>
          <t>UPPSALA LÄN</t>
        </is>
      </c>
      <c r="E2604" t="inlineStr">
        <is>
          <t>ÖSTHAMMAR</t>
        </is>
      </c>
      <c r="F2604" t="inlineStr">
        <is>
          <t>Bergvik skog öst AB</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18731-2022</t>
        </is>
      </c>
      <c r="B2605" s="1" t="n">
        <v>44687</v>
      </c>
      <c r="C2605" s="1" t="n">
        <v>45705</v>
      </c>
      <c r="D2605" t="inlineStr">
        <is>
          <t>UPPSALA LÄN</t>
        </is>
      </c>
      <c r="E2605" t="inlineStr">
        <is>
          <t>ÖSTHAMMAR</t>
        </is>
      </c>
      <c r="G2605" t="n">
        <v>4.9</v>
      </c>
      <c r="H2605" t="n">
        <v>0</v>
      </c>
      <c r="I2605" t="n">
        <v>0</v>
      </c>
      <c r="J2605" t="n">
        <v>0</v>
      </c>
      <c r="K2605" t="n">
        <v>0</v>
      </c>
      <c r="L2605" t="n">
        <v>0</v>
      </c>
      <c r="M2605" t="n">
        <v>0</v>
      </c>
      <c r="N2605" t="n">
        <v>0</v>
      </c>
      <c r="O2605" t="n">
        <v>0</v>
      </c>
      <c r="P2605" t="n">
        <v>0</v>
      </c>
      <c r="Q2605" t="n">
        <v>0</v>
      </c>
      <c r="R2605" s="2" t="inlineStr"/>
    </row>
    <row r="2606" ht="15" customHeight="1">
      <c r="A2606" t="inlineStr">
        <is>
          <t>A 18736-2022</t>
        </is>
      </c>
      <c r="B2606" s="1" t="n">
        <v>44687</v>
      </c>
      <c r="C2606" s="1" t="n">
        <v>45705</v>
      </c>
      <c r="D2606" t="inlineStr">
        <is>
          <t>UPPSALA LÄN</t>
        </is>
      </c>
      <c r="E2606" t="inlineStr">
        <is>
          <t>ÖSTHAMMAR</t>
        </is>
      </c>
      <c r="F2606" t="inlineStr">
        <is>
          <t>Bergvik skog öst AB</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18785-2022</t>
        </is>
      </c>
      <c r="B2607" s="1" t="n">
        <v>44687</v>
      </c>
      <c r="C2607" s="1" t="n">
        <v>45705</v>
      </c>
      <c r="D2607" t="inlineStr">
        <is>
          <t>UPPSALA LÄN</t>
        </is>
      </c>
      <c r="E2607" t="inlineStr">
        <is>
          <t>ENKÖPING</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18781-2022</t>
        </is>
      </c>
      <c r="B2608" s="1" t="n">
        <v>44689</v>
      </c>
      <c r="C2608" s="1" t="n">
        <v>45705</v>
      </c>
      <c r="D2608" t="inlineStr">
        <is>
          <t>UPPSALA LÄN</t>
        </is>
      </c>
      <c r="E2608" t="inlineStr">
        <is>
          <t>TIERP</t>
        </is>
      </c>
      <c r="F2608" t="inlineStr">
        <is>
          <t>Kyrkan</t>
        </is>
      </c>
      <c r="G2608" t="n">
        <v>8.4</v>
      </c>
      <c r="H2608" t="n">
        <v>0</v>
      </c>
      <c r="I2608" t="n">
        <v>0</v>
      </c>
      <c r="J2608" t="n">
        <v>0</v>
      </c>
      <c r="K2608" t="n">
        <v>0</v>
      </c>
      <c r="L2608" t="n">
        <v>0</v>
      </c>
      <c r="M2608" t="n">
        <v>0</v>
      </c>
      <c r="N2608" t="n">
        <v>0</v>
      </c>
      <c r="O2608" t="n">
        <v>0</v>
      </c>
      <c r="P2608" t="n">
        <v>0</v>
      </c>
      <c r="Q2608" t="n">
        <v>0</v>
      </c>
      <c r="R2608" s="2" t="inlineStr"/>
    </row>
    <row r="2609" ht="15" customHeight="1">
      <c r="A2609" t="inlineStr">
        <is>
          <t>A 18820-2022</t>
        </is>
      </c>
      <c r="B2609" s="1" t="n">
        <v>44690</v>
      </c>
      <c r="C2609" s="1" t="n">
        <v>45705</v>
      </c>
      <c r="D2609" t="inlineStr">
        <is>
          <t>UPPSALA LÄN</t>
        </is>
      </c>
      <c r="E2609" t="inlineStr">
        <is>
          <t>KNIVSTA</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18960-2022</t>
        </is>
      </c>
      <c r="B2610" s="1" t="n">
        <v>44690</v>
      </c>
      <c r="C2610" s="1" t="n">
        <v>45705</v>
      </c>
      <c r="D2610" t="inlineStr">
        <is>
          <t>UPPSALA LÄN</t>
        </is>
      </c>
      <c r="E2610" t="inlineStr">
        <is>
          <t>UPPSALA</t>
        </is>
      </c>
      <c r="F2610" t="inlineStr">
        <is>
          <t>Bergvik skog öst AB</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19034-2022</t>
        </is>
      </c>
      <c r="B2611" s="1" t="n">
        <v>44691</v>
      </c>
      <c r="C2611" s="1" t="n">
        <v>45705</v>
      </c>
      <c r="D2611" t="inlineStr">
        <is>
          <t>UPPSALA LÄN</t>
        </is>
      </c>
      <c r="E2611" t="inlineStr">
        <is>
          <t>UPPSALA</t>
        </is>
      </c>
      <c r="F2611" t="inlineStr">
        <is>
          <t>Bergvik skog öst AB</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19174-2022</t>
        </is>
      </c>
      <c r="B2612" s="1" t="n">
        <v>44691</v>
      </c>
      <c r="C2612" s="1" t="n">
        <v>45705</v>
      </c>
      <c r="D2612" t="inlineStr">
        <is>
          <t>UPPSALA LÄN</t>
        </is>
      </c>
      <c r="E2612" t="inlineStr">
        <is>
          <t>ÖSTHAMMAR</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19181-2022</t>
        </is>
      </c>
      <c r="B2613" s="1" t="n">
        <v>44691</v>
      </c>
      <c r="C2613" s="1" t="n">
        <v>45705</v>
      </c>
      <c r="D2613" t="inlineStr">
        <is>
          <t>UPPSALA LÄN</t>
        </is>
      </c>
      <c r="E2613" t="inlineStr">
        <is>
          <t>ÖSTHAMMAR</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19184-2022</t>
        </is>
      </c>
      <c r="B2614" s="1" t="n">
        <v>44691</v>
      </c>
      <c r="C2614" s="1" t="n">
        <v>45705</v>
      </c>
      <c r="D2614" t="inlineStr">
        <is>
          <t>UPPSALA LÄN</t>
        </is>
      </c>
      <c r="E2614" t="inlineStr">
        <is>
          <t>HEBY</t>
        </is>
      </c>
      <c r="G2614" t="n">
        <v>7.3</v>
      </c>
      <c r="H2614" t="n">
        <v>0</v>
      </c>
      <c r="I2614" t="n">
        <v>0</v>
      </c>
      <c r="J2614" t="n">
        <v>0</v>
      </c>
      <c r="K2614" t="n">
        <v>0</v>
      </c>
      <c r="L2614" t="n">
        <v>0</v>
      </c>
      <c r="M2614" t="n">
        <v>0</v>
      </c>
      <c r="N2614" t="n">
        <v>0</v>
      </c>
      <c r="O2614" t="n">
        <v>0</v>
      </c>
      <c r="P2614" t="n">
        <v>0</v>
      </c>
      <c r="Q2614" t="n">
        <v>0</v>
      </c>
      <c r="R2614" s="2" t="inlineStr"/>
    </row>
    <row r="2615" ht="15" customHeight="1">
      <c r="A2615" t="inlineStr">
        <is>
          <t>A 19287-2022</t>
        </is>
      </c>
      <c r="B2615" s="1" t="n">
        <v>44692</v>
      </c>
      <c r="C2615" s="1" t="n">
        <v>45705</v>
      </c>
      <c r="D2615" t="inlineStr">
        <is>
          <t>UPPSALA LÄN</t>
        </is>
      </c>
      <c r="E2615" t="inlineStr">
        <is>
          <t>ÖSTHAMMAR</t>
        </is>
      </c>
      <c r="F2615" t="inlineStr">
        <is>
          <t>Bergvik skog öst AB</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19240-2022</t>
        </is>
      </c>
      <c r="B2616" s="1" t="n">
        <v>44692</v>
      </c>
      <c r="C2616" s="1" t="n">
        <v>45705</v>
      </c>
      <c r="D2616" t="inlineStr">
        <is>
          <t>UPPSALA LÄN</t>
        </is>
      </c>
      <c r="E2616" t="inlineStr">
        <is>
          <t>UPPSALA</t>
        </is>
      </c>
      <c r="F2616" t="inlineStr">
        <is>
          <t>Bergvik skog öst AB</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19375-2022</t>
        </is>
      </c>
      <c r="B2617" s="1" t="n">
        <v>44692</v>
      </c>
      <c r="C2617" s="1" t="n">
        <v>45705</v>
      </c>
      <c r="D2617" t="inlineStr">
        <is>
          <t>UPPSALA LÄN</t>
        </is>
      </c>
      <c r="E2617" t="inlineStr">
        <is>
          <t>UPPSALA</t>
        </is>
      </c>
      <c r="F2617" t="inlineStr">
        <is>
          <t>Bergvik skog öst AB</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19380-2022</t>
        </is>
      </c>
      <c r="B2618" s="1" t="n">
        <v>44692</v>
      </c>
      <c r="C2618" s="1" t="n">
        <v>45705</v>
      </c>
      <c r="D2618" t="inlineStr">
        <is>
          <t>UPPSALA LÄN</t>
        </is>
      </c>
      <c r="E2618" t="inlineStr">
        <is>
          <t>UPPSALA</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19382-2022</t>
        </is>
      </c>
      <c r="B2619" s="1" t="n">
        <v>44692</v>
      </c>
      <c r="C2619" s="1" t="n">
        <v>45705</v>
      </c>
      <c r="D2619" t="inlineStr">
        <is>
          <t>UPPSALA LÄN</t>
        </is>
      </c>
      <c r="E2619" t="inlineStr">
        <is>
          <t>UPPSALA</t>
        </is>
      </c>
      <c r="G2619" t="n">
        <v>4.3</v>
      </c>
      <c r="H2619" t="n">
        <v>0</v>
      </c>
      <c r="I2619" t="n">
        <v>0</v>
      </c>
      <c r="J2619" t="n">
        <v>0</v>
      </c>
      <c r="K2619" t="n">
        <v>0</v>
      </c>
      <c r="L2619" t="n">
        <v>0</v>
      </c>
      <c r="M2619" t="n">
        <v>0</v>
      </c>
      <c r="N2619" t="n">
        <v>0</v>
      </c>
      <c r="O2619" t="n">
        <v>0</v>
      </c>
      <c r="P2619" t="n">
        <v>0</v>
      </c>
      <c r="Q2619" t="n">
        <v>0</v>
      </c>
      <c r="R2619" s="2" t="inlineStr"/>
    </row>
    <row r="2620" ht="15" customHeight="1">
      <c r="A2620" t="inlineStr">
        <is>
          <t>A 19487-2022</t>
        </is>
      </c>
      <c r="B2620" s="1" t="n">
        <v>44693</v>
      </c>
      <c r="C2620" s="1" t="n">
        <v>45705</v>
      </c>
      <c r="D2620" t="inlineStr">
        <is>
          <t>UPPSALA LÄN</t>
        </is>
      </c>
      <c r="E2620" t="inlineStr">
        <is>
          <t>ENKÖPING</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19488-2022</t>
        </is>
      </c>
      <c r="B2621" s="1" t="n">
        <v>44693</v>
      </c>
      <c r="C2621" s="1" t="n">
        <v>45705</v>
      </c>
      <c r="D2621" t="inlineStr">
        <is>
          <t>UPPSALA LÄN</t>
        </is>
      </c>
      <c r="E2621" t="inlineStr">
        <is>
          <t>ENKÖPING</t>
        </is>
      </c>
      <c r="G2621" t="n">
        <v>7.8</v>
      </c>
      <c r="H2621" t="n">
        <v>0</v>
      </c>
      <c r="I2621" t="n">
        <v>0</v>
      </c>
      <c r="J2621" t="n">
        <v>0</v>
      </c>
      <c r="K2621" t="n">
        <v>0</v>
      </c>
      <c r="L2621" t="n">
        <v>0</v>
      </c>
      <c r="M2621" t="n">
        <v>0</v>
      </c>
      <c r="N2621" t="n">
        <v>0</v>
      </c>
      <c r="O2621" t="n">
        <v>0</v>
      </c>
      <c r="P2621" t="n">
        <v>0</v>
      </c>
      <c r="Q2621" t="n">
        <v>0</v>
      </c>
      <c r="R2621" s="2" t="inlineStr"/>
    </row>
    <row r="2622" ht="15" customHeight="1">
      <c r="A2622" t="inlineStr">
        <is>
          <t>A 19654-2022</t>
        </is>
      </c>
      <c r="B2622" s="1" t="n">
        <v>44694</v>
      </c>
      <c r="C2622" s="1" t="n">
        <v>45705</v>
      </c>
      <c r="D2622" t="inlineStr">
        <is>
          <t>UPPSALA LÄN</t>
        </is>
      </c>
      <c r="E2622" t="inlineStr">
        <is>
          <t>HEBY</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19735-2022</t>
        </is>
      </c>
      <c r="B2623" s="1" t="n">
        <v>44694</v>
      </c>
      <c r="C2623" s="1" t="n">
        <v>45705</v>
      </c>
      <c r="D2623" t="inlineStr">
        <is>
          <t>UPPSALA LÄN</t>
        </is>
      </c>
      <c r="E2623" t="inlineStr">
        <is>
          <t>HEBY</t>
        </is>
      </c>
      <c r="F2623" t="inlineStr">
        <is>
          <t>Bergvik skog väst AB</t>
        </is>
      </c>
      <c r="G2623" t="n">
        <v>7</v>
      </c>
      <c r="H2623" t="n">
        <v>0</v>
      </c>
      <c r="I2623" t="n">
        <v>0</v>
      </c>
      <c r="J2623" t="n">
        <v>0</v>
      </c>
      <c r="K2623" t="n">
        <v>0</v>
      </c>
      <c r="L2623" t="n">
        <v>0</v>
      </c>
      <c r="M2623" t="n">
        <v>0</v>
      </c>
      <c r="N2623" t="n">
        <v>0</v>
      </c>
      <c r="O2623" t="n">
        <v>0</v>
      </c>
      <c r="P2623" t="n">
        <v>0</v>
      </c>
      <c r="Q2623" t="n">
        <v>0</v>
      </c>
      <c r="R2623" s="2" t="inlineStr"/>
    </row>
    <row r="2624" ht="15" customHeight="1">
      <c r="A2624" t="inlineStr">
        <is>
          <t>A 19707-2022</t>
        </is>
      </c>
      <c r="B2624" s="1" t="n">
        <v>44694</v>
      </c>
      <c r="C2624" s="1" t="n">
        <v>45705</v>
      </c>
      <c r="D2624" t="inlineStr">
        <is>
          <t>UPPSALA LÄN</t>
        </is>
      </c>
      <c r="E2624" t="inlineStr">
        <is>
          <t>ÖSTHAMMAR</t>
        </is>
      </c>
      <c r="F2624" t="inlineStr">
        <is>
          <t>Allmännings- och besparingsskogar</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19683-2022</t>
        </is>
      </c>
      <c r="B2625" s="1" t="n">
        <v>44694</v>
      </c>
      <c r="C2625" s="1" t="n">
        <v>45705</v>
      </c>
      <c r="D2625" t="inlineStr">
        <is>
          <t>UPPSALA LÄN</t>
        </is>
      </c>
      <c r="E2625" t="inlineStr">
        <is>
          <t>HEBY</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19721-2022</t>
        </is>
      </c>
      <c r="B2626" s="1" t="n">
        <v>44694</v>
      </c>
      <c r="C2626" s="1" t="n">
        <v>45705</v>
      </c>
      <c r="D2626" t="inlineStr">
        <is>
          <t>UPPSALA LÄN</t>
        </is>
      </c>
      <c r="E2626" t="inlineStr">
        <is>
          <t>HEBY</t>
        </is>
      </c>
      <c r="F2626" t="inlineStr">
        <is>
          <t>Bergvik skog väst AB</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19731-2022</t>
        </is>
      </c>
      <c r="B2627" s="1" t="n">
        <v>44694</v>
      </c>
      <c r="C2627" s="1" t="n">
        <v>45705</v>
      </c>
      <c r="D2627" t="inlineStr">
        <is>
          <t>UPPSALA LÄN</t>
        </is>
      </c>
      <c r="E2627" t="inlineStr">
        <is>
          <t>ENKÖPING</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19840-2022</t>
        </is>
      </c>
      <c r="B2628" s="1" t="n">
        <v>44696</v>
      </c>
      <c r="C2628" s="1" t="n">
        <v>45705</v>
      </c>
      <c r="D2628" t="inlineStr">
        <is>
          <t>UPPSALA LÄN</t>
        </is>
      </c>
      <c r="E2628" t="inlineStr">
        <is>
          <t>TIERP</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19965-2022</t>
        </is>
      </c>
      <c r="B2629" s="1" t="n">
        <v>44697</v>
      </c>
      <c r="C2629" s="1" t="n">
        <v>45705</v>
      </c>
      <c r="D2629" t="inlineStr">
        <is>
          <t>UPPSALA LÄN</t>
        </is>
      </c>
      <c r="E2629" t="inlineStr">
        <is>
          <t>ENKÖPING</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19990-2022</t>
        </is>
      </c>
      <c r="B2630" s="1" t="n">
        <v>44697</v>
      </c>
      <c r="C2630" s="1" t="n">
        <v>45705</v>
      </c>
      <c r="D2630" t="inlineStr">
        <is>
          <t>UPPSALA LÄN</t>
        </is>
      </c>
      <c r="E2630" t="inlineStr">
        <is>
          <t>HEBY</t>
        </is>
      </c>
      <c r="F2630" t="inlineStr">
        <is>
          <t>Bergvik skog väst AB</t>
        </is>
      </c>
      <c r="G2630" t="n">
        <v>14.3</v>
      </c>
      <c r="H2630" t="n">
        <v>0</v>
      </c>
      <c r="I2630" t="n">
        <v>0</v>
      </c>
      <c r="J2630" t="n">
        <v>0</v>
      </c>
      <c r="K2630" t="n">
        <v>0</v>
      </c>
      <c r="L2630" t="n">
        <v>0</v>
      </c>
      <c r="M2630" t="n">
        <v>0</v>
      </c>
      <c r="N2630" t="n">
        <v>0</v>
      </c>
      <c r="O2630" t="n">
        <v>0</v>
      </c>
      <c r="P2630" t="n">
        <v>0</v>
      </c>
      <c r="Q2630" t="n">
        <v>0</v>
      </c>
      <c r="R2630" s="2" t="inlineStr"/>
    </row>
    <row r="2631" ht="15" customHeight="1">
      <c r="A2631" t="inlineStr">
        <is>
          <t>A 19896-2022</t>
        </is>
      </c>
      <c r="B2631" s="1" t="n">
        <v>44697</v>
      </c>
      <c r="C2631" s="1" t="n">
        <v>45705</v>
      </c>
      <c r="D2631" t="inlineStr">
        <is>
          <t>UPPSALA LÄN</t>
        </is>
      </c>
      <c r="E2631" t="inlineStr">
        <is>
          <t>HEBY</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20288-2022</t>
        </is>
      </c>
      <c r="B2632" s="1" t="n">
        <v>44698</v>
      </c>
      <c r="C2632" s="1" t="n">
        <v>45705</v>
      </c>
      <c r="D2632" t="inlineStr">
        <is>
          <t>UPPSALA LÄN</t>
        </is>
      </c>
      <c r="E2632" t="inlineStr">
        <is>
          <t>TIERP</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20265-2022</t>
        </is>
      </c>
      <c r="B2633" s="1" t="n">
        <v>44698</v>
      </c>
      <c r="C2633" s="1" t="n">
        <v>45705</v>
      </c>
      <c r="D2633" t="inlineStr">
        <is>
          <t>UPPSALA LÄN</t>
        </is>
      </c>
      <c r="E2633" t="inlineStr">
        <is>
          <t>UPPSALA</t>
        </is>
      </c>
      <c r="F2633" t="inlineStr">
        <is>
          <t>Bergvik skog öst AB</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20321-2022</t>
        </is>
      </c>
      <c r="B2634" s="1" t="n">
        <v>44699</v>
      </c>
      <c r="C2634" s="1" t="n">
        <v>45705</v>
      </c>
      <c r="D2634" t="inlineStr">
        <is>
          <t>UPPSALA LÄN</t>
        </is>
      </c>
      <c r="E2634" t="inlineStr">
        <is>
          <t>ENKÖPING</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20468-2022</t>
        </is>
      </c>
      <c r="B2635" s="1" t="n">
        <v>44699</v>
      </c>
      <c r="C2635" s="1" t="n">
        <v>45705</v>
      </c>
      <c r="D2635" t="inlineStr">
        <is>
          <t>UPPSALA LÄN</t>
        </is>
      </c>
      <c r="E2635" t="inlineStr">
        <is>
          <t>ÖSTHAMMAR</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20497-2022</t>
        </is>
      </c>
      <c r="B2636" s="1" t="n">
        <v>44699</v>
      </c>
      <c r="C2636" s="1" t="n">
        <v>45705</v>
      </c>
      <c r="D2636" t="inlineStr">
        <is>
          <t>UPPSALA LÄN</t>
        </is>
      </c>
      <c r="E2636" t="inlineStr">
        <is>
          <t>UPPSALA</t>
        </is>
      </c>
      <c r="F2636" t="inlineStr">
        <is>
          <t>Övriga statliga verk och myndigheter</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20627-2022</t>
        </is>
      </c>
      <c r="B2637" s="1" t="n">
        <v>44700</v>
      </c>
      <c r="C2637" s="1" t="n">
        <v>45705</v>
      </c>
      <c r="D2637" t="inlineStr">
        <is>
          <t>UPPSALA LÄN</t>
        </is>
      </c>
      <c r="E2637" t="inlineStr">
        <is>
          <t>HEBY</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20587-2022</t>
        </is>
      </c>
      <c r="B2638" s="1" t="n">
        <v>44700</v>
      </c>
      <c r="C2638" s="1" t="n">
        <v>45705</v>
      </c>
      <c r="D2638" t="inlineStr">
        <is>
          <t>UPPSALA LÄN</t>
        </is>
      </c>
      <c r="E2638" t="inlineStr">
        <is>
          <t>TIERP</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20770-2022</t>
        </is>
      </c>
      <c r="B2639" s="1" t="n">
        <v>44700</v>
      </c>
      <c r="C2639" s="1" t="n">
        <v>45705</v>
      </c>
      <c r="D2639" t="inlineStr">
        <is>
          <t>UPPSALA LÄN</t>
        </is>
      </c>
      <c r="E2639" t="inlineStr">
        <is>
          <t>UPPSALA</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20764-2022</t>
        </is>
      </c>
      <c r="B2640" s="1" t="n">
        <v>44700</v>
      </c>
      <c r="C2640" s="1" t="n">
        <v>45705</v>
      </c>
      <c r="D2640" t="inlineStr">
        <is>
          <t>UPPSALA LÄN</t>
        </is>
      </c>
      <c r="E2640" t="inlineStr">
        <is>
          <t>UPPSALA</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20882-2022</t>
        </is>
      </c>
      <c r="B2641" s="1" t="n">
        <v>44701</v>
      </c>
      <c r="C2641" s="1" t="n">
        <v>45705</v>
      </c>
      <c r="D2641" t="inlineStr">
        <is>
          <t>UPPSALA LÄN</t>
        </is>
      </c>
      <c r="E2641" t="inlineStr">
        <is>
          <t>HEBY</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20885-2022</t>
        </is>
      </c>
      <c r="B2642" s="1" t="n">
        <v>44701</v>
      </c>
      <c r="C2642" s="1" t="n">
        <v>45705</v>
      </c>
      <c r="D2642" t="inlineStr">
        <is>
          <t>UPPSALA LÄN</t>
        </is>
      </c>
      <c r="E2642" t="inlineStr">
        <is>
          <t>TIERP</t>
        </is>
      </c>
      <c r="F2642" t="inlineStr">
        <is>
          <t>Övriga Aktiebolag</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20997-2022</t>
        </is>
      </c>
      <c r="B2643" s="1" t="n">
        <v>44701</v>
      </c>
      <c r="C2643" s="1" t="n">
        <v>45705</v>
      </c>
      <c r="D2643" t="inlineStr">
        <is>
          <t>UPPSALA LÄN</t>
        </is>
      </c>
      <c r="E2643" t="inlineStr">
        <is>
          <t>TIERP</t>
        </is>
      </c>
      <c r="F2643" t="inlineStr">
        <is>
          <t>Bergvik skog väst AB</t>
        </is>
      </c>
      <c r="G2643" t="n">
        <v>40</v>
      </c>
      <c r="H2643" t="n">
        <v>0</v>
      </c>
      <c r="I2643" t="n">
        <v>0</v>
      </c>
      <c r="J2643" t="n">
        <v>0</v>
      </c>
      <c r="K2643" t="n">
        <v>0</v>
      </c>
      <c r="L2643" t="n">
        <v>0</v>
      </c>
      <c r="M2643" t="n">
        <v>0</v>
      </c>
      <c r="N2643" t="n">
        <v>0</v>
      </c>
      <c r="O2643" t="n">
        <v>0</v>
      </c>
      <c r="P2643" t="n">
        <v>0</v>
      </c>
      <c r="Q2643" t="n">
        <v>0</v>
      </c>
      <c r="R2643" s="2" t="inlineStr"/>
    </row>
    <row r="2644" ht="15" customHeight="1">
      <c r="A2644" t="inlineStr">
        <is>
          <t>A 20938-2022</t>
        </is>
      </c>
      <c r="B2644" s="1" t="n">
        <v>44701</v>
      </c>
      <c r="C2644" s="1" t="n">
        <v>45705</v>
      </c>
      <c r="D2644" t="inlineStr">
        <is>
          <t>UPPSALA LÄN</t>
        </is>
      </c>
      <c r="E2644" t="inlineStr">
        <is>
          <t>UPPSALA</t>
        </is>
      </c>
      <c r="F2644" t="inlineStr">
        <is>
          <t>Bergvik skog öst AB</t>
        </is>
      </c>
      <c r="G2644" t="n">
        <v>7.2</v>
      </c>
      <c r="H2644" t="n">
        <v>0</v>
      </c>
      <c r="I2644" t="n">
        <v>0</v>
      </c>
      <c r="J2644" t="n">
        <v>0</v>
      </c>
      <c r="K2644" t="n">
        <v>0</v>
      </c>
      <c r="L2644" t="n">
        <v>0</v>
      </c>
      <c r="M2644" t="n">
        <v>0</v>
      </c>
      <c r="N2644" t="n">
        <v>0</v>
      </c>
      <c r="O2644" t="n">
        <v>0</v>
      </c>
      <c r="P2644" t="n">
        <v>0</v>
      </c>
      <c r="Q2644" t="n">
        <v>0</v>
      </c>
      <c r="R2644" s="2" t="inlineStr"/>
    </row>
    <row r="2645" ht="15" customHeight="1">
      <c r="A2645" t="inlineStr">
        <is>
          <t>A 20911-2022</t>
        </is>
      </c>
      <c r="B2645" s="1" t="n">
        <v>44701</v>
      </c>
      <c r="C2645" s="1" t="n">
        <v>45705</v>
      </c>
      <c r="D2645" t="inlineStr">
        <is>
          <t>UPPSALA LÄN</t>
        </is>
      </c>
      <c r="E2645" t="inlineStr">
        <is>
          <t>TIERP</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21000-2022</t>
        </is>
      </c>
      <c r="B2646" s="1" t="n">
        <v>44701</v>
      </c>
      <c r="C2646" s="1" t="n">
        <v>45705</v>
      </c>
      <c r="D2646" t="inlineStr">
        <is>
          <t>UPPSALA LÄN</t>
        </is>
      </c>
      <c r="E2646" t="inlineStr">
        <is>
          <t>HEBY</t>
        </is>
      </c>
      <c r="F2646" t="inlineStr">
        <is>
          <t>Bergvik skog väst AB</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20936-2022</t>
        </is>
      </c>
      <c r="B2647" s="1" t="n">
        <v>44701</v>
      </c>
      <c r="C2647" s="1" t="n">
        <v>45705</v>
      </c>
      <c r="D2647" t="inlineStr">
        <is>
          <t>UPPSALA LÄN</t>
        </is>
      </c>
      <c r="E2647" t="inlineStr">
        <is>
          <t>UPPSALA</t>
        </is>
      </c>
      <c r="G2647" t="n">
        <v>4.8</v>
      </c>
      <c r="H2647" t="n">
        <v>0</v>
      </c>
      <c r="I2647" t="n">
        <v>0</v>
      </c>
      <c r="J2647" t="n">
        <v>0</v>
      </c>
      <c r="K2647" t="n">
        <v>0</v>
      </c>
      <c r="L2647" t="n">
        <v>0</v>
      </c>
      <c r="M2647" t="n">
        <v>0</v>
      </c>
      <c r="N2647" t="n">
        <v>0</v>
      </c>
      <c r="O2647" t="n">
        <v>0</v>
      </c>
      <c r="P2647" t="n">
        <v>0</v>
      </c>
      <c r="Q2647" t="n">
        <v>0</v>
      </c>
      <c r="R2647" s="2" t="inlineStr"/>
    </row>
    <row r="2648" ht="15" customHeight="1">
      <c r="A2648" t="inlineStr">
        <is>
          <t>A 20980-2022</t>
        </is>
      </c>
      <c r="B2648" s="1" t="n">
        <v>44702</v>
      </c>
      <c r="C2648" s="1" t="n">
        <v>45705</v>
      </c>
      <c r="D2648" t="inlineStr">
        <is>
          <t>UPPSALA LÄN</t>
        </is>
      </c>
      <c r="E2648" t="inlineStr">
        <is>
          <t>UPPSALA</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21034-2022</t>
        </is>
      </c>
      <c r="B2649" s="1" t="n">
        <v>44704</v>
      </c>
      <c r="C2649" s="1" t="n">
        <v>45705</v>
      </c>
      <c r="D2649" t="inlineStr">
        <is>
          <t>UPPSALA LÄN</t>
        </is>
      </c>
      <c r="E2649" t="inlineStr">
        <is>
          <t>TIERP</t>
        </is>
      </c>
      <c r="G2649" t="n">
        <v>4</v>
      </c>
      <c r="H2649" t="n">
        <v>0</v>
      </c>
      <c r="I2649" t="n">
        <v>0</v>
      </c>
      <c r="J2649" t="n">
        <v>0</v>
      </c>
      <c r="K2649" t="n">
        <v>0</v>
      </c>
      <c r="L2649" t="n">
        <v>0</v>
      </c>
      <c r="M2649" t="n">
        <v>0</v>
      </c>
      <c r="N2649" t="n">
        <v>0</v>
      </c>
      <c r="O2649" t="n">
        <v>0</v>
      </c>
      <c r="P2649" t="n">
        <v>0</v>
      </c>
      <c r="Q2649" t="n">
        <v>0</v>
      </c>
      <c r="R2649" s="2" t="inlineStr"/>
    </row>
    <row r="2650" ht="15" customHeight="1">
      <c r="A2650" t="inlineStr">
        <is>
          <t>A 21047-2022</t>
        </is>
      </c>
      <c r="B2650" s="1" t="n">
        <v>44704</v>
      </c>
      <c r="C2650" s="1" t="n">
        <v>45705</v>
      </c>
      <c r="D2650" t="inlineStr">
        <is>
          <t>UPPSALA LÄN</t>
        </is>
      </c>
      <c r="E2650" t="inlineStr">
        <is>
          <t>TIERP</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21017-2022</t>
        </is>
      </c>
      <c r="B2651" s="1" t="n">
        <v>44704</v>
      </c>
      <c r="C2651" s="1" t="n">
        <v>45705</v>
      </c>
      <c r="D2651" t="inlineStr">
        <is>
          <t>UPPSALA LÄN</t>
        </is>
      </c>
      <c r="E2651" t="inlineStr">
        <is>
          <t>TIERP</t>
        </is>
      </c>
      <c r="G2651" t="n">
        <v>3.5</v>
      </c>
      <c r="H2651" t="n">
        <v>0</v>
      </c>
      <c r="I2651" t="n">
        <v>0</v>
      </c>
      <c r="J2651" t="n">
        <v>0</v>
      </c>
      <c r="K2651" t="n">
        <v>0</v>
      </c>
      <c r="L2651" t="n">
        <v>0</v>
      </c>
      <c r="M2651" t="n">
        <v>0</v>
      </c>
      <c r="N2651" t="n">
        <v>0</v>
      </c>
      <c r="O2651" t="n">
        <v>0</v>
      </c>
      <c r="P2651" t="n">
        <v>0</v>
      </c>
      <c r="Q2651" t="n">
        <v>0</v>
      </c>
      <c r="R2651" s="2" t="inlineStr"/>
    </row>
    <row r="2652" ht="15" customHeight="1">
      <c r="A2652" t="inlineStr">
        <is>
          <t>A 21032-2022</t>
        </is>
      </c>
      <c r="B2652" s="1" t="n">
        <v>44704</v>
      </c>
      <c r="C2652" s="1" t="n">
        <v>45705</v>
      </c>
      <c r="D2652" t="inlineStr">
        <is>
          <t>UPPSALA LÄN</t>
        </is>
      </c>
      <c r="E2652" t="inlineStr">
        <is>
          <t>TIERP</t>
        </is>
      </c>
      <c r="F2652" t="inlineStr">
        <is>
          <t>Bergvik skog öst AB</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21132-2022</t>
        </is>
      </c>
      <c r="B2653" s="1" t="n">
        <v>44704</v>
      </c>
      <c r="C2653" s="1" t="n">
        <v>45705</v>
      </c>
      <c r="D2653" t="inlineStr">
        <is>
          <t>UPPSALA LÄN</t>
        </is>
      </c>
      <c r="E2653" t="inlineStr">
        <is>
          <t>TIERP</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21181-2022</t>
        </is>
      </c>
      <c r="B2654" s="1" t="n">
        <v>44704</v>
      </c>
      <c r="C2654" s="1" t="n">
        <v>45705</v>
      </c>
      <c r="D2654" t="inlineStr">
        <is>
          <t>UPPSALA LÄN</t>
        </is>
      </c>
      <c r="E2654" t="inlineStr">
        <is>
          <t>UPPSALA</t>
        </is>
      </c>
      <c r="F2654" t="inlineStr">
        <is>
          <t>Bergvik skog öst AB</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21228-2022</t>
        </is>
      </c>
      <c r="B2655" s="1" t="n">
        <v>44704</v>
      </c>
      <c r="C2655" s="1" t="n">
        <v>45705</v>
      </c>
      <c r="D2655" t="inlineStr">
        <is>
          <t>UPPSALA LÄN</t>
        </is>
      </c>
      <c r="E2655" t="inlineStr">
        <is>
          <t>UPPSALA</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21332-2022</t>
        </is>
      </c>
      <c r="B2656" s="1" t="n">
        <v>44705</v>
      </c>
      <c r="C2656" s="1" t="n">
        <v>45705</v>
      </c>
      <c r="D2656" t="inlineStr">
        <is>
          <t>UPPSALA LÄN</t>
        </is>
      </c>
      <c r="E2656" t="inlineStr">
        <is>
          <t>TIERP</t>
        </is>
      </c>
      <c r="F2656" t="inlineStr">
        <is>
          <t>Övriga Aktiebolag</t>
        </is>
      </c>
      <c r="G2656" t="n">
        <v>8.6</v>
      </c>
      <c r="H2656" t="n">
        <v>0</v>
      </c>
      <c r="I2656" t="n">
        <v>0</v>
      </c>
      <c r="J2656" t="n">
        <v>0</v>
      </c>
      <c r="K2656" t="n">
        <v>0</v>
      </c>
      <c r="L2656" t="n">
        <v>0</v>
      </c>
      <c r="M2656" t="n">
        <v>0</v>
      </c>
      <c r="N2656" t="n">
        <v>0</v>
      </c>
      <c r="O2656" t="n">
        <v>0</v>
      </c>
      <c r="P2656" t="n">
        <v>0</v>
      </c>
      <c r="Q2656" t="n">
        <v>0</v>
      </c>
      <c r="R2656" s="2" t="inlineStr"/>
    </row>
    <row r="2657" ht="15" customHeight="1">
      <c r="A2657" t="inlineStr">
        <is>
          <t>A 21387-2022</t>
        </is>
      </c>
      <c r="B2657" s="1" t="n">
        <v>44705</v>
      </c>
      <c r="C2657" s="1" t="n">
        <v>45705</v>
      </c>
      <c r="D2657" t="inlineStr">
        <is>
          <t>UPPSALA LÄN</t>
        </is>
      </c>
      <c r="E2657" t="inlineStr">
        <is>
          <t>UPPSALA</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21391-2022</t>
        </is>
      </c>
      <c r="B2658" s="1" t="n">
        <v>44705</v>
      </c>
      <c r="C2658" s="1" t="n">
        <v>45705</v>
      </c>
      <c r="D2658" t="inlineStr">
        <is>
          <t>UPPSALA LÄN</t>
        </is>
      </c>
      <c r="E2658" t="inlineStr">
        <is>
          <t>UPPSALA</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21394-2022</t>
        </is>
      </c>
      <c r="B2659" s="1" t="n">
        <v>44705</v>
      </c>
      <c r="C2659" s="1" t="n">
        <v>45705</v>
      </c>
      <c r="D2659" t="inlineStr">
        <is>
          <t>UPPSALA LÄN</t>
        </is>
      </c>
      <c r="E2659" t="inlineStr">
        <is>
          <t>UPPSALA</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21522-2022</t>
        </is>
      </c>
      <c r="B2660" s="1" t="n">
        <v>44706</v>
      </c>
      <c r="C2660" s="1" t="n">
        <v>45705</v>
      </c>
      <c r="D2660" t="inlineStr">
        <is>
          <t>UPPSALA LÄN</t>
        </is>
      </c>
      <c r="E2660" t="inlineStr">
        <is>
          <t>ÖSTHAMMAR</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21775-2022</t>
        </is>
      </c>
      <c r="B2661" s="1" t="n">
        <v>44708</v>
      </c>
      <c r="C2661" s="1" t="n">
        <v>45705</v>
      </c>
      <c r="D2661" t="inlineStr">
        <is>
          <t>UPPSALA LÄN</t>
        </is>
      </c>
      <c r="E2661" t="inlineStr">
        <is>
          <t>TIERP</t>
        </is>
      </c>
      <c r="F2661" t="inlineStr">
        <is>
          <t>Bergvik skog väst AB</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21749-2022</t>
        </is>
      </c>
      <c r="B2662" s="1" t="n">
        <v>44708</v>
      </c>
      <c r="C2662" s="1" t="n">
        <v>45705</v>
      </c>
      <c r="D2662" t="inlineStr">
        <is>
          <t>UPPSALA LÄN</t>
        </is>
      </c>
      <c r="E2662" t="inlineStr">
        <is>
          <t>HEBY</t>
        </is>
      </c>
      <c r="F2662" t="inlineStr">
        <is>
          <t>Övriga Aktiebolag</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21776-2022</t>
        </is>
      </c>
      <c r="B2663" s="1" t="n">
        <v>44708</v>
      </c>
      <c r="C2663" s="1" t="n">
        <v>45705</v>
      </c>
      <c r="D2663" t="inlineStr">
        <is>
          <t>UPPSALA LÄN</t>
        </is>
      </c>
      <c r="E2663" t="inlineStr">
        <is>
          <t>TIERP</t>
        </is>
      </c>
      <c r="F2663" t="inlineStr">
        <is>
          <t>Bergvik skog väst AB</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21830-2022</t>
        </is>
      </c>
      <c r="B2664" s="1" t="n">
        <v>44710</v>
      </c>
      <c r="C2664" s="1" t="n">
        <v>45705</v>
      </c>
      <c r="D2664" t="inlineStr">
        <is>
          <t>UPPSALA LÄN</t>
        </is>
      </c>
      <c r="E2664" t="inlineStr">
        <is>
          <t>ÖSTHAMMAR</t>
        </is>
      </c>
      <c r="F2664" t="inlineStr">
        <is>
          <t>Bergvik skog öst AB</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21829-2022</t>
        </is>
      </c>
      <c r="B2665" s="1" t="n">
        <v>44710</v>
      </c>
      <c r="C2665" s="1" t="n">
        <v>45705</v>
      </c>
      <c r="D2665" t="inlineStr">
        <is>
          <t>UPPSALA LÄN</t>
        </is>
      </c>
      <c r="E2665" t="inlineStr">
        <is>
          <t>ÖSTHAMMAR</t>
        </is>
      </c>
      <c r="F2665" t="inlineStr">
        <is>
          <t>Bergvik skog öst AB</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21863-2022</t>
        </is>
      </c>
      <c r="B2666" s="1" t="n">
        <v>44711</v>
      </c>
      <c r="C2666" s="1" t="n">
        <v>45705</v>
      </c>
      <c r="D2666" t="inlineStr">
        <is>
          <t>UPPSALA LÄN</t>
        </is>
      </c>
      <c r="E2666" t="inlineStr">
        <is>
          <t>HEBY</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22031-2022</t>
        </is>
      </c>
      <c r="B2667" s="1" t="n">
        <v>44711</v>
      </c>
      <c r="C2667" s="1" t="n">
        <v>45705</v>
      </c>
      <c r="D2667" t="inlineStr">
        <is>
          <t>UPPSALA LÄN</t>
        </is>
      </c>
      <c r="E2667" t="inlineStr">
        <is>
          <t>HEBY</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22021-2022</t>
        </is>
      </c>
      <c r="B2668" s="1" t="n">
        <v>44711</v>
      </c>
      <c r="C2668" s="1" t="n">
        <v>45705</v>
      </c>
      <c r="D2668" t="inlineStr">
        <is>
          <t>UPPSALA LÄN</t>
        </is>
      </c>
      <c r="E2668" t="inlineStr">
        <is>
          <t>UPPSALA</t>
        </is>
      </c>
      <c r="F2668" t="inlineStr">
        <is>
          <t>Allmännings- och besparingsskogar</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22207-2022</t>
        </is>
      </c>
      <c r="B2669" s="1" t="n">
        <v>44712</v>
      </c>
      <c r="C2669" s="1" t="n">
        <v>45705</v>
      </c>
      <c r="D2669" t="inlineStr">
        <is>
          <t>UPPSALA LÄN</t>
        </is>
      </c>
      <c r="E2669" t="inlineStr">
        <is>
          <t>ÖSTHAMMAR</t>
        </is>
      </c>
      <c r="F2669" t="inlineStr">
        <is>
          <t>Bergvik skog öst AB</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22216-2022</t>
        </is>
      </c>
      <c r="B2670" s="1" t="n">
        <v>44712</v>
      </c>
      <c r="C2670" s="1" t="n">
        <v>45705</v>
      </c>
      <c r="D2670" t="inlineStr">
        <is>
          <t>UPPSALA LÄN</t>
        </is>
      </c>
      <c r="E2670" t="inlineStr">
        <is>
          <t>HEBY</t>
        </is>
      </c>
      <c r="G2670" t="n">
        <v>5</v>
      </c>
      <c r="H2670" t="n">
        <v>0</v>
      </c>
      <c r="I2670" t="n">
        <v>0</v>
      </c>
      <c r="J2670" t="n">
        <v>0</v>
      </c>
      <c r="K2670" t="n">
        <v>0</v>
      </c>
      <c r="L2670" t="n">
        <v>0</v>
      </c>
      <c r="M2670" t="n">
        <v>0</v>
      </c>
      <c r="N2670" t="n">
        <v>0</v>
      </c>
      <c r="O2670" t="n">
        <v>0</v>
      </c>
      <c r="P2670" t="n">
        <v>0</v>
      </c>
      <c r="Q2670" t="n">
        <v>0</v>
      </c>
      <c r="R2670" s="2" t="inlineStr"/>
    </row>
    <row r="2671" ht="15" customHeight="1">
      <c r="A2671" t="inlineStr">
        <is>
          <t>A 22390-2022</t>
        </is>
      </c>
      <c r="B2671" s="1" t="n">
        <v>44713</v>
      </c>
      <c r="C2671" s="1" t="n">
        <v>45705</v>
      </c>
      <c r="D2671" t="inlineStr">
        <is>
          <t>UPPSALA LÄN</t>
        </is>
      </c>
      <c r="E2671" t="inlineStr">
        <is>
          <t>UPPSALA</t>
        </is>
      </c>
      <c r="F2671" t="inlineStr">
        <is>
          <t>Bergvik skog öst AB</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22429-2022</t>
        </is>
      </c>
      <c r="B2672" s="1" t="n">
        <v>44713</v>
      </c>
      <c r="C2672" s="1" t="n">
        <v>45705</v>
      </c>
      <c r="D2672" t="inlineStr">
        <is>
          <t>UPPSALA LÄN</t>
        </is>
      </c>
      <c r="E2672" t="inlineStr">
        <is>
          <t>UPPSALA</t>
        </is>
      </c>
      <c r="F2672" t="inlineStr">
        <is>
          <t>Bergvik skog öst AB</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22580-2022</t>
        </is>
      </c>
      <c r="B2673" s="1" t="n">
        <v>44713</v>
      </c>
      <c r="C2673" s="1" t="n">
        <v>45705</v>
      </c>
      <c r="D2673" t="inlineStr">
        <is>
          <t>UPPSALA LÄN</t>
        </is>
      </c>
      <c r="E2673" t="inlineStr">
        <is>
          <t>HEBY</t>
        </is>
      </c>
      <c r="F2673" t="inlineStr">
        <is>
          <t>Bergvik skog väst AB</t>
        </is>
      </c>
      <c r="G2673" t="n">
        <v>9.6</v>
      </c>
      <c r="H2673" t="n">
        <v>0</v>
      </c>
      <c r="I2673" t="n">
        <v>0</v>
      </c>
      <c r="J2673" t="n">
        <v>0</v>
      </c>
      <c r="K2673" t="n">
        <v>0</v>
      </c>
      <c r="L2673" t="n">
        <v>0</v>
      </c>
      <c r="M2673" t="n">
        <v>0</v>
      </c>
      <c r="N2673" t="n">
        <v>0</v>
      </c>
      <c r="O2673" t="n">
        <v>0</v>
      </c>
      <c r="P2673" t="n">
        <v>0</v>
      </c>
      <c r="Q2673" t="n">
        <v>0</v>
      </c>
      <c r="R2673" s="2" t="inlineStr"/>
    </row>
    <row r="2674" ht="15" customHeight="1">
      <c r="A2674" t="inlineStr">
        <is>
          <t>A 22663-2022</t>
        </is>
      </c>
      <c r="B2674" s="1" t="n">
        <v>44713</v>
      </c>
      <c r="C2674" s="1" t="n">
        <v>45705</v>
      </c>
      <c r="D2674" t="inlineStr">
        <is>
          <t>UPPSALA LÄN</t>
        </is>
      </c>
      <c r="E2674" t="inlineStr">
        <is>
          <t>TIERP</t>
        </is>
      </c>
      <c r="F2674" t="inlineStr">
        <is>
          <t>Bergvik skog väst AB</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22592-2022</t>
        </is>
      </c>
      <c r="B2675" s="1" t="n">
        <v>44713</v>
      </c>
      <c r="C2675" s="1" t="n">
        <v>45705</v>
      </c>
      <c r="D2675" t="inlineStr">
        <is>
          <t>UPPSALA LÄN</t>
        </is>
      </c>
      <c r="E2675" t="inlineStr">
        <is>
          <t>TIERP</t>
        </is>
      </c>
      <c r="F2675" t="inlineStr">
        <is>
          <t>Bergvik skog väst AB</t>
        </is>
      </c>
      <c r="G2675" t="n">
        <v>9.800000000000001</v>
      </c>
      <c r="H2675" t="n">
        <v>0</v>
      </c>
      <c r="I2675" t="n">
        <v>0</v>
      </c>
      <c r="J2675" t="n">
        <v>0</v>
      </c>
      <c r="K2675" t="n">
        <v>0</v>
      </c>
      <c r="L2675" t="n">
        <v>0</v>
      </c>
      <c r="M2675" t="n">
        <v>0</v>
      </c>
      <c r="N2675" t="n">
        <v>0</v>
      </c>
      <c r="O2675" t="n">
        <v>0</v>
      </c>
      <c r="P2675" t="n">
        <v>0</v>
      </c>
      <c r="Q2675" t="n">
        <v>0</v>
      </c>
      <c r="R2675" s="2" t="inlineStr"/>
    </row>
    <row r="2676" ht="15" customHeight="1">
      <c r="A2676" t="inlineStr">
        <is>
          <t>A 22619-2022</t>
        </is>
      </c>
      <c r="B2676" s="1" t="n">
        <v>44714</v>
      </c>
      <c r="C2676" s="1" t="n">
        <v>45705</v>
      </c>
      <c r="D2676" t="inlineStr">
        <is>
          <t>UPPSALA LÄN</t>
        </is>
      </c>
      <c r="E2676" t="inlineStr">
        <is>
          <t>ÖSTHAMMAR</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22645-2022</t>
        </is>
      </c>
      <c r="B2677" s="1" t="n">
        <v>44714</v>
      </c>
      <c r="C2677" s="1" t="n">
        <v>45705</v>
      </c>
      <c r="D2677" t="inlineStr">
        <is>
          <t>UPPSALA LÄN</t>
        </is>
      </c>
      <c r="E2677" t="inlineStr">
        <is>
          <t>UPPSALA</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22804-2022</t>
        </is>
      </c>
      <c r="B2678" s="1" t="n">
        <v>44715</v>
      </c>
      <c r="C2678" s="1" t="n">
        <v>45705</v>
      </c>
      <c r="D2678" t="inlineStr">
        <is>
          <t>UPPSALA LÄN</t>
        </is>
      </c>
      <c r="E2678" t="inlineStr">
        <is>
          <t>ÖSTHAMMAR</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22887-2022</t>
        </is>
      </c>
      <c r="B2679" s="1" t="n">
        <v>44715</v>
      </c>
      <c r="C2679" s="1" t="n">
        <v>45705</v>
      </c>
      <c r="D2679" t="inlineStr">
        <is>
          <t>UPPSALA LÄN</t>
        </is>
      </c>
      <c r="E2679" t="inlineStr">
        <is>
          <t>ÖSTHAMMAR</t>
        </is>
      </c>
      <c r="G2679" t="n">
        <v>0.2</v>
      </c>
      <c r="H2679" t="n">
        <v>0</v>
      </c>
      <c r="I2679" t="n">
        <v>0</v>
      </c>
      <c r="J2679" t="n">
        <v>0</v>
      </c>
      <c r="K2679" t="n">
        <v>0</v>
      </c>
      <c r="L2679" t="n">
        <v>0</v>
      </c>
      <c r="M2679" t="n">
        <v>0</v>
      </c>
      <c r="N2679" t="n">
        <v>0</v>
      </c>
      <c r="O2679" t="n">
        <v>0</v>
      </c>
      <c r="P2679" t="n">
        <v>0</v>
      </c>
      <c r="Q2679" t="n">
        <v>0</v>
      </c>
      <c r="R2679" s="2" t="inlineStr"/>
    </row>
    <row r="2680" ht="15" customHeight="1">
      <c r="A2680" t="inlineStr">
        <is>
          <t>A 22873-2022</t>
        </is>
      </c>
      <c r="B2680" s="1" t="n">
        <v>44715</v>
      </c>
      <c r="C2680" s="1" t="n">
        <v>45705</v>
      </c>
      <c r="D2680" t="inlineStr">
        <is>
          <t>UPPSALA LÄN</t>
        </is>
      </c>
      <c r="E2680" t="inlineStr">
        <is>
          <t>HEBY</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22916-2022</t>
        </is>
      </c>
      <c r="B2681" s="1" t="n">
        <v>44715</v>
      </c>
      <c r="C2681" s="1" t="n">
        <v>45705</v>
      </c>
      <c r="D2681" t="inlineStr">
        <is>
          <t>UPPSALA LÄN</t>
        </is>
      </c>
      <c r="E2681" t="inlineStr">
        <is>
          <t>ÄLVKARLEBY</t>
        </is>
      </c>
      <c r="F2681" t="inlineStr">
        <is>
          <t>Bergvik skog väst AB</t>
        </is>
      </c>
      <c r="G2681" t="n">
        <v>9.199999999999999</v>
      </c>
      <c r="H2681" t="n">
        <v>0</v>
      </c>
      <c r="I2681" t="n">
        <v>0</v>
      </c>
      <c r="J2681" t="n">
        <v>0</v>
      </c>
      <c r="K2681" t="n">
        <v>0</v>
      </c>
      <c r="L2681" t="n">
        <v>0</v>
      </c>
      <c r="M2681" t="n">
        <v>0</v>
      </c>
      <c r="N2681" t="n">
        <v>0</v>
      </c>
      <c r="O2681" t="n">
        <v>0</v>
      </c>
      <c r="P2681" t="n">
        <v>0</v>
      </c>
      <c r="Q2681" t="n">
        <v>0</v>
      </c>
      <c r="R2681" s="2" t="inlineStr"/>
    </row>
    <row r="2682" ht="15" customHeight="1">
      <c r="A2682" t="inlineStr">
        <is>
          <t>A 22945-2022</t>
        </is>
      </c>
      <c r="B2682" s="1" t="n">
        <v>44715</v>
      </c>
      <c r="C2682" s="1" t="n">
        <v>45705</v>
      </c>
      <c r="D2682" t="inlineStr">
        <is>
          <t>UPPSALA LÄN</t>
        </is>
      </c>
      <c r="E2682" t="inlineStr">
        <is>
          <t>ÖSTHAMMAR</t>
        </is>
      </c>
      <c r="F2682" t="inlineStr">
        <is>
          <t>Bergvik skog öst AB</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22810-2022</t>
        </is>
      </c>
      <c r="B2683" s="1" t="n">
        <v>44715</v>
      </c>
      <c r="C2683" s="1" t="n">
        <v>45705</v>
      </c>
      <c r="D2683" t="inlineStr">
        <is>
          <t>UPPSALA LÄN</t>
        </is>
      </c>
      <c r="E2683" t="inlineStr">
        <is>
          <t>TIERP</t>
        </is>
      </c>
      <c r="F2683" t="inlineStr">
        <is>
          <t>Övriga Aktiebolag</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22993-2022</t>
        </is>
      </c>
      <c r="B2684" s="1" t="n">
        <v>44718</v>
      </c>
      <c r="C2684" s="1" t="n">
        <v>45705</v>
      </c>
      <c r="D2684" t="inlineStr">
        <is>
          <t>UPPSALA LÄN</t>
        </is>
      </c>
      <c r="E2684" t="inlineStr">
        <is>
          <t>ÖSTHAMMAR</t>
        </is>
      </c>
      <c r="F2684" t="inlineStr">
        <is>
          <t>Bergvik skog öst AB</t>
        </is>
      </c>
      <c r="G2684" t="n">
        <v>4.8</v>
      </c>
      <c r="H2684" t="n">
        <v>0</v>
      </c>
      <c r="I2684" t="n">
        <v>0</v>
      </c>
      <c r="J2684" t="n">
        <v>0</v>
      </c>
      <c r="K2684" t="n">
        <v>0</v>
      </c>
      <c r="L2684" t="n">
        <v>0</v>
      </c>
      <c r="M2684" t="n">
        <v>0</v>
      </c>
      <c r="N2684" t="n">
        <v>0</v>
      </c>
      <c r="O2684" t="n">
        <v>0</v>
      </c>
      <c r="P2684" t="n">
        <v>0</v>
      </c>
      <c r="Q2684" t="n">
        <v>0</v>
      </c>
      <c r="R2684" s="2" t="inlineStr"/>
    </row>
    <row r="2685" ht="15" customHeight="1">
      <c r="A2685" t="inlineStr">
        <is>
          <t>A 22994-2022</t>
        </is>
      </c>
      <c r="B2685" s="1" t="n">
        <v>44718</v>
      </c>
      <c r="C2685" s="1" t="n">
        <v>45705</v>
      </c>
      <c r="D2685" t="inlineStr">
        <is>
          <t>UPPSALA LÄN</t>
        </is>
      </c>
      <c r="E2685" t="inlineStr">
        <is>
          <t>ÖSTHAMMAR</t>
        </is>
      </c>
      <c r="F2685" t="inlineStr">
        <is>
          <t>Bergvik skog öst AB</t>
        </is>
      </c>
      <c r="G2685" t="n">
        <v>29.9</v>
      </c>
      <c r="H2685" t="n">
        <v>0</v>
      </c>
      <c r="I2685" t="n">
        <v>0</v>
      </c>
      <c r="J2685" t="n">
        <v>0</v>
      </c>
      <c r="K2685" t="n">
        <v>0</v>
      </c>
      <c r="L2685" t="n">
        <v>0</v>
      </c>
      <c r="M2685" t="n">
        <v>0</v>
      </c>
      <c r="N2685" t="n">
        <v>0</v>
      </c>
      <c r="O2685" t="n">
        <v>0</v>
      </c>
      <c r="P2685" t="n">
        <v>0</v>
      </c>
      <c r="Q2685" t="n">
        <v>0</v>
      </c>
      <c r="R2685" s="2" t="inlineStr"/>
    </row>
    <row r="2686" ht="15" customHeight="1">
      <c r="A2686" t="inlineStr">
        <is>
          <t>A 23250-2022</t>
        </is>
      </c>
      <c r="B2686" s="1" t="n">
        <v>44719</v>
      </c>
      <c r="C2686" s="1" t="n">
        <v>45705</v>
      </c>
      <c r="D2686" t="inlineStr">
        <is>
          <t>UPPSALA LÄN</t>
        </is>
      </c>
      <c r="E2686" t="inlineStr">
        <is>
          <t>HÅBO</t>
        </is>
      </c>
      <c r="F2686" t="inlineStr">
        <is>
          <t>Naturvårdsverket</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23307-2022</t>
        </is>
      </c>
      <c r="B2687" s="1" t="n">
        <v>44720</v>
      </c>
      <c r="C2687" s="1" t="n">
        <v>45705</v>
      </c>
      <c r="D2687" t="inlineStr">
        <is>
          <t>UPPSALA LÄN</t>
        </is>
      </c>
      <c r="E2687" t="inlineStr">
        <is>
          <t>ENKÖPING</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23324-2022</t>
        </is>
      </c>
      <c r="B2688" s="1" t="n">
        <v>44720</v>
      </c>
      <c r="C2688" s="1" t="n">
        <v>45705</v>
      </c>
      <c r="D2688" t="inlineStr">
        <is>
          <t>UPPSALA LÄN</t>
        </is>
      </c>
      <c r="E2688" t="inlineStr">
        <is>
          <t>UPPSALA</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23289-2022</t>
        </is>
      </c>
      <c r="B2689" s="1" t="n">
        <v>44720</v>
      </c>
      <c r="C2689" s="1" t="n">
        <v>45705</v>
      </c>
      <c r="D2689" t="inlineStr">
        <is>
          <t>UPPSALA LÄN</t>
        </is>
      </c>
      <c r="E2689" t="inlineStr">
        <is>
          <t>UPPSALA</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23603-2022</t>
        </is>
      </c>
      <c r="B2690" s="1" t="n">
        <v>44721</v>
      </c>
      <c r="C2690" s="1" t="n">
        <v>45705</v>
      </c>
      <c r="D2690" t="inlineStr">
        <is>
          <t>UPPSALA LÄN</t>
        </is>
      </c>
      <c r="E2690" t="inlineStr">
        <is>
          <t>ÖSTHAMMAR</t>
        </is>
      </c>
      <c r="F2690" t="inlineStr">
        <is>
          <t>Övriga Aktiebolag</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23761-2022</t>
        </is>
      </c>
      <c r="B2691" s="1" t="n">
        <v>44722</v>
      </c>
      <c r="C2691" s="1" t="n">
        <v>45705</v>
      </c>
      <c r="D2691" t="inlineStr">
        <is>
          <t>UPPSALA LÄN</t>
        </is>
      </c>
      <c r="E2691" t="inlineStr">
        <is>
          <t>UPPSALA</t>
        </is>
      </c>
      <c r="F2691" t="inlineStr">
        <is>
          <t>Bergvik skog öst AB</t>
        </is>
      </c>
      <c r="G2691" t="n">
        <v>7.3</v>
      </c>
      <c r="H2691" t="n">
        <v>0</v>
      </c>
      <c r="I2691" t="n">
        <v>0</v>
      </c>
      <c r="J2691" t="n">
        <v>0</v>
      </c>
      <c r="K2691" t="n">
        <v>0</v>
      </c>
      <c r="L2691" t="n">
        <v>0</v>
      </c>
      <c r="M2691" t="n">
        <v>0</v>
      </c>
      <c r="N2691" t="n">
        <v>0</v>
      </c>
      <c r="O2691" t="n">
        <v>0</v>
      </c>
      <c r="P2691" t="n">
        <v>0</v>
      </c>
      <c r="Q2691" t="n">
        <v>0</v>
      </c>
      <c r="R2691" s="2" t="inlineStr"/>
    </row>
    <row r="2692" ht="15" customHeight="1">
      <c r="A2692" t="inlineStr">
        <is>
          <t>A 23713-2022</t>
        </is>
      </c>
      <c r="B2692" s="1" t="n">
        <v>44722</v>
      </c>
      <c r="C2692" s="1" t="n">
        <v>45705</v>
      </c>
      <c r="D2692" t="inlineStr">
        <is>
          <t>UPPSALA LÄN</t>
        </is>
      </c>
      <c r="E2692" t="inlineStr">
        <is>
          <t>UPPSALA</t>
        </is>
      </c>
      <c r="F2692" t="inlineStr">
        <is>
          <t>Bergvik skog öst AB</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23717-2022</t>
        </is>
      </c>
      <c r="B2693" s="1" t="n">
        <v>44722</v>
      </c>
      <c r="C2693" s="1" t="n">
        <v>45705</v>
      </c>
      <c r="D2693" t="inlineStr">
        <is>
          <t>UPPSALA LÄN</t>
        </is>
      </c>
      <c r="E2693" t="inlineStr">
        <is>
          <t>UPPSALA</t>
        </is>
      </c>
      <c r="F2693" t="inlineStr">
        <is>
          <t>Bergvik skog öst AB</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23730-2022</t>
        </is>
      </c>
      <c r="B2694" s="1" t="n">
        <v>44722</v>
      </c>
      <c r="C2694" s="1" t="n">
        <v>45705</v>
      </c>
      <c r="D2694" t="inlineStr">
        <is>
          <t>UPPSALA LÄN</t>
        </is>
      </c>
      <c r="E2694" t="inlineStr">
        <is>
          <t>UPPSALA</t>
        </is>
      </c>
      <c r="F2694" t="inlineStr">
        <is>
          <t>Bergvik skog öst AB</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23979-2022</t>
        </is>
      </c>
      <c r="B2695" s="1" t="n">
        <v>44722</v>
      </c>
      <c r="C2695" s="1" t="n">
        <v>45705</v>
      </c>
      <c r="D2695" t="inlineStr">
        <is>
          <t>UPPSALA LÄN</t>
        </is>
      </c>
      <c r="E2695" t="inlineStr">
        <is>
          <t>HEBY</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23959-2022</t>
        </is>
      </c>
      <c r="B2696" s="1" t="n">
        <v>44722</v>
      </c>
      <c r="C2696" s="1" t="n">
        <v>45705</v>
      </c>
      <c r="D2696" t="inlineStr">
        <is>
          <t>UPPSALA LÄN</t>
        </is>
      </c>
      <c r="E2696" t="inlineStr">
        <is>
          <t>TIERP</t>
        </is>
      </c>
      <c r="F2696" t="inlineStr">
        <is>
          <t>Bergvik skog öst AB</t>
        </is>
      </c>
      <c r="G2696" t="n">
        <v>8.1</v>
      </c>
      <c r="H2696" t="n">
        <v>0</v>
      </c>
      <c r="I2696" t="n">
        <v>0</v>
      </c>
      <c r="J2696" t="n">
        <v>0</v>
      </c>
      <c r="K2696" t="n">
        <v>0</v>
      </c>
      <c r="L2696" t="n">
        <v>0</v>
      </c>
      <c r="M2696" t="n">
        <v>0</v>
      </c>
      <c r="N2696" t="n">
        <v>0</v>
      </c>
      <c r="O2696" t="n">
        <v>0</v>
      </c>
      <c r="P2696" t="n">
        <v>0</v>
      </c>
      <c r="Q2696" t="n">
        <v>0</v>
      </c>
      <c r="R2696" s="2" t="inlineStr"/>
    </row>
    <row r="2697" ht="15" customHeight="1">
      <c r="A2697" t="inlineStr">
        <is>
          <t>A 24026-2022</t>
        </is>
      </c>
      <c r="B2697" s="1" t="n">
        <v>44723</v>
      </c>
      <c r="C2697" s="1" t="n">
        <v>45705</v>
      </c>
      <c r="D2697" t="inlineStr">
        <is>
          <t>UPPSALA LÄN</t>
        </is>
      </c>
      <c r="E2697" t="inlineStr">
        <is>
          <t>HEBY</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24132-2022</t>
        </is>
      </c>
      <c r="B2698" s="1" t="n">
        <v>44725</v>
      </c>
      <c r="C2698" s="1" t="n">
        <v>45705</v>
      </c>
      <c r="D2698" t="inlineStr">
        <is>
          <t>UPPSALA LÄN</t>
        </is>
      </c>
      <c r="E2698" t="inlineStr">
        <is>
          <t>KNIVSTA</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24138-2022</t>
        </is>
      </c>
      <c r="B2699" s="1" t="n">
        <v>44725</v>
      </c>
      <c r="C2699" s="1" t="n">
        <v>45705</v>
      </c>
      <c r="D2699" t="inlineStr">
        <is>
          <t>UPPSALA LÄN</t>
        </is>
      </c>
      <c r="E2699" t="inlineStr">
        <is>
          <t>ÖSTHAMMAR</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24141-2022</t>
        </is>
      </c>
      <c r="B2700" s="1" t="n">
        <v>44725</v>
      </c>
      <c r="C2700" s="1" t="n">
        <v>45705</v>
      </c>
      <c r="D2700" t="inlineStr">
        <is>
          <t>UPPSALA LÄN</t>
        </is>
      </c>
      <c r="E2700" t="inlineStr">
        <is>
          <t>ENKÖPING</t>
        </is>
      </c>
      <c r="G2700" t="n">
        <v>5.2</v>
      </c>
      <c r="H2700" t="n">
        <v>0</v>
      </c>
      <c r="I2700" t="n">
        <v>0</v>
      </c>
      <c r="J2700" t="n">
        <v>0</v>
      </c>
      <c r="K2700" t="n">
        <v>0</v>
      </c>
      <c r="L2700" t="n">
        <v>0</v>
      </c>
      <c r="M2700" t="n">
        <v>0</v>
      </c>
      <c r="N2700" t="n">
        <v>0</v>
      </c>
      <c r="O2700" t="n">
        <v>0</v>
      </c>
      <c r="P2700" t="n">
        <v>0</v>
      </c>
      <c r="Q2700" t="n">
        <v>0</v>
      </c>
      <c r="R2700" s="2" t="inlineStr"/>
    </row>
    <row r="2701" ht="15" customHeight="1">
      <c r="A2701" t="inlineStr">
        <is>
          <t>A 24149-2022</t>
        </is>
      </c>
      <c r="B2701" s="1" t="n">
        <v>44725</v>
      </c>
      <c r="C2701" s="1" t="n">
        <v>45705</v>
      </c>
      <c r="D2701" t="inlineStr">
        <is>
          <t>UPPSALA LÄN</t>
        </is>
      </c>
      <c r="E2701" t="inlineStr">
        <is>
          <t>ÖSTHAMMAR</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24181-2022</t>
        </is>
      </c>
      <c r="B2702" s="1" t="n">
        <v>44725</v>
      </c>
      <c r="C2702" s="1" t="n">
        <v>45705</v>
      </c>
      <c r="D2702" t="inlineStr">
        <is>
          <t>UPPSALA LÄN</t>
        </is>
      </c>
      <c r="E2702" t="inlineStr">
        <is>
          <t>ÖSTHAMMAR</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24264-2022</t>
        </is>
      </c>
      <c r="B2703" s="1" t="n">
        <v>44725</v>
      </c>
      <c r="C2703" s="1" t="n">
        <v>45705</v>
      </c>
      <c r="D2703" t="inlineStr">
        <is>
          <t>UPPSALA LÄN</t>
        </is>
      </c>
      <c r="E2703" t="inlineStr">
        <is>
          <t>TIERP</t>
        </is>
      </c>
      <c r="G2703" t="n">
        <v>2</v>
      </c>
      <c r="H2703" t="n">
        <v>0</v>
      </c>
      <c r="I2703" t="n">
        <v>0</v>
      </c>
      <c r="J2703" t="n">
        <v>0</v>
      </c>
      <c r="K2703" t="n">
        <v>0</v>
      </c>
      <c r="L2703" t="n">
        <v>0</v>
      </c>
      <c r="M2703" t="n">
        <v>0</v>
      </c>
      <c r="N2703" t="n">
        <v>0</v>
      </c>
      <c r="O2703" t="n">
        <v>0</v>
      </c>
      <c r="P2703" t="n">
        <v>0</v>
      </c>
      <c r="Q2703" t="n">
        <v>0</v>
      </c>
      <c r="R2703" s="2" t="inlineStr"/>
      <c r="U2703">
        <f>HYPERLINK("https://klasma.github.io/Logging_0360/knärot/A 24264-2022 karta knärot.png", "A 24264-2022")</f>
        <v/>
      </c>
      <c r="V2703">
        <f>HYPERLINK("https://klasma.github.io/Logging_0360/klagomål/A 24264-2022 FSC-klagomål.docx", "A 24264-2022")</f>
        <v/>
      </c>
      <c r="W2703">
        <f>HYPERLINK("https://klasma.github.io/Logging_0360/klagomålsmail/A 24264-2022 FSC-klagomål mail.docx", "A 24264-2022")</f>
        <v/>
      </c>
      <c r="X2703">
        <f>HYPERLINK("https://klasma.github.io/Logging_0360/tillsyn/A 24264-2022 tillsynsbegäran.docx", "A 24264-2022")</f>
        <v/>
      </c>
      <c r="Y2703">
        <f>HYPERLINK("https://klasma.github.io/Logging_0360/tillsynsmail/A 24264-2022 tillsynsbegäran mail.docx", "A 24264-2022")</f>
        <v/>
      </c>
    </row>
    <row r="2704" ht="15" customHeight="1">
      <c r="A2704" t="inlineStr">
        <is>
          <t>A 24259-2022</t>
        </is>
      </c>
      <c r="B2704" s="1" t="n">
        <v>44725</v>
      </c>
      <c r="C2704" s="1" t="n">
        <v>45705</v>
      </c>
      <c r="D2704" t="inlineStr">
        <is>
          <t>UPPSALA LÄN</t>
        </is>
      </c>
      <c r="E2704" t="inlineStr">
        <is>
          <t>ÖSTHAMMAR</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24091-2022</t>
        </is>
      </c>
      <c r="B2705" s="1" t="n">
        <v>44725</v>
      </c>
      <c r="C2705" s="1" t="n">
        <v>45705</v>
      </c>
      <c r="D2705" t="inlineStr">
        <is>
          <t>UPPSALA LÄN</t>
        </is>
      </c>
      <c r="E2705" t="inlineStr">
        <is>
          <t>HEBY</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24420-2022</t>
        </is>
      </c>
      <c r="B2706" s="1" t="n">
        <v>44726</v>
      </c>
      <c r="C2706" s="1" t="n">
        <v>45705</v>
      </c>
      <c r="D2706" t="inlineStr">
        <is>
          <t>UPPSALA LÄN</t>
        </is>
      </c>
      <c r="E2706" t="inlineStr">
        <is>
          <t>UPPSALA</t>
        </is>
      </c>
      <c r="F2706" t="inlineStr">
        <is>
          <t>Bergvik skog öst AB</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24447-2022</t>
        </is>
      </c>
      <c r="B2707" s="1" t="n">
        <v>44726</v>
      </c>
      <c r="C2707" s="1" t="n">
        <v>45705</v>
      </c>
      <c r="D2707" t="inlineStr">
        <is>
          <t>UPPSALA LÄN</t>
        </is>
      </c>
      <c r="E2707" t="inlineStr">
        <is>
          <t>ÖSTHAMMAR</t>
        </is>
      </c>
      <c r="G2707" t="n">
        <v>5.5</v>
      </c>
      <c r="H2707" t="n">
        <v>0</v>
      </c>
      <c r="I2707" t="n">
        <v>0</v>
      </c>
      <c r="J2707" t="n">
        <v>0</v>
      </c>
      <c r="K2707" t="n">
        <v>0</v>
      </c>
      <c r="L2707" t="n">
        <v>0</v>
      </c>
      <c r="M2707" t="n">
        <v>0</v>
      </c>
      <c r="N2707" t="n">
        <v>0</v>
      </c>
      <c r="O2707" t="n">
        <v>0</v>
      </c>
      <c r="P2707" t="n">
        <v>0</v>
      </c>
      <c r="Q2707" t="n">
        <v>0</v>
      </c>
      <c r="R2707" s="2" t="inlineStr"/>
    </row>
    <row r="2708" ht="15" customHeight="1">
      <c r="A2708" t="inlineStr">
        <is>
          <t>A 24367-2022</t>
        </is>
      </c>
      <c r="B2708" s="1" t="n">
        <v>44726</v>
      </c>
      <c r="C2708" s="1" t="n">
        <v>45705</v>
      </c>
      <c r="D2708" t="inlineStr">
        <is>
          <t>UPPSALA LÄN</t>
        </is>
      </c>
      <c r="E2708" t="inlineStr">
        <is>
          <t>ÖSTHAMMAR</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24401-2022</t>
        </is>
      </c>
      <c r="B2709" s="1" t="n">
        <v>44726</v>
      </c>
      <c r="C2709" s="1" t="n">
        <v>45705</v>
      </c>
      <c r="D2709" t="inlineStr">
        <is>
          <t>UPPSALA LÄN</t>
        </is>
      </c>
      <c r="E2709" t="inlineStr">
        <is>
          <t>UPPSALA</t>
        </is>
      </c>
      <c r="F2709" t="inlineStr">
        <is>
          <t>Bergvik skog öst AB</t>
        </is>
      </c>
      <c r="G2709" t="n">
        <v>4.8</v>
      </c>
      <c r="H2709" t="n">
        <v>0</v>
      </c>
      <c r="I2709" t="n">
        <v>0</v>
      </c>
      <c r="J2709" t="n">
        <v>0</v>
      </c>
      <c r="K2709" t="n">
        <v>0</v>
      </c>
      <c r="L2709" t="n">
        <v>0</v>
      </c>
      <c r="M2709" t="n">
        <v>0</v>
      </c>
      <c r="N2709" t="n">
        <v>0</v>
      </c>
      <c r="O2709" t="n">
        <v>0</v>
      </c>
      <c r="P2709" t="n">
        <v>0</v>
      </c>
      <c r="Q2709" t="n">
        <v>0</v>
      </c>
      <c r="R2709" s="2" t="inlineStr"/>
    </row>
    <row r="2710" ht="15" customHeight="1">
      <c r="A2710" t="inlineStr">
        <is>
          <t>A 24409-2022</t>
        </is>
      </c>
      <c r="B2710" s="1" t="n">
        <v>44726</v>
      </c>
      <c r="C2710" s="1" t="n">
        <v>45705</v>
      </c>
      <c r="D2710" t="inlineStr">
        <is>
          <t>UPPSALA LÄN</t>
        </is>
      </c>
      <c r="E2710" t="inlineStr">
        <is>
          <t>UPPSALA</t>
        </is>
      </c>
      <c r="F2710" t="inlineStr">
        <is>
          <t>Bergvik skog öst AB</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24341-2022</t>
        </is>
      </c>
      <c r="B2711" s="1" t="n">
        <v>44726</v>
      </c>
      <c r="C2711" s="1" t="n">
        <v>45705</v>
      </c>
      <c r="D2711" t="inlineStr">
        <is>
          <t>UPPSALA LÄN</t>
        </is>
      </c>
      <c r="E2711" t="inlineStr">
        <is>
          <t>TIERP</t>
        </is>
      </c>
      <c r="F2711" t="inlineStr">
        <is>
          <t>Bergvik skog väst AB</t>
        </is>
      </c>
      <c r="G2711" t="n">
        <v>8.4</v>
      </c>
      <c r="H2711" t="n">
        <v>0</v>
      </c>
      <c r="I2711" t="n">
        <v>0</v>
      </c>
      <c r="J2711" t="n">
        <v>0</v>
      </c>
      <c r="K2711" t="n">
        <v>0</v>
      </c>
      <c r="L2711" t="n">
        <v>0</v>
      </c>
      <c r="M2711" t="n">
        <v>0</v>
      </c>
      <c r="N2711" t="n">
        <v>0</v>
      </c>
      <c r="O2711" t="n">
        <v>0</v>
      </c>
      <c r="P2711" t="n">
        <v>0</v>
      </c>
      <c r="Q2711" t="n">
        <v>0</v>
      </c>
      <c r="R2711" s="2" t="inlineStr"/>
    </row>
    <row r="2712" ht="15" customHeight="1">
      <c r="A2712" t="inlineStr">
        <is>
          <t>A 24817-2022</t>
        </is>
      </c>
      <c r="B2712" s="1" t="n">
        <v>44728</v>
      </c>
      <c r="C2712" s="1" t="n">
        <v>45705</v>
      </c>
      <c r="D2712" t="inlineStr">
        <is>
          <t>UPPSALA LÄN</t>
        </is>
      </c>
      <c r="E2712" t="inlineStr">
        <is>
          <t>ÖSTHAMMAR</t>
        </is>
      </c>
      <c r="F2712" t="inlineStr">
        <is>
          <t>Sveaskog</t>
        </is>
      </c>
      <c r="G2712" t="n">
        <v>0.2</v>
      </c>
      <c r="H2712" t="n">
        <v>0</v>
      </c>
      <c r="I2712" t="n">
        <v>0</v>
      </c>
      <c r="J2712" t="n">
        <v>0</v>
      </c>
      <c r="K2712" t="n">
        <v>0</v>
      </c>
      <c r="L2712" t="n">
        <v>0</v>
      </c>
      <c r="M2712" t="n">
        <v>0</v>
      </c>
      <c r="N2712" t="n">
        <v>0</v>
      </c>
      <c r="O2712" t="n">
        <v>0</v>
      </c>
      <c r="P2712" t="n">
        <v>0</v>
      </c>
      <c r="Q2712" t="n">
        <v>0</v>
      </c>
      <c r="R2712" s="2" t="inlineStr"/>
    </row>
    <row r="2713" ht="15" customHeight="1">
      <c r="A2713" t="inlineStr">
        <is>
          <t>A 24815-2022</t>
        </is>
      </c>
      <c r="B2713" s="1" t="n">
        <v>44728</v>
      </c>
      <c r="C2713" s="1" t="n">
        <v>45705</v>
      </c>
      <c r="D2713" t="inlineStr">
        <is>
          <t>UPPSALA LÄN</t>
        </is>
      </c>
      <c r="E2713" t="inlineStr">
        <is>
          <t>ENKÖPING</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24869-2022</t>
        </is>
      </c>
      <c r="B2714" s="1" t="n">
        <v>44728</v>
      </c>
      <c r="C2714" s="1" t="n">
        <v>45705</v>
      </c>
      <c r="D2714" t="inlineStr">
        <is>
          <t>UPPSALA LÄN</t>
        </is>
      </c>
      <c r="E2714" t="inlineStr">
        <is>
          <t>TIERP</t>
        </is>
      </c>
      <c r="G2714" t="n">
        <v>5.6</v>
      </c>
      <c r="H2714" t="n">
        <v>0</v>
      </c>
      <c r="I2714" t="n">
        <v>0</v>
      </c>
      <c r="J2714" t="n">
        <v>0</v>
      </c>
      <c r="K2714" t="n">
        <v>0</v>
      </c>
      <c r="L2714" t="n">
        <v>0</v>
      </c>
      <c r="M2714" t="n">
        <v>0</v>
      </c>
      <c r="N2714" t="n">
        <v>0</v>
      </c>
      <c r="O2714" t="n">
        <v>0</v>
      </c>
      <c r="P2714" t="n">
        <v>0</v>
      </c>
      <c r="Q2714" t="n">
        <v>0</v>
      </c>
      <c r="R2714" s="2" t="inlineStr"/>
    </row>
    <row r="2715" ht="15" customHeight="1">
      <c r="A2715" t="inlineStr">
        <is>
          <t>A 24883-2022</t>
        </is>
      </c>
      <c r="B2715" s="1" t="n">
        <v>44728</v>
      </c>
      <c r="C2715" s="1" t="n">
        <v>45705</v>
      </c>
      <c r="D2715" t="inlineStr">
        <is>
          <t>UPPSALA LÄN</t>
        </is>
      </c>
      <c r="E2715" t="inlineStr">
        <is>
          <t>ENKÖPING</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25076-2022</t>
        </is>
      </c>
      <c r="B2716" s="1" t="n">
        <v>44729</v>
      </c>
      <c r="C2716" s="1" t="n">
        <v>45705</v>
      </c>
      <c r="D2716" t="inlineStr">
        <is>
          <t>UPPSALA LÄN</t>
        </is>
      </c>
      <c r="E2716" t="inlineStr">
        <is>
          <t>ÖSTHAMMAR</t>
        </is>
      </c>
      <c r="F2716" t="inlineStr">
        <is>
          <t>Sveaskog</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25178-2022</t>
        </is>
      </c>
      <c r="B2717" s="1" t="n">
        <v>44729</v>
      </c>
      <c r="C2717" s="1" t="n">
        <v>45705</v>
      </c>
      <c r="D2717" t="inlineStr">
        <is>
          <t>UPPSALA LÄN</t>
        </is>
      </c>
      <c r="E2717" t="inlineStr">
        <is>
          <t>UPPSALA</t>
        </is>
      </c>
      <c r="F2717" t="inlineStr">
        <is>
          <t>Holmen skog AB</t>
        </is>
      </c>
      <c r="G2717" t="n">
        <v>4.6</v>
      </c>
      <c r="H2717" t="n">
        <v>0</v>
      </c>
      <c r="I2717" t="n">
        <v>0</v>
      </c>
      <c r="J2717" t="n">
        <v>0</v>
      </c>
      <c r="K2717" t="n">
        <v>0</v>
      </c>
      <c r="L2717" t="n">
        <v>0</v>
      </c>
      <c r="M2717" t="n">
        <v>0</v>
      </c>
      <c r="N2717" t="n">
        <v>0</v>
      </c>
      <c r="O2717" t="n">
        <v>0</v>
      </c>
      <c r="P2717" t="n">
        <v>0</v>
      </c>
      <c r="Q2717" t="n">
        <v>0</v>
      </c>
      <c r="R2717" s="2" t="inlineStr"/>
    </row>
    <row r="2718" ht="15" customHeight="1">
      <c r="A2718" t="inlineStr">
        <is>
          <t>A 25120-2022</t>
        </is>
      </c>
      <c r="B2718" s="1" t="n">
        <v>44729</v>
      </c>
      <c r="C2718" s="1" t="n">
        <v>45705</v>
      </c>
      <c r="D2718" t="inlineStr">
        <is>
          <t>UPPSALA LÄN</t>
        </is>
      </c>
      <c r="E2718" t="inlineStr">
        <is>
          <t>UPPSALA</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25418-2022</t>
        </is>
      </c>
      <c r="B2719" s="1" t="n">
        <v>44732</v>
      </c>
      <c r="C2719" s="1" t="n">
        <v>45705</v>
      </c>
      <c r="D2719" t="inlineStr">
        <is>
          <t>UPPSALA LÄN</t>
        </is>
      </c>
      <c r="E2719" t="inlineStr">
        <is>
          <t>ÖSTHAMMAR</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25476-2022</t>
        </is>
      </c>
      <c r="B2720" s="1" t="n">
        <v>44732</v>
      </c>
      <c r="C2720" s="1" t="n">
        <v>45705</v>
      </c>
      <c r="D2720" t="inlineStr">
        <is>
          <t>UPPSALA LÄN</t>
        </is>
      </c>
      <c r="E2720" t="inlineStr">
        <is>
          <t>TIERP</t>
        </is>
      </c>
      <c r="F2720" t="inlineStr">
        <is>
          <t>Bergvik skog öst AB</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25419-2022</t>
        </is>
      </c>
      <c r="B2721" s="1" t="n">
        <v>44732</v>
      </c>
      <c r="C2721" s="1" t="n">
        <v>45705</v>
      </c>
      <c r="D2721" t="inlineStr">
        <is>
          <t>UPPSALA LÄN</t>
        </is>
      </c>
      <c r="E2721" t="inlineStr">
        <is>
          <t>HEBY</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25434-2022</t>
        </is>
      </c>
      <c r="B2722" s="1" t="n">
        <v>44732</v>
      </c>
      <c r="C2722" s="1" t="n">
        <v>45705</v>
      </c>
      <c r="D2722" t="inlineStr">
        <is>
          <t>UPPSALA LÄN</t>
        </is>
      </c>
      <c r="E2722" t="inlineStr">
        <is>
          <t>ÖSTHAMMAR</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25759-2022</t>
        </is>
      </c>
      <c r="B2723" s="1" t="n">
        <v>44733</v>
      </c>
      <c r="C2723" s="1" t="n">
        <v>45705</v>
      </c>
      <c r="D2723" t="inlineStr">
        <is>
          <t>UPPSALA LÄN</t>
        </is>
      </c>
      <c r="E2723" t="inlineStr">
        <is>
          <t>UPPSALA</t>
        </is>
      </c>
      <c r="F2723" t="inlineStr">
        <is>
          <t>Bergvik skog öst AB</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25809-2022</t>
        </is>
      </c>
      <c r="B2724" s="1" t="n">
        <v>44733</v>
      </c>
      <c r="C2724" s="1" t="n">
        <v>45705</v>
      </c>
      <c r="D2724" t="inlineStr">
        <is>
          <t>UPPSALA LÄN</t>
        </is>
      </c>
      <c r="E2724" t="inlineStr">
        <is>
          <t>UPPSALA</t>
        </is>
      </c>
      <c r="F2724" t="inlineStr">
        <is>
          <t>Bergvik skog öst AB</t>
        </is>
      </c>
      <c r="G2724" t="n">
        <v>8.199999999999999</v>
      </c>
      <c r="H2724" t="n">
        <v>0</v>
      </c>
      <c r="I2724" t="n">
        <v>0</v>
      </c>
      <c r="J2724" t="n">
        <v>0</v>
      </c>
      <c r="K2724" t="n">
        <v>0</v>
      </c>
      <c r="L2724" t="n">
        <v>0</v>
      </c>
      <c r="M2724" t="n">
        <v>0</v>
      </c>
      <c r="N2724" t="n">
        <v>0</v>
      </c>
      <c r="O2724" t="n">
        <v>0</v>
      </c>
      <c r="P2724" t="n">
        <v>0</v>
      </c>
      <c r="Q2724" t="n">
        <v>0</v>
      </c>
      <c r="R2724" s="2" t="inlineStr"/>
    </row>
    <row r="2725" ht="15" customHeight="1">
      <c r="A2725" t="inlineStr">
        <is>
          <t>A 25745-2022</t>
        </is>
      </c>
      <c r="B2725" s="1" t="n">
        <v>44733</v>
      </c>
      <c r="C2725" s="1" t="n">
        <v>45705</v>
      </c>
      <c r="D2725" t="inlineStr">
        <is>
          <t>UPPSALA LÄN</t>
        </is>
      </c>
      <c r="E2725" t="inlineStr">
        <is>
          <t>UPPSALA</t>
        </is>
      </c>
      <c r="F2725" t="inlineStr">
        <is>
          <t>Bergvik skog öst AB</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25776-2022</t>
        </is>
      </c>
      <c r="B2726" s="1" t="n">
        <v>44733</v>
      </c>
      <c r="C2726" s="1" t="n">
        <v>45705</v>
      </c>
      <c r="D2726" t="inlineStr">
        <is>
          <t>UPPSALA LÄN</t>
        </is>
      </c>
      <c r="E2726" t="inlineStr">
        <is>
          <t>UPPSALA</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25917-2022</t>
        </is>
      </c>
      <c r="B2727" s="1" t="n">
        <v>44733</v>
      </c>
      <c r="C2727" s="1" t="n">
        <v>45705</v>
      </c>
      <c r="D2727" t="inlineStr">
        <is>
          <t>UPPSALA LÄN</t>
        </is>
      </c>
      <c r="E2727" t="inlineStr">
        <is>
          <t>HEBY</t>
        </is>
      </c>
      <c r="F2727" t="inlineStr">
        <is>
          <t>Bergvik skog väst AB</t>
        </is>
      </c>
      <c r="G2727" t="n">
        <v>8.300000000000001</v>
      </c>
      <c r="H2727" t="n">
        <v>0</v>
      </c>
      <c r="I2727" t="n">
        <v>0</v>
      </c>
      <c r="J2727" t="n">
        <v>0</v>
      </c>
      <c r="K2727" t="n">
        <v>0</v>
      </c>
      <c r="L2727" t="n">
        <v>0</v>
      </c>
      <c r="M2727" t="n">
        <v>0</v>
      </c>
      <c r="N2727" t="n">
        <v>0</v>
      </c>
      <c r="O2727" t="n">
        <v>0</v>
      </c>
      <c r="P2727" t="n">
        <v>0</v>
      </c>
      <c r="Q2727" t="n">
        <v>0</v>
      </c>
      <c r="R2727" s="2" t="inlineStr"/>
    </row>
    <row r="2728" ht="15" customHeight="1">
      <c r="A2728" t="inlineStr">
        <is>
          <t>A 26008-2022</t>
        </is>
      </c>
      <c r="B2728" s="1" t="n">
        <v>44734</v>
      </c>
      <c r="C2728" s="1" t="n">
        <v>45705</v>
      </c>
      <c r="D2728" t="inlineStr">
        <is>
          <t>UPPSALA LÄN</t>
        </is>
      </c>
      <c r="E2728" t="inlineStr">
        <is>
          <t>ÖSTHAMMAR</t>
        </is>
      </c>
      <c r="F2728" t="inlineStr">
        <is>
          <t>Bergvik skog öst AB</t>
        </is>
      </c>
      <c r="G2728" t="n">
        <v>8.4</v>
      </c>
      <c r="H2728" t="n">
        <v>0</v>
      </c>
      <c r="I2728" t="n">
        <v>0</v>
      </c>
      <c r="J2728" t="n">
        <v>0</v>
      </c>
      <c r="K2728" t="n">
        <v>0</v>
      </c>
      <c r="L2728" t="n">
        <v>0</v>
      </c>
      <c r="M2728" t="n">
        <v>0</v>
      </c>
      <c r="N2728" t="n">
        <v>0</v>
      </c>
      <c r="O2728" t="n">
        <v>0</v>
      </c>
      <c r="P2728" t="n">
        <v>0</v>
      </c>
      <c r="Q2728" t="n">
        <v>0</v>
      </c>
      <c r="R2728" s="2" t="inlineStr"/>
    </row>
    <row r="2729" ht="15" customHeight="1">
      <c r="A2729" t="inlineStr">
        <is>
          <t>A 25987-2022</t>
        </is>
      </c>
      <c r="B2729" s="1" t="n">
        <v>44734</v>
      </c>
      <c r="C2729" s="1" t="n">
        <v>45705</v>
      </c>
      <c r="D2729" t="inlineStr">
        <is>
          <t>UPPSALA LÄN</t>
        </is>
      </c>
      <c r="E2729" t="inlineStr">
        <is>
          <t>ÖSTHAMMAR</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25998-2022</t>
        </is>
      </c>
      <c r="B2730" s="1" t="n">
        <v>44734</v>
      </c>
      <c r="C2730" s="1" t="n">
        <v>45705</v>
      </c>
      <c r="D2730" t="inlineStr">
        <is>
          <t>UPPSALA LÄN</t>
        </is>
      </c>
      <c r="E2730" t="inlineStr">
        <is>
          <t>HEBY</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25983-2022</t>
        </is>
      </c>
      <c r="B2731" s="1" t="n">
        <v>44734</v>
      </c>
      <c r="C2731" s="1" t="n">
        <v>45705</v>
      </c>
      <c r="D2731" t="inlineStr">
        <is>
          <t>UPPSALA LÄN</t>
        </is>
      </c>
      <c r="E2731" t="inlineStr">
        <is>
          <t>ÖSTHAMMAR</t>
        </is>
      </c>
      <c r="G2731" t="n">
        <v>4.7</v>
      </c>
      <c r="H2731" t="n">
        <v>0</v>
      </c>
      <c r="I2731" t="n">
        <v>0</v>
      </c>
      <c r="J2731" t="n">
        <v>0</v>
      </c>
      <c r="K2731" t="n">
        <v>0</v>
      </c>
      <c r="L2731" t="n">
        <v>0</v>
      </c>
      <c r="M2731" t="n">
        <v>0</v>
      </c>
      <c r="N2731" t="n">
        <v>0</v>
      </c>
      <c r="O2731" t="n">
        <v>0</v>
      </c>
      <c r="P2731" t="n">
        <v>0</v>
      </c>
      <c r="Q2731" t="n">
        <v>0</v>
      </c>
      <c r="R2731" s="2" t="inlineStr"/>
    </row>
    <row r="2732" ht="15" customHeight="1">
      <c r="A2732" t="inlineStr">
        <is>
          <t>A 25995-2022</t>
        </is>
      </c>
      <c r="B2732" s="1" t="n">
        <v>44734</v>
      </c>
      <c r="C2732" s="1" t="n">
        <v>45705</v>
      </c>
      <c r="D2732" t="inlineStr">
        <is>
          <t>UPPSALA LÄN</t>
        </is>
      </c>
      <c r="E2732" t="inlineStr">
        <is>
          <t>HEBY</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26004-2022</t>
        </is>
      </c>
      <c r="B2733" s="1" t="n">
        <v>44734</v>
      </c>
      <c r="C2733" s="1" t="n">
        <v>45705</v>
      </c>
      <c r="D2733" t="inlineStr">
        <is>
          <t>UPPSALA LÄN</t>
        </is>
      </c>
      <c r="E2733" t="inlineStr">
        <is>
          <t>ÖSTHAMMAR</t>
        </is>
      </c>
      <c r="F2733" t="inlineStr">
        <is>
          <t>Bergvik skog öst AB</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25958-2022</t>
        </is>
      </c>
      <c r="B2734" s="1" t="n">
        <v>44734</v>
      </c>
      <c r="C2734" s="1" t="n">
        <v>45705</v>
      </c>
      <c r="D2734" t="inlineStr">
        <is>
          <t>UPPSALA LÄN</t>
        </is>
      </c>
      <c r="E2734" t="inlineStr">
        <is>
          <t>TIERP</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25975-2022</t>
        </is>
      </c>
      <c r="B2735" s="1" t="n">
        <v>44734</v>
      </c>
      <c r="C2735" s="1" t="n">
        <v>45705</v>
      </c>
      <c r="D2735" t="inlineStr">
        <is>
          <t>UPPSALA LÄN</t>
        </is>
      </c>
      <c r="E2735" t="inlineStr">
        <is>
          <t>HEBY</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25997-2022</t>
        </is>
      </c>
      <c r="B2736" s="1" t="n">
        <v>44734</v>
      </c>
      <c r="C2736" s="1" t="n">
        <v>45705</v>
      </c>
      <c r="D2736" t="inlineStr">
        <is>
          <t>UPPSALA LÄN</t>
        </is>
      </c>
      <c r="E2736" t="inlineStr">
        <is>
          <t>HEBY</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26111-2022</t>
        </is>
      </c>
      <c r="B2737" s="1" t="n">
        <v>44734</v>
      </c>
      <c r="C2737" s="1" t="n">
        <v>45705</v>
      </c>
      <c r="D2737" t="inlineStr">
        <is>
          <t>UPPSALA LÄN</t>
        </is>
      </c>
      <c r="E2737" t="inlineStr">
        <is>
          <t>TIERP</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26085-2022</t>
        </is>
      </c>
      <c r="B2738" s="1" t="n">
        <v>44734</v>
      </c>
      <c r="C2738" s="1" t="n">
        <v>45705</v>
      </c>
      <c r="D2738" t="inlineStr">
        <is>
          <t>UPPSALA LÄN</t>
        </is>
      </c>
      <c r="E2738" t="inlineStr">
        <is>
          <t>HEBY</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26182-2022</t>
        </is>
      </c>
      <c r="B2739" s="1" t="n">
        <v>44735</v>
      </c>
      <c r="C2739" s="1" t="n">
        <v>45705</v>
      </c>
      <c r="D2739" t="inlineStr">
        <is>
          <t>UPPSALA LÄN</t>
        </is>
      </c>
      <c r="E2739" t="inlineStr">
        <is>
          <t>KNIVSTA</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26315-2022</t>
        </is>
      </c>
      <c r="B2740" s="1" t="n">
        <v>44735</v>
      </c>
      <c r="C2740" s="1" t="n">
        <v>45705</v>
      </c>
      <c r="D2740" t="inlineStr">
        <is>
          <t>UPPSALA LÄN</t>
        </is>
      </c>
      <c r="E2740" t="inlineStr">
        <is>
          <t>HEBY</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26161-2022</t>
        </is>
      </c>
      <c r="B2741" s="1" t="n">
        <v>44735</v>
      </c>
      <c r="C2741" s="1" t="n">
        <v>45705</v>
      </c>
      <c r="D2741" t="inlineStr">
        <is>
          <t>UPPSALA LÄN</t>
        </is>
      </c>
      <c r="E2741" t="inlineStr">
        <is>
          <t>TIERP</t>
        </is>
      </c>
      <c r="G2741" t="n">
        <v>5</v>
      </c>
      <c r="H2741" t="n">
        <v>0</v>
      </c>
      <c r="I2741" t="n">
        <v>0</v>
      </c>
      <c r="J2741" t="n">
        <v>0</v>
      </c>
      <c r="K2741" t="n">
        <v>0</v>
      </c>
      <c r="L2741" t="n">
        <v>0</v>
      </c>
      <c r="M2741" t="n">
        <v>0</v>
      </c>
      <c r="N2741" t="n">
        <v>0</v>
      </c>
      <c r="O2741" t="n">
        <v>0</v>
      </c>
      <c r="P2741" t="n">
        <v>0</v>
      </c>
      <c r="Q2741" t="n">
        <v>0</v>
      </c>
      <c r="R2741" s="2" t="inlineStr"/>
    </row>
    <row r="2742" ht="15" customHeight="1">
      <c r="A2742" t="inlineStr">
        <is>
          <t>A 26239-2022</t>
        </is>
      </c>
      <c r="B2742" s="1" t="n">
        <v>44735</v>
      </c>
      <c r="C2742" s="1" t="n">
        <v>45705</v>
      </c>
      <c r="D2742" t="inlineStr">
        <is>
          <t>UPPSALA LÄN</t>
        </is>
      </c>
      <c r="E2742" t="inlineStr">
        <is>
          <t>KNIVSTA</t>
        </is>
      </c>
      <c r="G2742" t="n">
        <v>4.4</v>
      </c>
      <c r="H2742" t="n">
        <v>0</v>
      </c>
      <c r="I2742" t="n">
        <v>0</v>
      </c>
      <c r="J2742" t="n">
        <v>0</v>
      </c>
      <c r="K2742" t="n">
        <v>0</v>
      </c>
      <c r="L2742" t="n">
        <v>0</v>
      </c>
      <c r="M2742" t="n">
        <v>0</v>
      </c>
      <c r="N2742" t="n">
        <v>0</v>
      </c>
      <c r="O2742" t="n">
        <v>0</v>
      </c>
      <c r="P2742" t="n">
        <v>0</v>
      </c>
      <c r="Q2742" t="n">
        <v>0</v>
      </c>
      <c r="R2742" s="2" t="inlineStr"/>
    </row>
    <row r="2743" ht="15" customHeight="1">
      <c r="A2743" t="inlineStr">
        <is>
          <t>A 26292-2022</t>
        </is>
      </c>
      <c r="B2743" s="1" t="n">
        <v>44735</v>
      </c>
      <c r="C2743" s="1" t="n">
        <v>45705</v>
      </c>
      <c r="D2743" t="inlineStr">
        <is>
          <t>UPPSALA LÄN</t>
        </is>
      </c>
      <c r="E2743" t="inlineStr">
        <is>
          <t>ENKÖPING</t>
        </is>
      </c>
      <c r="F2743" t="inlineStr">
        <is>
          <t>Kyrkan</t>
        </is>
      </c>
      <c r="G2743" t="n">
        <v>4.6</v>
      </c>
      <c r="H2743" t="n">
        <v>0</v>
      </c>
      <c r="I2743" t="n">
        <v>0</v>
      </c>
      <c r="J2743" t="n">
        <v>0</v>
      </c>
      <c r="K2743" t="n">
        <v>0</v>
      </c>
      <c r="L2743" t="n">
        <v>0</v>
      </c>
      <c r="M2743" t="n">
        <v>0</v>
      </c>
      <c r="N2743" t="n">
        <v>0</v>
      </c>
      <c r="O2743" t="n">
        <v>0</v>
      </c>
      <c r="P2743" t="n">
        <v>0</v>
      </c>
      <c r="Q2743" t="n">
        <v>0</v>
      </c>
      <c r="R2743" s="2" t="inlineStr"/>
    </row>
    <row r="2744" ht="15" customHeight="1">
      <c r="A2744" t="inlineStr">
        <is>
          <t>A 26316-2022</t>
        </is>
      </c>
      <c r="B2744" s="1" t="n">
        <v>44735</v>
      </c>
      <c r="C2744" s="1" t="n">
        <v>45705</v>
      </c>
      <c r="D2744" t="inlineStr">
        <is>
          <t>UPPSALA LÄN</t>
        </is>
      </c>
      <c r="E2744" t="inlineStr">
        <is>
          <t>HEBY</t>
        </is>
      </c>
      <c r="G2744" t="n">
        <v>4</v>
      </c>
      <c r="H2744" t="n">
        <v>0</v>
      </c>
      <c r="I2744" t="n">
        <v>0</v>
      </c>
      <c r="J2744" t="n">
        <v>0</v>
      </c>
      <c r="K2744" t="n">
        <v>0</v>
      </c>
      <c r="L2744" t="n">
        <v>0</v>
      </c>
      <c r="M2744" t="n">
        <v>0</v>
      </c>
      <c r="N2744" t="n">
        <v>0</v>
      </c>
      <c r="O2744" t="n">
        <v>0</v>
      </c>
      <c r="P2744" t="n">
        <v>0</v>
      </c>
      <c r="Q2744" t="n">
        <v>0</v>
      </c>
      <c r="R2744" s="2" t="inlineStr"/>
    </row>
    <row r="2745" ht="15" customHeight="1">
      <c r="A2745" t="inlineStr">
        <is>
          <t>A 26319-2022</t>
        </is>
      </c>
      <c r="B2745" s="1" t="n">
        <v>44735</v>
      </c>
      <c r="C2745" s="1" t="n">
        <v>45705</v>
      </c>
      <c r="D2745" t="inlineStr">
        <is>
          <t>UPPSALA LÄN</t>
        </is>
      </c>
      <c r="E2745" t="inlineStr">
        <is>
          <t>ENKÖPING</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26534-2022</t>
        </is>
      </c>
      <c r="B2746" s="1" t="n">
        <v>44739</v>
      </c>
      <c r="C2746" s="1" t="n">
        <v>45705</v>
      </c>
      <c r="D2746" t="inlineStr">
        <is>
          <t>UPPSALA LÄN</t>
        </is>
      </c>
      <c r="E2746" t="inlineStr">
        <is>
          <t>ÖSTHAMMAR</t>
        </is>
      </c>
      <c r="F2746" t="inlineStr">
        <is>
          <t>Övriga statliga verk och myndigheter</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26567-2022</t>
        </is>
      </c>
      <c r="B2747" s="1" t="n">
        <v>44739</v>
      </c>
      <c r="C2747" s="1" t="n">
        <v>45705</v>
      </c>
      <c r="D2747" t="inlineStr">
        <is>
          <t>UPPSALA LÄN</t>
        </is>
      </c>
      <c r="E2747" t="inlineStr">
        <is>
          <t>HEBY</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26537-2022</t>
        </is>
      </c>
      <c r="B2748" s="1" t="n">
        <v>44739</v>
      </c>
      <c r="C2748" s="1" t="n">
        <v>45705</v>
      </c>
      <c r="D2748" t="inlineStr">
        <is>
          <t>UPPSALA LÄN</t>
        </is>
      </c>
      <c r="E2748" t="inlineStr">
        <is>
          <t>TIERP</t>
        </is>
      </c>
      <c r="G2748" t="n">
        <v>9.4</v>
      </c>
      <c r="H2748" t="n">
        <v>0</v>
      </c>
      <c r="I2748" t="n">
        <v>0</v>
      </c>
      <c r="J2748" t="n">
        <v>0</v>
      </c>
      <c r="K2748" t="n">
        <v>0</v>
      </c>
      <c r="L2748" t="n">
        <v>0</v>
      </c>
      <c r="M2748" t="n">
        <v>0</v>
      </c>
      <c r="N2748" t="n">
        <v>0</v>
      </c>
      <c r="O2748" t="n">
        <v>0</v>
      </c>
      <c r="P2748" t="n">
        <v>0</v>
      </c>
      <c r="Q2748" t="n">
        <v>0</v>
      </c>
      <c r="R2748" s="2" t="inlineStr"/>
    </row>
    <row r="2749" ht="15" customHeight="1">
      <c r="A2749" t="inlineStr">
        <is>
          <t>A 26656-2022</t>
        </is>
      </c>
      <c r="B2749" s="1" t="n">
        <v>44739</v>
      </c>
      <c r="C2749" s="1" t="n">
        <v>45705</v>
      </c>
      <c r="D2749" t="inlineStr">
        <is>
          <t>UPPSALA LÄN</t>
        </is>
      </c>
      <c r="E2749" t="inlineStr">
        <is>
          <t>TIERP</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26609-2022</t>
        </is>
      </c>
      <c r="B2750" s="1" t="n">
        <v>44739</v>
      </c>
      <c r="C2750" s="1" t="n">
        <v>45705</v>
      </c>
      <c r="D2750" t="inlineStr">
        <is>
          <t>UPPSALA LÄN</t>
        </is>
      </c>
      <c r="E2750" t="inlineStr">
        <is>
          <t>UPPSALA</t>
        </is>
      </c>
      <c r="F2750" t="inlineStr">
        <is>
          <t>Bergvik skog öst AB</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26552-2022</t>
        </is>
      </c>
      <c r="B2751" s="1" t="n">
        <v>44739</v>
      </c>
      <c r="C2751" s="1" t="n">
        <v>45705</v>
      </c>
      <c r="D2751" t="inlineStr">
        <is>
          <t>UPPSALA LÄN</t>
        </is>
      </c>
      <c r="E2751" t="inlineStr">
        <is>
          <t>ÖSTHAMMAR</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26561-2022</t>
        </is>
      </c>
      <c r="B2752" s="1" t="n">
        <v>44739</v>
      </c>
      <c r="C2752" s="1" t="n">
        <v>45705</v>
      </c>
      <c r="D2752" t="inlineStr">
        <is>
          <t>UPPSALA LÄN</t>
        </is>
      </c>
      <c r="E2752" t="inlineStr">
        <is>
          <t>ÖSTHAMMAR</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26815-2022</t>
        </is>
      </c>
      <c r="B2753" s="1" t="n">
        <v>44740</v>
      </c>
      <c r="C2753" s="1" t="n">
        <v>45705</v>
      </c>
      <c r="D2753" t="inlineStr">
        <is>
          <t>UPPSALA LÄN</t>
        </is>
      </c>
      <c r="E2753" t="inlineStr">
        <is>
          <t>ÄLVKARLEBY</t>
        </is>
      </c>
      <c r="G2753" t="n">
        <v>5.8</v>
      </c>
      <c r="H2753" t="n">
        <v>0</v>
      </c>
      <c r="I2753" t="n">
        <v>0</v>
      </c>
      <c r="J2753" t="n">
        <v>0</v>
      </c>
      <c r="K2753" t="n">
        <v>0</v>
      </c>
      <c r="L2753" t="n">
        <v>0</v>
      </c>
      <c r="M2753" t="n">
        <v>0</v>
      </c>
      <c r="N2753" t="n">
        <v>0</v>
      </c>
      <c r="O2753" t="n">
        <v>0</v>
      </c>
      <c r="P2753" t="n">
        <v>0</v>
      </c>
      <c r="Q2753" t="n">
        <v>0</v>
      </c>
      <c r="R2753" s="2" t="inlineStr"/>
    </row>
    <row r="2754" ht="15" customHeight="1">
      <c r="A2754" t="inlineStr">
        <is>
          <t>A 26958-2022</t>
        </is>
      </c>
      <c r="B2754" s="1" t="n">
        <v>44740</v>
      </c>
      <c r="C2754" s="1" t="n">
        <v>45705</v>
      </c>
      <c r="D2754" t="inlineStr">
        <is>
          <t>UPPSALA LÄN</t>
        </is>
      </c>
      <c r="E2754" t="inlineStr">
        <is>
          <t>UPPSALA</t>
        </is>
      </c>
      <c r="F2754" t="inlineStr">
        <is>
          <t>Bergvik skog öst AB</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26972-2022</t>
        </is>
      </c>
      <c r="B2755" s="1" t="n">
        <v>44740</v>
      </c>
      <c r="C2755" s="1" t="n">
        <v>45705</v>
      </c>
      <c r="D2755" t="inlineStr">
        <is>
          <t>UPPSALA LÄN</t>
        </is>
      </c>
      <c r="E2755" t="inlineStr">
        <is>
          <t>UPPSALA</t>
        </is>
      </c>
      <c r="F2755" t="inlineStr">
        <is>
          <t>Bergvik skog öst AB</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27372-2022</t>
        </is>
      </c>
      <c r="B2756" s="1" t="n">
        <v>44742</v>
      </c>
      <c r="C2756" s="1" t="n">
        <v>45705</v>
      </c>
      <c r="D2756" t="inlineStr">
        <is>
          <t>UPPSALA LÄN</t>
        </is>
      </c>
      <c r="E2756" t="inlineStr">
        <is>
          <t>UPPSALA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27369-2022</t>
        </is>
      </c>
      <c r="B2757" s="1" t="n">
        <v>44742</v>
      </c>
      <c r="C2757" s="1" t="n">
        <v>45705</v>
      </c>
      <c r="D2757" t="inlineStr">
        <is>
          <t>UPPSALA LÄN</t>
        </is>
      </c>
      <c r="E2757" t="inlineStr">
        <is>
          <t>UPPSALA</t>
        </is>
      </c>
      <c r="G2757" t="n">
        <v>4.5</v>
      </c>
      <c r="H2757" t="n">
        <v>0</v>
      </c>
      <c r="I2757" t="n">
        <v>0</v>
      </c>
      <c r="J2757" t="n">
        <v>0</v>
      </c>
      <c r="K2757" t="n">
        <v>0</v>
      </c>
      <c r="L2757" t="n">
        <v>0</v>
      </c>
      <c r="M2757" t="n">
        <v>0</v>
      </c>
      <c r="N2757" t="n">
        <v>0</v>
      </c>
      <c r="O2757" t="n">
        <v>0</v>
      </c>
      <c r="P2757" t="n">
        <v>0</v>
      </c>
      <c r="Q2757" t="n">
        <v>0</v>
      </c>
      <c r="R2757" s="2" t="inlineStr"/>
    </row>
    <row r="2758" ht="15" customHeight="1">
      <c r="A2758" t="inlineStr">
        <is>
          <t>A 27390-2022</t>
        </is>
      </c>
      <c r="B2758" s="1" t="n">
        <v>44742</v>
      </c>
      <c r="C2758" s="1" t="n">
        <v>45705</v>
      </c>
      <c r="D2758" t="inlineStr">
        <is>
          <t>UPPSALA LÄN</t>
        </is>
      </c>
      <c r="E2758" t="inlineStr">
        <is>
          <t>UPPSALA</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27397-2022</t>
        </is>
      </c>
      <c r="B2759" s="1" t="n">
        <v>44742</v>
      </c>
      <c r="C2759" s="1" t="n">
        <v>45705</v>
      </c>
      <c r="D2759" t="inlineStr">
        <is>
          <t>UPPSALA LÄN</t>
        </is>
      </c>
      <c r="E2759" t="inlineStr">
        <is>
          <t>UPPSALA</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27533-2022</t>
        </is>
      </c>
      <c r="B2760" s="1" t="n">
        <v>44742</v>
      </c>
      <c r="C2760" s="1" t="n">
        <v>45705</v>
      </c>
      <c r="D2760" t="inlineStr">
        <is>
          <t>UPPSALA LÄN</t>
        </is>
      </c>
      <c r="E2760" t="inlineStr">
        <is>
          <t>TIERP</t>
        </is>
      </c>
      <c r="F2760" t="inlineStr">
        <is>
          <t>Bergvik skog öst AB</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27546-2022</t>
        </is>
      </c>
      <c r="B2761" s="1" t="n">
        <v>44742</v>
      </c>
      <c r="C2761" s="1" t="n">
        <v>45705</v>
      </c>
      <c r="D2761" t="inlineStr">
        <is>
          <t>UPPSALA LÄN</t>
        </is>
      </c>
      <c r="E2761" t="inlineStr">
        <is>
          <t>UPPSALA</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27543-2022</t>
        </is>
      </c>
      <c r="B2762" s="1" t="n">
        <v>44742</v>
      </c>
      <c r="C2762" s="1" t="n">
        <v>45705</v>
      </c>
      <c r="D2762" t="inlineStr">
        <is>
          <t>UPPSALA LÄN</t>
        </is>
      </c>
      <c r="E2762" t="inlineStr">
        <is>
          <t>UPPSALA</t>
        </is>
      </c>
      <c r="F2762" t="inlineStr">
        <is>
          <t>Kyrkan</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27858-2022</t>
        </is>
      </c>
      <c r="B2763" s="1" t="n">
        <v>44743</v>
      </c>
      <c r="C2763" s="1" t="n">
        <v>45705</v>
      </c>
      <c r="D2763" t="inlineStr">
        <is>
          <t>UPPSALA LÄN</t>
        </is>
      </c>
      <c r="E2763" t="inlineStr">
        <is>
          <t>HEBY</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27763-2022</t>
        </is>
      </c>
      <c r="B2764" s="1" t="n">
        <v>44743</v>
      </c>
      <c r="C2764" s="1" t="n">
        <v>45705</v>
      </c>
      <c r="D2764" t="inlineStr">
        <is>
          <t>UPPSALA LÄN</t>
        </is>
      </c>
      <c r="E2764" t="inlineStr">
        <is>
          <t>UPPSALA</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27838-2022</t>
        </is>
      </c>
      <c r="B2765" s="1" t="n">
        <v>44743</v>
      </c>
      <c r="C2765" s="1" t="n">
        <v>45705</v>
      </c>
      <c r="D2765" t="inlineStr">
        <is>
          <t>UPPSALA LÄN</t>
        </is>
      </c>
      <c r="E2765" t="inlineStr">
        <is>
          <t>TIERP</t>
        </is>
      </c>
      <c r="G2765" t="n">
        <v>15.2</v>
      </c>
      <c r="H2765" t="n">
        <v>0</v>
      </c>
      <c r="I2765" t="n">
        <v>0</v>
      </c>
      <c r="J2765" t="n">
        <v>0</v>
      </c>
      <c r="K2765" t="n">
        <v>0</v>
      </c>
      <c r="L2765" t="n">
        <v>0</v>
      </c>
      <c r="M2765" t="n">
        <v>0</v>
      </c>
      <c r="N2765" t="n">
        <v>0</v>
      </c>
      <c r="O2765" t="n">
        <v>0</v>
      </c>
      <c r="P2765" t="n">
        <v>0</v>
      </c>
      <c r="Q2765" t="n">
        <v>0</v>
      </c>
      <c r="R2765" s="2" t="inlineStr"/>
    </row>
    <row r="2766" ht="15" customHeight="1">
      <c r="A2766" t="inlineStr">
        <is>
          <t>A 27860-2022</t>
        </is>
      </c>
      <c r="B2766" s="1" t="n">
        <v>44743</v>
      </c>
      <c r="C2766" s="1" t="n">
        <v>45705</v>
      </c>
      <c r="D2766" t="inlineStr">
        <is>
          <t>UPPSALA LÄN</t>
        </is>
      </c>
      <c r="E2766" t="inlineStr">
        <is>
          <t>TIERP</t>
        </is>
      </c>
      <c r="G2766" t="n">
        <v>5.6</v>
      </c>
      <c r="H2766" t="n">
        <v>0</v>
      </c>
      <c r="I2766" t="n">
        <v>0</v>
      </c>
      <c r="J2766" t="n">
        <v>0</v>
      </c>
      <c r="K2766" t="n">
        <v>0</v>
      </c>
      <c r="L2766" t="n">
        <v>0</v>
      </c>
      <c r="M2766" t="n">
        <v>0</v>
      </c>
      <c r="N2766" t="n">
        <v>0</v>
      </c>
      <c r="O2766" t="n">
        <v>0</v>
      </c>
      <c r="P2766" t="n">
        <v>0</v>
      </c>
      <c r="Q2766" t="n">
        <v>0</v>
      </c>
      <c r="R2766" s="2" t="inlineStr"/>
    </row>
    <row r="2767" ht="15" customHeight="1">
      <c r="A2767" t="inlineStr">
        <is>
          <t>A 27762-2022</t>
        </is>
      </c>
      <c r="B2767" s="1" t="n">
        <v>44743</v>
      </c>
      <c r="C2767" s="1" t="n">
        <v>45705</v>
      </c>
      <c r="D2767" t="inlineStr">
        <is>
          <t>UPPSALA LÄN</t>
        </is>
      </c>
      <c r="E2767" t="inlineStr">
        <is>
          <t>UPPSALA</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28228-2022</t>
        </is>
      </c>
      <c r="B2768" s="1" t="n">
        <v>44746</v>
      </c>
      <c r="C2768" s="1" t="n">
        <v>45705</v>
      </c>
      <c r="D2768" t="inlineStr">
        <is>
          <t>UPPSALA LÄN</t>
        </is>
      </c>
      <c r="E2768" t="inlineStr">
        <is>
          <t>ÖSTHAMMAR</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28346-2022</t>
        </is>
      </c>
      <c r="B2769" s="1" t="n">
        <v>44747</v>
      </c>
      <c r="C2769" s="1" t="n">
        <v>45705</v>
      </c>
      <c r="D2769" t="inlineStr">
        <is>
          <t>UPPSALA LÄN</t>
        </is>
      </c>
      <c r="E2769" t="inlineStr">
        <is>
          <t>TIERP</t>
        </is>
      </c>
      <c r="F2769" t="inlineStr">
        <is>
          <t>Bergvik skog väst AB</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28565-2022</t>
        </is>
      </c>
      <c r="B2770" s="1" t="n">
        <v>44748</v>
      </c>
      <c r="C2770" s="1" t="n">
        <v>45705</v>
      </c>
      <c r="D2770" t="inlineStr">
        <is>
          <t>UPPSALA LÄN</t>
        </is>
      </c>
      <c r="E2770" t="inlineStr">
        <is>
          <t>TIERP</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28620-2022</t>
        </is>
      </c>
      <c r="B2771" s="1" t="n">
        <v>44748</v>
      </c>
      <c r="C2771" s="1" t="n">
        <v>45705</v>
      </c>
      <c r="D2771" t="inlineStr">
        <is>
          <t>UPPSALA LÄN</t>
        </is>
      </c>
      <c r="E2771" t="inlineStr">
        <is>
          <t>HEBY</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28881-2022</t>
        </is>
      </c>
      <c r="B2772" s="1" t="n">
        <v>44749</v>
      </c>
      <c r="C2772" s="1" t="n">
        <v>45705</v>
      </c>
      <c r="D2772" t="inlineStr">
        <is>
          <t>UPPSALA LÄN</t>
        </is>
      </c>
      <c r="E2772" t="inlineStr">
        <is>
          <t>TIERP</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28915-2022</t>
        </is>
      </c>
      <c r="B2773" s="1" t="n">
        <v>44749</v>
      </c>
      <c r="C2773" s="1" t="n">
        <v>45705</v>
      </c>
      <c r="D2773" t="inlineStr">
        <is>
          <t>UPPSALA LÄN</t>
        </is>
      </c>
      <c r="E2773" t="inlineStr">
        <is>
          <t>TIERP</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29103-2022</t>
        </is>
      </c>
      <c r="B2774" s="1" t="n">
        <v>44750</v>
      </c>
      <c r="C2774" s="1" t="n">
        <v>45705</v>
      </c>
      <c r="D2774" t="inlineStr">
        <is>
          <t>UPPSALA LÄN</t>
        </is>
      </c>
      <c r="E2774" t="inlineStr">
        <is>
          <t>TIERP</t>
        </is>
      </c>
      <c r="F2774" t="inlineStr">
        <is>
          <t>Bergvik skog väst AB</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29116-2022</t>
        </is>
      </c>
      <c r="B2775" s="1" t="n">
        <v>44750</v>
      </c>
      <c r="C2775" s="1" t="n">
        <v>45705</v>
      </c>
      <c r="D2775" t="inlineStr">
        <is>
          <t>UPPSALA LÄN</t>
        </is>
      </c>
      <c r="E2775" t="inlineStr">
        <is>
          <t>ÄLVKARLEBY</t>
        </is>
      </c>
      <c r="F2775" t="inlineStr">
        <is>
          <t>Kommuner</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29277-2022</t>
        </is>
      </c>
      <c r="B2776" s="1" t="n">
        <v>44750</v>
      </c>
      <c r="C2776" s="1" t="n">
        <v>45705</v>
      </c>
      <c r="D2776" t="inlineStr">
        <is>
          <t>UPPSALA LÄN</t>
        </is>
      </c>
      <c r="E2776" t="inlineStr">
        <is>
          <t>UPPSALA</t>
        </is>
      </c>
      <c r="F2776" t="inlineStr">
        <is>
          <t>Bergvik skog öst AB</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29168-2022</t>
        </is>
      </c>
      <c r="B2777" s="1" t="n">
        <v>44750</v>
      </c>
      <c r="C2777" s="1" t="n">
        <v>45705</v>
      </c>
      <c r="D2777" t="inlineStr">
        <is>
          <t>UPPSALA LÄN</t>
        </is>
      </c>
      <c r="E2777" t="inlineStr">
        <is>
          <t>ÄLVKARLEBY</t>
        </is>
      </c>
      <c r="F2777" t="inlineStr">
        <is>
          <t>Kommuner</t>
        </is>
      </c>
      <c r="G2777" t="n">
        <v>5.1</v>
      </c>
      <c r="H2777" t="n">
        <v>0</v>
      </c>
      <c r="I2777" t="n">
        <v>0</v>
      </c>
      <c r="J2777" t="n">
        <v>0</v>
      </c>
      <c r="K2777" t="n">
        <v>0</v>
      </c>
      <c r="L2777" t="n">
        <v>0</v>
      </c>
      <c r="M2777" t="n">
        <v>0</v>
      </c>
      <c r="N2777" t="n">
        <v>0</v>
      </c>
      <c r="O2777" t="n">
        <v>0</v>
      </c>
      <c r="P2777" t="n">
        <v>0</v>
      </c>
      <c r="Q2777" t="n">
        <v>0</v>
      </c>
      <c r="R2777" s="2" t="inlineStr"/>
    </row>
    <row r="2778" ht="15" customHeight="1">
      <c r="A2778" t="inlineStr">
        <is>
          <t>A 29156-2022</t>
        </is>
      </c>
      <c r="B2778" s="1" t="n">
        <v>44750</v>
      </c>
      <c r="C2778" s="1" t="n">
        <v>45705</v>
      </c>
      <c r="D2778" t="inlineStr">
        <is>
          <t>UPPSALA LÄN</t>
        </is>
      </c>
      <c r="E2778" t="inlineStr">
        <is>
          <t>TIERP</t>
        </is>
      </c>
      <c r="F2778" t="inlineStr">
        <is>
          <t>Övriga Aktiebolag</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29134-2022</t>
        </is>
      </c>
      <c r="B2779" s="1" t="n">
        <v>44750</v>
      </c>
      <c r="C2779" s="1" t="n">
        <v>45705</v>
      </c>
      <c r="D2779" t="inlineStr">
        <is>
          <t>UPPSALA LÄN</t>
        </is>
      </c>
      <c r="E2779" t="inlineStr">
        <is>
          <t>UPPSALA</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29340-2022</t>
        </is>
      </c>
      <c r="B2780" s="1" t="n">
        <v>44752</v>
      </c>
      <c r="C2780" s="1" t="n">
        <v>45705</v>
      </c>
      <c r="D2780" t="inlineStr">
        <is>
          <t>UPPSALA LÄN</t>
        </is>
      </c>
      <c r="E2780" t="inlineStr">
        <is>
          <t>HEBY</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29387-2022</t>
        </is>
      </c>
      <c r="B2781" s="1" t="n">
        <v>44753</v>
      </c>
      <c r="C2781" s="1" t="n">
        <v>45705</v>
      </c>
      <c r="D2781" t="inlineStr">
        <is>
          <t>UPPSALA LÄN</t>
        </is>
      </c>
      <c r="E2781" t="inlineStr">
        <is>
          <t>HEBY</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29391-2022</t>
        </is>
      </c>
      <c r="B2782" s="1" t="n">
        <v>44753</v>
      </c>
      <c r="C2782" s="1" t="n">
        <v>45705</v>
      </c>
      <c r="D2782" t="inlineStr">
        <is>
          <t>UPPSALA LÄN</t>
        </is>
      </c>
      <c r="E2782" t="inlineStr">
        <is>
          <t>HEBY</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29479-2022</t>
        </is>
      </c>
      <c r="B2783" s="1" t="n">
        <v>44753</v>
      </c>
      <c r="C2783" s="1" t="n">
        <v>45705</v>
      </c>
      <c r="D2783" t="inlineStr">
        <is>
          <t>UPPSALA LÄN</t>
        </is>
      </c>
      <c r="E2783" t="inlineStr">
        <is>
          <t>ENKÖPING</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29484-2022</t>
        </is>
      </c>
      <c r="B2784" s="1" t="n">
        <v>44753</v>
      </c>
      <c r="C2784" s="1" t="n">
        <v>45705</v>
      </c>
      <c r="D2784" t="inlineStr">
        <is>
          <t>UPPSALA LÄN</t>
        </is>
      </c>
      <c r="E2784" t="inlineStr">
        <is>
          <t>ENKÖPING</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29396-2022</t>
        </is>
      </c>
      <c r="B2785" s="1" t="n">
        <v>44753</v>
      </c>
      <c r="C2785" s="1" t="n">
        <v>45705</v>
      </c>
      <c r="D2785" t="inlineStr">
        <is>
          <t>UPPSALA LÄN</t>
        </is>
      </c>
      <c r="E2785" t="inlineStr">
        <is>
          <t>HEBY</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29435-2022</t>
        </is>
      </c>
      <c r="B2786" s="1" t="n">
        <v>44753</v>
      </c>
      <c r="C2786" s="1" t="n">
        <v>45705</v>
      </c>
      <c r="D2786" t="inlineStr">
        <is>
          <t>UPPSALA LÄN</t>
        </is>
      </c>
      <c r="E2786" t="inlineStr">
        <is>
          <t>ENKÖPING</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29483-2022</t>
        </is>
      </c>
      <c r="B2787" s="1" t="n">
        <v>44753</v>
      </c>
      <c r="C2787" s="1" t="n">
        <v>45705</v>
      </c>
      <c r="D2787" t="inlineStr">
        <is>
          <t>UPPSALA LÄN</t>
        </is>
      </c>
      <c r="E2787" t="inlineStr">
        <is>
          <t>ENKÖPING</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29475-2022</t>
        </is>
      </c>
      <c r="B2788" s="1" t="n">
        <v>44753</v>
      </c>
      <c r="C2788" s="1" t="n">
        <v>45705</v>
      </c>
      <c r="D2788" t="inlineStr">
        <is>
          <t>UPPSALA LÄN</t>
        </is>
      </c>
      <c r="E2788" t="inlineStr">
        <is>
          <t>ENKÖPING</t>
        </is>
      </c>
      <c r="G2788" t="n">
        <v>6.9</v>
      </c>
      <c r="H2788" t="n">
        <v>0</v>
      </c>
      <c r="I2788" t="n">
        <v>0</v>
      </c>
      <c r="J2788" t="n">
        <v>0</v>
      </c>
      <c r="K2788" t="n">
        <v>0</v>
      </c>
      <c r="L2788" t="n">
        <v>0</v>
      </c>
      <c r="M2788" t="n">
        <v>0</v>
      </c>
      <c r="N2788" t="n">
        <v>0</v>
      </c>
      <c r="O2788" t="n">
        <v>0</v>
      </c>
      <c r="P2788" t="n">
        <v>0</v>
      </c>
      <c r="Q2788" t="n">
        <v>0</v>
      </c>
      <c r="R2788" s="2" t="inlineStr"/>
    </row>
    <row r="2789" ht="15" customHeight="1">
      <c r="A2789" t="inlineStr">
        <is>
          <t>A 29425-2022</t>
        </is>
      </c>
      <c r="B2789" s="1" t="n">
        <v>44753</v>
      </c>
      <c r="C2789" s="1" t="n">
        <v>45705</v>
      </c>
      <c r="D2789" t="inlineStr">
        <is>
          <t>UPPSALA LÄN</t>
        </is>
      </c>
      <c r="E2789" t="inlineStr">
        <is>
          <t>ENKÖPING</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29433-2022</t>
        </is>
      </c>
      <c r="B2790" s="1" t="n">
        <v>44753</v>
      </c>
      <c r="C2790" s="1" t="n">
        <v>45705</v>
      </c>
      <c r="D2790" t="inlineStr">
        <is>
          <t>UPPSALA LÄN</t>
        </is>
      </c>
      <c r="E2790" t="inlineStr">
        <is>
          <t>ENKÖPING</t>
        </is>
      </c>
      <c r="G2790" t="n">
        <v>4.3</v>
      </c>
      <c r="H2790" t="n">
        <v>0</v>
      </c>
      <c r="I2790" t="n">
        <v>0</v>
      </c>
      <c r="J2790" t="n">
        <v>0</v>
      </c>
      <c r="K2790" t="n">
        <v>0</v>
      </c>
      <c r="L2790" t="n">
        <v>0</v>
      </c>
      <c r="M2790" t="n">
        <v>0</v>
      </c>
      <c r="N2790" t="n">
        <v>0</v>
      </c>
      <c r="O2790" t="n">
        <v>0</v>
      </c>
      <c r="P2790" t="n">
        <v>0</v>
      </c>
      <c r="Q2790" t="n">
        <v>0</v>
      </c>
      <c r="R2790" s="2" t="inlineStr"/>
    </row>
    <row r="2791" ht="15" customHeight="1">
      <c r="A2791" t="inlineStr">
        <is>
          <t>A 29482-2022</t>
        </is>
      </c>
      <c r="B2791" s="1" t="n">
        <v>44753</v>
      </c>
      <c r="C2791" s="1" t="n">
        <v>45705</v>
      </c>
      <c r="D2791" t="inlineStr">
        <is>
          <t>UPPSALA LÄN</t>
        </is>
      </c>
      <c r="E2791" t="inlineStr">
        <is>
          <t>ENKÖPING</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29570-2022</t>
        </is>
      </c>
      <c r="B2792" s="1" t="n">
        <v>44754</v>
      </c>
      <c r="C2792" s="1" t="n">
        <v>45705</v>
      </c>
      <c r="D2792" t="inlineStr">
        <is>
          <t>UPPSALA LÄN</t>
        </is>
      </c>
      <c r="E2792" t="inlineStr">
        <is>
          <t>HEBY</t>
        </is>
      </c>
      <c r="F2792" t="inlineStr">
        <is>
          <t>Bergvik skog öst AB</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29644-2022</t>
        </is>
      </c>
      <c r="B2793" s="1" t="n">
        <v>44754</v>
      </c>
      <c r="C2793" s="1" t="n">
        <v>45705</v>
      </c>
      <c r="D2793" t="inlineStr">
        <is>
          <t>UPPSALA LÄN</t>
        </is>
      </c>
      <c r="E2793" t="inlineStr">
        <is>
          <t>HEBY</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29737-2022</t>
        </is>
      </c>
      <c r="B2794" s="1" t="n">
        <v>44755</v>
      </c>
      <c r="C2794" s="1" t="n">
        <v>45705</v>
      </c>
      <c r="D2794" t="inlineStr">
        <is>
          <t>UPPSALA LÄN</t>
        </is>
      </c>
      <c r="E2794" t="inlineStr">
        <is>
          <t>TIERP</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29753-2022</t>
        </is>
      </c>
      <c r="B2795" s="1" t="n">
        <v>44755</v>
      </c>
      <c r="C2795" s="1" t="n">
        <v>45705</v>
      </c>
      <c r="D2795" t="inlineStr">
        <is>
          <t>UPPSALA LÄN</t>
        </is>
      </c>
      <c r="E2795" t="inlineStr">
        <is>
          <t>ÖSTHAMMAR</t>
        </is>
      </c>
      <c r="G2795" t="n">
        <v>9.4</v>
      </c>
      <c r="H2795" t="n">
        <v>0</v>
      </c>
      <c r="I2795" t="n">
        <v>0</v>
      </c>
      <c r="J2795" t="n">
        <v>0</v>
      </c>
      <c r="K2795" t="n">
        <v>0</v>
      </c>
      <c r="L2795" t="n">
        <v>0</v>
      </c>
      <c r="M2795" t="n">
        <v>0</v>
      </c>
      <c r="N2795" t="n">
        <v>0</v>
      </c>
      <c r="O2795" t="n">
        <v>0</v>
      </c>
      <c r="P2795" t="n">
        <v>0</v>
      </c>
      <c r="Q2795" t="n">
        <v>0</v>
      </c>
      <c r="R2795" s="2" t="inlineStr"/>
    </row>
    <row r="2796" ht="15" customHeight="1">
      <c r="A2796" t="inlineStr">
        <is>
          <t>A 29935-2022</t>
        </is>
      </c>
      <c r="B2796" s="1" t="n">
        <v>44756</v>
      </c>
      <c r="C2796" s="1" t="n">
        <v>45705</v>
      </c>
      <c r="D2796" t="inlineStr">
        <is>
          <t>UPPSALA LÄN</t>
        </is>
      </c>
      <c r="E2796" t="inlineStr">
        <is>
          <t>HEBY</t>
        </is>
      </c>
      <c r="F2796" t="inlineStr">
        <is>
          <t>Övriga Aktiebolag</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29899-2022</t>
        </is>
      </c>
      <c r="B2797" s="1" t="n">
        <v>44756</v>
      </c>
      <c r="C2797" s="1" t="n">
        <v>45705</v>
      </c>
      <c r="D2797" t="inlineStr">
        <is>
          <t>UPPSALA LÄN</t>
        </is>
      </c>
      <c r="E2797" t="inlineStr">
        <is>
          <t>TIERP</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29981-2022</t>
        </is>
      </c>
      <c r="B2798" s="1" t="n">
        <v>44756</v>
      </c>
      <c r="C2798" s="1" t="n">
        <v>45705</v>
      </c>
      <c r="D2798" t="inlineStr">
        <is>
          <t>UPPSALA LÄN</t>
        </is>
      </c>
      <c r="E2798" t="inlineStr">
        <is>
          <t>TIERP</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29986-2022</t>
        </is>
      </c>
      <c r="B2799" s="1" t="n">
        <v>44756</v>
      </c>
      <c r="C2799" s="1" t="n">
        <v>45705</v>
      </c>
      <c r="D2799" t="inlineStr">
        <is>
          <t>UPPSALA LÄN</t>
        </is>
      </c>
      <c r="E2799" t="inlineStr">
        <is>
          <t>UPPSALA</t>
        </is>
      </c>
      <c r="F2799" t="inlineStr">
        <is>
          <t>Bergvik skog öst AB</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29991-2022</t>
        </is>
      </c>
      <c r="B2800" s="1" t="n">
        <v>44756</v>
      </c>
      <c r="C2800" s="1" t="n">
        <v>45705</v>
      </c>
      <c r="D2800" t="inlineStr">
        <is>
          <t>UPPSALA LÄN</t>
        </is>
      </c>
      <c r="E2800" t="inlineStr">
        <is>
          <t>UPPSALA</t>
        </is>
      </c>
      <c r="F2800" t="inlineStr">
        <is>
          <t>Bergvik skog öst AB</t>
        </is>
      </c>
      <c r="G2800" t="n">
        <v>4.1</v>
      </c>
      <c r="H2800" t="n">
        <v>0</v>
      </c>
      <c r="I2800" t="n">
        <v>0</v>
      </c>
      <c r="J2800" t="n">
        <v>0</v>
      </c>
      <c r="K2800" t="n">
        <v>0</v>
      </c>
      <c r="L2800" t="n">
        <v>0</v>
      </c>
      <c r="M2800" t="n">
        <v>0</v>
      </c>
      <c r="N2800" t="n">
        <v>0</v>
      </c>
      <c r="O2800" t="n">
        <v>0</v>
      </c>
      <c r="P2800" t="n">
        <v>0</v>
      </c>
      <c r="Q2800" t="n">
        <v>0</v>
      </c>
      <c r="R2800" s="2" t="inlineStr"/>
    </row>
    <row r="2801" ht="15" customHeight="1">
      <c r="A2801" t="inlineStr">
        <is>
          <t>A 29983-2022</t>
        </is>
      </c>
      <c r="B2801" s="1" t="n">
        <v>44756</v>
      </c>
      <c r="C2801" s="1" t="n">
        <v>45705</v>
      </c>
      <c r="D2801" t="inlineStr">
        <is>
          <t>UPPSALA LÄN</t>
        </is>
      </c>
      <c r="E2801" t="inlineStr">
        <is>
          <t>TIERP</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30052-2022</t>
        </is>
      </c>
      <c r="B2802" s="1" t="n">
        <v>44757</v>
      </c>
      <c r="C2802" s="1" t="n">
        <v>45705</v>
      </c>
      <c r="D2802" t="inlineStr">
        <is>
          <t>UPPSALA LÄN</t>
        </is>
      </c>
      <c r="E2802" t="inlineStr">
        <is>
          <t>UPPSALA</t>
        </is>
      </c>
      <c r="F2802" t="inlineStr">
        <is>
          <t>Bergvik skog öst AB</t>
        </is>
      </c>
      <c r="G2802" t="n">
        <v>9.6</v>
      </c>
      <c r="H2802" t="n">
        <v>0</v>
      </c>
      <c r="I2802" t="n">
        <v>0</v>
      </c>
      <c r="J2802" t="n">
        <v>0</v>
      </c>
      <c r="K2802" t="n">
        <v>0</v>
      </c>
      <c r="L2802" t="n">
        <v>0</v>
      </c>
      <c r="M2802" t="n">
        <v>0</v>
      </c>
      <c r="N2802" t="n">
        <v>0</v>
      </c>
      <c r="O2802" t="n">
        <v>0</v>
      </c>
      <c r="P2802" t="n">
        <v>0</v>
      </c>
      <c r="Q2802" t="n">
        <v>0</v>
      </c>
      <c r="R2802" s="2" t="inlineStr"/>
    </row>
    <row r="2803" ht="15" customHeight="1">
      <c r="A2803" t="inlineStr">
        <is>
          <t>A 30212-2022</t>
        </is>
      </c>
      <c r="B2803" s="1" t="n">
        <v>44757</v>
      </c>
      <c r="C2803" s="1" t="n">
        <v>45705</v>
      </c>
      <c r="D2803" t="inlineStr">
        <is>
          <t>UPPSALA LÄN</t>
        </is>
      </c>
      <c r="E2803" t="inlineStr">
        <is>
          <t>ÖSTHAMMAR</t>
        </is>
      </c>
      <c r="F2803" t="inlineStr">
        <is>
          <t>Bergvik skog öst AB</t>
        </is>
      </c>
      <c r="G2803" t="n">
        <v>13.6</v>
      </c>
      <c r="H2803" t="n">
        <v>0</v>
      </c>
      <c r="I2803" t="n">
        <v>0</v>
      </c>
      <c r="J2803" t="n">
        <v>0</v>
      </c>
      <c r="K2803" t="n">
        <v>0</v>
      </c>
      <c r="L2803" t="n">
        <v>0</v>
      </c>
      <c r="M2803" t="n">
        <v>0</v>
      </c>
      <c r="N2803" t="n">
        <v>0</v>
      </c>
      <c r="O2803" t="n">
        <v>0</v>
      </c>
      <c r="P2803" t="n">
        <v>0</v>
      </c>
      <c r="Q2803" t="n">
        <v>0</v>
      </c>
      <c r="R2803" s="2" t="inlineStr"/>
    </row>
    <row r="2804" ht="15" customHeight="1">
      <c r="A2804" t="inlineStr">
        <is>
          <t>A 30182-2022</t>
        </is>
      </c>
      <c r="B2804" s="1" t="n">
        <v>44757</v>
      </c>
      <c r="C2804" s="1" t="n">
        <v>45705</v>
      </c>
      <c r="D2804" t="inlineStr">
        <is>
          <t>UPPSALA LÄN</t>
        </is>
      </c>
      <c r="E2804" t="inlineStr">
        <is>
          <t>HEBY</t>
        </is>
      </c>
      <c r="G2804" t="n">
        <v>5</v>
      </c>
      <c r="H2804" t="n">
        <v>0</v>
      </c>
      <c r="I2804" t="n">
        <v>0</v>
      </c>
      <c r="J2804" t="n">
        <v>0</v>
      </c>
      <c r="K2804" t="n">
        <v>0</v>
      </c>
      <c r="L2804" t="n">
        <v>0</v>
      </c>
      <c r="M2804" t="n">
        <v>0</v>
      </c>
      <c r="N2804" t="n">
        <v>0</v>
      </c>
      <c r="O2804" t="n">
        <v>0</v>
      </c>
      <c r="P2804" t="n">
        <v>0</v>
      </c>
      <c r="Q2804" t="n">
        <v>0</v>
      </c>
      <c r="R2804" s="2" t="inlineStr"/>
    </row>
    <row r="2805" ht="15" customHeight="1">
      <c r="A2805" t="inlineStr">
        <is>
          <t>A 30351-2022</t>
        </is>
      </c>
      <c r="B2805" s="1" t="n">
        <v>44757</v>
      </c>
      <c r="C2805" s="1" t="n">
        <v>45705</v>
      </c>
      <c r="D2805" t="inlineStr">
        <is>
          <t>UPPSALA LÄN</t>
        </is>
      </c>
      <c r="E2805" t="inlineStr">
        <is>
          <t>KNIVSTA</t>
        </is>
      </c>
      <c r="G2805" t="n">
        <v>5.7</v>
      </c>
      <c r="H2805" t="n">
        <v>0</v>
      </c>
      <c r="I2805" t="n">
        <v>0</v>
      </c>
      <c r="J2805" t="n">
        <v>0</v>
      </c>
      <c r="K2805" t="n">
        <v>0</v>
      </c>
      <c r="L2805" t="n">
        <v>0</v>
      </c>
      <c r="M2805" t="n">
        <v>0</v>
      </c>
      <c r="N2805" t="n">
        <v>0</v>
      </c>
      <c r="O2805" t="n">
        <v>0</v>
      </c>
      <c r="P2805" t="n">
        <v>0</v>
      </c>
      <c r="Q2805" t="n">
        <v>0</v>
      </c>
      <c r="R2805" s="2" t="inlineStr"/>
    </row>
    <row r="2806" ht="15" customHeight="1">
      <c r="A2806" t="inlineStr">
        <is>
          <t>A 30209-2022</t>
        </is>
      </c>
      <c r="B2806" s="1" t="n">
        <v>44757</v>
      </c>
      <c r="C2806" s="1" t="n">
        <v>45705</v>
      </c>
      <c r="D2806" t="inlineStr">
        <is>
          <t>UPPSALA LÄN</t>
        </is>
      </c>
      <c r="E2806" t="inlineStr">
        <is>
          <t>ÖSTHAMMAR</t>
        </is>
      </c>
      <c r="F2806" t="inlineStr">
        <is>
          <t>Bergvik skog öst AB</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30437-2022</t>
        </is>
      </c>
      <c r="B2807" s="1" t="n">
        <v>44761</v>
      </c>
      <c r="C2807" s="1" t="n">
        <v>45705</v>
      </c>
      <c r="D2807" t="inlineStr">
        <is>
          <t>UPPSALA LÄN</t>
        </is>
      </c>
      <c r="E2807" t="inlineStr">
        <is>
          <t>ENKÖPING</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30549-2022</t>
        </is>
      </c>
      <c r="B2808" s="1" t="n">
        <v>44762</v>
      </c>
      <c r="C2808" s="1" t="n">
        <v>45705</v>
      </c>
      <c r="D2808" t="inlineStr">
        <is>
          <t>UPPSALA LÄN</t>
        </is>
      </c>
      <c r="E2808" t="inlineStr">
        <is>
          <t>ÖSTHAMMAR</t>
        </is>
      </c>
      <c r="F2808" t="inlineStr">
        <is>
          <t>Bergvik skog öst AB</t>
        </is>
      </c>
      <c r="G2808" t="n">
        <v>6.2</v>
      </c>
      <c r="H2808" t="n">
        <v>0</v>
      </c>
      <c r="I2808" t="n">
        <v>0</v>
      </c>
      <c r="J2808" t="n">
        <v>0</v>
      </c>
      <c r="K2808" t="n">
        <v>0</v>
      </c>
      <c r="L2808" t="n">
        <v>0</v>
      </c>
      <c r="M2808" t="n">
        <v>0</v>
      </c>
      <c r="N2808" t="n">
        <v>0</v>
      </c>
      <c r="O2808" t="n">
        <v>0</v>
      </c>
      <c r="P2808" t="n">
        <v>0</v>
      </c>
      <c r="Q2808" t="n">
        <v>0</v>
      </c>
      <c r="R2808" s="2" t="inlineStr"/>
    </row>
    <row r="2809" ht="15" customHeight="1">
      <c r="A2809" t="inlineStr">
        <is>
          <t>A 30580-2022</t>
        </is>
      </c>
      <c r="B2809" s="1" t="n">
        <v>44762</v>
      </c>
      <c r="C2809" s="1" t="n">
        <v>45705</v>
      </c>
      <c r="D2809" t="inlineStr">
        <is>
          <t>UPPSALA LÄN</t>
        </is>
      </c>
      <c r="E2809" t="inlineStr">
        <is>
          <t>UPPSALA</t>
        </is>
      </c>
      <c r="F2809" t="inlineStr">
        <is>
          <t>Bergvik skog öst AB</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30634-2022</t>
        </is>
      </c>
      <c r="B2810" s="1" t="n">
        <v>44763</v>
      </c>
      <c r="C2810" s="1" t="n">
        <v>45705</v>
      </c>
      <c r="D2810" t="inlineStr">
        <is>
          <t>UPPSALA LÄN</t>
        </is>
      </c>
      <c r="E2810" t="inlineStr">
        <is>
          <t>ENKÖPING</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30783-2022</t>
        </is>
      </c>
      <c r="B2811" s="1" t="n">
        <v>44764</v>
      </c>
      <c r="C2811" s="1" t="n">
        <v>45705</v>
      </c>
      <c r="D2811" t="inlineStr">
        <is>
          <t>UPPSALA LÄN</t>
        </is>
      </c>
      <c r="E2811" t="inlineStr">
        <is>
          <t>UPPSALA</t>
        </is>
      </c>
      <c r="F2811" t="inlineStr">
        <is>
          <t>Bergvik skog öst AB</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30775-2022</t>
        </is>
      </c>
      <c r="B2812" s="1" t="n">
        <v>44764</v>
      </c>
      <c r="C2812" s="1" t="n">
        <v>45705</v>
      </c>
      <c r="D2812" t="inlineStr">
        <is>
          <t>UPPSALA LÄN</t>
        </is>
      </c>
      <c r="E2812" t="inlineStr">
        <is>
          <t>UPPSALA</t>
        </is>
      </c>
      <c r="F2812" t="inlineStr">
        <is>
          <t>Bergvik skog öst AB</t>
        </is>
      </c>
      <c r="G2812" t="n">
        <v>4.5</v>
      </c>
      <c r="H2812" t="n">
        <v>0</v>
      </c>
      <c r="I2812" t="n">
        <v>0</v>
      </c>
      <c r="J2812" t="n">
        <v>0</v>
      </c>
      <c r="K2812" t="n">
        <v>0</v>
      </c>
      <c r="L2812" t="n">
        <v>0</v>
      </c>
      <c r="M2812" t="n">
        <v>0</v>
      </c>
      <c r="N2812" t="n">
        <v>0</v>
      </c>
      <c r="O2812" t="n">
        <v>0</v>
      </c>
      <c r="P2812" t="n">
        <v>0</v>
      </c>
      <c r="Q2812" t="n">
        <v>0</v>
      </c>
      <c r="R2812" s="2" t="inlineStr"/>
    </row>
    <row r="2813" ht="15" customHeight="1">
      <c r="A2813" t="inlineStr">
        <is>
          <t>A 31013-2022</t>
        </is>
      </c>
      <c r="B2813" s="1" t="n">
        <v>44768</v>
      </c>
      <c r="C2813" s="1" t="n">
        <v>45705</v>
      </c>
      <c r="D2813" t="inlineStr">
        <is>
          <t>UPPSALA LÄN</t>
        </is>
      </c>
      <c r="E2813" t="inlineStr">
        <is>
          <t>ENKÖPING</t>
        </is>
      </c>
      <c r="F2813" t="inlineStr">
        <is>
          <t>Allmännings- och besparingsskogar</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31027-2022</t>
        </is>
      </c>
      <c r="B2814" s="1" t="n">
        <v>44768</v>
      </c>
      <c r="C2814" s="1" t="n">
        <v>45705</v>
      </c>
      <c r="D2814" t="inlineStr">
        <is>
          <t>UPPSALA LÄN</t>
        </is>
      </c>
      <c r="E2814" t="inlineStr">
        <is>
          <t>ÖSTHAMMAR</t>
        </is>
      </c>
      <c r="F2814" t="inlineStr">
        <is>
          <t>Bergvik skog öst AB</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31035-2022</t>
        </is>
      </c>
      <c r="B2815" s="1" t="n">
        <v>44768</v>
      </c>
      <c r="C2815" s="1" t="n">
        <v>45705</v>
      </c>
      <c r="D2815" t="inlineStr">
        <is>
          <t>UPPSALA LÄN</t>
        </is>
      </c>
      <c r="E2815" t="inlineStr">
        <is>
          <t>ÖSTHAMMAR</t>
        </is>
      </c>
      <c r="F2815" t="inlineStr">
        <is>
          <t>Bergvik skog öst AB</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31026-2022</t>
        </is>
      </c>
      <c r="B2816" s="1" t="n">
        <v>44768</v>
      </c>
      <c r="C2816" s="1" t="n">
        <v>45705</v>
      </c>
      <c r="D2816" t="inlineStr">
        <is>
          <t>UPPSALA LÄN</t>
        </is>
      </c>
      <c r="E2816" t="inlineStr">
        <is>
          <t>ÖSTHAMMAR</t>
        </is>
      </c>
      <c r="F2816" t="inlineStr">
        <is>
          <t>Bergvik skog öst AB</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31049-2022</t>
        </is>
      </c>
      <c r="B2817" s="1" t="n">
        <v>44769</v>
      </c>
      <c r="C2817" s="1" t="n">
        <v>45705</v>
      </c>
      <c r="D2817" t="inlineStr">
        <is>
          <t>UPPSALA LÄN</t>
        </is>
      </c>
      <c r="E2817" t="inlineStr">
        <is>
          <t>HEBY</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31094-2022</t>
        </is>
      </c>
      <c r="B2818" s="1" t="n">
        <v>44769</v>
      </c>
      <c r="C2818" s="1" t="n">
        <v>45705</v>
      </c>
      <c r="D2818" t="inlineStr">
        <is>
          <t>UPPSALA LÄN</t>
        </is>
      </c>
      <c r="E2818" t="inlineStr">
        <is>
          <t>TIERP</t>
        </is>
      </c>
      <c r="G2818" t="n">
        <v>3.8</v>
      </c>
      <c r="H2818" t="n">
        <v>0</v>
      </c>
      <c r="I2818" t="n">
        <v>0</v>
      </c>
      <c r="J2818" t="n">
        <v>0</v>
      </c>
      <c r="K2818" t="n">
        <v>0</v>
      </c>
      <c r="L2818" t="n">
        <v>0</v>
      </c>
      <c r="M2818" t="n">
        <v>0</v>
      </c>
      <c r="N2818" t="n">
        <v>0</v>
      </c>
      <c r="O2818" t="n">
        <v>0</v>
      </c>
      <c r="P2818" t="n">
        <v>0</v>
      </c>
      <c r="Q2818" t="n">
        <v>0</v>
      </c>
      <c r="R2818" s="2" t="inlineStr"/>
    </row>
    <row r="2819" ht="15" customHeight="1">
      <c r="A2819" t="inlineStr">
        <is>
          <t>A 31103-2022</t>
        </is>
      </c>
      <c r="B2819" s="1" t="n">
        <v>44769</v>
      </c>
      <c r="C2819" s="1" t="n">
        <v>45705</v>
      </c>
      <c r="D2819" t="inlineStr">
        <is>
          <t>UPPSALA LÄN</t>
        </is>
      </c>
      <c r="E2819" t="inlineStr">
        <is>
          <t>TIERP</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31113-2022</t>
        </is>
      </c>
      <c r="B2820" s="1" t="n">
        <v>44769</v>
      </c>
      <c r="C2820" s="1" t="n">
        <v>45705</v>
      </c>
      <c r="D2820" t="inlineStr">
        <is>
          <t>UPPSALA LÄN</t>
        </is>
      </c>
      <c r="E2820" t="inlineStr">
        <is>
          <t>UPPSALA</t>
        </is>
      </c>
      <c r="F2820" t="inlineStr">
        <is>
          <t>Bergvik skog öst AB</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31182-2022</t>
        </is>
      </c>
      <c r="B2821" s="1" t="n">
        <v>44770</v>
      </c>
      <c r="C2821" s="1" t="n">
        <v>45705</v>
      </c>
      <c r="D2821" t="inlineStr">
        <is>
          <t>UPPSALA LÄN</t>
        </is>
      </c>
      <c r="E2821" t="inlineStr">
        <is>
          <t>ÖSTHAMMAR</t>
        </is>
      </c>
      <c r="F2821" t="inlineStr">
        <is>
          <t>Bergvik skog öst AB</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31140-2022</t>
        </is>
      </c>
      <c r="B2822" s="1" t="n">
        <v>44770</v>
      </c>
      <c r="C2822" s="1" t="n">
        <v>45705</v>
      </c>
      <c r="D2822" t="inlineStr">
        <is>
          <t>UPPSALA LÄN</t>
        </is>
      </c>
      <c r="E2822" t="inlineStr">
        <is>
          <t>ÖSTHAMMAR</t>
        </is>
      </c>
      <c r="F2822" t="inlineStr">
        <is>
          <t>Bergvik skog öst AB</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31137-2022</t>
        </is>
      </c>
      <c r="B2823" s="1" t="n">
        <v>44770</v>
      </c>
      <c r="C2823" s="1" t="n">
        <v>45705</v>
      </c>
      <c r="D2823" t="inlineStr">
        <is>
          <t>UPPSALA LÄN</t>
        </is>
      </c>
      <c r="E2823" t="inlineStr">
        <is>
          <t>ÖSTHAMMAR</t>
        </is>
      </c>
      <c r="F2823" t="inlineStr">
        <is>
          <t>Bergvik skog öst AB</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31282-2022</t>
        </is>
      </c>
      <c r="B2824" s="1" t="n">
        <v>44771</v>
      </c>
      <c r="C2824" s="1" t="n">
        <v>45705</v>
      </c>
      <c r="D2824" t="inlineStr">
        <is>
          <t>UPPSALA LÄN</t>
        </is>
      </c>
      <c r="E2824" t="inlineStr">
        <is>
          <t>ÖSTHAMMAR</t>
        </is>
      </c>
      <c r="F2824" t="inlineStr">
        <is>
          <t>Bergvik skog öst AB</t>
        </is>
      </c>
      <c r="G2824" t="n">
        <v>3.8</v>
      </c>
      <c r="H2824" t="n">
        <v>0</v>
      </c>
      <c r="I2824" t="n">
        <v>0</v>
      </c>
      <c r="J2824" t="n">
        <v>0</v>
      </c>
      <c r="K2824" t="n">
        <v>0</v>
      </c>
      <c r="L2824" t="n">
        <v>0</v>
      </c>
      <c r="M2824" t="n">
        <v>0</v>
      </c>
      <c r="N2824" t="n">
        <v>0</v>
      </c>
      <c r="O2824" t="n">
        <v>0</v>
      </c>
      <c r="P2824" t="n">
        <v>0</v>
      </c>
      <c r="Q2824" t="n">
        <v>0</v>
      </c>
      <c r="R2824" s="2" t="inlineStr"/>
    </row>
    <row r="2825" ht="15" customHeight="1">
      <c r="A2825" t="inlineStr">
        <is>
          <t>A 31263-2022</t>
        </is>
      </c>
      <c r="B2825" s="1" t="n">
        <v>44771</v>
      </c>
      <c r="C2825" s="1" t="n">
        <v>45705</v>
      </c>
      <c r="D2825" t="inlineStr">
        <is>
          <t>UPPSALA LÄN</t>
        </is>
      </c>
      <c r="E2825" t="inlineStr">
        <is>
          <t>UPPSALA</t>
        </is>
      </c>
      <c r="F2825" t="inlineStr">
        <is>
          <t>Bergvik skog öst AB</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31261-2022</t>
        </is>
      </c>
      <c r="B2826" s="1" t="n">
        <v>44771</v>
      </c>
      <c r="C2826" s="1" t="n">
        <v>45705</v>
      </c>
      <c r="D2826" t="inlineStr">
        <is>
          <t>UPPSALA LÄN</t>
        </is>
      </c>
      <c r="E2826" t="inlineStr">
        <is>
          <t>UPPSALA</t>
        </is>
      </c>
      <c r="F2826" t="inlineStr">
        <is>
          <t>Bergvik skog öst AB</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31249-2022</t>
        </is>
      </c>
      <c r="B2827" s="1" t="n">
        <v>44771</v>
      </c>
      <c r="C2827" s="1" t="n">
        <v>45705</v>
      </c>
      <c r="D2827" t="inlineStr">
        <is>
          <t>UPPSALA LÄN</t>
        </is>
      </c>
      <c r="E2827" t="inlineStr">
        <is>
          <t>UPPSALA</t>
        </is>
      </c>
      <c r="F2827" t="inlineStr">
        <is>
          <t>Bergvik skog öst AB</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31253-2022</t>
        </is>
      </c>
      <c r="B2828" s="1" t="n">
        <v>44771</v>
      </c>
      <c r="C2828" s="1" t="n">
        <v>45705</v>
      </c>
      <c r="D2828" t="inlineStr">
        <is>
          <t>UPPSALA LÄN</t>
        </is>
      </c>
      <c r="E2828" t="inlineStr">
        <is>
          <t>UPPSALA</t>
        </is>
      </c>
      <c r="F2828" t="inlineStr">
        <is>
          <t>Bergvik skog öst AB</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31574-2022</t>
        </is>
      </c>
      <c r="B2829" s="1" t="n">
        <v>44775</v>
      </c>
      <c r="C2829" s="1" t="n">
        <v>45705</v>
      </c>
      <c r="D2829" t="inlineStr">
        <is>
          <t>UPPSALA LÄN</t>
        </is>
      </c>
      <c r="E2829" t="inlineStr">
        <is>
          <t>ÖSTHAMMAR</t>
        </is>
      </c>
      <c r="G2829" t="n">
        <v>29.7</v>
      </c>
      <c r="H2829" t="n">
        <v>0</v>
      </c>
      <c r="I2829" t="n">
        <v>0</v>
      </c>
      <c r="J2829" t="n">
        <v>0</v>
      </c>
      <c r="K2829" t="n">
        <v>0</v>
      </c>
      <c r="L2829" t="n">
        <v>0</v>
      </c>
      <c r="M2829" t="n">
        <v>0</v>
      </c>
      <c r="N2829" t="n">
        <v>0</v>
      </c>
      <c r="O2829" t="n">
        <v>0</v>
      </c>
      <c r="P2829" t="n">
        <v>0</v>
      </c>
      <c r="Q2829" t="n">
        <v>0</v>
      </c>
      <c r="R2829" s="2" t="inlineStr"/>
    </row>
    <row r="2830" ht="15" customHeight="1">
      <c r="A2830" t="inlineStr">
        <is>
          <t>A 31549-2022</t>
        </is>
      </c>
      <c r="B2830" s="1" t="n">
        <v>44775</v>
      </c>
      <c r="C2830" s="1" t="n">
        <v>45705</v>
      </c>
      <c r="D2830" t="inlineStr">
        <is>
          <t>UPPSALA LÄN</t>
        </is>
      </c>
      <c r="E2830" t="inlineStr">
        <is>
          <t>ÖSTHAMMAR</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31622-2022</t>
        </is>
      </c>
      <c r="B2831" s="1" t="n">
        <v>44775</v>
      </c>
      <c r="C2831" s="1" t="n">
        <v>45705</v>
      </c>
      <c r="D2831" t="inlineStr">
        <is>
          <t>UPPSALA LÄN</t>
        </is>
      </c>
      <c r="E2831" t="inlineStr">
        <is>
          <t>ENKÖPING</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31669-2022</t>
        </is>
      </c>
      <c r="B2832" s="1" t="n">
        <v>44775</v>
      </c>
      <c r="C2832" s="1" t="n">
        <v>45705</v>
      </c>
      <c r="D2832" t="inlineStr">
        <is>
          <t>UPPSALA LÄN</t>
        </is>
      </c>
      <c r="E2832" t="inlineStr">
        <is>
          <t>ÖSTHAMMAR</t>
        </is>
      </c>
      <c r="G2832" t="n">
        <v>6</v>
      </c>
      <c r="H2832" t="n">
        <v>0</v>
      </c>
      <c r="I2832" t="n">
        <v>0</v>
      </c>
      <c r="J2832" t="n">
        <v>0</v>
      </c>
      <c r="K2832" t="n">
        <v>0</v>
      </c>
      <c r="L2832" t="n">
        <v>0</v>
      </c>
      <c r="M2832" t="n">
        <v>0</v>
      </c>
      <c r="N2832" t="n">
        <v>0</v>
      </c>
      <c r="O2832" t="n">
        <v>0</v>
      </c>
      <c r="P2832" t="n">
        <v>0</v>
      </c>
      <c r="Q2832" t="n">
        <v>0</v>
      </c>
      <c r="R2832" s="2" t="inlineStr"/>
    </row>
    <row r="2833" ht="15" customHeight="1">
      <c r="A2833" t="inlineStr">
        <is>
          <t>A 31875-2022</t>
        </is>
      </c>
      <c r="B2833" s="1" t="n">
        <v>44777</v>
      </c>
      <c r="C2833" s="1" t="n">
        <v>45705</v>
      </c>
      <c r="D2833" t="inlineStr">
        <is>
          <t>UPPSALA LÄN</t>
        </is>
      </c>
      <c r="E2833" t="inlineStr">
        <is>
          <t>KNIVSTA</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32090-2022</t>
        </is>
      </c>
      <c r="B2834" s="1" t="n">
        <v>44778</v>
      </c>
      <c r="C2834" s="1" t="n">
        <v>45705</v>
      </c>
      <c r="D2834" t="inlineStr">
        <is>
          <t>UPPSALA LÄN</t>
        </is>
      </c>
      <c r="E2834" t="inlineStr">
        <is>
          <t>TIERP</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32092-2022</t>
        </is>
      </c>
      <c r="B2835" s="1" t="n">
        <v>44778</v>
      </c>
      <c r="C2835" s="1" t="n">
        <v>45705</v>
      </c>
      <c r="D2835" t="inlineStr">
        <is>
          <t>UPPSALA LÄN</t>
        </is>
      </c>
      <c r="E2835" t="inlineStr">
        <is>
          <t>TIERP</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32089-2022</t>
        </is>
      </c>
      <c r="B2836" s="1" t="n">
        <v>44778</v>
      </c>
      <c r="C2836" s="1" t="n">
        <v>45705</v>
      </c>
      <c r="D2836" t="inlineStr">
        <is>
          <t>UPPSALA LÄN</t>
        </is>
      </c>
      <c r="E2836" t="inlineStr">
        <is>
          <t>TIERP</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32190-2022</t>
        </is>
      </c>
      <c r="B2837" s="1" t="n">
        <v>44781</v>
      </c>
      <c r="C2837" s="1" t="n">
        <v>45705</v>
      </c>
      <c r="D2837" t="inlineStr">
        <is>
          <t>UPPSALA LÄN</t>
        </is>
      </c>
      <c r="E2837" t="inlineStr">
        <is>
          <t>TIERP</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32245-2022</t>
        </is>
      </c>
      <c r="B2838" s="1" t="n">
        <v>44781</v>
      </c>
      <c r="C2838" s="1" t="n">
        <v>45705</v>
      </c>
      <c r="D2838" t="inlineStr">
        <is>
          <t>UPPSALA LÄN</t>
        </is>
      </c>
      <c r="E2838" t="inlineStr">
        <is>
          <t>HEBY</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32326-2022</t>
        </is>
      </c>
      <c r="B2839" s="1" t="n">
        <v>44781</v>
      </c>
      <c r="C2839" s="1" t="n">
        <v>45705</v>
      </c>
      <c r="D2839" t="inlineStr">
        <is>
          <t>UPPSALA LÄN</t>
        </is>
      </c>
      <c r="E2839" t="inlineStr">
        <is>
          <t>TIERP</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32678-2022</t>
        </is>
      </c>
      <c r="B2840" s="1" t="n">
        <v>44783</v>
      </c>
      <c r="C2840" s="1" t="n">
        <v>45705</v>
      </c>
      <c r="D2840" t="inlineStr">
        <is>
          <t>UPPSALA LÄN</t>
        </is>
      </c>
      <c r="E2840" t="inlineStr">
        <is>
          <t>ÖSTHAMMAR</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32742-2022</t>
        </is>
      </c>
      <c r="B2841" s="1" t="n">
        <v>44783</v>
      </c>
      <c r="C2841" s="1" t="n">
        <v>45705</v>
      </c>
      <c r="D2841" t="inlineStr">
        <is>
          <t>UPPSALA LÄN</t>
        </is>
      </c>
      <c r="E2841" t="inlineStr">
        <is>
          <t>ÖSTHAMMAR</t>
        </is>
      </c>
      <c r="F2841" t="inlineStr">
        <is>
          <t>Bergvik skog öst AB</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32744-2022</t>
        </is>
      </c>
      <c r="B2842" s="1" t="n">
        <v>44783</v>
      </c>
      <c r="C2842" s="1" t="n">
        <v>45705</v>
      </c>
      <c r="D2842" t="inlineStr">
        <is>
          <t>UPPSALA LÄN</t>
        </is>
      </c>
      <c r="E2842" t="inlineStr">
        <is>
          <t>ÖSTHAMMAR</t>
        </is>
      </c>
      <c r="F2842" t="inlineStr">
        <is>
          <t>Bergvik skog öst AB</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32954-2022</t>
        </is>
      </c>
      <c r="B2843" s="1" t="n">
        <v>44784</v>
      </c>
      <c r="C2843" s="1" t="n">
        <v>45705</v>
      </c>
      <c r="D2843" t="inlineStr">
        <is>
          <t>UPPSALA LÄN</t>
        </is>
      </c>
      <c r="E2843" t="inlineStr">
        <is>
          <t>UPPSALA</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33286-2022</t>
        </is>
      </c>
      <c r="B2844" s="1" t="n">
        <v>44788</v>
      </c>
      <c r="C2844" s="1" t="n">
        <v>45705</v>
      </c>
      <c r="D2844" t="inlineStr">
        <is>
          <t>UPPSALA LÄN</t>
        </is>
      </c>
      <c r="E2844" t="inlineStr">
        <is>
          <t>TIERP</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33332-2022</t>
        </is>
      </c>
      <c r="B2845" s="1" t="n">
        <v>44788</v>
      </c>
      <c r="C2845" s="1" t="n">
        <v>45705</v>
      </c>
      <c r="D2845" t="inlineStr">
        <is>
          <t>UPPSALA LÄN</t>
        </is>
      </c>
      <c r="E2845" t="inlineStr">
        <is>
          <t>UPPSALA</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33284-2022</t>
        </is>
      </c>
      <c r="B2846" s="1" t="n">
        <v>44788</v>
      </c>
      <c r="C2846" s="1" t="n">
        <v>45705</v>
      </c>
      <c r="D2846" t="inlineStr">
        <is>
          <t>UPPSALA LÄN</t>
        </is>
      </c>
      <c r="E2846" t="inlineStr">
        <is>
          <t>HEBY</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33379-2022</t>
        </is>
      </c>
      <c r="B2847" s="1" t="n">
        <v>44788</v>
      </c>
      <c r="C2847" s="1" t="n">
        <v>45705</v>
      </c>
      <c r="D2847" t="inlineStr">
        <is>
          <t>UPPSALA LÄN</t>
        </is>
      </c>
      <c r="E2847" t="inlineStr">
        <is>
          <t>HEBY</t>
        </is>
      </c>
      <c r="G2847" t="n">
        <v>18.8</v>
      </c>
      <c r="H2847" t="n">
        <v>0</v>
      </c>
      <c r="I2847" t="n">
        <v>0</v>
      </c>
      <c r="J2847" t="n">
        <v>0</v>
      </c>
      <c r="K2847" t="n">
        <v>0</v>
      </c>
      <c r="L2847" t="n">
        <v>0</v>
      </c>
      <c r="M2847" t="n">
        <v>0</v>
      </c>
      <c r="N2847" t="n">
        <v>0</v>
      </c>
      <c r="O2847" t="n">
        <v>0</v>
      </c>
      <c r="P2847" t="n">
        <v>0</v>
      </c>
      <c r="Q2847" t="n">
        <v>0</v>
      </c>
      <c r="R2847" s="2" t="inlineStr"/>
    </row>
    <row r="2848" ht="15" customHeight="1">
      <c r="A2848" t="inlineStr">
        <is>
          <t>A 33283-2022</t>
        </is>
      </c>
      <c r="B2848" s="1" t="n">
        <v>44788</v>
      </c>
      <c r="C2848" s="1" t="n">
        <v>45705</v>
      </c>
      <c r="D2848" t="inlineStr">
        <is>
          <t>UPPSALA LÄN</t>
        </is>
      </c>
      <c r="E2848" t="inlineStr">
        <is>
          <t>UPPSALA</t>
        </is>
      </c>
      <c r="G2848" t="n">
        <v>20.2</v>
      </c>
      <c r="H2848" t="n">
        <v>0</v>
      </c>
      <c r="I2848" t="n">
        <v>0</v>
      </c>
      <c r="J2848" t="n">
        <v>0</v>
      </c>
      <c r="K2848" t="n">
        <v>0</v>
      </c>
      <c r="L2848" t="n">
        <v>0</v>
      </c>
      <c r="M2848" t="n">
        <v>0</v>
      </c>
      <c r="N2848" t="n">
        <v>0</v>
      </c>
      <c r="O2848" t="n">
        <v>0</v>
      </c>
      <c r="P2848" t="n">
        <v>0</v>
      </c>
      <c r="Q2848" t="n">
        <v>0</v>
      </c>
      <c r="R2848" s="2" t="inlineStr"/>
    </row>
    <row r="2849" ht="15" customHeight="1">
      <c r="A2849" t="inlineStr">
        <is>
          <t>A 33619-2022</t>
        </is>
      </c>
      <c r="B2849" s="1" t="n">
        <v>44789</v>
      </c>
      <c r="C2849" s="1" t="n">
        <v>45705</v>
      </c>
      <c r="D2849" t="inlineStr">
        <is>
          <t>UPPSALA LÄN</t>
        </is>
      </c>
      <c r="E2849" t="inlineStr">
        <is>
          <t>ENKÖPING</t>
        </is>
      </c>
      <c r="F2849" t="inlineStr">
        <is>
          <t>Allmännings- och besparingsskogar</t>
        </is>
      </c>
      <c r="G2849" t="n">
        <v>4.5</v>
      </c>
      <c r="H2849" t="n">
        <v>0</v>
      </c>
      <c r="I2849" t="n">
        <v>0</v>
      </c>
      <c r="J2849" t="n">
        <v>0</v>
      </c>
      <c r="K2849" t="n">
        <v>0</v>
      </c>
      <c r="L2849" t="n">
        <v>0</v>
      </c>
      <c r="M2849" t="n">
        <v>0</v>
      </c>
      <c r="N2849" t="n">
        <v>0</v>
      </c>
      <c r="O2849" t="n">
        <v>0</v>
      </c>
      <c r="P2849" t="n">
        <v>0</v>
      </c>
      <c r="Q2849" t="n">
        <v>0</v>
      </c>
      <c r="R2849" s="2" t="inlineStr"/>
    </row>
    <row r="2850" ht="15" customHeight="1">
      <c r="A2850" t="inlineStr">
        <is>
          <t>A 33821-2022</t>
        </is>
      </c>
      <c r="B2850" s="1" t="n">
        <v>44790</v>
      </c>
      <c r="C2850" s="1" t="n">
        <v>45705</v>
      </c>
      <c r="D2850" t="inlineStr">
        <is>
          <t>UPPSALA LÄN</t>
        </is>
      </c>
      <c r="E2850" t="inlineStr">
        <is>
          <t>ENKÖPING</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33849-2022</t>
        </is>
      </c>
      <c r="B2851" s="1" t="n">
        <v>44790</v>
      </c>
      <c r="C2851" s="1" t="n">
        <v>45705</v>
      </c>
      <c r="D2851" t="inlineStr">
        <is>
          <t>UPPSALA LÄN</t>
        </is>
      </c>
      <c r="E2851" t="inlineStr">
        <is>
          <t>HEBY</t>
        </is>
      </c>
      <c r="G2851" t="n">
        <v>4.1</v>
      </c>
      <c r="H2851" t="n">
        <v>0</v>
      </c>
      <c r="I2851" t="n">
        <v>0</v>
      </c>
      <c r="J2851" t="n">
        <v>0</v>
      </c>
      <c r="K2851" t="n">
        <v>0</v>
      </c>
      <c r="L2851" t="n">
        <v>0</v>
      </c>
      <c r="M2851" t="n">
        <v>0</v>
      </c>
      <c r="N2851" t="n">
        <v>0</v>
      </c>
      <c r="O2851" t="n">
        <v>0</v>
      </c>
      <c r="P2851" t="n">
        <v>0</v>
      </c>
      <c r="Q2851" t="n">
        <v>0</v>
      </c>
      <c r="R2851" s="2" t="inlineStr"/>
    </row>
    <row r="2852" ht="15" customHeight="1">
      <c r="A2852" t="inlineStr">
        <is>
          <t>A 33890-2022</t>
        </is>
      </c>
      <c r="B2852" s="1" t="n">
        <v>44790</v>
      </c>
      <c r="C2852" s="1" t="n">
        <v>45705</v>
      </c>
      <c r="D2852" t="inlineStr">
        <is>
          <t>UPPSALA LÄN</t>
        </is>
      </c>
      <c r="E2852" t="inlineStr">
        <is>
          <t>TIERP</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34078-2022</t>
        </is>
      </c>
      <c r="B2853" s="1" t="n">
        <v>44791</v>
      </c>
      <c r="C2853" s="1" t="n">
        <v>45705</v>
      </c>
      <c r="D2853" t="inlineStr">
        <is>
          <t>UPPSALA LÄN</t>
        </is>
      </c>
      <c r="E2853" t="inlineStr">
        <is>
          <t>KNIVSTA</t>
        </is>
      </c>
      <c r="F2853" t="inlineStr">
        <is>
          <t>Övriga statliga verk och myndigheter</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34146-2022</t>
        </is>
      </c>
      <c r="B2854" s="1" t="n">
        <v>44791</v>
      </c>
      <c r="C2854" s="1" t="n">
        <v>45705</v>
      </c>
      <c r="D2854" t="inlineStr">
        <is>
          <t>UPPSALA LÄN</t>
        </is>
      </c>
      <c r="E2854" t="inlineStr">
        <is>
          <t>HEBY</t>
        </is>
      </c>
      <c r="G2854" t="n">
        <v>0.3</v>
      </c>
      <c r="H2854" t="n">
        <v>0</v>
      </c>
      <c r="I2854" t="n">
        <v>0</v>
      </c>
      <c r="J2854" t="n">
        <v>0</v>
      </c>
      <c r="K2854" t="n">
        <v>0</v>
      </c>
      <c r="L2854" t="n">
        <v>0</v>
      </c>
      <c r="M2854" t="n">
        <v>0</v>
      </c>
      <c r="N2854" t="n">
        <v>0</v>
      </c>
      <c r="O2854" t="n">
        <v>0</v>
      </c>
      <c r="P2854" t="n">
        <v>0</v>
      </c>
      <c r="Q2854" t="n">
        <v>0</v>
      </c>
      <c r="R2854" s="2" t="inlineStr"/>
    </row>
    <row r="2855" ht="15" customHeight="1">
      <c r="A2855" t="inlineStr">
        <is>
          <t>A 34061-2022</t>
        </is>
      </c>
      <c r="B2855" s="1" t="n">
        <v>44791</v>
      </c>
      <c r="C2855" s="1" t="n">
        <v>45705</v>
      </c>
      <c r="D2855" t="inlineStr">
        <is>
          <t>UPPSALA LÄN</t>
        </is>
      </c>
      <c r="E2855" t="inlineStr">
        <is>
          <t>UPPSALA</t>
        </is>
      </c>
      <c r="F2855" t="inlineStr">
        <is>
          <t>Bergvik skog öst AB</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34202-2022</t>
        </is>
      </c>
      <c r="B2856" s="1" t="n">
        <v>44791</v>
      </c>
      <c r="C2856" s="1" t="n">
        <v>45705</v>
      </c>
      <c r="D2856" t="inlineStr">
        <is>
          <t>UPPSALA LÄN</t>
        </is>
      </c>
      <c r="E2856" t="inlineStr">
        <is>
          <t>HÅBO</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34386-2022</t>
        </is>
      </c>
      <c r="B2857" s="1" t="n">
        <v>44792</v>
      </c>
      <c r="C2857" s="1" t="n">
        <v>45705</v>
      </c>
      <c r="D2857" t="inlineStr">
        <is>
          <t>UPPSALA LÄN</t>
        </is>
      </c>
      <c r="E2857" t="inlineStr">
        <is>
          <t>HEBY</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34418-2022</t>
        </is>
      </c>
      <c r="B2858" s="1" t="n">
        <v>44792</v>
      </c>
      <c r="C2858" s="1" t="n">
        <v>45705</v>
      </c>
      <c r="D2858" t="inlineStr">
        <is>
          <t>UPPSALA LÄN</t>
        </is>
      </c>
      <c r="E2858" t="inlineStr">
        <is>
          <t>ÖSTHAMMAR</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34460-2022</t>
        </is>
      </c>
      <c r="B2859" s="1" t="n">
        <v>44792</v>
      </c>
      <c r="C2859" s="1" t="n">
        <v>45705</v>
      </c>
      <c r="D2859" t="inlineStr">
        <is>
          <t>UPPSALA LÄN</t>
        </is>
      </c>
      <c r="E2859" t="inlineStr">
        <is>
          <t>TIERP</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34617-2022</t>
        </is>
      </c>
      <c r="B2860" s="1" t="n">
        <v>44795</v>
      </c>
      <c r="C2860" s="1" t="n">
        <v>45705</v>
      </c>
      <c r="D2860" t="inlineStr">
        <is>
          <t>UPPSALA LÄN</t>
        </is>
      </c>
      <c r="E2860" t="inlineStr">
        <is>
          <t>ENKÖPING</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34770-2022</t>
        </is>
      </c>
      <c r="B2861" s="1" t="n">
        <v>44795</v>
      </c>
      <c r="C2861" s="1" t="n">
        <v>45705</v>
      </c>
      <c r="D2861" t="inlineStr">
        <is>
          <t>UPPSALA LÄN</t>
        </is>
      </c>
      <c r="E2861" t="inlineStr">
        <is>
          <t>UPPSALA</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34742-2022</t>
        </is>
      </c>
      <c r="B2862" s="1" t="n">
        <v>44795</v>
      </c>
      <c r="C2862" s="1" t="n">
        <v>45705</v>
      </c>
      <c r="D2862" t="inlineStr">
        <is>
          <t>UPPSALA LÄN</t>
        </is>
      </c>
      <c r="E2862" t="inlineStr">
        <is>
          <t>ÖSTHAMMAR</t>
        </is>
      </c>
      <c r="F2862" t="inlineStr">
        <is>
          <t>Bergvik skog öst AB</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34971-2022</t>
        </is>
      </c>
      <c r="B2863" s="1" t="n">
        <v>44796</v>
      </c>
      <c r="C2863" s="1" t="n">
        <v>45705</v>
      </c>
      <c r="D2863" t="inlineStr">
        <is>
          <t>UPPSALA LÄN</t>
        </is>
      </c>
      <c r="E2863" t="inlineStr">
        <is>
          <t>ÖSTHAMMAR</t>
        </is>
      </c>
      <c r="F2863" t="inlineStr">
        <is>
          <t>Bergvik skog öst AB</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34994-2022</t>
        </is>
      </c>
      <c r="B2864" s="1" t="n">
        <v>44796</v>
      </c>
      <c r="C2864" s="1" t="n">
        <v>45705</v>
      </c>
      <c r="D2864" t="inlineStr">
        <is>
          <t>UPPSALA LÄN</t>
        </is>
      </c>
      <c r="E2864" t="inlineStr">
        <is>
          <t>ÖSTHAMMAR</t>
        </is>
      </c>
      <c r="F2864" t="inlineStr">
        <is>
          <t>Bergvik skog öst AB</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35212-2022</t>
        </is>
      </c>
      <c r="B2865" s="1" t="n">
        <v>44797</v>
      </c>
      <c r="C2865" s="1" t="n">
        <v>45705</v>
      </c>
      <c r="D2865" t="inlineStr">
        <is>
          <t>UPPSALA LÄN</t>
        </is>
      </c>
      <c r="E2865" t="inlineStr">
        <is>
          <t>UPPSALA</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35411-2022</t>
        </is>
      </c>
      <c r="B2866" s="1" t="n">
        <v>44798</v>
      </c>
      <c r="C2866" s="1" t="n">
        <v>45705</v>
      </c>
      <c r="D2866" t="inlineStr">
        <is>
          <t>UPPSALA LÄN</t>
        </is>
      </c>
      <c r="E2866" t="inlineStr">
        <is>
          <t>UPPSALA</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35539-2022</t>
        </is>
      </c>
      <c r="B2867" s="1" t="n">
        <v>44799</v>
      </c>
      <c r="C2867" s="1" t="n">
        <v>45705</v>
      </c>
      <c r="D2867" t="inlineStr">
        <is>
          <t>UPPSALA LÄN</t>
        </is>
      </c>
      <c r="E2867" t="inlineStr">
        <is>
          <t>UPPSALA</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35544-2022</t>
        </is>
      </c>
      <c r="B2868" s="1" t="n">
        <v>44799</v>
      </c>
      <c r="C2868" s="1" t="n">
        <v>45705</v>
      </c>
      <c r="D2868" t="inlineStr">
        <is>
          <t>UPPSALA LÄN</t>
        </is>
      </c>
      <c r="E2868" t="inlineStr">
        <is>
          <t>UPPSALA</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35542-2022</t>
        </is>
      </c>
      <c r="B2869" s="1" t="n">
        <v>44799</v>
      </c>
      <c r="C2869" s="1" t="n">
        <v>45705</v>
      </c>
      <c r="D2869" t="inlineStr">
        <is>
          <t>UPPSALA LÄN</t>
        </is>
      </c>
      <c r="E2869" t="inlineStr">
        <is>
          <t>UPPSALA</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35868-2022</t>
        </is>
      </c>
      <c r="B2870" s="1" t="n">
        <v>44802</v>
      </c>
      <c r="C2870" s="1" t="n">
        <v>45705</v>
      </c>
      <c r="D2870" t="inlineStr">
        <is>
          <t>UPPSALA LÄN</t>
        </is>
      </c>
      <c r="E2870" t="inlineStr">
        <is>
          <t>HEBY</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35875-2022</t>
        </is>
      </c>
      <c r="B2871" s="1" t="n">
        <v>44802</v>
      </c>
      <c r="C2871" s="1" t="n">
        <v>45705</v>
      </c>
      <c r="D2871" t="inlineStr">
        <is>
          <t>UPPSALA LÄN</t>
        </is>
      </c>
      <c r="E2871" t="inlineStr">
        <is>
          <t>HEBY</t>
        </is>
      </c>
      <c r="G2871" t="n">
        <v>12.1</v>
      </c>
      <c r="H2871" t="n">
        <v>0</v>
      </c>
      <c r="I2871" t="n">
        <v>0</v>
      </c>
      <c r="J2871" t="n">
        <v>0</v>
      </c>
      <c r="K2871" t="n">
        <v>0</v>
      </c>
      <c r="L2871" t="n">
        <v>0</v>
      </c>
      <c r="M2871" t="n">
        <v>0</v>
      </c>
      <c r="N2871" t="n">
        <v>0</v>
      </c>
      <c r="O2871" t="n">
        <v>0</v>
      </c>
      <c r="P2871" t="n">
        <v>0</v>
      </c>
      <c r="Q2871" t="n">
        <v>0</v>
      </c>
      <c r="R2871" s="2" t="inlineStr"/>
    </row>
    <row r="2872" ht="15" customHeight="1">
      <c r="A2872" t="inlineStr">
        <is>
          <t>A 35865-2022</t>
        </is>
      </c>
      <c r="B2872" s="1" t="n">
        <v>44802</v>
      </c>
      <c r="C2872" s="1" t="n">
        <v>45705</v>
      </c>
      <c r="D2872" t="inlineStr">
        <is>
          <t>UPPSALA LÄN</t>
        </is>
      </c>
      <c r="E2872" t="inlineStr">
        <is>
          <t>HEBY</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36216-2022</t>
        </is>
      </c>
      <c r="B2873" s="1" t="n">
        <v>44803</v>
      </c>
      <c r="C2873" s="1" t="n">
        <v>45705</v>
      </c>
      <c r="D2873" t="inlineStr">
        <is>
          <t>UPPSALA LÄN</t>
        </is>
      </c>
      <c r="E2873" t="inlineStr">
        <is>
          <t>ÄLVKARLEBY</t>
        </is>
      </c>
      <c r="F2873" t="inlineStr">
        <is>
          <t>Bergvik skog väst AB</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36217-2022</t>
        </is>
      </c>
      <c r="B2874" s="1" t="n">
        <v>44803</v>
      </c>
      <c r="C2874" s="1" t="n">
        <v>45705</v>
      </c>
      <c r="D2874" t="inlineStr">
        <is>
          <t>UPPSALA LÄN</t>
        </is>
      </c>
      <c r="E2874" t="inlineStr">
        <is>
          <t>ÄLVKARLEBY</t>
        </is>
      </c>
      <c r="F2874" t="inlineStr">
        <is>
          <t>Bergvik skog väst AB</t>
        </is>
      </c>
      <c r="G2874" t="n">
        <v>0.2</v>
      </c>
      <c r="H2874" t="n">
        <v>0</v>
      </c>
      <c r="I2874" t="n">
        <v>0</v>
      </c>
      <c r="J2874" t="n">
        <v>0</v>
      </c>
      <c r="K2874" t="n">
        <v>0</v>
      </c>
      <c r="L2874" t="n">
        <v>0</v>
      </c>
      <c r="M2874" t="n">
        <v>0</v>
      </c>
      <c r="N2874" t="n">
        <v>0</v>
      </c>
      <c r="O2874" t="n">
        <v>0</v>
      </c>
      <c r="P2874" t="n">
        <v>0</v>
      </c>
      <c r="Q2874" t="n">
        <v>0</v>
      </c>
      <c r="R2874" s="2" t="inlineStr"/>
    </row>
    <row r="2875" ht="15" customHeight="1">
      <c r="A2875" t="inlineStr">
        <is>
          <t>A 36282-2022</t>
        </is>
      </c>
      <c r="B2875" s="1" t="n">
        <v>44803</v>
      </c>
      <c r="C2875" s="1" t="n">
        <v>45705</v>
      </c>
      <c r="D2875" t="inlineStr">
        <is>
          <t>UPPSALA LÄN</t>
        </is>
      </c>
      <c r="E2875" t="inlineStr">
        <is>
          <t>ÄLVKARLEBY</t>
        </is>
      </c>
      <c r="G2875" t="n">
        <v>0.1</v>
      </c>
      <c r="H2875" t="n">
        <v>0</v>
      </c>
      <c r="I2875" t="n">
        <v>0</v>
      </c>
      <c r="J2875" t="n">
        <v>0</v>
      </c>
      <c r="K2875" t="n">
        <v>0</v>
      </c>
      <c r="L2875" t="n">
        <v>0</v>
      </c>
      <c r="M2875" t="n">
        <v>0</v>
      </c>
      <c r="N2875" t="n">
        <v>0</v>
      </c>
      <c r="O2875" t="n">
        <v>0</v>
      </c>
      <c r="P2875" t="n">
        <v>0</v>
      </c>
      <c r="Q2875" t="n">
        <v>0</v>
      </c>
      <c r="R2875" s="2" t="inlineStr"/>
    </row>
    <row r="2876" ht="15" customHeight="1">
      <c r="A2876" t="inlineStr">
        <is>
          <t>A 36343-2022</t>
        </is>
      </c>
      <c r="B2876" s="1" t="n">
        <v>44803</v>
      </c>
      <c r="C2876" s="1" t="n">
        <v>45705</v>
      </c>
      <c r="D2876" t="inlineStr">
        <is>
          <t>UPPSALA LÄN</t>
        </is>
      </c>
      <c r="E2876" t="inlineStr">
        <is>
          <t>ÖSTHAMMAR</t>
        </is>
      </c>
      <c r="F2876" t="inlineStr">
        <is>
          <t>Bergvik skog öst AB</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36549-2022</t>
        </is>
      </c>
      <c r="B2877" s="1" t="n">
        <v>44804</v>
      </c>
      <c r="C2877" s="1" t="n">
        <v>45705</v>
      </c>
      <c r="D2877" t="inlineStr">
        <is>
          <t>UPPSALA LÄN</t>
        </is>
      </c>
      <c r="E2877" t="inlineStr">
        <is>
          <t>TIERP</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36561-2022</t>
        </is>
      </c>
      <c r="B2878" s="1" t="n">
        <v>44804</v>
      </c>
      <c r="C2878" s="1" t="n">
        <v>45705</v>
      </c>
      <c r="D2878" t="inlineStr">
        <is>
          <t>UPPSALA LÄN</t>
        </is>
      </c>
      <c r="E2878" t="inlineStr">
        <is>
          <t>TIERP</t>
        </is>
      </c>
      <c r="G2878" t="n">
        <v>4.9</v>
      </c>
      <c r="H2878" t="n">
        <v>0</v>
      </c>
      <c r="I2878" t="n">
        <v>0</v>
      </c>
      <c r="J2878" t="n">
        <v>0</v>
      </c>
      <c r="K2878" t="n">
        <v>0</v>
      </c>
      <c r="L2878" t="n">
        <v>0</v>
      </c>
      <c r="M2878" t="n">
        <v>0</v>
      </c>
      <c r="N2878" t="n">
        <v>0</v>
      </c>
      <c r="O2878" t="n">
        <v>0</v>
      </c>
      <c r="P2878" t="n">
        <v>0</v>
      </c>
      <c r="Q2878" t="n">
        <v>0</v>
      </c>
      <c r="R2878" s="2" t="inlineStr"/>
    </row>
    <row r="2879" ht="15" customHeight="1">
      <c r="A2879" t="inlineStr">
        <is>
          <t>A 36873-2022</t>
        </is>
      </c>
      <c r="B2879" s="1" t="n">
        <v>44805</v>
      </c>
      <c r="C2879" s="1" t="n">
        <v>45705</v>
      </c>
      <c r="D2879" t="inlineStr">
        <is>
          <t>UPPSALA LÄN</t>
        </is>
      </c>
      <c r="E2879" t="inlineStr">
        <is>
          <t>ÖSTHAMMAR</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37187-2022</t>
        </is>
      </c>
      <c r="B2880" s="1" t="n">
        <v>44806</v>
      </c>
      <c r="C2880" s="1" t="n">
        <v>45705</v>
      </c>
      <c r="D2880" t="inlineStr">
        <is>
          <t>UPPSALA LÄN</t>
        </is>
      </c>
      <c r="E2880" t="inlineStr">
        <is>
          <t>UPPSALA</t>
        </is>
      </c>
      <c r="F2880" t="inlineStr">
        <is>
          <t>Holmen skog AB</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37316-2022</t>
        </is>
      </c>
      <c r="B2881" s="1" t="n">
        <v>44806</v>
      </c>
      <c r="C2881" s="1" t="n">
        <v>45705</v>
      </c>
      <c r="D2881" t="inlineStr">
        <is>
          <t>UPPSALA LÄN</t>
        </is>
      </c>
      <c r="E2881" t="inlineStr">
        <is>
          <t>UPPSALA</t>
        </is>
      </c>
      <c r="G2881" t="n">
        <v>10.6</v>
      </c>
      <c r="H2881" t="n">
        <v>0</v>
      </c>
      <c r="I2881" t="n">
        <v>0</v>
      </c>
      <c r="J2881" t="n">
        <v>0</v>
      </c>
      <c r="K2881" t="n">
        <v>0</v>
      </c>
      <c r="L2881" t="n">
        <v>0</v>
      </c>
      <c r="M2881" t="n">
        <v>0</v>
      </c>
      <c r="N2881" t="n">
        <v>0</v>
      </c>
      <c r="O2881" t="n">
        <v>0</v>
      </c>
      <c r="P2881" t="n">
        <v>0</v>
      </c>
      <c r="Q2881" t="n">
        <v>0</v>
      </c>
      <c r="R2881" s="2" t="inlineStr"/>
    </row>
    <row r="2882" ht="15" customHeight="1">
      <c r="A2882" t="inlineStr">
        <is>
          <t>A 37188-2022</t>
        </is>
      </c>
      <c r="B2882" s="1" t="n">
        <v>44806</v>
      </c>
      <c r="C2882" s="1" t="n">
        <v>45705</v>
      </c>
      <c r="D2882" t="inlineStr">
        <is>
          <t>UPPSALA LÄN</t>
        </is>
      </c>
      <c r="E2882" t="inlineStr">
        <is>
          <t>UPPSALA</t>
        </is>
      </c>
      <c r="F2882" t="inlineStr">
        <is>
          <t>Holmen skog AB</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37410-2022</t>
        </is>
      </c>
      <c r="B2883" s="1" t="n">
        <v>44809</v>
      </c>
      <c r="C2883" s="1" t="n">
        <v>45705</v>
      </c>
      <c r="D2883" t="inlineStr">
        <is>
          <t>UPPSALA LÄN</t>
        </is>
      </c>
      <c r="E2883" t="inlineStr">
        <is>
          <t>ENKÖPING</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37414-2022</t>
        </is>
      </c>
      <c r="B2884" s="1" t="n">
        <v>44809</v>
      </c>
      <c r="C2884" s="1" t="n">
        <v>45705</v>
      </c>
      <c r="D2884" t="inlineStr">
        <is>
          <t>UPPSALA LÄN</t>
        </is>
      </c>
      <c r="E2884" t="inlineStr">
        <is>
          <t>ENKÖPING</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37545-2022</t>
        </is>
      </c>
      <c r="B2885" s="1" t="n">
        <v>44809</v>
      </c>
      <c r="C2885" s="1" t="n">
        <v>45705</v>
      </c>
      <c r="D2885" t="inlineStr">
        <is>
          <t>UPPSALA LÄN</t>
        </is>
      </c>
      <c r="E2885" t="inlineStr">
        <is>
          <t>ÖSTHAMMAR</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37588-2022</t>
        </is>
      </c>
      <c r="B2886" s="1" t="n">
        <v>44810</v>
      </c>
      <c r="C2886" s="1" t="n">
        <v>45705</v>
      </c>
      <c r="D2886" t="inlineStr">
        <is>
          <t>UPPSALA LÄN</t>
        </is>
      </c>
      <c r="E2886" t="inlineStr">
        <is>
          <t>UPPSALA</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37570-2022</t>
        </is>
      </c>
      <c r="B2887" s="1" t="n">
        <v>44809</v>
      </c>
      <c r="C2887" s="1" t="n">
        <v>45705</v>
      </c>
      <c r="D2887" t="inlineStr">
        <is>
          <t>UPPSALA LÄN</t>
        </is>
      </c>
      <c r="E2887" t="inlineStr">
        <is>
          <t>ÖSTHAMMAR</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37761-2022</t>
        </is>
      </c>
      <c r="B2888" s="1" t="n">
        <v>44810</v>
      </c>
      <c r="C2888" s="1" t="n">
        <v>45705</v>
      </c>
      <c r="D2888" t="inlineStr">
        <is>
          <t>UPPSALA LÄN</t>
        </is>
      </c>
      <c r="E2888" t="inlineStr">
        <is>
          <t>UPPSALA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37670-2022</t>
        </is>
      </c>
      <c r="B2889" s="1" t="n">
        <v>44810</v>
      </c>
      <c r="C2889" s="1" t="n">
        <v>45705</v>
      </c>
      <c r="D2889" t="inlineStr">
        <is>
          <t>UPPSALA LÄN</t>
        </is>
      </c>
      <c r="E2889" t="inlineStr">
        <is>
          <t>UPPSALA</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37766-2022</t>
        </is>
      </c>
      <c r="B2890" s="1" t="n">
        <v>44810</v>
      </c>
      <c r="C2890" s="1" t="n">
        <v>45705</v>
      </c>
      <c r="D2890" t="inlineStr">
        <is>
          <t>UPPSALA LÄN</t>
        </is>
      </c>
      <c r="E2890" t="inlineStr">
        <is>
          <t>HEBY</t>
        </is>
      </c>
      <c r="F2890" t="inlineStr">
        <is>
          <t>Bergvik skog väst AB</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37782-2022</t>
        </is>
      </c>
      <c r="B2891" s="1" t="n">
        <v>44810</v>
      </c>
      <c r="C2891" s="1" t="n">
        <v>45705</v>
      </c>
      <c r="D2891" t="inlineStr">
        <is>
          <t>UPPSALA LÄN</t>
        </is>
      </c>
      <c r="E2891" t="inlineStr">
        <is>
          <t>HEBY</t>
        </is>
      </c>
      <c r="F2891" t="inlineStr">
        <is>
          <t>Bergvik skog väst AB</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37781-2022</t>
        </is>
      </c>
      <c r="B2892" s="1" t="n">
        <v>44810</v>
      </c>
      <c r="C2892" s="1" t="n">
        <v>45705</v>
      </c>
      <c r="D2892" t="inlineStr">
        <is>
          <t>UPPSALA LÄN</t>
        </is>
      </c>
      <c r="E2892" t="inlineStr">
        <is>
          <t>HEBY</t>
        </is>
      </c>
      <c r="F2892" t="inlineStr">
        <is>
          <t>Bergvik skog väst AB</t>
        </is>
      </c>
      <c r="G2892" t="n">
        <v>21.6</v>
      </c>
      <c r="H2892" t="n">
        <v>0</v>
      </c>
      <c r="I2892" t="n">
        <v>0</v>
      </c>
      <c r="J2892" t="n">
        <v>0</v>
      </c>
      <c r="K2892" t="n">
        <v>0</v>
      </c>
      <c r="L2892" t="n">
        <v>0</v>
      </c>
      <c r="M2892" t="n">
        <v>0</v>
      </c>
      <c r="N2892" t="n">
        <v>0</v>
      </c>
      <c r="O2892" t="n">
        <v>0</v>
      </c>
      <c r="P2892" t="n">
        <v>0</v>
      </c>
      <c r="Q2892" t="n">
        <v>0</v>
      </c>
      <c r="R2892" s="2" t="inlineStr"/>
    </row>
    <row r="2893" ht="15" customHeight="1">
      <c r="A2893" t="inlineStr">
        <is>
          <t>A 38005-2022</t>
        </is>
      </c>
      <c r="B2893" s="1" t="n">
        <v>44810</v>
      </c>
      <c r="C2893" s="1" t="n">
        <v>45705</v>
      </c>
      <c r="D2893" t="inlineStr">
        <is>
          <t>UPPSALA LÄN</t>
        </is>
      </c>
      <c r="E2893" t="inlineStr">
        <is>
          <t>ENKÖPING</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37813-2022</t>
        </is>
      </c>
      <c r="B2894" s="1" t="n">
        <v>44810</v>
      </c>
      <c r="C2894" s="1" t="n">
        <v>45705</v>
      </c>
      <c r="D2894" t="inlineStr">
        <is>
          <t>UPPSALA LÄN</t>
        </is>
      </c>
      <c r="E2894" t="inlineStr">
        <is>
          <t>ÖSTHAMMAR</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37812-2022</t>
        </is>
      </c>
      <c r="B2895" s="1" t="n">
        <v>44810</v>
      </c>
      <c r="C2895" s="1" t="n">
        <v>45705</v>
      </c>
      <c r="D2895" t="inlineStr">
        <is>
          <t>UPPSALA LÄN</t>
        </is>
      </c>
      <c r="E2895" t="inlineStr">
        <is>
          <t>ÖSTHAMMAR</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37938-2022</t>
        </is>
      </c>
      <c r="B2896" s="1" t="n">
        <v>44811</v>
      </c>
      <c r="C2896" s="1" t="n">
        <v>45705</v>
      </c>
      <c r="D2896" t="inlineStr">
        <is>
          <t>UPPSALA LÄN</t>
        </is>
      </c>
      <c r="E2896" t="inlineStr">
        <is>
          <t>TIERP</t>
        </is>
      </c>
      <c r="F2896" t="inlineStr">
        <is>
          <t>Bergvik skog öst AB</t>
        </is>
      </c>
      <c r="G2896" t="n">
        <v>8.699999999999999</v>
      </c>
      <c r="H2896" t="n">
        <v>0</v>
      </c>
      <c r="I2896" t="n">
        <v>0</v>
      </c>
      <c r="J2896" t="n">
        <v>0</v>
      </c>
      <c r="K2896" t="n">
        <v>0</v>
      </c>
      <c r="L2896" t="n">
        <v>0</v>
      </c>
      <c r="M2896" t="n">
        <v>0</v>
      </c>
      <c r="N2896" t="n">
        <v>0</v>
      </c>
      <c r="O2896" t="n">
        <v>0</v>
      </c>
      <c r="P2896" t="n">
        <v>0</v>
      </c>
      <c r="Q2896" t="n">
        <v>0</v>
      </c>
      <c r="R2896" s="2" t="inlineStr"/>
    </row>
    <row r="2897" ht="15" customHeight="1">
      <c r="A2897" t="inlineStr">
        <is>
          <t>A 38085-2022</t>
        </is>
      </c>
      <c r="B2897" s="1" t="n">
        <v>44811</v>
      </c>
      <c r="C2897" s="1" t="n">
        <v>45705</v>
      </c>
      <c r="D2897" t="inlineStr">
        <is>
          <t>UPPSALA LÄN</t>
        </is>
      </c>
      <c r="E2897" t="inlineStr">
        <is>
          <t>HEBY</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38078-2022</t>
        </is>
      </c>
      <c r="B2898" s="1" t="n">
        <v>44811</v>
      </c>
      <c r="C2898" s="1" t="n">
        <v>45705</v>
      </c>
      <c r="D2898" t="inlineStr">
        <is>
          <t>UPPSALA LÄN</t>
        </is>
      </c>
      <c r="E2898" t="inlineStr">
        <is>
          <t>UPPSALA</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38501-2022</t>
        </is>
      </c>
      <c r="B2899" s="1" t="n">
        <v>44813</v>
      </c>
      <c r="C2899" s="1" t="n">
        <v>45705</v>
      </c>
      <c r="D2899" t="inlineStr">
        <is>
          <t>UPPSALA LÄN</t>
        </is>
      </c>
      <c r="E2899" t="inlineStr">
        <is>
          <t>ÖSTHAMMAR</t>
        </is>
      </c>
      <c r="F2899" t="inlineStr">
        <is>
          <t>Bergvik skog öst AB</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38524-2022</t>
        </is>
      </c>
      <c r="B2900" s="1" t="n">
        <v>44813</v>
      </c>
      <c r="C2900" s="1" t="n">
        <v>45705</v>
      </c>
      <c r="D2900" t="inlineStr">
        <is>
          <t>UPPSALA LÄN</t>
        </is>
      </c>
      <c r="E2900" t="inlineStr">
        <is>
          <t>UPPSALA</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38702-2022</t>
        </is>
      </c>
      <c r="B2901" s="1" t="n">
        <v>44814</v>
      </c>
      <c r="C2901" s="1" t="n">
        <v>45705</v>
      </c>
      <c r="D2901" t="inlineStr">
        <is>
          <t>UPPSALA LÄN</t>
        </is>
      </c>
      <c r="E2901" t="inlineStr">
        <is>
          <t>ÖSTHAMMAR</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38775-2022</t>
        </is>
      </c>
      <c r="B2902" s="1" t="n">
        <v>44816</v>
      </c>
      <c r="C2902" s="1" t="n">
        <v>45705</v>
      </c>
      <c r="D2902" t="inlineStr">
        <is>
          <t>UPPSALA LÄN</t>
        </is>
      </c>
      <c r="E2902" t="inlineStr">
        <is>
          <t>ENKÖPING</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38865-2022</t>
        </is>
      </c>
      <c r="B2903" s="1" t="n">
        <v>44816</v>
      </c>
      <c r="C2903" s="1" t="n">
        <v>45705</v>
      </c>
      <c r="D2903" t="inlineStr">
        <is>
          <t>UPPSALA LÄN</t>
        </is>
      </c>
      <c r="E2903" t="inlineStr">
        <is>
          <t>UPPSALA</t>
        </is>
      </c>
      <c r="G2903" t="n">
        <v>14.6</v>
      </c>
      <c r="H2903" t="n">
        <v>0</v>
      </c>
      <c r="I2903" t="n">
        <v>0</v>
      </c>
      <c r="J2903" t="n">
        <v>0</v>
      </c>
      <c r="K2903" t="n">
        <v>0</v>
      </c>
      <c r="L2903" t="n">
        <v>0</v>
      </c>
      <c r="M2903" t="n">
        <v>0</v>
      </c>
      <c r="N2903" t="n">
        <v>0</v>
      </c>
      <c r="O2903" t="n">
        <v>0</v>
      </c>
      <c r="P2903" t="n">
        <v>0</v>
      </c>
      <c r="Q2903" t="n">
        <v>0</v>
      </c>
      <c r="R2903" s="2" t="inlineStr"/>
    </row>
    <row r="2904" ht="15" customHeight="1">
      <c r="A2904" t="inlineStr">
        <is>
          <t>A 38892-2022</t>
        </is>
      </c>
      <c r="B2904" s="1" t="n">
        <v>44816</v>
      </c>
      <c r="C2904" s="1" t="n">
        <v>45705</v>
      </c>
      <c r="D2904" t="inlineStr">
        <is>
          <t>UPPSALA LÄN</t>
        </is>
      </c>
      <c r="E2904" t="inlineStr">
        <is>
          <t>UPPSALA</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38909-2022</t>
        </is>
      </c>
      <c r="B2905" s="1" t="n">
        <v>44816</v>
      </c>
      <c r="C2905" s="1" t="n">
        <v>45705</v>
      </c>
      <c r="D2905" t="inlineStr">
        <is>
          <t>UPPSALA LÄN</t>
        </is>
      </c>
      <c r="E2905" t="inlineStr">
        <is>
          <t>UPPSALA</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39148-2022</t>
        </is>
      </c>
      <c r="B2906" s="1" t="n">
        <v>44816</v>
      </c>
      <c r="C2906" s="1" t="n">
        <v>45705</v>
      </c>
      <c r="D2906" t="inlineStr">
        <is>
          <t>UPPSALA LÄN</t>
        </is>
      </c>
      <c r="E2906" t="inlineStr">
        <is>
          <t>UPPSALA</t>
        </is>
      </c>
      <c r="F2906" t="inlineStr">
        <is>
          <t>Övriga statliga verk och myndigheter</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39144-2022</t>
        </is>
      </c>
      <c r="B2907" s="1" t="n">
        <v>44816</v>
      </c>
      <c r="C2907" s="1" t="n">
        <v>45705</v>
      </c>
      <c r="D2907" t="inlineStr">
        <is>
          <t>UPPSALA LÄN</t>
        </is>
      </c>
      <c r="E2907" t="inlineStr">
        <is>
          <t>UPPSALA</t>
        </is>
      </c>
      <c r="G2907" t="n">
        <v>8.4</v>
      </c>
      <c r="H2907" t="n">
        <v>0</v>
      </c>
      <c r="I2907" t="n">
        <v>0</v>
      </c>
      <c r="J2907" t="n">
        <v>0</v>
      </c>
      <c r="K2907" t="n">
        <v>0</v>
      </c>
      <c r="L2907" t="n">
        <v>0</v>
      </c>
      <c r="M2907" t="n">
        <v>0</v>
      </c>
      <c r="N2907" t="n">
        <v>0</v>
      </c>
      <c r="O2907" t="n">
        <v>0</v>
      </c>
      <c r="P2907" t="n">
        <v>0</v>
      </c>
      <c r="Q2907" t="n">
        <v>0</v>
      </c>
      <c r="R2907" s="2" t="inlineStr"/>
    </row>
    <row r="2908" ht="15" customHeight="1">
      <c r="A2908" t="inlineStr">
        <is>
          <t>A 39454-2022</t>
        </is>
      </c>
      <c r="B2908" s="1" t="n">
        <v>44817</v>
      </c>
      <c r="C2908" s="1" t="n">
        <v>45705</v>
      </c>
      <c r="D2908" t="inlineStr">
        <is>
          <t>UPPSALA LÄN</t>
        </is>
      </c>
      <c r="E2908" t="inlineStr">
        <is>
          <t>UPPSALA</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39608-2022</t>
        </is>
      </c>
      <c r="B2909" s="1" t="n">
        <v>44817</v>
      </c>
      <c r="C2909" s="1" t="n">
        <v>45705</v>
      </c>
      <c r="D2909" t="inlineStr">
        <is>
          <t>UPPSALA LÄN</t>
        </is>
      </c>
      <c r="E2909" t="inlineStr">
        <is>
          <t>UPPSALA</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39599-2022</t>
        </is>
      </c>
      <c r="B2910" s="1" t="n">
        <v>44817</v>
      </c>
      <c r="C2910" s="1" t="n">
        <v>45705</v>
      </c>
      <c r="D2910" t="inlineStr">
        <is>
          <t>UPPSALA LÄN</t>
        </is>
      </c>
      <c r="E2910" t="inlineStr">
        <is>
          <t>UPPSALA</t>
        </is>
      </c>
      <c r="G2910" t="n">
        <v>4.8</v>
      </c>
      <c r="H2910" t="n">
        <v>0</v>
      </c>
      <c r="I2910" t="n">
        <v>0</v>
      </c>
      <c r="J2910" t="n">
        <v>0</v>
      </c>
      <c r="K2910" t="n">
        <v>0</v>
      </c>
      <c r="L2910" t="n">
        <v>0</v>
      </c>
      <c r="M2910" t="n">
        <v>0</v>
      </c>
      <c r="N2910" t="n">
        <v>0</v>
      </c>
      <c r="O2910" t="n">
        <v>0</v>
      </c>
      <c r="P2910" t="n">
        <v>0</v>
      </c>
      <c r="Q2910" t="n">
        <v>0</v>
      </c>
      <c r="R2910" s="2" t="inlineStr"/>
    </row>
    <row r="2911" ht="15" customHeight="1">
      <c r="A2911" t="inlineStr">
        <is>
          <t>A 39480-2022</t>
        </is>
      </c>
      <c r="B2911" s="1" t="n">
        <v>44818</v>
      </c>
      <c r="C2911" s="1" t="n">
        <v>45705</v>
      </c>
      <c r="D2911" t="inlineStr">
        <is>
          <t>UPPSALA LÄN</t>
        </is>
      </c>
      <c r="E2911" t="inlineStr">
        <is>
          <t>ÖSTHAMMAR</t>
        </is>
      </c>
      <c r="F2911" t="inlineStr">
        <is>
          <t>Bergvik skog öst AB</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39751-2022</t>
        </is>
      </c>
      <c r="B2912" s="1" t="n">
        <v>44819</v>
      </c>
      <c r="C2912" s="1" t="n">
        <v>45705</v>
      </c>
      <c r="D2912" t="inlineStr">
        <is>
          <t>UPPSALA LÄN</t>
        </is>
      </c>
      <c r="E2912" t="inlineStr">
        <is>
          <t>ENKÖPING</t>
        </is>
      </c>
      <c r="G2912" t="n">
        <v>7.6</v>
      </c>
      <c r="H2912" t="n">
        <v>0</v>
      </c>
      <c r="I2912" t="n">
        <v>0</v>
      </c>
      <c r="J2912" t="n">
        <v>0</v>
      </c>
      <c r="K2912" t="n">
        <v>0</v>
      </c>
      <c r="L2912" t="n">
        <v>0</v>
      </c>
      <c r="M2912" t="n">
        <v>0</v>
      </c>
      <c r="N2912" t="n">
        <v>0</v>
      </c>
      <c r="O2912" t="n">
        <v>0</v>
      </c>
      <c r="P2912" t="n">
        <v>0</v>
      </c>
      <c r="Q2912" t="n">
        <v>0</v>
      </c>
      <c r="R2912" s="2" t="inlineStr"/>
    </row>
    <row r="2913" ht="15" customHeight="1">
      <c r="A2913" t="inlineStr">
        <is>
          <t>A 39802-2022</t>
        </is>
      </c>
      <c r="B2913" s="1" t="n">
        <v>44819</v>
      </c>
      <c r="C2913" s="1" t="n">
        <v>45705</v>
      </c>
      <c r="D2913" t="inlineStr">
        <is>
          <t>UPPSALA LÄN</t>
        </is>
      </c>
      <c r="E2913" t="inlineStr">
        <is>
          <t>TIERP</t>
        </is>
      </c>
      <c r="G2913" t="n">
        <v>5.8</v>
      </c>
      <c r="H2913" t="n">
        <v>0</v>
      </c>
      <c r="I2913" t="n">
        <v>0</v>
      </c>
      <c r="J2913" t="n">
        <v>0</v>
      </c>
      <c r="K2913" t="n">
        <v>0</v>
      </c>
      <c r="L2913" t="n">
        <v>0</v>
      </c>
      <c r="M2913" t="n">
        <v>0</v>
      </c>
      <c r="N2913" t="n">
        <v>0</v>
      </c>
      <c r="O2913" t="n">
        <v>0</v>
      </c>
      <c r="P2913" t="n">
        <v>0</v>
      </c>
      <c r="Q2913" t="n">
        <v>0</v>
      </c>
      <c r="R2913" s="2" t="inlineStr"/>
    </row>
    <row r="2914" ht="15" customHeight="1">
      <c r="A2914" t="inlineStr">
        <is>
          <t>A 39795-2022</t>
        </is>
      </c>
      <c r="B2914" s="1" t="n">
        <v>44819</v>
      </c>
      <c r="C2914" s="1" t="n">
        <v>45705</v>
      </c>
      <c r="D2914" t="inlineStr">
        <is>
          <t>UPPSALA LÄN</t>
        </is>
      </c>
      <c r="E2914" t="inlineStr">
        <is>
          <t>UPPSALA</t>
        </is>
      </c>
      <c r="F2914" t="inlineStr">
        <is>
          <t>Övriga Aktiebolag</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39903-2022</t>
        </is>
      </c>
      <c r="B2915" s="1" t="n">
        <v>44819</v>
      </c>
      <c r="C2915" s="1" t="n">
        <v>45705</v>
      </c>
      <c r="D2915" t="inlineStr">
        <is>
          <t>UPPSALA LÄN</t>
        </is>
      </c>
      <c r="E2915" t="inlineStr">
        <is>
          <t>TIERP</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39915-2022</t>
        </is>
      </c>
      <c r="B2916" s="1" t="n">
        <v>44819</v>
      </c>
      <c r="C2916" s="1" t="n">
        <v>45705</v>
      </c>
      <c r="D2916" t="inlineStr">
        <is>
          <t>UPPSALA LÄN</t>
        </is>
      </c>
      <c r="E2916" t="inlineStr">
        <is>
          <t>UPPSALA</t>
        </is>
      </c>
      <c r="F2916" t="inlineStr">
        <is>
          <t>Allmännings- och besparingsskogar</t>
        </is>
      </c>
      <c r="G2916" t="n">
        <v>20.1</v>
      </c>
      <c r="H2916" t="n">
        <v>0</v>
      </c>
      <c r="I2916" t="n">
        <v>0</v>
      </c>
      <c r="J2916" t="n">
        <v>0</v>
      </c>
      <c r="K2916" t="n">
        <v>0</v>
      </c>
      <c r="L2916" t="n">
        <v>0</v>
      </c>
      <c r="M2916" t="n">
        <v>0</v>
      </c>
      <c r="N2916" t="n">
        <v>0</v>
      </c>
      <c r="O2916" t="n">
        <v>0</v>
      </c>
      <c r="P2916" t="n">
        <v>0</v>
      </c>
      <c r="Q2916" t="n">
        <v>0</v>
      </c>
      <c r="R2916" s="2" t="inlineStr"/>
    </row>
    <row r="2917" ht="15" customHeight="1">
      <c r="A2917" t="inlineStr">
        <is>
          <t>A 39865-2022</t>
        </is>
      </c>
      <c r="B2917" s="1" t="n">
        <v>44819</v>
      </c>
      <c r="C2917" s="1" t="n">
        <v>45705</v>
      </c>
      <c r="D2917" t="inlineStr">
        <is>
          <t>UPPSALA LÄN</t>
        </is>
      </c>
      <c r="E2917" t="inlineStr">
        <is>
          <t>UPPSALA</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39922-2022</t>
        </is>
      </c>
      <c r="B2918" s="1" t="n">
        <v>44819</v>
      </c>
      <c r="C2918" s="1" t="n">
        <v>45705</v>
      </c>
      <c r="D2918" t="inlineStr">
        <is>
          <t>UPPSALA LÄN</t>
        </is>
      </c>
      <c r="E2918" t="inlineStr">
        <is>
          <t>ENKÖPING</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40038-2022</t>
        </is>
      </c>
      <c r="B2919" s="1" t="n">
        <v>44820</v>
      </c>
      <c r="C2919" s="1" t="n">
        <v>45705</v>
      </c>
      <c r="D2919" t="inlineStr">
        <is>
          <t>UPPSALA LÄN</t>
        </is>
      </c>
      <c r="E2919" t="inlineStr">
        <is>
          <t>HEBY</t>
        </is>
      </c>
      <c r="G2919" t="n">
        <v>4.4</v>
      </c>
      <c r="H2919" t="n">
        <v>0</v>
      </c>
      <c r="I2919" t="n">
        <v>0</v>
      </c>
      <c r="J2919" t="n">
        <v>0</v>
      </c>
      <c r="K2919" t="n">
        <v>0</v>
      </c>
      <c r="L2919" t="n">
        <v>0</v>
      </c>
      <c r="M2919" t="n">
        <v>0</v>
      </c>
      <c r="N2919" t="n">
        <v>0</v>
      </c>
      <c r="O2919" t="n">
        <v>0</v>
      </c>
      <c r="P2919" t="n">
        <v>0</v>
      </c>
      <c r="Q2919" t="n">
        <v>0</v>
      </c>
      <c r="R2919" s="2" t="inlineStr"/>
    </row>
    <row r="2920" ht="15" customHeight="1">
      <c r="A2920" t="inlineStr">
        <is>
          <t>A 40086-2022</t>
        </is>
      </c>
      <c r="B2920" s="1" t="n">
        <v>44820</v>
      </c>
      <c r="C2920" s="1" t="n">
        <v>45705</v>
      </c>
      <c r="D2920" t="inlineStr">
        <is>
          <t>UPPSALA LÄN</t>
        </is>
      </c>
      <c r="E2920" t="inlineStr">
        <is>
          <t>HEBY</t>
        </is>
      </c>
      <c r="F2920" t="inlineStr">
        <is>
          <t>Bergvik skog öst AB</t>
        </is>
      </c>
      <c r="G2920" t="n">
        <v>4.7</v>
      </c>
      <c r="H2920" t="n">
        <v>0</v>
      </c>
      <c r="I2920" t="n">
        <v>0</v>
      </c>
      <c r="J2920" t="n">
        <v>0</v>
      </c>
      <c r="K2920" t="n">
        <v>0</v>
      </c>
      <c r="L2920" t="n">
        <v>0</v>
      </c>
      <c r="M2920" t="n">
        <v>0</v>
      </c>
      <c r="N2920" t="n">
        <v>0</v>
      </c>
      <c r="O2920" t="n">
        <v>0</v>
      </c>
      <c r="P2920" t="n">
        <v>0</v>
      </c>
      <c r="Q2920" t="n">
        <v>0</v>
      </c>
      <c r="R2920" s="2" t="inlineStr"/>
    </row>
    <row r="2921" ht="15" customHeight="1">
      <c r="A2921" t="inlineStr">
        <is>
          <t>A 40079-2022</t>
        </is>
      </c>
      <c r="B2921" s="1" t="n">
        <v>44820</v>
      </c>
      <c r="C2921" s="1" t="n">
        <v>45705</v>
      </c>
      <c r="D2921" t="inlineStr">
        <is>
          <t>UPPSALA LÄN</t>
        </is>
      </c>
      <c r="E2921" t="inlineStr">
        <is>
          <t>HEBY</t>
        </is>
      </c>
      <c r="F2921" t="inlineStr">
        <is>
          <t>Bergvik skog öst AB</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40100-2022</t>
        </is>
      </c>
      <c r="B2922" s="1" t="n">
        <v>44820</v>
      </c>
      <c r="C2922" s="1" t="n">
        <v>45705</v>
      </c>
      <c r="D2922" t="inlineStr">
        <is>
          <t>UPPSALA LÄN</t>
        </is>
      </c>
      <c r="E2922" t="inlineStr">
        <is>
          <t>UPPSALA</t>
        </is>
      </c>
      <c r="F2922" t="inlineStr">
        <is>
          <t>Övriga Aktiebolag</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40336-2022</t>
        </is>
      </c>
      <c r="B2923" s="1" t="n">
        <v>44823</v>
      </c>
      <c r="C2923" s="1" t="n">
        <v>45705</v>
      </c>
      <c r="D2923" t="inlineStr">
        <is>
          <t>UPPSALA LÄN</t>
        </is>
      </c>
      <c r="E2923" t="inlineStr">
        <is>
          <t>ÖSTHAMMAR</t>
        </is>
      </c>
      <c r="F2923" t="inlineStr">
        <is>
          <t>Bergvik skog öst AB</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40387-2022</t>
        </is>
      </c>
      <c r="B2924" s="1" t="n">
        <v>44823</v>
      </c>
      <c r="C2924" s="1" t="n">
        <v>45705</v>
      </c>
      <c r="D2924" t="inlineStr">
        <is>
          <t>UPPSALA LÄN</t>
        </is>
      </c>
      <c r="E2924" t="inlineStr">
        <is>
          <t>HEBY</t>
        </is>
      </c>
      <c r="G2924" t="n">
        <v>25.2</v>
      </c>
      <c r="H2924" t="n">
        <v>0</v>
      </c>
      <c r="I2924" t="n">
        <v>0</v>
      </c>
      <c r="J2924" t="n">
        <v>0</v>
      </c>
      <c r="K2924" t="n">
        <v>0</v>
      </c>
      <c r="L2924" t="n">
        <v>0</v>
      </c>
      <c r="M2924" t="n">
        <v>0</v>
      </c>
      <c r="N2924" t="n">
        <v>0</v>
      </c>
      <c r="O2924" t="n">
        <v>0</v>
      </c>
      <c r="P2924" t="n">
        <v>0</v>
      </c>
      <c r="Q2924" t="n">
        <v>0</v>
      </c>
      <c r="R2924" s="2" t="inlineStr"/>
    </row>
    <row r="2925" ht="15" customHeight="1">
      <c r="A2925" t="inlineStr">
        <is>
          <t>A 40533-2022</t>
        </is>
      </c>
      <c r="B2925" s="1" t="n">
        <v>44823</v>
      </c>
      <c r="C2925" s="1" t="n">
        <v>45705</v>
      </c>
      <c r="D2925" t="inlineStr">
        <is>
          <t>UPPSALA LÄN</t>
        </is>
      </c>
      <c r="E2925" t="inlineStr">
        <is>
          <t>HEBY</t>
        </is>
      </c>
      <c r="F2925" t="inlineStr">
        <is>
          <t>Övriga Aktiebolag</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40765-2022</t>
        </is>
      </c>
      <c r="B2926" s="1" t="n">
        <v>44824</v>
      </c>
      <c r="C2926" s="1" t="n">
        <v>45705</v>
      </c>
      <c r="D2926" t="inlineStr">
        <is>
          <t>UPPSALA LÄN</t>
        </is>
      </c>
      <c r="E2926" t="inlineStr">
        <is>
          <t>TIERP</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40773-2022</t>
        </is>
      </c>
      <c r="B2927" s="1" t="n">
        <v>44824</v>
      </c>
      <c r="C2927" s="1" t="n">
        <v>45705</v>
      </c>
      <c r="D2927" t="inlineStr">
        <is>
          <t>UPPSALA LÄN</t>
        </is>
      </c>
      <c r="E2927" t="inlineStr">
        <is>
          <t>ENKÖPING</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40812-2022</t>
        </is>
      </c>
      <c r="B2928" s="1" t="n">
        <v>44824</v>
      </c>
      <c r="C2928" s="1" t="n">
        <v>45705</v>
      </c>
      <c r="D2928" t="inlineStr">
        <is>
          <t>UPPSALA LÄN</t>
        </is>
      </c>
      <c r="E2928" t="inlineStr">
        <is>
          <t>ENKÖPING</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40637-2022</t>
        </is>
      </c>
      <c r="B2929" s="1" t="n">
        <v>44824</v>
      </c>
      <c r="C2929" s="1" t="n">
        <v>45705</v>
      </c>
      <c r="D2929" t="inlineStr">
        <is>
          <t>UPPSALA LÄN</t>
        </is>
      </c>
      <c r="E2929" t="inlineStr">
        <is>
          <t>ÖSTHAMMAR</t>
        </is>
      </c>
      <c r="F2929" t="inlineStr">
        <is>
          <t>Övriga Aktiebolag</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40681-2022</t>
        </is>
      </c>
      <c r="B2930" s="1" t="n">
        <v>44824</v>
      </c>
      <c r="C2930" s="1" t="n">
        <v>45705</v>
      </c>
      <c r="D2930" t="inlineStr">
        <is>
          <t>UPPSALA LÄN</t>
        </is>
      </c>
      <c r="E2930" t="inlineStr">
        <is>
          <t>ÖSTHAMMAR</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41029-2022</t>
        </is>
      </c>
      <c r="B2931" s="1" t="n">
        <v>44824</v>
      </c>
      <c r="C2931" s="1" t="n">
        <v>45705</v>
      </c>
      <c r="D2931" t="inlineStr">
        <is>
          <t>UPPSALA LÄN</t>
        </is>
      </c>
      <c r="E2931" t="inlineStr">
        <is>
          <t>HEBY</t>
        </is>
      </c>
      <c r="F2931" t="inlineStr">
        <is>
          <t>Bergvik skog väst AB</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41033-2022</t>
        </is>
      </c>
      <c r="B2932" s="1" t="n">
        <v>44825</v>
      </c>
      <c r="C2932" s="1" t="n">
        <v>45705</v>
      </c>
      <c r="D2932" t="inlineStr">
        <is>
          <t>UPPSALA LÄN</t>
        </is>
      </c>
      <c r="E2932" t="inlineStr">
        <is>
          <t>ÖSTHAMMAR</t>
        </is>
      </c>
      <c r="F2932" t="inlineStr">
        <is>
          <t>Kyrkan</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41382-2022</t>
        </is>
      </c>
      <c r="B2933" s="1" t="n">
        <v>44826</v>
      </c>
      <c r="C2933" s="1" t="n">
        <v>45705</v>
      </c>
      <c r="D2933" t="inlineStr">
        <is>
          <t>UPPSALA LÄN</t>
        </is>
      </c>
      <c r="E2933" t="inlineStr">
        <is>
          <t>HEBY</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41321-2022</t>
        </is>
      </c>
      <c r="B2934" s="1" t="n">
        <v>44826</v>
      </c>
      <c r="C2934" s="1" t="n">
        <v>45705</v>
      </c>
      <c r="D2934" t="inlineStr">
        <is>
          <t>UPPSALA LÄN</t>
        </is>
      </c>
      <c r="E2934" t="inlineStr">
        <is>
          <t>HEBY</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41413-2022</t>
        </is>
      </c>
      <c r="B2935" s="1" t="n">
        <v>44826</v>
      </c>
      <c r="C2935" s="1" t="n">
        <v>45705</v>
      </c>
      <c r="D2935" t="inlineStr">
        <is>
          <t>UPPSALA LÄN</t>
        </is>
      </c>
      <c r="E2935" t="inlineStr">
        <is>
          <t>HEBY</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41423-2022</t>
        </is>
      </c>
      <c r="B2936" s="1" t="n">
        <v>44826</v>
      </c>
      <c r="C2936" s="1" t="n">
        <v>45705</v>
      </c>
      <c r="D2936" t="inlineStr">
        <is>
          <t>UPPSALA LÄN</t>
        </is>
      </c>
      <c r="E2936" t="inlineStr">
        <is>
          <t>ÖSTHAMMAR</t>
        </is>
      </c>
      <c r="F2936" t="inlineStr">
        <is>
          <t>Övriga Aktiebolag</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41700-2022</t>
        </is>
      </c>
      <c r="B2937" s="1" t="n">
        <v>44827</v>
      </c>
      <c r="C2937" s="1" t="n">
        <v>45705</v>
      </c>
      <c r="D2937" t="inlineStr">
        <is>
          <t>UPPSALA LÄN</t>
        </is>
      </c>
      <c r="E2937" t="inlineStr">
        <is>
          <t>HEBY</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41736-2022</t>
        </is>
      </c>
      <c r="B2938" s="1" t="n">
        <v>44827</v>
      </c>
      <c r="C2938" s="1" t="n">
        <v>45705</v>
      </c>
      <c r="D2938" t="inlineStr">
        <is>
          <t>UPPSALA LÄN</t>
        </is>
      </c>
      <c r="E2938" t="inlineStr">
        <is>
          <t>ENKÖPING</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41737-2022</t>
        </is>
      </c>
      <c r="B2939" s="1" t="n">
        <v>44827</v>
      </c>
      <c r="C2939" s="1" t="n">
        <v>45705</v>
      </c>
      <c r="D2939" t="inlineStr">
        <is>
          <t>UPPSALA LÄN</t>
        </is>
      </c>
      <c r="E2939" t="inlineStr">
        <is>
          <t>ENKÖPING</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41757-2022</t>
        </is>
      </c>
      <c r="B2940" s="1" t="n">
        <v>44827</v>
      </c>
      <c r="C2940" s="1" t="n">
        <v>45705</v>
      </c>
      <c r="D2940" t="inlineStr">
        <is>
          <t>UPPSALA LÄN</t>
        </is>
      </c>
      <c r="E2940" t="inlineStr">
        <is>
          <t>ÄLVKARLEBY</t>
        </is>
      </c>
      <c r="F2940" t="inlineStr">
        <is>
          <t>Bergvik skog väst AB</t>
        </is>
      </c>
      <c r="G2940" t="n">
        <v>12.7</v>
      </c>
      <c r="H2940" t="n">
        <v>0</v>
      </c>
      <c r="I2940" t="n">
        <v>0</v>
      </c>
      <c r="J2940" t="n">
        <v>0</v>
      </c>
      <c r="K2940" t="n">
        <v>0</v>
      </c>
      <c r="L2940" t="n">
        <v>0</v>
      </c>
      <c r="M2940" t="n">
        <v>0</v>
      </c>
      <c r="N2940" t="n">
        <v>0</v>
      </c>
      <c r="O2940" t="n">
        <v>0</v>
      </c>
      <c r="P2940" t="n">
        <v>0</v>
      </c>
      <c r="Q2940" t="n">
        <v>0</v>
      </c>
      <c r="R2940" s="2" t="inlineStr"/>
    </row>
    <row r="2941" ht="15" customHeight="1">
      <c r="A2941" t="inlineStr">
        <is>
          <t>A 41971-2022</t>
        </is>
      </c>
      <c r="B2941" s="1" t="n">
        <v>44827</v>
      </c>
      <c r="C2941" s="1" t="n">
        <v>45705</v>
      </c>
      <c r="D2941" t="inlineStr">
        <is>
          <t>UPPSALA LÄN</t>
        </is>
      </c>
      <c r="E2941" t="inlineStr">
        <is>
          <t>TIERP</t>
        </is>
      </c>
      <c r="G2941" t="n">
        <v>10</v>
      </c>
      <c r="H2941" t="n">
        <v>0</v>
      </c>
      <c r="I2941" t="n">
        <v>0</v>
      </c>
      <c r="J2941" t="n">
        <v>0</v>
      </c>
      <c r="K2941" t="n">
        <v>0</v>
      </c>
      <c r="L2941" t="n">
        <v>0</v>
      </c>
      <c r="M2941" t="n">
        <v>0</v>
      </c>
      <c r="N2941" t="n">
        <v>0</v>
      </c>
      <c r="O2941" t="n">
        <v>0</v>
      </c>
      <c r="P2941" t="n">
        <v>0</v>
      </c>
      <c r="Q2941" t="n">
        <v>0</v>
      </c>
      <c r="R2941" s="2" t="inlineStr"/>
    </row>
    <row r="2942" ht="15" customHeight="1">
      <c r="A2942" t="inlineStr">
        <is>
          <t>A 41753-2022</t>
        </is>
      </c>
      <c r="B2942" s="1" t="n">
        <v>44827</v>
      </c>
      <c r="C2942" s="1" t="n">
        <v>45705</v>
      </c>
      <c r="D2942" t="inlineStr">
        <is>
          <t>UPPSALA LÄN</t>
        </is>
      </c>
      <c r="E2942" t="inlineStr">
        <is>
          <t>ENKÖPING</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42589-2022</t>
        </is>
      </c>
      <c r="B2943" s="1" t="n">
        <v>44831</v>
      </c>
      <c r="C2943" s="1" t="n">
        <v>45705</v>
      </c>
      <c r="D2943" t="inlineStr">
        <is>
          <t>UPPSALA LÄN</t>
        </is>
      </c>
      <c r="E2943" t="inlineStr">
        <is>
          <t>ENKÖPING</t>
        </is>
      </c>
      <c r="G2943" t="n">
        <v>20</v>
      </c>
      <c r="H2943" t="n">
        <v>0</v>
      </c>
      <c r="I2943" t="n">
        <v>0</v>
      </c>
      <c r="J2943" t="n">
        <v>0</v>
      </c>
      <c r="K2943" t="n">
        <v>0</v>
      </c>
      <c r="L2943" t="n">
        <v>0</v>
      </c>
      <c r="M2943" t="n">
        <v>0</v>
      </c>
      <c r="N2943" t="n">
        <v>0</v>
      </c>
      <c r="O2943" t="n">
        <v>0</v>
      </c>
      <c r="P2943" t="n">
        <v>0</v>
      </c>
      <c r="Q2943" t="n">
        <v>0</v>
      </c>
      <c r="R2943" s="2" t="inlineStr"/>
    </row>
    <row r="2944" ht="15" customHeight="1">
      <c r="A2944" t="inlineStr">
        <is>
          <t>A 42592-2022</t>
        </is>
      </c>
      <c r="B2944" s="1" t="n">
        <v>44831</v>
      </c>
      <c r="C2944" s="1" t="n">
        <v>45705</v>
      </c>
      <c r="D2944" t="inlineStr">
        <is>
          <t>UPPSALA LÄN</t>
        </is>
      </c>
      <c r="E2944" t="inlineStr">
        <is>
          <t>ENKÖPING</t>
        </is>
      </c>
      <c r="G2944" t="n">
        <v>4.5</v>
      </c>
      <c r="H2944" t="n">
        <v>0</v>
      </c>
      <c r="I2944" t="n">
        <v>0</v>
      </c>
      <c r="J2944" t="n">
        <v>0</v>
      </c>
      <c r="K2944" t="n">
        <v>0</v>
      </c>
      <c r="L2944" t="n">
        <v>0</v>
      </c>
      <c r="M2944" t="n">
        <v>0</v>
      </c>
      <c r="N2944" t="n">
        <v>0</v>
      </c>
      <c r="O2944" t="n">
        <v>0</v>
      </c>
      <c r="P2944" t="n">
        <v>0</v>
      </c>
      <c r="Q2944" t="n">
        <v>0</v>
      </c>
      <c r="R2944" s="2" t="inlineStr"/>
    </row>
    <row r="2945" ht="15" customHeight="1">
      <c r="A2945" t="inlineStr">
        <is>
          <t>A 42543-2022</t>
        </is>
      </c>
      <c r="B2945" s="1" t="n">
        <v>44831</v>
      </c>
      <c r="C2945" s="1" t="n">
        <v>45705</v>
      </c>
      <c r="D2945" t="inlineStr">
        <is>
          <t>UPPSALA LÄN</t>
        </is>
      </c>
      <c r="E2945" t="inlineStr">
        <is>
          <t>HEBY</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42622-2022</t>
        </is>
      </c>
      <c r="B2946" s="1" t="n">
        <v>44831</v>
      </c>
      <c r="C2946" s="1" t="n">
        <v>45705</v>
      </c>
      <c r="D2946" t="inlineStr">
        <is>
          <t>UPPSALA LÄN</t>
        </is>
      </c>
      <c r="E2946" t="inlineStr">
        <is>
          <t>UPPSALA</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42772-2022</t>
        </is>
      </c>
      <c r="B2947" s="1" t="n">
        <v>44832</v>
      </c>
      <c r="C2947" s="1" t="n">
        <v>45705</v>
      </c>
      <c r="D2947" t="inlineStr">
        <is>
          <t>UPPSALA LÄN</t>
        </is>
      </c>
      <c r="E2947" t="inlineStr">
        <is>
          <t>UPPSALA</t>
        </is>
      </c>
      <c r="G2947" t="n">
        <v>17.7</v>
      </c>
      <c r="H2947" t="n">
        <v>0</v>
      </c>
      <c r="I2947" t="n">
        <v>0</v>
      </c>
      <c r="J2947" t="n">
        <v>0</v>
      </c>
      <c r="K2947" t="n">
        <v>0</v>
      </c>
      <c r="L2947" t="n">
        <v>0</v>
      </c>
      <c r="M2947" t="n">
        <v>0</v>
      </c>
      <c r="N2947" t="n">
        <v>0</v>
      </c>
      <c r="O2947" t="n">
        <v>0</v>
      </c>
      <c r="P2947" t="n">
        <v>0</v>
      </c>
      <c r="Q2947" t="n">
        <v>0</v>
      </c>
      <c r="R2947" s="2" t="inlineStr"/>
    </row>
    <row r="2948" ht="15" customHeight="1">
      <c r="A2948" t="inlineStr">
        <is>
          <t>A 42855-2022</t>
        </is>
      </c>
      <c r="B2948" s="1" t="n">
        <v>44832</v>
      </c>
      <c r="C2948" s="1" t="n">
        <v>45705</v>
      </c>
      <c r="D2948" t="inlineStr">
        <is>
          <t>UPPSALA LÄN</t>
        </is>
      </c>
      <c r="E2948" t="inlineStr">
        <is>
          <t>HEBY</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43032-2022</t>
        </is>
      </c>
      <c r="B2949" s="1" t="n">
        <v>44832</v>
      </c>
      <c r="C2949" s="1" t="n">
        <v>45705</v>
      </c>
      <c r="D2949" t="inlineStr">
        <is>
          <t>UPPSALA LÄN</t>
        </is>
      </c>
      <c r="E2949" t="inlineStr">
        <is>
          <t>UPPSALA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42859-2022</t>
        </is>
      </c>
      <c r="B2950" s="1" t="n">
        <v>44832</v>
      </c>
      <c r="C2950" s="1" t="n">
        <v>45705</v>
      </c>
      <c r="D2950" t="inlineStr">
        <is>
          <t>UPPSALA LÄN</t>
        </is>
      </c>
      <c r="E2950" t="inlineStr">
        <is>
          <t>HEBY</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42938-2022</t>
        </is>
      </c>
      <c r="B2951" s="1" t="n">
        <v>44833</v>
      </c>
      <c r="C2951" s="1" t="n">
        <v>45705</v>
      </c>
      <c r="D2951" t="inlineStr">
        <is>
          <t>UPPSALA LÄN</t>
        </is>
      </c>
      <c r="E2951" t="inlineStr">
        <is>
          <t>HEBY</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43713-2022</t>
        </is>
      </c>
      <c r="B2952" s="1" t="n">
        <v>44837</v>
      </c>
      <c r="C2952" s="1" t="n">
        <v>45705</v>
      </c>
      <c r="D2952" t="inlineStr">
        <is>
          <t>UPPSALA LÄN</t>
        </is>
      </c>
      <c r="E2952" t="inlineStr">
        <is>
          <t>TIERP</t>
        </is>
      </c>
      <c r="G2952" t="n">
        <v>3.4</v>
      </c>
      <c r="H2952" t="n">
        <v>0</v>
      </c>
      <c r="I2952" t="n">
        <v>0</v>
      </c>
      <c r="J2952" t="n">
        <v>0</v>
      </c>
      <c r="K2952" t="n">
        <v>0</v>
      </c>
      <c r="L2952" t="n">
        <v>0</v>
      </c>
      <c r="M2952" t="n">
        <v>0</v>
      </c>
      <c r="N2952" t="n">
        <v>0</v>
      </c>
      <c r="O2952" t="n">
        <v>0</v>
      </c>
      <c r="P2952" t="n">
        <v>0</v>
      </c>
      <c r="Q2952" t="n">
        <v>0</v>
      </c>
      <c r="R2952" s="2" t="inlineStr"/>
    </row>
    <row r="2953" ht="15" customHeight="1">
      <c r="A2953" t="inlineStr">
        <is>
          <t>A 43680-2022</t>
        </is>
      </c>
      <c r="B2953" s="1" t="n">
        <v>44837</v>
      </c>
      <c r="C2953" s="1" t="n">
        <v>45705</v>
      </c>
      <c r="D2953" t="inlineStr">
        <is>
          <t>UPPSALA LÄN</t>
        </is>
      </c>
      <c r="E2953" t="inlineStr">
        <is>
          <t>TIERP</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43896-2022</t>
        </is>
      </c>
      <c r="B2954" s="1" t="n">
        <v>44838</v>
      </c>
      <c r="C2954" s="1" t="n">
        <v>45705</v>
      </c>
      <c r="D2954" t="inlineStr">
        <is>
          <t>UPPSALA LÄN</t>
        </is>
      </c>
      <c r="E2954" t="inlineStr">
        <is>
          <t>ENKÖPING</t>
        </is>
      </c>
      <c r="G2954" t="n">
        <v>5.3</v>
      </c>
      <c r="H2954" t="n">
        <v>0</v>
      </c>
      <c r="I2954" t="n">
        <v>0</v>
      </c>
      <c r="J2954" t="n">
        <v>0</v>
      </c>
      <c r="K2954" t="n">
        <v>0</v>
      </c>
      <c r="L2954" t="n">
        <v>0</v>
      </c>
      <c r="M2954" t="n">
        <v>0</v>
      </c>
      <c r="N2954" t="n">
        <v>0</v>
      </c>
      <c r="O2954" t="n">
        <v>0</v>
      </c>
      <c r="P2954" t="n">
        <v>0</v>
      </c>
      <c r="Q2954" t="n">
        <v>0</v>
      </c>
      <c r="R2954" s="2" t="inlineStr"/>
    </row>
    <row r="2955" ht="15" customHeight="1">
      <c r="A2955" t="inlineStr">
        <is>
          <t>A 43850-2022</t>
        </is>
      </c>
      <c r="B2955" s="1" t="n">
        <v>44838</v>
      </c>
      <c r="C2955" s="1" t="n">
        <v>45705</v>
      </c>
      <c r="D2955" t="inlineStr">
        <is>
          <t>UPPSALA LÄN</t>
        </is>
      </c>
      <c r="E2955" t="inlineStr">
        <is>
          <t>UPPSALA</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43820-2022</t>
        </is>
      </c>
      <c r="B2956" s="1" t="n">
        <v>44838</v>
      </c>
      <c r="C2956" s="1" t="n">
        <v>45705</v>
      </c>
      <c r="D2956" t="inlineStr">
        <is>
          <t>UPPSALA LÄN</t>
        </is>
      </c>
      <c r="E2956" t="inlineStr">
        <is>
          <t>HEBY</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44020-2022</t>
        </is>
      </c>
      <c r="B2957" s="1" t="n">
        <v>44838</v>
      </c>
      <c r="C2957" s="1" t="n">
        <v>45705</v>
      </c>
      <c r="D2957" t="inlineStr">
        <is>
          <t>UPPSALA LÄN</t>
        </is>
      </c>
      <c r="E2957" t="inlineStr">
        <is>
          <t>ÖSTHAMMAR</t>
        </is>
      </c>
      <c r="F2957" t="inlineStr">
        <is>
          <t>Bergvik skog öst AB</t>
        </is>
      </c>
      <c r="G2957" t="n">
        <v>12.1</v>
      </c>
      <c r="H2957" t="n">
        <v>0</v>
      </c>
      <c r="I2957" t="n">
        <v>0</v>
      </c>
      <c r="J2957" t="n">
        <v>0</v>
      </c>
      <c r="K2957" t="n">
        <v>0</v>
      </c>
      <c r="L2957" t="n">
        <v>0</v>
      </c>
      <c r="M2957" t="n">
        <v>0</v>
      </c>
      <c r="N2957" t="n">
        <v>0</v>
      </c>
      <c r="O2957" t="n">
        <v>0</v>
      </c>
      <c r="P2957" t="n">
        <v>0</v>
      </c>
      <c r="Q2957" t="n">
        <v>0</v>
      </c>
      <c r="R2957" s="2" t="inlineStr"/>
    </row>
    <row r="2958" ht="15" customHeight="1">
      <c r="A2958" t="inlineStr">
        <is>
          <t>A 44019-2022</t>
        </is>
      </c>
      <c r="B2958" s="1" t="n">
        <v>44838</v>
      </c>
      <c r="C2958" s="1" t="n">
        <v>45705</v>
      </c>
      <c r="D2958" t="inlineStr">
        <is>
          <t>UPPSALA LÄN</t>
        </is>
      </c>
      <c r="E2958" t="inlineStr">
        <is>
          <t>ÖSTHAMMAR</t>
        </is>
      </c>
      <c r="F2958" t="inlineStr">
        <is>
          <t>Bergvik skog öst AB</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44239-2022</t>
        </is>
      </c>
      <c r="B2959" s="1" t="n">
        <v>44839</v>
      </c>
      <c r="C2959" s="1" t="n">
        <v>45705</v>
      </c>
      <c r="D2959" t="inlineStr">
        <is>
          <t>UPPSALA LÄN</t>
        </is>
      </c>
      <c r="E2959" t="inlineStr">
        <is>
          <t>HEBY</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44354-2022</t>
        </is>
      </c>
      <c r="B2960" s="1" t="n">
        <v>44839</v>
      </c>
      <c r="C2960" s="1" t="n">
        <v>45705</v>
      </c>
      <c r="D2960" t="inlineStr">
        <is>
          <t>UPPSALA LÄN</t>
        </is>
      </c>
      <c r="E2960" t="inlineStr">
        <is>
          <t>ÖSTHAMMAR</t>
        </is>
      </c>
      <c r="G2960" t="n">
        <v>5.4</v>
      </c>
      <c r="H2960" t="n">
        <v>0</v>
      </c>
      <c r="I2960" t="n">
        <v>0</v>
      </c>
      <c r="J2960" t="n">
        <v>0</v>
      </c>
      <c r="K2960" t="n">
        <v>0</v>
      </c>
      <c r="L2960" t="n">
        <v>0</v>
      </c>
      <c r="M2960" t="n">
        <v>0</v>
      </c>
      <c r="N2960" t="n">
        <v>0</v>
      </c>
      <c r="O2960" t="n">
        <v>0</v>
      </c>
      <c r="P2960" t="n">
        <v>0</v>
      </c>
      <c r="Q2960" t="n">
        <v>0</v>
      </c>
      <c r="R2960" s="2" t="inlineStr"/>
    </row>
    <row r="2961" ht="15" customHeight="1">
      <c r="A2961" t="inlineStr">
        <is>
          <t>A 44243-2022</t>
        </is>
      </c>
      <c r="B2961" s="1" t="n">
        <v>44839</v>
      </c>
      <c r="C2961" s="1" t="n">
        <v>45705</v>
      </c>
      <c r="D2961" t="inlineStr">
        <is>
          <t>UPPSALA LÄN</t>
        </is>
      </c>
      <c r="E2961" t="inlineStr">
        <is>
          <t>HEBY</t>
        </is>
      </c>
      <c r="G2961" t="n">
        <v>5.7</v>
      </c>
      <c r="H2961" t="n">
        <v>0</v>
      </c>
      <c r="I2961" t="n">
        <v>0</v>
      </c>
      <c r="J2961" t="n">
        <v>0</v>
      </c>
      <c r="K2961" t="n">
        <v>0</v>
      </c>
      <c r="L2961" t="n">
        <v>0</v>
      </c>
      <c r="M2961" t="n">
        <v>0</v>
      </c>
      <c r="N2961" t="n">
        <v>0</v>
      </c>
      <c r="O2961" t="n">
        <v>0</v>
      </c>
      <c r="P2961" t="n">
        <v>0</v>
      </c>
      <c r="Q2961" t="n">
        <v>0</v>
      </c>
      <c r="R2961" s="2" t="inlineStr"/>
    </row>
    <row r="2962" ht="15" customHeight="1">
      <c r="A2962" t="inlineStr">
        <is>
          <t>A 44265-2022</t>
        </is>
      </c>
      <c r="B2962" s="1" t="n">
        <v>44839</v>
      </c>
      <c r="C2962" s="1" t="n">
        <v>45705</v>
      </c>
      <c r="D2962" t="inlineStr">
        <is>
          <t>UPPSALA LÄN</t>
        </is>
      </c>
      <c r="E2962" t="inlineStr">
        <is>
          <t>UPPSALA</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44366-2022</t>
        </is>
      </c>
      <c r="B2963" s="1" t="n">
        <v>44839</v>
      </c>
      <c r="C2963" s="1" t="n">
        <v>45705</v>
      </c>
      <c r="D2963" t="inlineStr">
        <is>
          <t>UPPSALA LÄN</t>
        </is>
      </c>
      <c r="E2963" t="inlineStr">
        <is>
          <t>ÖSTHAMMAR</t>
        </is>
      </c>
      <c r="G2963" t="n">
        <v>8.1</v>
      </c>
      <c r="H2963" t="n">
        <v>0</v>
      </c>
      <c r="I2963" t="n">
        <v>0</v>
      </c>
      <c r="J2963" t="n">
        <v>0</v>
      </c>
      <c r="K2963" t="n">
        <v>0</v>
      </c>
      <c r="L2963" t="n">
        <v>0</v>
      </c>
      <c r="M2963" t="n">
        <v>0</v>
      </c>
      <c r="N2963" t="n">
        <v>0</v>
      </c>
      <c r="O2963" t="n">
        <v>0</v>
      </c>
      <c r="P2963" t="n">
        <v>0</v>
      </c>
      <c r="Q2963" t="n">
        <v>0</v>
      </c>
      <c r="R2963" s="2" t="inlineStr"/>
    </row>
    <row r="2964" ht="15" customHeight="1">
      <c r="A2964" t="inlineStr">
        <is>
          <t>A 44184-2022</t>
        </is>
      </c>
      <c r="B2964" s="1" t="n">
        <v>44839</v>
      </c>
      <c r="C2964" s="1" t="n">
        <v>45705</v>
      </c>
      <c r="D2964" t="inlineStr">
        <is>
          <t>UPPSALA LÄN</t>
        </is>
      </c>
      <c r="E2964" t="inlineStr">
        <is>
          <t>ÖSTHAMMAR</t>
        </is>
      </c>
      <c r="G2964" t="n">
        <v>4.2</v>
      </c>
      <c r="H2964" t="n">
        <v>0</v>
      </c>
      <c r="I2964" t="n">
        <v>0</v>
      </c>
      <c r="J2964" t="n">
        <v>0</v>
      </c>
      <c r="K2964" t="n">
        <v>0</v>
      </c>
      <c r="L2964" t="n">
        <v>0</v>
      </c>
      <c r="M2964" t="n">
        <v>0</v>
      </c>
      <c r="N2964" t="n">
        <v>0</v>
      </c>
      <c r="O2964" t="n">
        <v>0</v>
      </c>
      <c r="P2964" t="n">
        <v>0</v>
      </c>
      <c r="Q2964" t="n">
        <v>0</v>
      </c>
      <c r="R2964" s="2" t="inlineStr"/>
    </row>
    <row r="2965" ht="15" customHeight="1">
      <c r="A2965" t="inlineStr">
        <is>
          <t>A 44525-2022</t>
        </is>
      </c>
      <c r="B2965" s="1" t="n">
        <v>44840</v>
      </c>
      <c r="C2965" s="1" t="n">
        <v>45705</v>
      </c>
      <c r="D2965" t="inlineStr">
        <is>
          <t>UPPSALA LÄN</t>
        </is>
      </c>
      <c r="E2965" t="inlineStr">
        <is>
          <t>HEBY</t>
        </is>
      </c>
      <c r="G2965" t="n">
        <v>1.8</v>
      </c>
      <c r="H2965" t="n">
        <v>0</v>
      </c>
      <c r="I2965" t="n">
        <v>0</v>
      </c>
      <c r="J2965" t="n">
        <v>0</v>
      </c>
      <c r="K2965" t="n">
        <v>0</v>
      </c>
      <c r="L2965" t="n">
        <v>0</v>
      </c>
      <c r="M2965" t="n">
        <v>0</v>
      </c>
      <c r="N2965" t="n">
        <v>0</v>
      </c>
      <c r="O2965" t="n">
        <v>0</v>
      </c>
      <c r="P2965" t="n">
        <v>0</v>
      </c>
      <c r="Q2965" t="n">
        <v>0</v>
      </c>
      <c r="R2965" s="2" t="inlineStr"/>
      <c r="U2965">
        <f>HYPERLINK("https://klasma.github.io/Logging_0331/knärot/A 44525-2022 karta knärot.png", "A 44525-2022")</f>
        <v/>
      </c>
      <c r="V2965">
        <f>HYPERLINK("https://klasma.github.io/Logging_0331/klagomål/A 44525-2022 FSC-klagomål.docx", "A 44525-2022")</f>
        <v/>
      </c>
      <c r="W2965">
        <f>HYPERLINK("https://klasma.github.io/Logging_0331/klagomålsmail/A 44525-2022 FSC-klagomål mail.docx", "A 44525-2022")</f>
        <v/>
      </c>
      <c r="X2965">
        <f>HYPERLINK("https://klasma.github.io/Logging_0331/tillsyn/A 44525-2022 tillsynsbegäran.docx", "A 44525-2022")</f>
        <v/>
      </c>
      <c r="Y2965">
        <f>HYPERLINK("https://klasma.github.io/Logging_0331/tillsynsmail/A 44525-2022 tillsynsbegäran mail.docx", "A 44525-2022")</f>
        <v/>
      </c>
    </row>
    <row r="2966" ht="15" customHeight="1">
      <c r="A2966" t="inlineStr">
        <is>
          <t>A 44617-2022</t>
        </is>
      </c>
      <c r="B2966" s="1" t="n">
        <v>44840</v>
      </c>
      <c r="C2966" s="1" t="n">
        <v>45705</v>
      </c>
      <c r="D2966" t="inlineStr">
        <is>
          <t>UPPSALA LÄN</t>
        </is>
      </c>
      <c r="E2966" t="inlineStr">
        <is>
          <t>ÖSTHAMMAR</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45275-2022</t>
        </is>
      </c>
      <c r="B2967" s="1" t="n">
        <v>44840</v>
      </c>
      <c r="C2967" s="1" t="n">
        <v>45705</v>
      </c>
      <c r="D2967" t="inlineStr">
        <is>
          <t>UPPSALA LÄN</t>
        </is>
      </c>
      <c r="E2967" t="inlineStr">
        <is>
          <t>HEBY</t>
        </is>
      </c>
      <c r="F2967" t="inlineStr">
        <is>
          <t>Bergvik skog väst AB</t>
        </is>
      </c>
      <c r="G2967" t="n">
        <v>15.9</v>
      </c>
      <c r="H2967" t="n">
        <v>0</v>
      </c>
      <c r="I2967" t="n">
        <v>0</v>
      </c>
      <c r="J2967" t="n">
        <v>0</v>
      </c>
      <c r="K2967" t="n">
        <v>0</v>
      </c>
      <c r="L2967" t="n">
        <v>0</v>
      </c>
      <c r="M2967" t="n">
        <v>0</v>
      </c>
      <c r="N2967" t="n">
        <v>0</v>
      </c>
      <c r="O2967" t="n">
        <v>0</v>
      </c>
      <c r="P2967" t="n">
        <v>0</v>
      </c>
      <c r="Q2967" t="n">
        <v>0</v>
      </c>
      <c r="R2967" s="2" t="inlineStr"/>
    </row>
    <row r="2968" ht="15" customHeight="1">
      <c r="A2968" t="inlineStr">
        <is>
          <t>A 44945-2022</t>
        </is>
      </c>
      <c r="B2968" s="1" t="n">
        <v>44841</v>
      </c>
      <c r="C2968" s="1" t="n">
        <v>45705</v>
      </c>
      <c r="D2968" t="inlineStr">
        <is>
          <t>UPPSALA LÄN</t>
        </is>
      </c>
      <c r="E2968" t="inlineStr">
        <is>
          <t>ÖSTHAMMAR</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45009-2022</t>
        </is>
      </c>
      <c r="B2969" s="1" t="n">
        <v>44841</v>
      </c>
      <c r="C2969" s="1" t="n">
        <v>45705</v>
      </c>
      <c r="D2969" t="inlineStr">
        <is>
          <t>UPPSALA LÄN</t>
        </is>
      </c>
      <c r="E2969" t="inlineStr">
        <is>
          <t>HEBY</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44815-2022</t>
        </is>
      </c>
      <c r="B2970" s="1" t="n">
        <v>44841</v>
      </c>
      <c r="C2970" s="1" t="n">
        <v>45705</v>
      </c>
      <c r="D2970" t="inlineStr">
        <is>
          <t>UPPSALA LÄN</t>
        </is>
      </c>
      <c r="E2970" t="inlineStr">
        <is>
          <t>ÖSTHAMMAR</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44817-2022</t>
        </is>
      </c>
      <c r="B2971" s="1" t="n">
        <v>44841</v>
      </c>
      <c r="C2971" s="1" t="n">
        <v>45705</v>
      </c>
      <c r="D2971" t="inlineStr">
        <is>
          <t>UPPSALA LÄN</t>
        </is>
      </c>
      <c r="E2971" t="inlineStr">
        <is>
          <t>UPPSALA</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44946-2022</t>
        </is>
      </c>
      <c r="B2972" s="1" t="n">
        <v>44841</v>
      </c>
      <c r="C2972" s="1" t="n">
        <v>45705</v>
      </c>
      <c r="D2972" t="inlineStr">
        <is>
          <t>UPPSALA LÄN</t>
        </is>
      </c>
      <c r="E2972" t="inlineStr">
        <is>
          <t>TIERP</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45057-2022</t>
        </is>
      </c>
      <c r="B2973" s="1" t="n">
        <v>44841</v>
      </c>
      <c r="C2973" s="1" t="n">
        <v>45705</v>
      </c>
      <c r="D2973" t="inlineStr">
        <is>
          <t>UPPSALA LÄN</t>
        </is>
      </c>
      <c r="E2973" t="inlineStr">
        <is>
          <t>TIERP</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46681-2022</t>
        </is>
      </c>
      <c r="B2974" s="1" t="n">
        <v>44843</v>
      </c>
      <c r="C2974" s="1" t="n">
        <v>45705</v>
      </c>
      <c r="D2974" t="inlineStr">
        <is>
          <t>UPPSALA LÄN</t>
        </is>
      </c>
      <c r="E2974" t="inlineStr">
        <is>
          <t>TIERP</t>
        </is>
      </c>
      <c r="G2974" t="n">
        <v>5.9</v>
      </c>
      <c r="H2974" t="n">
        <v>0</v>
      </c>
      <c r="I2974" t="n">
        <v>0</v>
      </c>
      <c r="J2974" t="n">
        <v>0</v>
      </c>
      <c r="K2974" t="n">
        <v>0</v>
      </c>
      <c r="L2974" t="n">
        <v>0</v>
      </c>
      <c r="M2974" t="n">
        <v>0</v>
      </c>
      <c r="N2974" t="n">
        <v>0</v>
      </c>
      <c r="O2974" t="n">
        <v>0</v>
      </c>
      <c r="P2974" t="n">
        <v>0</v>
      </c>
      <c r="Q2974" t="n">
        <v>0</v>
      </c>
      <c r="R2974" s="2" t="inlineStr"/>
    </row>
    <row r="2975" ht="15" customHeight="1">
      <c r="A2975" t="inlineStr">
        <is>
          <t>A 45185-2022</t>
        </is>
      </c>
      <c r="B2975" s="1" t="n">
        <v>44844</v>
      </c>
      <c r="C2975" s="1" t="n">
        <v>45705</v>
      </c>
      <c r="D2975" t="inlineStr">
        <is>
          <t>UPPSALA LÄN</t>
        </is>
      </c>
      <c r="E2975" t="inlineStr">
        <is>
          <t>HEBY</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45195-2022</t>
        </is>
      </c>
      <c r="B2976" s="1" t="n">
        <v>44844</v>
      </c>
      <c r="C2976" s="1" t="n">
        <v>45705</v>
      </c>
      <c r="D2976" t="inlineStr">
        <is>
          <t>UPPSALA LÄN</t>
        </is>
      </c>
      <c r="E2976" t="inlineStr">
        <is>
          <t>UPPSALA</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45313-2022</t>
        </is>
      </c>
      <c r="B2977" s="1" t="n">
        <v>44844</v>
      </c>
      <c r="C2977" s="1" t="n">
        <v>45705</v>
      </c>
      <c r="D2977" t="inlineStr">
        <is>
          <t>UPPSALA LÄN</t>
        </is>
      </c>
      <c r="E2977" t="inlineStr">
        <is>
          <t>HEBY</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45362-2022</t>
        </is>
      </c>
      <c r="B2978" s="1" t="n">
        <v>44844</v>
      </c>
      <c r="C2978" s="1" t="n">
        <v>45705</v>
      </c>
      <c r="D2978" t="inlineStr">
        <is>
          <t>UPPSALA LÄN</t>
        </is>
      </c>
      <c r="E2978" t="inlineStr">
        <is>
          <t>ENKÖPING</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45283-2022</t>
        </is>
      </c>
      <c r="B2979" s="1" t="n">
        <v>44844</v>
      </c>
      <c r="C2979" s="1" t="n">
        <v>45705</v>
      </c>
      <c r="D2979" t="inlineStr">
        <is>
          <t>UPPSALA LÄN</t>
        </is>
      </c>
      <c r="E2979" t="inlineStr">
        <is>
          <t>ENKÖPING</t>
        </is>
      </c>
      <c r="G2979" t="n">
        <v>5.9</v>
      </c>
      <c r="H2979" t="n">
        <v>0</v>
      </c>
      <c r="I2979" t="n">
        <v>0</v>
      </c>
      <c r="J2979" t="n">
        <v>0</v>
      </c>
      <c r="K2979" t="n">
        <v>0</v>
      </c>
      <c r="L2979" t="n">
        <v>0</v>
      </c>
      <c r="M2979" t="n">
        <v>0</v>
      </c>
      <c r="N2979" t="n">
        <v>0</v>
      </c>
      <c r="O2979" t="n">
        <v>0</v>
      </c>
      <c r="P2979" t="n">
        <v>0</v>
      </c>
      <c r="Q2979" t="n">
        <v>0</v>
      </c>
      <c r="R2979" s="2" t="inlineStr"/>
    </row>
    <row r="2980" ht="15" customHeight="1">
      <c r="A2980" t="inlineStr">
        <is>
          <t>A 45516-2022</t>
        </is>
      </c>
      <c r="B2980" s="1" t="n">
        <v>44845</v>
      </c>
      <c r="C2980" s="1" t="n">
        <v>45705</v>
      </c>
      <c r="D2980" t="inlineStr">
        <is>
          <t>UPPSALA LÄN</t>
        </is>
      </c>
      <c r="E2980" t="inlineStr">
        <is>
          <t>TIERP</t>
        </is>
      </c>
      <c r="F2980" t="inlineStr">
        <is>
          <t>Bergvik skog öst AB</t>
        </is>
      </c>
      <c r="G2980" t="n">
        <v>28.1</v>
      </c>
      <c r="H2980" t="n">
        <v>0</v>
      </c>
      <c r="I2980" t="n">
        <v>0</v>
      </c>
      <c r="J2980" t="n">
        <v>0</v>
      </c>
      <c r="K2980" t="n">
        <v>0</v>
      </c>
      <c r="L2980" t="n">
        <v>0</v>
      </c>
      <c r="M2980" t="n">
        <v>0</v>
      </c>
      <c r="N2980" t="n">
        <v>0</v>
      </c>
      <c r="O2980" t="n">
        <v>0</v>
      </c>
      <c r="P2980" t="n">
        <v>0</v>
      </c>
      <c r="Q2980" t="n">
        <v>0</v>
      </c>
      <c r="R2980" s="2" t="inlineStr"/>
    </row>
    <row r="2981" ht="15" customHeight="1">
      <c r="A2981" t="inlineStr">
        <is>
          <t>A 45852-2022</t>
        </is>
      </c>
      <c r="B2981" s="1" t="n">
        <v>44846</v>
      </c>
      <c r="C2981" s="1" t="n">
        <v>45705</v>
      </c>
      <c r="D2981" t="inlineStr">
        <is>
          <t>UPPSALA LÄN</t>
        </is>
      </c>
      <c r="E2981" t="inlineStr">
        <is>
          <t>ENKÖPING</t>
        </is>
      </c>
      <c r="G2981" t="n">
        <v>6</v>
      </c>
      <c r="H2981" t="n">
        <v>0</v>
      </c>
      <c r="I2981" t="n">
        <v>0</v>
      </c>
      <c r="J2981" t="n">
        <v>0</v>
      </c>
      <c r="K2981" t="n">
        <v>0</v>
      </c>
      <c r="L2981" t="n">
        <v>0</v>
      </c>
      <c r="M2981" t="n">
        <v>0</v>
      </c>
      <c r="N2981" t="n">
        <v>0</v>
      </c>
      <c r="O2981" t="n">
        <v>0</v>
      </c>
      <c r="P2981" t="n">
        <v>0</v>
      </c>
      <c r="Q2981" t="n">
        <v>0</v>
      </c>
      <c r="R2981" s="2" t="inlineStr"/>
    </row>
    <row r="2982" ht="15" customHeight="1">
      <c r="A2982" t="inlineStr">
        <is>
          <t>A 45916-2022</t>
        </is>
      </c>
      <c r="B2982" s="1" t="n">
        <v>44846</v>
      </c>
      <c r="C2982" s="1" t="n">
        <v>45705</v>
      </c>
      <c r="D2982" t="inlineStr">
        <is>
          <t>UPPSALA LÄN</t>
        </is>
      </c>
      <c r="E2982" t="inlineStr">
        <is>
          <t>KNIVSTA</t>
        </is>
      </c>
      <c r="G2982" t="n">
        <v>3.8</v>
      </c>
      <c r="H2982" t="n">
        <v>0</v>
      </c>
      <c r="I2982" t="n">
        <v>0</v>
      </c>
      <c r="J2982" t="n">
        <v>0</v>
      </c>
      <c r="K2982" t="n">
        <v>0</v>
      </c>
      <c r="L2982" t="n">
        <v>0</v>
      </c>
      <c r="M2982" t="n">
        <v>0</v>
      </c>
      <c r="N2982" t="n">
        <v>0</v>
      </c>
      <c r="O2982" t="n">
        <v>0</v>
      </c>
      <c r="P2982" t="n">
        <v>0</v>
      </c>
      <c r="Q2982" t="n">
        <v>0</v>
      </c>
      <c r="R2982" s="2" t="inlineStr"/>
    </row>
    <row r="2983" ht="15" customHeight="1">
      <c r="A2983" t="inlineStr">
        <is>
          <t>A 45769-2022</t>
        </is>
      </c>
      <c r="B2983" s="1" t="n">
        <v>44846</v>
      </c>
      <c r="C2983" s="1" t="n">
        <v>45705</v>
      </c>
      <c r="D2983" t="inlineStr">
        <is>
          <t>UPPSALA LÄN</t>
        </is>
      </c>
      <c r="E2983" t="inlineStr">
        <is>
          <t>TIERP</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45780-2022</t>
        </is>
      </c>
      <c r="B2984" s="1" t="n">
        <v>44846</v>
      </c>
      <c r="C2984" s="1" t="n">
        <v>45705</v>
      </c>
      <c r="D2984" t="inlineStr">
        <is>
          <t>UPPSALA LÄN</t>
        </is>
      </c>
      <c r="E2984" t="inlineStr">
        <is>
          <t>UPPSALA</t>
        </is>
      </c>
      <c r="G2984" t="n">
        <v>5.8</v>
      </c>
      <c r="H2984" t="n">
        <v>0</v>
      </c>
      <c r="I2984" t="n">
        <v>0</v>
      </c>
      <c r="J2984" t="n">
        <v>0</v>
      </c>
      <c r="K2984" t="n">
        <v>0</v>
      </c>
      <c r="L2984" t="n">
        <v>0</v>
      </c>
      <c r="M2984" t="n">
        <v>0</v>
      </c>
      <c r="N2984" t="n">
        <v>0</v>
      </c>
      <c r="O2984" t="n">
        <v>0</v>
      </c>
      <c r="P2984" t="n">
        <v>0</v>
      </c>
      <c r="Q2984" t="n">
        <v>0</v>
      </c>
      <c r="R2984" s="2" t="inlineStr"/>
    </row>
    <row r="2985" ht="15" customHeight="1">
      <c r="A2985" t="inlineStr">
        <is>
          <t>A 45788-2022</t>
        </is>
      </c>
      <c r="B2985" s="1" t="n">
        <v>44846</v>
      </c>
      <c r="C2985" s="1" t="n">
        <v>45705</v>
      </c>
      <c r="D2985" t="inlineStr">
        <is>
          <t>UPPSALA LÄN</t>
        </is>
      </c>
      <c r="E2985" t="inlineStr">
        <is>
          <t>ÖSTHAMMAR</t>
        </is>
      </c>
      <c r="F2985" t="inlineStr">
        <is>
          <t>Övriga Aktiebolag</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45849-2022</t>
        </is>
      </c>
      <c r="B2986" s="1" t="n">
        <v>44846</v>
      </c>
      <c r="C2986" s="1" t="n">
        <v>45705</v>
      </c>
      <c r="D2986" t="inlineStr">
        <is>
          <t>UPPSALA LÄN</t>
        </is>
      </c>
      <c r="E2986" t="inlineStr">
        <is>
          <t>UPPSALA</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45921-2022</t>
        </is>
      </c>
      <c r="B2987" s="1" t="n">
        <v>44846</v>
      </c>
      <c r="C2987" s="1" t="n">
        <v>45705</v>
      </c>
      <c r="D2987" t="inlineStr">
        <is>
          <t>UPPSALA LÄN</t>
        </is>
      </c>
      <c r="E2987" t="inlineStr">
        <is>
          <t>HEBY</t>
        </is>
      </c>
      <c r="F2987" t="inlineStr">
        <is>
          <t>Allmännings- och besparingsskogar</t>
        </is>
      </c>
      <c r="G2987" t="n">
        <v>4.8</v>
      </c>
      <c r="H2987" t="n">
        <v>0</v>
      </c>
      <c r="I2987" t="n">
        <v>0</v>
      </c>
      <c r="J2987" t="n">
        <v>0</v>
      </c>
      <c r="K2987" t="n">
        <v>0</v>
      </c>
      <c r="L2987" t="n">
        <v>0</v>
      </c>
      <c r="M2987" t="n">
        <v>0</v>
      </c>
      <c r="N2987" t="n">
        <v>0</v>
      </c>
      <c r="O2987" t="n">
        <v>0</v>
      </c>
      <c r="P2987" t="n">
        <v>0</v>
      </c>
      <c r="Q2987" t="n">
        <v>0</v>
      </c>
      <c r="R2987" s="2" t="inlineStr"/>
    </row>
    <row r="2988" ht="15" customHeight="1">
      <c r="A2988" t="inlineStr">
        <is>
          <t>A 46077-2022</t>
        </is>
      </c>
      <c r="B2988" s="1" t="n">
        <v>44847</v>
      </c>
      <c r="C2988" s="1" t="n">
        <v>45705</v>
      </c>
      <c r="D2988" t="inlineStr">
        <is>
          <t>UPPSALA LÄN</t>
        </is>
      </c>
      <c r="E2988" t="inlineStr">
        <is>
          <t>UPPSALA</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46149-2022</t>
        </is>
      </c>
      <c r="B2989" s="1" t="n">
        <v>44847</v>
      </c>
      <c r="C2989" s="1" t="n">
        <v>45705</v>
      </c>
      <c r="D2989" t="inlineStr">
        <is>
          <t>UPPSALA LÄN</t>
        </is>
      </c>
      <c r="E2989" t="inlineStr">
        <is>
          <t>KNIVSTA</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46069-2022</t>
        </is>
      </c>
      <c r="B2990" s="1" t="n">
        <v>44847</v>
      </c>
      <c r="C2990" s="1" t="n">
        <v>45705</v>
      </c>
      <c r="D2990" t="inlineStr">
        <is>
          <t>UPPSALA LÄN</t>
        </is>
      </c>
      <c r="E2990" t="inlineStr">
        <is>
          <t>UPPSALA</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46079-2022</t>
        </is>
      </c>
      <c r="B2991" s="1" t="n">
        <v>44847</v>
      </c>
      <c r="C2991" s="1" t="n">
        <v>45705</v>
      </c>
      <c r="D2991" t="inlineStr">
        <is>
          <t>UPPSALA LÄN</t>
        </is>
      </c>
      <c r="E2991" t="inlineStr">
        <is>
          <t>UPPSALA</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46293-2022</t>
        </is>
      </c>
      <c r="B2992" s="1" t="n">
        <v>44847</v>
      </c>
      <c r="C2992" s="1" t="n">
        <v>45705</v>
      </c>
      <c r="D2992" t="inlineStr">
        <is>
          <t>UPPSALA LÄN</t>
        </is>
      </c>
      <c r="E2992" t="inlineStr">
        <is>
          <t>UPPSALA</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46094-2022</t>
        </is>
      </c>
      <c r="B2993" s="1" t="n">
        <v>44847</v>
      </c>
      <c r="C2993" s="1" t="n">
        <v>45705</v>
      </c>
      <c r="D2993" t="inlineStr">
        <is>
          <t>UPPSALA LÄN</t>
        </is>
      </c>
      <c r="E2993" t="inlineStr">
        <is>
          <t>HEBY</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46275-2022</t>
        </is>
      </c>
      <c r="B2994" s="1" t="n">
        <v>44847</v>
      </c>
      <c r="C2994" s="1" t="n">
        <v>45705</v>
      </c>
      <c r="D2994" t="inlineStr">
        <is>
          <t>UPPSALA LÄN</t>
        </is>
      </c>
      <c r="E2994" t="inlineStr">
        <is>
          <t>TIERP</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46805-2022</t>
        </is>
      </c>
      <c r="B2995" s="1" t="n">
        <v>44847</v>
      </c>
      <c r="C2995" s="1" t="n">
        <v>45705</v>
      </c>
      <c r="D2995" t="inlineStr">
        <is>
          <t>UPPSALA LÄN</t>
        </is>
      </c>
      <c r="E2995" t="inlineStr">
        <is>
          <t>UPPSALA</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46447-2022</t>
        </is>
      </c>
      <c r="B2996" s="1" t="n">
        <v>44847</v>
      </c>
      <c r="C2996" s="1" t="n">
        <v>45705</v>
      </c>
      <c r="D2996" t="inlineStr">
        <is>
          <t>UPPSALA LÄN</t>
        </is>
      </c>
      <c r="E2996" t="inlineStr">
        <is>
          <t>HEBY</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46448-2022</t>
        </is>
      </c>
      <c r="B2997" s="1" t="n">
        <v>44848</v>
      </c>
      <c r="C2997" s="1" t="n">
        <v>45705</v>
      </c>
      <c r="D2997" t="inlineStr">
        <is>
          <t>UPPSALA LÄN</t>
        </is>
      </c>
      <c r="E2997" t="inlineStr">
        <is>
          <t>ÖSTHAMMAR</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46807-2022</t>
        </is>
      </c>
      <c r="B2998" s="1" t="n">
        <v>44848</v>
      </c>
      <c r="C2998" s="1" t="n">
        <v>45705</v>
      </c>
      <c r="D2998" t="inlineStr">
        <is>
          <t>UPPSALA LÄN</t>
        </is>
      </c>
      <c r="E2998" t="inlineStr">
        <is>
          <t>UPPSALA</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46635-2022</t>
        </is>
      </c>
      <c r="B2999" s="1" t="n">
        <v>44849</v>
      </c>
      <c r="C2999" s="1" t="n">
        <v>45705</v>
      </c>
      <c r="D2999" t="inlineStr">
        <is>
          <t>UPPSALA LÄN</t>
        </is>
      </c>
      <c r="E2999" t="inlineStr">
        <is>
          <t>UPPSALA</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46651-2022</t>
        </is>
      </c>
      <c r="B3000" s="1" t="n">
        <v>44850</v>
      </c>
      <c r="C3000" s="1" t="n">
        <v>45705</v>
      </c>
      <c r="D3000" t="inlineStr">
        <is>
          <t>UPPSALA LÄN</t>
        </is>
      </c>
      <c r="E3000" t="inlineStr">
        <is>
          <t>HEBY</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46749-2022</t>
        </is>
      </c>
      <c r="B3001" s="1" t="n">
        <v>44851</v>
      </c>
      <c r="C3001" s="1" t="n">
        <v>45705</v>
      </c>
      <c r="D3001" t="inlineStr">
        <is>
          <t>UPPSALA LÄN</t>
        </is>
      </c>
      <c r="E3001" t="inlineStr">
        <is>
          <t>ENKÖPING</t>
        </is>
      </c>
      <c r="G3001" t="n">
        <v>6.6</v>
      </c>
      <c r="H3001" t="n">
        <v>0</v>
      </c>
      <c r="I3001" t="n">
        <v>0</v>
      </c>
      <c r="J3001" t="n">
        <v>0</v>
      </c>
      <c r="K3001" t="n">
        <v>0</v>
      </c>
      <c r="L3001" t="n">
        <v>0</v>
      </c>
      <c r="M3001" t="n">
        <v>0</v>
      </c>
      <c r="N3001" t="n">
        <v>0</v>
      </c>
      <c r="O3001" t="n">
        <v>0</v>
      </c>
      <c r="P3001" t="n">
        <v>0</v>
      </c>
      <c r="Q3001" t="n">
        <v>0</v>
      </c>
      <c r="R3001" s="2" t="inlineStr"/>
    </row>
    <row r="3002" ht="15" customHeight="1">
      <c r="A3002" t="inlineStr">
        <is>
          <t>A 46915-2022</t>
        </is>
      </c>
      <c r="B3002" s="1" t="n">
        <v>44851</v>
      </c>
      <c r="C3002" s="1" t="n">
        <v>45705</v>
      </c>
      <c r="D3002" t="inlineStr">
        <is>
          <t>UPPSALA LÄN</t>
        </is>
      </c>
      <c r="E3002" t="inlineStr">
        <is>
          <t>ÖSTHAMMAR</t>
        </is>
      </c>
      <c r="F3002" t="inlineStr">
        <is>
          <t>Bergvik skog öst AB</t>
        </is>
      </c>
      <c r="G3002" t="n">
        <v>7.9</v>
      </c>
      <c r="H3002" t="n">
        <v>0</v>
      </c>
      <c r="I3002" t="n">
        <v>0</v>
      </c>
      <c r="J3002" t="n">
        <v>0</v>
      </c>
      <c r="K3002" t="n">
        <v>0</v>
      </c>
      <c r="L3002" t="n">
        <v>0</v>
      </c>
      <c r="M3002" t="n">
        <v>0</v>
      </c>
      <c r="N3002" t="n">
        <v>0</v>
      </c>
      <c r="O3002" t="n">
        <v>0</v>
      </c>
      <c r="P3002" t="n">
        <v>0</v>
      </c>
      <c r="Q3002" t="n">
        <v>0</v>
      </c>
      <c r="R3002" s="2" t="inlineStr"/>
    </row>
    <row r="3003" ht="15" customHeight="1">
      <c r="A3003" t="inlineStr">
        <is>
          <t>A 47163-2022</t>
        </is>
      </c>
      <c r="B3003" s="1" t="n">
        <v>44852</v>
      </c>
      <c r="C3003" s="1" t="n">
        <v>45705</v>
      </c>
      <c r="D3003" t="inlineStr">
        <is>
          <t>UPPSALA LÄN</t>
        </is>
      </c>
      <c r="E3003" t="inlineStr">
        <is>
          <t>ÖSTHAMMAR</t>
        </is>
      </c>
      <c r="G3003" t="n">
        <v>5.5</v>
      </c>
      <c r="H3003" t="n">
        <v>0</v>
      </c>
      <c r="I3003" t="n">
        <v>0</v>
      </c>
      <c r="J3003" t="n">
        <v>0</v>
      </c>
      <c r="K3003" t="n">
        <v>0</v>
      </c>
      <c r="L3003" t="n">
        <v>0</v>
      </c>
      <c r="M3003" t="n">
        <v>0</v>
      </c>
      <c r="N3003" t="n">
        <v>0</v>
      </c>
      <c r="O3003" t="n">
        <v>0</v>
      </c>
      <c r="P3003" t="n">
        <v>0</v>
      </c>
      <c r="Q3003" t="n">
        <v>0</v>
      </c>
      <c r="R3003" s="2" t="inlineStr"/>
    </row>
    <row r="3004" ht="15" customHeight="1">
      <c r="A3004" t="inlineStr">
        <is>
          <t>A 47199-2022</t>
        </is>
      </c>
      <c r="B3004" s="1" t="n">
        <v>44852</v>
      </c>
      <c r="C3004" s="1" t="n">
        <v>45705</v>
      </c>
      <c r="D3004" t="inlineStr">
        <is>
          <t>UPPSALA LÄN</t>
        </is>
      </c>
      <c r="E3004" t="inlineStr">
        <is>
          <t>HEBY</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47419-2022</t>
        </is>
      </c>
      <c r="B3005" s="1" t="n">
        <v>44853</v>
      </c>
      <c r="C3005" s="1" t="n">
        <v>45705</v>
      </c>
      <c r="D3005" t="inlineStr">
        <is>
          <t>UPPSALA LÄN</t>
        </is>
      </c>
      <c r="E3005" t="inlineStr">
        <is>
          <t>TIERP</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47431-2022</t>
        </is>
      </c>
      <c r="B3006" s="1" t="n">
        <v>44853</v>
      </c>
      <c r="C3006" s="1" t="n">
        <v>45705</v>
      </c>
      <c r="D3006" t="inlineStr">
        <is>
          <t>UPPSALA LÄN</t>
        </is>
      </c>
      <c r="E3006" t="inlineStr">
        <is>
          <t>ENKÖPING</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47516-2022</t>
        </is>
      </c>
      <c r="B3007" s="1" t="n">
        <v>44853</v>
      </c>
      <c r="C3007" s="1" t="n">
        <v>45705</v>
      </c>
      <c r="D3007" t="inlineStr">
        <is>
          <t>UPPSALA LÄN</t>
        </is>
      </c>
      <c r="E3007" t="inlineStr">
        <is>
          <t>ENKÖPING</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47414-2022</t>
        </is>
      </c>
      <c r="B3008" s="1" t="n">
        <v>44853</v>
      </c>
      <c r="C3008" s="1" t="n">
        <v>45705</v>
      </c>
      <c r="D3008" t="inlineStr">
        <is>
          <t>UPPSALA LÄN</t>
        </is>
      </c>
      <c r="E3008" t="inlineStr">
        <is>
          <t>TIERP</t>
        </is>
      </c>
      <c r="G3008" t="n">
        <v>5.3</v>
      </c>
      <c r="H3008" t="n">
        <v>0</v>
      </c>
      <c r="I3008" t="n">
        <v>0</v>
      </c>
      <c r="J3008" t="n">
        <v>0</v>
      </c>
      <c r="K3008" t="n">
        <v>0</v>
      </c>
      <c r="L3008" t="n">
        <v>0</v>
      </c>
      <c r="M3008" t="n">
        <v>0</v>
      </c>
      <c r="N3008" t="n">
        <v>0</v>
      </c>
      <c r="O3008" t="n">
        <v>0</v>
      </c>
      <c r="P3008" t="n">
        <v>0</v>
      </c>
      <c r="Q3008" t="n">
        <v>0</v>
      </c>
      <c r="R3008" s="2" t="inlineStr"/>
    </row>
    <row r="3009" ht="15" customHeight="1">
      <c r="A3009" t="inlineStr">
        <is>
          <t>A 47422-2022</t>
        </is>
      </c>
      <c r="B3009" s="1" t="n">
        <v>44853</v>
      </c>
      <c r="C3009" s="1" t="n">
        <v>45705</v>
      </c>
      <c r="D3009" t="inlineStr">
        <is>
          <t>UPPSALA LÄN</t>
        </is>
      </c>
      <c r="E3009" t="inlineStr">
        <is>
          <t>TIERP</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47413-2022</t>
        </is>
      </c>
      <c r="B3010" s="1" t="n">
        <v>44853</v>
      </c>
      <c r="C3010" s="1" t="n">
        <v>45705</v>
      </c>
      <c r="D3010" t="inlineStr">
        <is>
          <t>UPPSALA LÄN</t>
        </is>
      </c>
      <c r="E3010" t="inlineStr">
        <is>
          <t>UPPSALA</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47428-2022</t>
        </is>
      </c>
      <c r="B3011" s="1" t="n">
        <v>44853</v>
      </c>
      <c r="C3011" s="1" t="n">
        <v>45705</v>
      </c>
      <c r="D3011" t="inlineStr">
        <is>
          <t>UPPSALA LÄN</t>
        </is>
      </c>
      <c r="E3011" t="inlineStr">
        <is>
          <t>HEBY</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48167-2022</t>
        </is>
      </c>
      <c r="B3012" s="1" t="n">
        <v>44858</v>
      </c>
      <c r="C3012" s="1" t="n">
        <v>45705</v>
      </c>
      <c r="D3012" t="inlineStr">
        <is>
          <t>UPPSALA LÄN</t>
        </is>
      </c>
      <c r="E3012" t="inlineStr">
        <is>
          <t>HEBY</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48230-2022</t>
        </is>
      </c>
      <c r="B3013" s="1" t="n">
        <v>44858</v>
      </c>
      <c r="C3013" s="1" t="n">
        <v>45705</v>
      </c>
      <c r="D3013" t="inlineStr">
        <is>
          <t>UPPSALA LÄN</t>
        </is>
      </c>
      <c r="E3013" t="inlineStr">
        <is>
          <t>ENKÖPING</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48483-2022</t>
        </is>
      </c>
      <c r="B3014" s="1" t="n">
        <v>44858</v>
      </c>
      <c r="C3014" s="1" t="n">
        <v>45705</v>
      </c>
      <c r="D3014" t="inlineStr">
        <is>
          <t>UPPSALA LÄN</t>
        </is>
      </c>
      <c r="E3014" t="inlineStr">
        <is>
          <t>TIERP</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48163-2022</t>
        </is>
      </c>
      <c r="B3015" s="1" t="n">
        <v>44858</v>
      </c>
      <c r="C3015" s="1" t="n">
        <v>45705</v>
      </c>
      <c r="D3015" t="inlineStr">
        <is>
          <t>UPPSALA LÄN</t>
        </is>
      </c>
      <c r="E3015" t="inlineStr">
        <is>
          <t>HEBY</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48165-2022</t>
        </is>
      </c>
      <c r="B3016" s="1" t="n">
        <v>44858</v>
      </c>
      <c r="C3016" s="1" t="n">
        <v>45705</v>
      </c>
      <c r="D3016" t="inlineStr">
        <is>
          <t>UPPSALA LÄN</t>
        </is>
      </c>
      <c r="E3016" t="inlineStr">
        <is>
          <t>HEBY</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48191-2022</t>
        </is>
      </c>
      <c r="B3017" s="1" t="n">
        <v>44858</v>
      </c>
      <c r="C3017" s="1" t="n">
        <v>45705</v>
      </c>
      <c r="D3017" t="inlineStr">
        <is>
          <t>UPPSALA LÄN</t>
        </is>
      </c>
      <c r="E3017" t="inlineStr">
        <is>
          <t>ÖSTHAMMAR</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48233-2022</t>
        </is>
      </c>
      <c r="B3018" s="1" t="n">
        <v>44858</v>
      </c>
      <c r="C3018" s="1" t="n">
        <v>45705</v>
      </c>
      <c r="D3018" t="inlineStr">
        <is>
          <t>UPPSALA LÄN</t>
        </is>
      </c>
      <c r="E3018" t="inlineStr">
        <is>
          <t>ENKÖPING</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48231-2022</t>
        </is>
      </c>
      <c r="B3019" s="1" t="n">
        <v>44858</v>
      </c>
      <c r="C3019" s="1" t="n">
        <v>45705</v>
      </c>
      <c r="D3019" t="inlineStr">
        <is>
          <t>UPPSALA LÄN</t>
        </is>
      </c>
      <c r="E3019" t="inlineStr">
        <is>
          <t>ÖSTHAMMAR</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48486-2022</t>
        </is>
      </c>
      <c r="B3020" s="1" t="n">
        <v>44858</v>
      </c>
      <c r="C3020" s="1" t="n">
        <v>45705</v>
      </c>
      <c r="D3020" t="inlineStr">
        <is>
          <t>UPPSALA LÄN</t>
        </is>
      </c>
      <c r="E3020" t="inlineStr">
        <is>
          <t>TIERP</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48403-2022</t>
        </is>
      </c>
      <c r="B3021" s="1" t="n">
        <v>44858</v>
      </c>
      <c r="C3021" s="1" t="n">
        <v>45705</v>
      </c>
      <c r="D3021" t="inlineStr">
        <is>
          <t>UPPSALA LÄN</t>
        </is>
      </c>
      <c r="E3021" t="inlineStr">
        <is>
          <t>TIERP</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48575-2022</t>
        </is>
      </c>
      <c r="B3022" s="1" t="n">
        <v>44859</v>
      </c>
      <c r="C3022" s="1" t="n">
        <v>45705</v>
      </c>
      <c r="D3022" t="inlineStr">
        <is>
          <t>UPPSALA LÄN</t>
        </is>
      </c>
      <c r="E3022" t="inlineStr">
        <is>
          <t>TIERP</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48686-2022</t>
        </is>
      </c>
      <c r="B3023" s="1" t="n">
        <v>44859</v>
      </c>
      <c r="C3023" s="1" t="n">
        <v>45705</v>
      </c>
      <c r="D3023" t="inlineStr">
        <is>
          <t>UPPSALA LÄN</t>
        </is>
      </c>
      <c r="E3023" t="inlineStr">
        <is>
          <t>UPPSALA</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48568-2022</t>
        </is>
      </c>
      <c r="B3024" s="1" t="n">
        <v>44859</v>
      </c>
      <c r="C3024" s="1" t="n">
        <v>45705</v>
      </c>
      <c r="D3024" t="inlineStr">
        <is>
          <t>UPPSALA LÄN</t>
        </is>
      </c>
      <c r="E3024" t="inlineStr">
        <is>
          <t>TIERP</t>
        </is>
      </c>
      <c r="F3024" t="inlineStr">
        <is>
          <t>Bergvik skog väst AB</t>
        </is>
      </c>
      <c r="G3024" t="n">
        <v>6.2</v>
      </c>
      <c r="H3024" t="n">
        <v>0</v>
      </c>
      <c r="I3024" t="n">
        <v>0</v>
      </c>
      <c r="J3024" t="n">
        <v>0</v>
      </c>
      <c r="K3024" t="n">
        <v>0</v>
      </c>
      <c r="L3024" t="n">
        <v>0</v>
      </c>
      <c r="M3024" t="n">
        <v>0</v>
      </c>
      <c r="N3024" t="n">
        <v>0</v>
      </c>
      <c r="O3024" t="n">
        <v>0</v>
      </c>
      <c r="P3024" t="n">
        <v>0</v>
      </c>
      <c r="Q3024" t="n">
        <v>0</v>
      </c>
      <c r="R3024" s="2" t="inlineStr"/>
    </row>
    <row r="3025" ht="15" customHeight="1">
      <c r="A3025" t="inlineStr">
        <is>
          <t>A 48588-2022</t>
        </is>
      </c>
      <c r="B3025" s="1" t="n">
        <v>44859</v>
      </c>
      <c r="C3025" s="1" t="n">
        <v>45705</v>
      </c>
      <c r="D3025" t="inlineStr">
        <is>
          <t>UPPSALA LÄN</t>
        </is>
      </c>
      <c r="E3025" t="inlineStr">
        <is>
          <t>UPPSALA</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48692-2022</t>
        </is>
      </c>
      <c r="B3026" s="1" t="n">
        <v>44859</v>
      </c>
      <c r="C3026" s="1" t="n">
        <v>45705</v>
      </c>
      <c r="D3026" t="inlineStr">
        <is>
          <t>UPPSALA LÄN</t>
        </is>
      </c>
      <c r="E3026" t="inlineStr">
        <is>
          <t>UPPSALA</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48750-2022</t>
        </is>
      </c>
      <c r="B3027" s="1" t="n">
        <v>44859</v>
      </c>
      <c r="C3027" s="1" t="n">
        <v>45705</v>
      </c>
      <c r="D3027" t="inlineStr">
        <is>
          <t>UPPSALA LÄN</t>
        </is>
      </c>
      <c r="E3027" t="inlineStr">
        <is>
          <t>TIERP</t>
        </is>
      </c>
      <c r="F3027" t="inlineStr">
        <is>
          <t>Bergvik skog öst AB</t>
        </is>
      </c>
      <c r="G3027" t="n">
        <v>30.2</v>
      </c>
      <c r="H3027" t="n">
        <v>0</v>
      </c>
      <c r="I3027" t="n">
        <v>0</v>
      </c>
      <c r="J3027" t="n">
        <v>0</v>
      </c>
      <c r="K3027" t="n">
        <v>0</v>
      </c>
      <c r="L3027" t="n">
        <v>0</v>
      </c>
      <c r="M3027" t="n">
        <v>0</v>
      </c>
      <c r="N3027" t="n">
        <v>0</v>
      </c>
      <c r="O3027" t="n">
        <v>0</v>
      </c>
      <c r="P3027" t="n">
        <v>0</v>
      </c>
      <c r="Q3027" t="n">
        <v>0</v>
      </c>
      <c r="R3027" s="2" t="inlineStr"/>
    </row>
    <row r="3028" ht="15" customHeight="1">
      <c r="A3028" t="inlineStr">
        <is>
          <t>A 48688-2022</t>
        </is>
      </c>
      <c r="B3028" s="1" t="n">
        <v>44859</v>
      </c>
      <c r="C3028" s="1" t="n">
        <v>45705</v>
      </c>
      <c r="D3028" t="inlineStr">
        <is>
          <t>UPPSALA LÄN</t>
        </is>
      </c>
      <c r="E3028" t="inlineStr">
        <is>
          <t>UPPSALA</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48864-2022</t>
        </is>
      </c>
      <c r="B3029" s="1" t="n">
        <v>44859</v>
      </c>
      <c r="C3029" s="1" t="n">
        <v>45705</v>
      </c>
      <c r="D3029" t="inlineStr">
        <is>
          <t>UPPSALA LÄN</t>
        </is>
      </c>
      <c r="E3029" t="inlineStr">
        <is>
          <t>ENKÖPING</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49097-2022</t>
        </is>
      </c>
      <c r="B3030" s="1" t="n">
        <v>44860</v>
      </c>
      <c r="C3030" s="1" t="n">
        <v>45705</v>
      </c>
      <c r="D3030" t="inlineStr">
        <is>
          <t>UPPSALA LÄN</t>
        </is>
      </c>
      <c r="E3030" t="inlineStr">
        <is>
          <t>ÖSTHAMMAR</t>
        </is>
      </c>
      <c r="G3030" t="n">
        <v>6.9</v>
      </c>
      <c r="H3030" t="n">
        <v>0</v>
      </c>
      <c r="I3030" t="n">
        <v>0</v>
      </c>
      <c r="J3030" t="n">
        <v>0</v>
      </c>
      <c r="K3030" t="n">
        <v>0</v>
      </c>
      <c r="L3030" t="n">
        <v>0</v>
      </c>
      <c r="M3030" t="n">
        <v>0</v>
      </c>
      <c r="N3030" t="n">
        <v>0</v>
      </c>
      <c r="O3030" t="n">
        <v>0</v>
      </c>
      <c r="P3030" t="n">
        <v>0</v>
      </c>
      <c r="Q3030" t="n">
        <v>0</v>
      </c>
      <c r="R3030" s="2" t="inlineStr"/>
    </row>
    <row r="3031" ht="15" customHeight="1">
      <c r="A3031" t="inlineStr">
        <is>
          <t>A 49334-2022</t>
        </is>
      </c>
      <c r="B3031" s="1" t="n">
        <v>44861</v>
      </c>
      <c r="C3031" s="1" t="n">
        <v>45705</v>
      </c>
      <c r="D3031" t="inlineStr">
        <is>
          <t>UPPSALA LÄN</t>
        </is>
      </c>
      <c r="E3031" t="inlineStr">
        <is>
          <t>ÖSTHAMMAR</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49314-2022</t>
        </is>
      </c>
      <c r="B3032" s="1" t="n">
        <v>44861</v>
      </c>
      <c r="C3032" s="1" t="n">
        <v>45705</v>
      </c>
      <c r="D3032" t="inlineStr">
        <is>
          <t>UPPSALA LÄN</t>
        </is>
      </c>
      <c r="E3032" t="inlineStr">
        <is>
          <t>TIERP</t>
        </is>
      </c>
      <c r="F3032" t="inlineStr">
        <is>
          <t>Bergvik skog öst AB</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49557-2022</t>
        </is>
      </c>
      <c r="B3033" s="1" t="n">
        <v>44862</v>
      </c>
      <c r="C3033" s="1" t="n">
        <v>45705</v>
      </c>
      <c r="D3033" t="inlineStr">
        <is>
          <t>UPPSALA LÄN</t>
        </is>
      </c>
      <c r="E3033" t="inlineStr">
        <is>
          <t>ENKÖPING</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49562-2022</t>
        </is>
      </c>
      <c r="B3034" s="1" t="n">
        <v>44862</v>
      </c>
      <c r="C3034" s="1" t="n">
        <v>45705</v>
      </c>
      <c r="D3034" t="inlineStr">
        <is>
          <t>UPPSALA LÄN</t>
        </is>
      </c>
      <c r="E3034" t="inlineStr">
        <is>
          <t>ENKÖPING</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49560-2022</t>
        </is>
      </c>
      <c r="B3035" s="1" t="n">
        <v>44862</v>
      </c>
      <c r="C3035" s="1" t="n">
        <v>45705</v>
      </c>
      <c r="D3035" t="inlineStr">
        <is>
          <t>UPPSALA LÄN</t>
        </is>
      </c>
      <c r="E3035" t="inlineStr">
        <is>
          <t>ENKÖPING</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49568-2022</t>
        </is>
      </c>
      <c r="B3036" s="1" t="n">
        <v>44862</v>
      </c>
      <c r="C3036" s="1" t="n">
        <v>45705</v>
      </c>
      <c r="D3036" t="inlineStr">
        <is>
          <t>UPPSALA LÄN</t>
        </is>
      </c>
      <c r="E3036" t="inlineStr">
        <is>
          <t>ENKÖPING</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50859-2022</t>
        </is>
      </c>
      <c r="B3037" s="1" t="n">
        <v>44862</v>
      </c>
      <c r="C3037" s="1" t="n">
        <v>45705</v>
      </c>
      <c r="D3037" t="inlineStr">
        <is>
          <t>UPPSALA LÄN</t>
        </is>
      </c>
      <c r="E3037" t="inlineStr">
        <is>
          <t>HEBY</t>
        </is>
      </c>
      <c r="G3037" t="n">
        <v>6.7</v>
      </c>
      <c r="H3037" t="n">
        <v>0</v>
      </c>
      <c r="I3037" t="n">
        <v>0</v>
      </c>
      <c r="J3037" t="n">
        <v>0</v>
      </c>
      <c r="K3037" t="n">
        <v>0</v>
      </c>
      <c r="L3037" t="n">
        <v>0</v>
      </c>
      <c r="M3037" t="n">
        <v>0</v>
      </c>
      <c r="N3037" t="n">
        <v>0</v>
      </c>
      <c r="O3037" t="n">
        <v>0</v>
      </c>
      <c r="P3037" t="n">
        <v>0</v>
      </c>
      <c r="Q3037" t="n">
        <v>0</v>
      </c>
      <c r="R3037" s="2" t="inlineStr"/>
    </row>
    <row r="3038" ht="15" customHeight="1">
      <c r="A3038" t="inlineStr">
        <is>
          <t>A 49946-2022</t>
        </is>
      </c>
      <c r="B3038" s="1" t="n">
        <v>44865</v>
      </c>
      <c r="C3038" s="1" t="n">
        <v>45705</v>
      </c>
      <c r="D3038" t="inlineStr">
        <is>
          <t>UPPSALA LÄN</t>
        </is>
      </c>
      <c r="E3038" t="inlineStr">
        <is>
          <t>TIERP</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49971-2022</t>
        </is>
      </c>
      <c r="B3039" s="1" t="n">
        <v>44865</v>
      </c>
      <c r="C3039" s="1" t="n">
        <v>45705</v>
      </c>
      <c r="D3039" t="inlineStr">
        <is>
          <t>UPPSALA LÄN</t>
        </is>
      </c>
      <c r="E3039" t="inlineStr">
        <is>
          <t>HEBY</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49914-2022</t>
        </is>
      </c>
      <c r="B3040" s="1" t="n">
        <v>44865</v>
      </c>
      <c r="C3040" s="1" t="n">
        <v>45705</v>
      </c>
      <c r="D3040" t="inlineStr">
        <is>
          <t>UPPSALA LÄN</t>
        </is>
      </c>
      <c r="E3040" t="inlineStr">
        <is>
          <t>ÖSTHAMMAR</t>
        </is>
      </c>
      <c r="F3040" t="inlineStr">
        <is>
          <t>Bergvik skog öst AB</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49933-2022</t>
        </is>
      </c>
      <c r="B3041" s="1" t="n">
        <v>44865</v>
      </c>
      <c r="C3041" s="1" t="n">
        <v>45705</v>
      </c>
      <c r="D3041" t="inlineStr">
        <is>
          <t>UPPSALA LÄN</t>
        </is>
      </c>
      <c r="E3041" t="inlineStr">
        <is>
          <t>TIERP</t>
        </is>
      </c>
      <c r="G3041" t="n">
        <v>11.3</v>
      </c>
      <c r="H3041" t="n">
        <v>0</v>
      </c>
      <c r="I3041" t="n">
        <v>0</v>
      </c>
      <c r="J3041" t="n">
        <v>0</v>
      </c>
      <c r="K3041" t="n">
        <v>0</v>
      </c>
      <c r="L3041" t="n">
        <v>0</v>
      </c>
      <c r="M3041" t="n">
        <v>0</v>
      </c>
      <c r="N3041" t="n">
        <v>0</v>
      </c>
      <c r="O3041" t="n">
        <v>0</v>
      </c>
      <c r="P3041" t="n">
        <v>0</v>
      </c>
      <c r="Q3041" t="n">
        <v>0</v>
      </c>
      <c r="R3041" s="2" t="inlineStr"/>
    </row>
    <row r="3042" ht="15" customHeight="1">
      <c r="A3042" t="inlineStr">
        <is>
          <t>A 50006-2022</t>
        </is>
      </c>
      <c r="B3042" s="1" t="n">
        <v>44865</v>
      </c>
      <c r="C3042" s="1" t="n">
        <v>45705</v>
      </c>
      <c r="D3042" t="inlineStr">
        <is>
          <t>UPPSALA LÄN</t>
        </is>
      </c>
      <c r="E3042" t="inlineStr">
        <is>
          <t>UPPSALA</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50040-2022</t>
        </is>
      </c>
      <c r="B3043" s="1" t="n">
        <v>44865</v>
      </c>
      <c r="C3043" s="1" t="n">
        <v>45705</v>
      </c>
      <c r="D3043" t="inlineStr">
        <is>
          <t>UPPSALA LÄN</t>
        </is>
      </c>
      <c r="E3043" t="inlineStr">
        <is>
          <t>TIERP</t>
        </is>
      </c>
      <c r="F3043" t="inlineStr">
        <is>
          <t>Bergvik skog väst AB</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50092-2022</t>
        </is>
      </c>
      <c r="B3044" s="1" t="n">
        <v>44865</v>
      </c>
      <c r="C3044" s="1" t="n">
        <v>45705</v>
      </c>
      <c r="D3044" t="inlineStr">
        <is>
          <t>UPPSALA LÄN</t>
        </is>
      </c>
      <c r="E3044" t="inlineStr">
        <is>
          <t>UPPSALA</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50576-2022</t>
        </is>
      </c>
      <c r="B3045" s="1" t="n">
        <v>44866</v>
      </c>
      <c r="C3045" s="1" t="n">
        <v>45705</v>
      </c>
      <c r="D3045" t="inlineStr">
        <is>
          <t>UPPSALA LÄN</t>
        </is>
      </c>
      <c r="E3045" t="inlineStr">
        <is>
          <t>ÖSTHAMMAR</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50954-2022</t>
        </is>
      </c>
      <c r="B3046" s="1" t="n">
        <v>44866</v>
      </c>
      <c r="C3046" s="1" t="n">
        <v>45705</v>
      </c>
      <c r="D3046" t="inlineStr">
        <is>
          <t>UPPSALA LÄN</t>
        </is>
      </c>
      <c r="E3046" t="inlineStr">
        <is>
          <t>UPPSALA</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50747-2022</t>
        </is>
      </c>
      <c r="B3047" s="1" t="n">
        <v>44867</v>
      </c>
      <c r="C3047" s="1" t="n">
        <v>45705</v>
      </c>
      <c r="D3047" t="inlineStr">
        <is>
          <t>UPPSALA LÄN</t>
        </is>
      </c>
      <c r="E3047" t="inlineStr">
        <is>
          <t>ENKÖPING</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51055-2022</t>
        </is>
      </c>
      <c r="B3048" s="1" t="n">
        <v>44868</v>
      </c>
      <c r="C3048" s="1" t="n">
        <v>45705</v>
      </c>
      <c r="D3048" t="inlineStr">
        <is>
          <t>UPPSALA LÄN</t>
        </is>
      </c>
      <c r="E3048" t="inlineStr">
        <is>
          <t>ÖSTHAMMAR</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51232-2022</t>
        </is>
      </c>
      <c r="B3049" s="1" t="n">
        <v>44868</v>
      </c>
      <c r="C3049" s="1" t="n">
        <v>45705</v>
      </c>
      <c r="D3049" t="inlineStr">
        <is>
          <t>UPPSALA LÄN</t>
        </is>
      </c>
      <c r="E3049" t="inlineStr">
        <is>
          <t>TIERP</t>
        </is>
      </c>
      <c r="F3049" t="inlineStr">
        <is>
          <t>Bergvik skog öst AB</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51524-2022</t>
        </is>
      </c>
      <c r="B3050" s="1" t="n">
        <v>44869</v>
      </c>
      <c r="C3050" s="1" t="n">
        <v>45705</v>
      </c>
      <c r="D3050" t="inlineStr">
        <is>
          <t>UPPSALA LÄN</t>
        </is>
      </c>
      <c r="E3050" t="inlineStr">
        <is>
          <t>ENKÖPING</t>
        </is>
      </c>
      <c r="G3050" t="n">
        <v>6.6</v>
      </c>
      <c r="H3050" t="n">
        <v>0</v>
      </c>
      <c r="I3050" t="n">
        <v>0</v>
      </c>
      <c r="J3050" t="n">
        <v>0</v>
      </c>
      <c r="K3050" t="n">
        <v>0</v>
      </c>
      <c r="L3050" t="n">
        <v>0</v>
      </c>
      <c r="M3050" t="n">
        <v>0</v>
      </c>
      <c r="N3050" t="n">
        <v>0</v>
      </c>
      <c r="O3050" t="n">
        <v>0</v>
      </c>
      <c r="P3050" t="n">
        <v>0</v>
      </c>
      <c r="Q3050" t="n">
        <v>0</v>
      </c>
      <c r="R3050" s="2" t="inlineStr"/>
    </row>
    <row r="3051" ht="15" customHeight="1">
      <c r="A3051" t="inlineStr">
        <is>
          <t>A 51606-2022</t>
        </is>
      </c>
      <c r="B3051" s="1" t="n">
        <v>44871</v>
      </c>
      <c r="C3051" s="1" t="n">
        <v>45705</v>
      </c>
      <c r="D3051" t="inlineStr">
        <is>
          <t>UPPSALA LÄN</t>
        </is>
      </c>
      <c r="E3051" t="inlineStr">
        <is>
          <t>TIERP</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51661-2022</t>
        </is>
      </c>
      <c r="B3052" s="1" t="n">
        <v>44872</v>
      </c>
      <c r="C3052" s="1" t="n">
        <v>45705</v>
      </c>
      <c r="D3052" t="inlineStr">
        <is>
          <t>UPPSALA LÄN</t>
        </is>
      </c>
      <c r="E3052" t="inlineStr">
        <is>
          <t>UPPSALA</t>
        </is>
      </c>
      <c r="G3052" t="n">
        <v>8.9</v>
      </c>
      <c r="H3052" t="n">
        <v>0</v>
      </c>
      <c r="I3052" t="n">
        <v>0</v>
      </c>
      <c r="J3052" t="n">
        <v>0</v>
      </c>
      <c r="K3052" t="n">
        <v>0</v>
      </c>
      <c r="L3052" t="n">
        <v>0</v>
      </c>
      <c r="M3052" t="n">
        <v>0</v>
      </c>
      <c r="N3052" t="n">
        <v>0</v>
      </c>
      <c r="O3052" t="n">
        <v>0</v>
      </c>
      <c r="P3052" t="n">
        <v>0</v>
      </c>
      <c r="Q3052" t="n">
        <v>0</v>
      </c>
      <c r="R3052" s="2" t="inlineStr"/>
    </row>
    <row r="3053" ht="15" customHeight="1">
      <c r="A3053" t="inlineStr">
        <is>
          <t>A 51696-2022</t>
        </is>
      </c>
      <c r="B3053" s="1" t="n">
        <v>44872</v>
      </c>
      <c r="C3053" s="1" t="n">
        <v>45705</v>
      </c>
      <c r="D3053" t="inlineStr">
        <is>
          <t>UPPSALA LÄN</t>
        </is>
      </c>
      <c r="E3053" t="inlineStr">
        <is>
          <t>ÖSTHAMMAR</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51899-2022</t>
        </is>
      </c>
      <c r="B3054" s="1" t="n">
        <v>44872</v>
      </c>
      <c r="C3054" s="1" t="n">
        <v>45705</v>
      </c>
      <c r="D3054" t="inlineStr">
        <is>
          <t>UPPSALA LÄN</t>
        </is>
      </c>
      <c r="E3054" t="inlineStr">
        <is>
          <t>UPPSALA</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51906-2022</t>
        </is>
      </c>
      <c r="B3055" s="1" t="n">
        <v>44872</v>
      </c>
      <c r="C3055" s="1" t="n">
        <v>45705</v>
      </c>
      <c r="D3055" t="inlineStr">
        <is>
          <t>UPPSALA LÄN</t>
        </is>
      </c>
      <c r="E3055" t="inlineStr">
        <is>
          <t>ÖSTHAMMAR</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51934-2022</t>
        </is>
      </c>
      <c r="B3056" s="1" t="n">
        <v>44872</v>
      </c>
      <c r="C3056" s="1" t="n">
        <v>45705</v>
      </c>
      <c r="D3056" t="inlineStr">
        <is>
          <t>UPPSALA LÄN</t>
        </is>
      </c>
      <c r="E3056" t="inlineStr">
        <is>
          <t>HEBY</t>
        </is>
      </c>
      <c r="F3056" t="inlineStr">
        <is>
          <t>Övriga Aktiebolag</t>
        </is>
      </c>
      <c r="G3056" t="n">
        <v>7.9</v>
      </c>
      <c r="H3056" t="n">
        <v>0</v>
      </c>
      <c r="I3056" t="n">
        <v>0</v>
      </c>
      <c r="J3056" t="n">
        <v>0</v>
      </c>
      <c r="K3056" t="n">
        <v>0</v>
      </c>
      <c r="L3056" t="n">
        <v>0</v>
      </c>
      <c r="M3056" t="n">
        <v>0</v>
      </c>
      <c r="N3056" t="n">
        <v>0</v>
      </c>
      <c r="O3056" t="n">
        <v>0</v>
      </c>
      <c r="P3056" t="n">
        <v>0</v>
      </c>
      <c r="Q3056" t="n">
        <v>0</v>
      </c>
      <c r="R3056" s="2" t="inlineStr"/>
    </row>
    <row r="3057" ht="15" customHeight="1">
      <c r="A3057" t="inlineStr">
        <is>
          <t>A 51932-2022</t>
        </is>
      </c>
      <c r="B3057" s="1" t="n">
        <v>44872</v>
      </c>
      <c r="C3057" s="1" t="n">
        <v>45705</v>
      </c>
      <c r="D3057" t="inlineStr">
        <is>
          <t>UPPSALA LÄN</t>
        </is>
      </c>
      <c r="E3057" t="inlineStr">
        <is>
          <t>ENKÖPING</t>
        </is>
      </c>
      <c r="G3057" t="n">
        <v>5.5</v>
      </c>
      <c r="H3057" t="n">
        <v>0</v>
      </c>
      <c r="I3057" t="n">
        <v>0</v>
      </c>
      <c r="J3057" t="n">
        <v>0</v>
      </c>
      <c r="K3057" t="n">
        <v>0</v>
      </c>
      <c r="L3057" t="n">
        <v>0</v>
      </c>
      <c r="M3057" t="n">
        <v>0</v>
      </c>
      <c r="N3057" t="n">
        <v>0</v>
      </c>
      <c r="O3057" t="n">
        <v>0</v>
      </c>
      <c r="P3057" t="n">
        <v>0</v>
      </c>
      <c r="Q3057" t="n">
        <v>0</v>
      </c>
      <c r="R3057" s="2" t="inlineStr"/>
    </row>
    <row r="3058" ht="15" customHeight="1">
      <c r="A3058" t="inlineStr">
        <is>
          <t>A 52265-2022</t>
        </is>
      </c>
      <c r="B3058" s="1" t="n">
        <v>44873</v>
      </c>
      <c r="C3058" s="1" t="n">
        <v>45705</v>
      </c>
      <c r="D3058" t="inlineStr">
        <is>
          <t>UPPSALA LÄN</t>
        </is>
      </c>
      <c r="E3058" t="inlineStr">
        <is>
          <t>ÖSTHAMMAR</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52255-2022</t>
        </is>
      </c>
      <c r="B3059" s="1" t="n">
        <v>44873</v>
      </c>
      <c r="C3059" s="1" t="n">
        <v>45705</v>
      </c>
      <c r="D3059" t="inlineStr">
        <is>
          <t>UPPSALA LÄN</t>
        </is>
      </c>
      <c r="E3059" t="inlineStr">
        <is>
          <t>ÖSTHAMMAR</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52292-2022</t>
        </is>
      </c>
      <c r="B3060" s="1" t="n">
        <v>44873</v>
      </c>
      <c r="C3060" s="1" t="n">
        <v>45705</v>
      </c>
      <c r="D3060" t="inlineStr">
        <is>
          <t>UPPSALA LÄN</t>
        </is>
      </c>
      <c r="E3060" t="inlineStr">
        <is>
          <t>HEBY</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52295-2022</t>
        </is>
      </c>
      <c r="B3061" s="1" t="n">
        <v>44873</v>
      </c>
      <c r="C3061" s="1" t="n">
        <v>45705</v>
      </c>
      <c r="D3061" t="inlineStr">
        <is>
          <t>UPPSALA LÄN</t>
        </is>
      </c>
      <c r="E3061" t="inlineStr">
        <is>
          <t>ÖSTHAMMAR</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52388-2022</t>
        </is>
      </c>
      <c r="B3062" s="1" t="n">
        <v>44874</v>
      </c>
      <c r="C3062" s="1" t="n">
        <v>45705</v>
      </c>
      <c r="D3062" t="inlineStr">
        <is>
          <t>UPPSALA LÄN</t>
        </is>
      </c>
      <c r="E3062" t="inlineStr">
        <is>
          <t>TIERP</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52652-2022</t>
        </is>
      </c>
      <c r="B3063" s="1" t="n">
        <v>44874</v>
      </c>
      <c r="C3063" s="1" t="n">
        <v>45705</v>
      </c>
      <c r="D3063" t="inlineStr">
        <is>
          <t>UPPSALA LÄN</t>
        </is>
      </c>
      <c r="E3063" t="inlineStr">
        <is>
          <t>ÖSTHAMMAR</t>
        </is>
      </c>
      <c r="F3063" t="inlineStr">
        <is>
          <t>Bergvik skog öst AB</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52389-2022</t>
        </is>
      </c>
      <c r="B3064" s="1" t="n">
        <v>44874</v>
      </c>
      <c r="C3064" s="1" t="n">
        <v>45705</v>
      </c>
      <c r="D3064" t="inlineStr">
        <is>
          <t>UPPSALA LÄN</t>
        </is>
      </c>
      <c r="E3064" t="inlineStr">
        <is>
          <t>ÖSTHAMMAR</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52663-2022</t>
        </is>
      </c>
      <c r="B3065" s="1" t="n">
        <v>44874</v>
      </c>
      <c r="C3065" s="1" t="n">
        <v>45705</v>
      </c>
      <c r="D3065" t="inlineStr">
        <is>
          <t>UPPSALA LÄN</t>
        </is>
      </c>
      <c r="E3065" t="inlineStr">
        <is>
          <t>ÖSTHAMMAR</t>
        </is>
      </c>
      <c r="F3065" t="inlineStr">
        <is>
          <t>Bergvik skog öst AB</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52650-2022</t>
        </is>
      </c>
      <c r="B3066" s="1" t="n">
        <v>44874</v>
      </c>
      <c r="C3066" s="1" t="n">
        <v>45705</v>
      </c>
      <c r="D3066" t="inlineStr">
        <is>
          <t>UPPSALA LÄN</t>
        </is>
      </c>
      <c r="E3066" t="inlineStr">
        <is>
          <t>ÖSTHAMMAR</t>
        </is>
      </c>
      <c r="F3066" t="inlineStr">
        <is>
          <t>Bergvik skog öst AB</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52661-2022</t>
        </is>
      </c>
      <c r="B3067" s="1" t="n">
        <v>44874</v>
      </c>
      <c r="C3067" s="1" t="n">
        <v>45705</v>
      </c>
      <c r="D3067" t="inlineStr">
        <is>
          <t>UPPSALA LÄN</t>
        </is>
      </c>
      <c r="E3067" t="inlineStr">
        <is>
          <t>ÖSTHAMMAR</t>
        </is>
      </c>
      <c r="F3067" t="inlineStr">
        <is>
          <t>Bergvik skog öst AB</t>
        </is>
      </c>
      <c r="G3067" t="n">
        <v>0.2</v>
      </c>
      <c r="H3067" t="n">
        <v>0</v>
      </c>
      <c r="I3067" t="n">
        <v>0</v>
      </c>
      <c r="J3067" t="n">
        <v>0</v>
      </c>
      <c r="K3067" t="n">
        <v>0</v>
      </c>
      <c r="L3067" t="n">
        <v>0</v>
      </c>
      <c r="M3067" t="n">
        <v>0</v>
      </c>
      <c r="N3067" t="n">
        <v>0</v>
      </c>
      <c r="O3067" t="n">
        <v>0</v>
      </c>
      <c r="P3067" t="n">
        <v>0</v>
      </c>
      <c r="Q3067" t="n">
        <v>0</v>
      </c>
      <c r="R3067" s="2" t="inlineStr"/>
    </row>
    <row r="3068" ht="15" customHeight="1">
      <c r="A3068" t="inlineStr">
        <is>
          <t>A 52895-2022</t>
        </is>
      </c>
      <c r="B3068" s="1" t="n">
        <v>44875</v>
      </c>
      <c r="C3068" s="1" t="n">
        <v>45705</v>
      </c>
      <c r="D3068" t="inlineStr">
        <is>
          <t>UPPSALA LÄN</t>
        </is>
      </c>
      <c r="E3068" t="inlineStr">
        <is>
          <t>ENKÖPING</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52790-2022</t>
        </is>
      </c>
      <c r="B3069" s="1" t="n">
        <v>44875</v>
      </c>
      <c r="C3069" s="1" t="n">
        <v>45705</v>
      </c>
      <c r="D3069" t="inlineStr">
        <is>
          <t>UPPSALA LÄN</t>
        </is>
      </c>
      <c r="E3069" t="inlineStr">
        <is>
          <t>HEBY</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52893-2022</t>
        </is>
      </c>
      <c r="B3070" s="1" t="n">
        <v>44875</v>
      </c>
      <c r="C3070" s="1" t="n">
        <v>45705</v>
      </c>
      <c r="D3070" t="inlineStr">
        <is>
          <t>UPPSALA LÄN</t>
        </is>
      </c>
      <c r="E3070" t="inlineStr">
        <is>
          <t>ENKÖPING</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52889-2022</t>
        </is>
      </c>
      <c r="B3071" s="1" t="n">
        <v>44875</v>
      </c>
      <c r="C3071" s="1" t="n">
        <v>45705</v>
      </c>
      <c r="D3071" t="inlineStr">
        <is>
          <t>UPPSALA LÄN</t>
        </is>
      </c>
      <c r="E3071" t="inlineStr">
        <is>
          <t>ENKÖPING</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52896-2022</t>
        </is>
      </c>
      <c r="B3072" s="1" t="n">
        <v>44875</v>
      </c>
      <c r="C3072" s="1" t="n">
        <v>45705</v>
      </c>
      <c r="D3072" t="inlineStr">
        <is>
          <t>UPPSALA LÄN</t>
        </is>
      </c>
      <c r="E3072" t="inlineStr">
        <is>
          <t>ENKÖPING</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52955-2022</t>
        </is>
      </c>
      <c r="B3073" s="1" t="n">
        <v>44875</v>
      </c>
      <c r="C3073" s="1" t="n">
        <v>45705</v>
      </c>
      <c r="D3073" t="inlineStr">
        <is>
          <t>UPPSALA LÄN</t>
        </is>
      </c>
      <c r="E3073" t="inlineStr">
        <is>
          <t>HEBY</t>
        </is>
      </c>
      <c r="G3073" t="n">
        <v>7</v>
      </c>
      <c r="H3073" t="n">
        <v>0</v>
      </c>
      <c r="I3073" t="n">
        <v>0</v>
      </c>
      <c r="J3073" t="n">
        <v>0</v>
      </c>
      <c r="K3073" t="n">
        <v>0</v>
      </c>
      <c r="L3073" t="n">
        <v>0</v>
      </c>
      <c r="M3073" t="n">
        <v>0</v>
      </c>
      <c r="N3073" t="n">
        <v>0</v>
      </c>
      <c r="O3073" t="n">
        <v>0</v>
      </c>
      <c r="P3073" t="n">
        <v>0</v>
      </c>
      <c r="Q3073" t="n">
        <v>0</v>
      </c>
      <c r="R3073" s="2" t="inlineStr"/>
    </row>
    <row r="3074" ht="15" customHeight="1">
      <c r="A3074" t="inlineStr">
        <is>
          <t>A 53770-2022</t>
        </is>
      </c>
      <c r="B3074" s="1" t="n">
        <v>44875</v>
      </c>
      <c r="C3074" s="1" t="n">
        <v>45705</v>
      </c>
      <c r="D3074" t="inlineStr">
        <is>
          <t>UPPSALA LÄN</t>
        </is>
      </c>
      <c r="E3074" t="inlineStr">
        <is>
          <t>HÅBO</t>
        </is>
      </c>
      <c r="F3074" t="inlineStr">
        <is>
          <t>Allmännings- och besparingsskogar</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53180-2022</t>
        </is>
      </c>
      <c r="B3075" s="1" t="n">
        <v>44876</v>
      </c>
      <c r="C3075" s="1" t="n">
        <v>45705</v>
      </c>
      <c r="D3075" t="inlineStr">
        <is>
          <t>UPPSALA LÄN</t>
        </is>
      </c>
      <c r="E3075" t="inlineStr">
        <is>
          <t>ÖSTHAMMAR</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53496-2022</t>
        </is>
      </c>
      <c r="B3076" s="1" t="n">
        <v>44879</v>
      </c>
      <c r="C3076" s="1" t="n">
        <v>45705</v>
      </c>
      <c r="D3076" t="inlineStr">
        <is>
          <t>UPPSALA LÄN</t>
        </is>
      </c>
      <c r="E3076" t="inlineStr">
        <is>
          <t>ENKÖPING</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53819-2022</t>
        </is>
      </c>
      <c r="B3077" s="1" t="n">
        <v>44880</v>
      </c>
      <c r="C3077" s="1" t="n">
        <v>45705</v>
      </c>
      <c r="D3077" t="inlineStr">
        <is>
          <t>UPPSALA LÄN</t>
        </is>
      </c>
      <c r="E3077" t="inlineStr">
        <is>
          <t>TIERP</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53784-2022</t>
        </is>
      </c>
      <c r="B3078" s="1" t="n">
        <v>44880</v>
      </c>
      <c r="C3078" s="1" t="n">
        <v>45705</v>
      </c>
      <c r="D3078" t="inlineStr">
        <is>
          <t>UPPSALA LÄN</t>
        </is>
      </c>
      <c r="E3078" t="inlineStr">
        <is>
          <t>TIERP</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53813-2022</t>
        </is>
      </c>
      <c r="B3079" s="1" t="n">
        <v>44880</v>
      </c>
      <c r="C3079" s="1" t="n">
        <v>45705</v>
      </c>
      <c r="D3079" t="inlineStr">
        <is>
          <t>UPPSALA LÄN</t>
        </is>
      </c>
      <c r="E3079" t="inlineStr">
        <is>
          <t>TIERP</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54041-2022</t>
        </is>
      </c>
      <c r="B3080" s="1" t="n">
        <v>44881</v>
      </c>
      <c r="C3080" s="1" t="n">
        <v>45705</v>
      </c>
      <c r="D3080" t="inlineStr">
        <is>
          <t>UPPSALA LÄN</t>
        </is>
      </c>
      <c r="E3080" t="inlineStr">
        <is>
          <t>TIERP</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54493-2022</t>
        </is>
      </c>
      <c r="B3081" s="1" t="n">
        <v>44882</v>
      </c>
      <c r="C3081" s="1" t="n">
        <v>45705</v>
      </c>
      <c r="D3081" t="inlineStr">
        <is>
          <t>UPPSALA LÄN</t>
        </is>
      </c>
      <c r="E3081" t="inlineStr">
        <is>
          <t>HEBY</t>
        </is>
      </c>
      <c r="G3081" t="n">
        <v>4.6</v>
      </c>
      <c r="H3081" t="n">
        <v>0</v>
      </c>
      <c r="I3081" t="n">
        <v>0</v>
      </c>
      <c r="J3081" t="n">
        <v>0</v>
      </c>
      <c r="K3081" t="n">
        <v>0</v>
      </c>
      <c r="L3081" t="n">
        <v>0</v>
      </c>
      <c r="M3081" t="n">
        <v>0</v>
      </c>
      <c r="N3081" t="n">
        <v>0</v>
      </c>
      <c r="O3081" t="n">
        <v>0</v>
      </c>
      <c r="P3081" t="n">
        <v>0</v>
      </c>
      <c r="Q3081" t="n">
        <v>0</v>
      </c>
      <c r="R3081" s="2" t="inlineStr"/>
    </row>
    <row r="3082" ht="15" customHeight="1">
      <c r="A3082" t="inlineStr">
        <is>
          <t>A 54666-2022</t>
        </is>
      </c>
      <c r="B3082" s="1" t="n">
        <v>44883</v>
      </c>
      <c r="C3082" s="1" t="n">
        <v>45705</v>
      </c>
      <c r="D3082" t="inlineStr">
        <is>
          <t>UPPSALA LÄN</t>
        </is>
      </c>
      <c r="E3082" t="inlineStr">
        <is>
          <t>ÖSTHAMMAR</t>
        </is>
      </c>
      <c r="G3082" t="n">
        <v>14.3</v>
      </c>
      <c r="H3082" t="n">
        <v>0</v>
      </c>
      <c r="I3082" t="n">
        <v>0</v>
      </c>
      <c r="J3082" t="n">
        <v>0</v>
      </c>
      <c r="K3082" t="n">
        <v>0</v>
      </c>
      <c r="L3082" t="n">
        <v>0</v>
      </c>
      <c r="M3082" t="n">
        <v>0</v>
      </c>
      <c r="N3082" t="n">
        <v>0</v>
      </c>
      <c r="O3082" t="n">
        <v>0</v>
      </c>
      <c r="P3082" t="n">
        <v>0</v>
      </c>
      <c r="Q3082" t="n">
        <v>0</v>
      </c>
      <c r="R3082" s="2" t="inlineStr"/>
    </row>
    <row r="3083" ht="15" customHeight="1">
      <c r="A3083" t="inlineStr">
        <is>
          <t>A 54764-2022</t>
        </is>
      </c>
      <c r="B3083" s="1" t="n">
        <v>44883</v>
      </c>
      <c r="C3083" s="1" t="n">
        <v>45705</v>
      </c>
      <c r="D3083" t="inlineStr">
        <is>
          <t>UPPSALA LÄN</t>
        </is>
      </c>
      <c r="E3083" t="inlineStr">
        <is>
          <t>TIERP</t>
        </is>
      </c>
      <c r="G3083" t="n">
        <v>8.699999999999999</v>
      </c>
      <c r="H3083" t="n">
        <v>0</v>
      </c>
      <c r="I3083" t="n">
        <v>0</v>
      </c>
      <c r="J3083" t="n">
        <v>0</v>
      </c>
      <c r="K3083" t="n">
        <v>0</v>
      </c>
      <c r="L3083" t="n">
        <v>0</v>
      </c>
      <c r="M3083" t="n">
        <v>0</v>
      </c>
      <c r="N3083" t="n">
        <v>0</v>
      </c>
      <c r="O3083" t="n">
        <v>0</v>
      </c>
      <c r="P3083" t="n">
        <v>0</v>
      </c>
      <c r="Q3083" t="n">
        <v>0</v>
      </c>
      <c r="R3083" s="2" t="inlineStr"/>
    </row>
    <row r="3084" ht="15" customHeight="1">
      <c r="A3084" t="inlineStr">
        <is>
          <t>A 54715-2022</t>
        </is>
      </c>
      <c r="B3084" s="1" t="n">
        <v>44883</v>
      </c>
      <c r="C3084" s="1" t="n">
        <v>45705</v>
      </c>
      <c r="D3084" t="inlineStr">
        <is>
          <t>UPPSALA LÄN</t>
        </is>
      </c>
      <c r="E3084" t="inlineStr">
        <is>
          <t>UPPSALA</t>
        </is>
      </c>
      <c r="F3084" t="inlineStr">
        <is>
          <t>Övriga Aktiebolag</t>
        </is>
      </c>
      <c r="G3084" t="n">
        <v>9.5</v>
      </c>
      <c r="H3084" t="n">
        <v>0</v>
      </c>
      <c r="I3084" t="n">
        <v>0</v>
      </c>
      <c r="J3084" t="n">
        <v>0</v>
      </c>
      <c r="K3084" t="n">
        <v>0</v>
      </c>
      <c r="L3084" t="n">
        <v>0</v>
      </c>
      <c r="M3084" t="n">
        <v>0</v>
      </c>
      <c r="N3084" t="n">
        <v>0</v>
      </c>
      <c r="O3084" t="n">
        <v>0</v>
      </c>
      <c r="P3084" t="n">
        <v>0</v>
      </c>
      <c r="Q3084" t="n">
        <v>0</v>
      </c>
      <c r="R3084" s="2" t="inlineStr"/>
    </row>
    <row r="3085" ht="15" customHeight="1">
      <c r="A3085" t="inlineStr">
        <is>
          <t>A 54732-2022</t>
        </is>
      </c>
      <c r="B3085" s="1" t="n">
        <v>44883</v>
      </c>
      <c r="C3085" s="1" t="n">
        <v>45705</v>
      </c>
      <c r="D3085" t="inlineStr">
        <is>
          <t>UPPSALA LÄN</t>
        </is>
      </c>
      <c r="E3085" t="inlineStr">
        <is>
          <t>UPPSALA</t>
        </is>
      </c>
      <c r="F3085" t="inlineStr">
        <is>
          <t>Övriga Aktiebolag</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54813-2022</t>
        </is>
      </c>
      <c r="B3086" s="1" t="n">
        <v>44883</v>
      </c>
      <c r="C3086" s="1" t="n">
        <v>45705</v>
      </c>
      <c r="D3086" t="inlineStr">
        <is>
          <t>UPPSALA LÄN</t>
        </is>
      </c>
      <c r="E3086" t="inlineStr">
        <is>
          <t>UPPSALA</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54952-2022</t>
        </is>
      </c>
      <c r="B3087" s="1" t="n">
        <v>44886</v>
      </c>
      <c r="C3087" s="1" t="n">
        <v>45705</v>
      </c>
      <c r="D3087" t="inlineStr">
        <is>
          <t>UPPSALA LÄN</t>
        </is>
      </c>
      <c r="E3087" t="inlineStr">
        <is>
          <t>TIERP</t>
        </is>
      </c>
      <c r="G3087" t="n">
        <v>6.2</v>
      </c>
      <c r="H3087" t="n">
        <v>0</v>
      </c>
      <c r="I3087" t="n">
        <v>0</v>
      </c>
      <c r="J3087" t="n">
        <v>0</v>
      </c>
      <c r="K3087" t="n">
        <v>0</v>
      </c>
      <c r="L3087" t="n">
        <v>0</v>
      </c>
      <c r="M3087" t="n">
        <v>0</v>
      </c>
      <c r="N3087" t="n">
        <v>0</v>
      </c>
      <c r="O3087" t="n">
        <v>0</v>
      </c>
      <c r="P3087" t="n">
        <v>0</v>
      </c>
      <c r="Q3087" t="n">
        <v>0</v>
      </c>
      <c r="R3087" s="2" t="inlineStr"/>
    </row>
    <row r="3088" ht="15" customHeight="1">
      <c r="A3088" t="inlineStr">
        <is>
          <t>A 55021-2022</t>
        </is>
      </c>
      <c r="B3088" s="1" t="n">
        <v>44886</v>
      </c>
      <c r="C3088" s="1" t="n">
        <v>45705</v>
      </c>
      <c r="D3088" t="inlineStr">
        <is>
          <t>UPPSALA LÄN</t>
        </is>
      </c>
      <c r="E3088" t="inlineStr">
        <is>
          <t>UPPSALA</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55040-2022</t>
        </is>
      </c>
      <c r="B3089" s="1" t="n">
        <v>44886</v>
      </c>
      <c r="C3089" s="1" t="n">
        <v>45705</v>
      </c>
      <c r="D3089" t="inlineStr">
        <is>
          <t>UPPSALA LÄN</t>
        </is>
      </c>
      <c r="E3089" t="inlineStr">
        <is>
          <t>UPPSALA</t>
        </is>
      </c>
      <c r="F3089" t="inlineStr">
        <is>
          <t>Sveaskog</t>
        </is>
      </c>
      <c r="G3089" t="n">
        <v>5.3</v>
      </c>
      <c r="H3089" t="n">
        <v>0</v>
      </c>
      <c r="I3089" t="n">
        <v>0</v>
      </c>
      <c r="J3089" t="n">
        <v>0</v>
      </c>
      <c r="K3089" t="n">
        <v>0</v>
      </c>
      <c r="L3089" t="n">
        <v>0</v>
      </c>
      <c r="M3089" t="n">
        <v>0</v>
      </c>
      <c r="N3089" t="n">
        <v>0</v>
      </c>
      <c r="O3089" t="n">
        <v>0</v>
      </c>
      <c r="P3089" t="n">
        <v>0</v>
      </c>
      <c r="Q3089" t="n">
        <v>0</v>
      </c>
      <c r="R3089" s="2" t="inlineStr"/>
    </row>
    <row r="3090" ht="15" customHeight="1">
      <c r="A3090" t="inlineStr">
        <is>
          <t>A 55073-2022</t>
        </is>
      </c>
      <c r="B3090" s="1" t="n">
        <v>44886</v>
      </c>
      <c r="C3090" s="1" t="n">
        <v>45705</v>
      </c>
      <c r="D3090" t="inlineStr">
        <is>
          <t>UPPSALA LÄN</t>
        </is>
      </c>
      <c r="E3090" t="inlineStr">
        <is>
          <t>UPPSALA</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55066-2022</t>
        </is>
      </c>
      <c r="B3091" s="1" t="n">
        <v>44886</v>
      </c>
      <c r="C3091" s="1" t="n">
        <v>45705</v>
      </c>
      <c r="D3091" t="inlineStr">
        <is>
          <t>UPPSALA LÄN</t>
        </is>
      </c>
      <c r="E3091" t="inlineStr">
        <is>
          <t>UPPSALA</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55191-2022</t>
        </is>
      </c>
      <c r="B3092" s="1" t="n">
        <v>44886</v>
      </c>
      <c r="C3092" s="1" t="n">
        <v>45705</v>
      </c>
      <c r="D3092" t="inlineStr">
        <is>
          <t>UPPSALA LÄN</t>
        </is>
      </c>
      <c r="E3092" t="inlineStr">
        <is>
          <t>HEBY</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55204-2022</t>
        </is>
      </c>
      <c r="B3093" s="1" t="n">
        <v>44886</v>
      </c>
      <c r="C3093" s="1" t="n">
        <v>45705</v>
      </c>
      <c r="D3093" t="inlineStr">
        <is>
          <t>UPPSALA LÄN</t>
        </is>
      </c>
      <c r="E3093" t="inlineStr">
        <is>
          <t>HEBY</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55401-2022</t>
        </is>
      </c>
      <c r="B3094" s="1" t="n">
        <v>44887</v>
      </c>
      <c r="C3094" s="1" t="n">
        <v>45705</v>
      </c>
      <c r="D3094" t="inlineStr">
        <is>
          <t>UPPSALA LÄN</t>
        </is>
      </c>
      <c r="E3094" t="inlineStr">
        <is>
          <t>UPPSALA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55423-2022</t>
        </is>
      </c>
      <c r="B3095" s="1" t="n">
        <v>44887</v>
      </c>
      <c r="C3095" s="1" t="n">
        <v>45705</v>
      </c>
      <c r="D3095" t="inlineStr">
        <is>
          <t>UPPSALA LÄN</t>
        </is>
      </c>
      <c r="E3095" t="inlineStr">
        <is>
          <t>TIERP</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55508-2022</t>
        </is>
      </c>
      <c r="B3096" s="1" t="n">
        <v>44887</v>
      </c>
      <c r="C3096" s="1" t="n">
        <v>45705</v>
      </c>
      <c r="D3096" t="inlineStr">
        <is>
          <t>UPPSALA LÄN</t>
        </is>
      </c>
      <c r="E3096" t="inlineStr">
        <is>
          <t>TIERP</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55502-2022</t>
        </is>
      </c>
      <c r="B3097" s="1" t="n">
        <v>44887</v>
      </c>
      <c r="C3097" s="1" t="n">
        <v>45705</v>
      </c>
      <c r="D3097" t="inlineStr">
        <is>
          <t>UPPSALA LÄN</t>
        </is>
      </c>
      <c r="E3097" t="inlineStr">
        <is>
          <t>HEBY</t>
        </is>
      </c>
      <c r="G3097" t="n">
        <v>18.4</v>
      </c>
      <c r="H3097" t="n">
        <v>0</v>
      </c>
      <c r="I3097" t="n">
        <v>0</v>
      </c>
      <c r="J3097" t="n">
        <v>0</v>
      </c>
      <c r="K3097" t="n">
        <v>0</v>
      </c>
      <c r="L3097" t="n">
        <v>0</v>
      </c>
      <c r="M3097" t="n">
        <v>0</v>
      </c>
      <c r="N3097" t="n">
        <v>0</v>
      </c>
      <c r="O3097" t="n">
        <v>0</v>
      </c>
      <c r="P3097" t="n">
        <v>0</v>
      </c>
      <c r="Q3097" t="n">
        <v>0</v>
      </c>
      <c r="R3097" s="2" t="inlineStr"/>
    </row>
    <row r="3098" ht="15" customHeight="1">
      <c r="A3098" t="inlineStr">
        <is>
          <t>A 56558-2022</t>
        </is>
      </c>
      <c r="B3098" s="1" t="n">
        <v>44887</v>
      </c>
      <c r="C3098" s="1" t="n">
        <v>45705</v>
      </c>
      <c r="D3098" t="inlineStr">
        <is>
          <t>UPPSALA LÄN</t>
        </is>
      </c>
      <c r="E3098" t="inlineStr">
        <is>
          <t>TIERP</t>
        </is>
      </c>
      <c r="F3098" t="inlineStr">
        <is>
          <t>Bergvik skog väst AB</t>
        </is>
      </c>
      <c r="G3098" t="n">
        <v>20.3</v>
      </c>
      <c r="H3098" t="n">
        <v>0</v>
      </c>
      <c r="I3098" t="n">
        <v>0</v>
      </c>
      <c r="J3098" t="n">
        <v>0</v>
      </c>
      <c r="K3098" t="n">
        <v>0</v>
      </c>
      <c r="L3098" t="n">
        <v>0</v>
      </c>
      <c r="M3098" t="n">
        <v>0</v>
      </c>
      <c r="N3098" t="n">
        <v>0</v>
      </c>
      <c r="O3098" t="n">
        <v>0</v>
      </c>
      <c r="P3098" t="n">
        <v>0</v>
      </c>
      <c r="Q3098" t="n">
        <v>0</v>
      </c>
      <c r="R3098" s="2" t="inlineStr"/>
    </row>
    <row r="3099" ht="15" customHeight="1">
      <c r="A3099" t="inlineStr">
        <is>
          <t>A 55566-2022</t>
        </is>
      </c>
      <c r="B3099" s="1" t="n">
        <v>44888</v>
      </c>
      <c r="C3099" s="1" t="n">
        <v>45705</v>
      </c>
      <c r="D3099" t="inlineStr">
        <is>
          <t>UPPSALA LÄN</t>
        </is>
      </c>
      <c r="E3099" t="inlineStr">
        <is>
          <t>TIERP</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55862-2022</t>
        </is>
      </c>
      <c r="B3100" s="1" t="n">
        <v>44888</v>
      </c>
      <c r="C3100" s="1" t="n">
        <v>45705</v>
      </c>
      <c r="D3100" t="inlineStr">
        <is>
          <t>UPPSALA LÄN</t>
        </is>
      </c>
      <c r="E3100" t="inlineStr">
        <is>
          <t>UPPSALA</t>
        </is>
      </c>
      <c r="F3100" t="inlineStr">
        <is>
          <t>Bergvik skog öst AB</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56884-2022</t>
        </is>
      </c>
      <c r="B3101" s="1" t="n">
        <v>44888</v>
      </c>
      <c r="C3101" s="1" t="n">
        <v>45705</v>
      </c>
      <c r="D3101" t="inlineStr">
        <is>
          <t>UPPSALA LÄN</t>
        </is>
      </c>
      <c r="E3101" t="inlineStr">
        <is>
          <t>HEBY</t>
        </is>
      </c>
      <c r="F3101" t="inlineStr">
        <is>
          <t>Bergvik skog väst AB</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56896-2022</t>
        </is>
      </c>
      <c r="B3102" s="1" t="n">
        <v>44888</v>
      </c>
      <c r="C3102" s="1" t="n">
        <v>45705</v>
      </c>
      <c r="D3102" t="inlineStr">
        <is>
          <t>UPPSALA LÄN</t>
        </is>
      </c>
      <c r="E3102" t="inlineStr">
        <is>
          <t>HEBY</t>
        </is>
      </c>
      <c r="F3102" t="inlineStr">
        <is>
          <t>Bergvik skog väst AB</t>
        </is>
      </c>
      <c r="G3102" t="n">
        <v>1</v>
      </c>
      <c r="H3102" t="n">
        <v>0</v>
      </c>
      <c r="I3102" t="n">
        <v>0</v>
      </c>
      <c r="J3102" t="n">
        <v>0</v>
      </c>
      <c r="K3102" t="n">
        <v>0</v>
      </c>
      <c r="L3102" t="n">
        <v>0</v>
      </c>
      <c r="M3102" t="n">
        <v>0</v>
      </c>
      <c r="N3102" t="n">
        <v>0</v>
      </c>
      <c r="O3102" t="n">
        <v>0</v>
      </c>
      <c r="P3102" t="n">
        <v>0</v>
      </c>
      <c r="Q3102" t="n">
        <v>0</v>
      </c>
      <c r="R3102" s="2" t="inlineStr"/>
      <c r="U3102">
        <f>HYPERLINK("https://klasma.github.io/Logging_0331/knärot/A 56896-2022 karta knärot.png", "A 56896-2022")</f>
        <v/>
      </c>
      <c r="V3102">
        <f>HYPERLINK("https://klasma.github.io/Logging_0331/klagomål/A 56896-2022 FSC-klagomål.docx", "A 56896-2022")</f>
        <v/>
      </c>
      <c r="W3102">
        <f>HYPERLINK("https://klasma.github.io/Logging_0331/klagomålsmail/A 56896-2022 FSC-klagomål mail.docx", "A 56896-2022")</f>
        <v/>
      </c>
      <c r="X3102">
        <f>HYPERLINK("https://klasma.github.io/Logging_0331/tillsyn/A 56896-2022 tillsynsbegäran.docx", "A 56896-2022")</f>
        <v/>
      </c>
      <c r="Y3102">
        <f>HYPERLINK("https://klasma.github.io/Logging_0331/tillsynsmail/A 56896-2022 tillsynsbegäran mail.docx", "A 56896-2022")</f>
        <v/>
      </c>
    </row>
    <row r="3103" ht="15" customHeight="1">
      <c r="A3103" t="inlineStr">
        <is>
          <t>A 56260-2022</t>
        </is>
      </c>
      <c r="B3103" s="1" t="n">
        <v>44890</v>
      </c>
      <c r="C3103" s="1" t="n">
        <v>45705</v>
      </c>
      <c r="D3103" t="inlineStr">
        <is>
          <t>UPPSALA LÄN</t>
        </is>
      </c>
      <c r="E3103" t="inlineStr">
        <is>
          <t>ÖSTHAMMAR</t>
        </is>
      </c>
      <c r="F3103" t="inlineStr">
        <is>
          <t>Bergvik skog öst AB</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56350-2022</t>
        </is>
      </c>
      <c r="B3104" s="1" t="n">
        <v>44890</v>
      </c>
      <c r="C3104" s="1" t="n">
        <v>45705</v>
      </c>
      <c r="D3104" t="inlineStr">
        <is>
          <t>UPPSALA LÄN</t>
        </is>
      </c>
      <c r="E3104" t="inlineStr">
        <is>
          <t>TIERP</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56438-2022</t>
        </is>
      </c>
      <c r="B3105" s="1" t="n">
        <v>44892</v>
      </c>
      <c r="C3105" s="1" t="n">
        <v>45705</v>
      </c>
      <c r="D3105" t="inlineStr">
        <is>
          <t>UPPSALA LÄN</t>
        </is>
      </c>
      <c r="E3105" t="inlineStr">
        <is>
          <t>TIERP</t>
        </is>
      </c>
      <c r="G3105" t="n">
        <v>5.1</v>
      </c>
      <c r="H3105" t="n">
        <v>0</v>
      </c>
      <c r="I3105" t="n">
        <v>0</v>
      </c>
      <c r="J3105" t="n">
        <v>0</v>
      </c>
      <c r="K3105" t="n">
        <v>0</v>
      </c>
      <c r="L3105" t="n">
        <v>0</v>
      </c>
      <c r="M3105" t="n">
        <v>0</v>
      </c>
      <c r="N3105" t="n">
        <v>0</v>
      </c>
      <c r="O3105" t="n">
        <v>0</v>
      </c>
      <c r="P3105" t="n">
        <v>0</v>
      </c>
      <c r="Q3105" t="n">
        <v>0</v>
      </c>
      <c r="R3105" s="2" t="inlineStr"/>
    </row>
    <row r="3106" ht="15" customHeight="1">
      <c r="A3106" t="inlineStr">
        <is>
          <t>A 56545-2022</t>
        </is>
      </c>
      <c r="B3106" s="1" t="n">
        <v>44893</v>
      </c>
      <c r="C3106" s="1" t="n">
        <v>45705</v>
      </c>
      <c r="D3106" t="inlineStr">
        <is>
          <t>UPPSALA LÄN</t>
        </is>
      </c>
      <c r="E3106" t="inlineStr">
        <is>
          <t>HÅBO</t>
        </is>
      </c>
      <c r="G3106" t="n">
        <v>3.8</v>
      </c>
      <c r="H3106" t="n">
        <v>0</v>
      </c>
      <c r="I3106" t="n">
        <v>0</v>
      </c>
      <c r="J3106" t="n">
        <v>0</v>
      </c>
      <c r="K3106" t="n">
        <v>0</v>
      </c>
      <c r="L3106" t="n">
        <v>0</v>
      </c>
      <c r="M3106" t="n">
        <v>0</v>
      </c>
      <c r="N3106" t="n">
        <v>0</v>
      </c>
      <c r="O3106" t="n">
        <v>0</v>
      </c>
      <c r="P3106" t="n">
        <v>0</v>
      </c>
      <c r="Q3106" t="n">
        <v>0</v>
      </c>
      <c r="R3106" s="2" t="inlineStr"/>
    </row>
    <row r="3107" ht="15" customHeight="1">
      <c r="A3107" t="inlineStr">
        <is>
          <t>A 56526-2022</t>
        </is>
      </c>
      <c r="B3107" s="1" t="n">
        <v>44893</v>
      </c>
      <c r="C3107" s="1" t="n">
        <v>45705</v>
      </c>
      <c r="D3107" t="inlineStr">
        <is>
          <t>UPPSALA LÄN</t>
        </is>
      </c>
      <c r="E3107" t="inlineStr">
        <is>
          <t>ENKÖPING</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56679-2022</t>
        </is>
      </c>
      <c r="B3108" s="1" t="n">
        <v>44893</v>
      </c>
      <c r="C3108" s="1" t="n">
        <v>45705</v>
      </c>
      <c r="D3108" t="inlineStr">
        <is>
          <t>UPPSALA LÄN</t>
        </is>
      </c>
      <c r="E3108" t="inlineStr">
        <is>
          <t>UPPSALA</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56889-2022</t>
        </is>
      </c>
      <c r="B3109" s="1" t="n">
        <v>44894</v>
      </c>
      <c r="C3109" s="1" t="n">
        <v>45705</v>
      </c>
      <c r="D3109" t="inlineStr">
        <is>
          <t>UPPSALA LÄN</t>
        </is>
      </c>
      <c r="E3109" t="inlineStr">
        <is>
          <t>UPPSALA</t>
        </is>
      </c>
      <c r="F3109" t="inlineStr">
        <is>
          <t>Övriga Aktiebolag</t>
        </is>
      </c>
      <c r="G3109" t="n">
        <v>21.6</v>
      </c>
      <c r="H3109" t="n">
        <v>0</v>
      </c>
      <c r="I3109" t="n">
        <v>0</v>
      </c>
      <c r="J3109" t="n">
        <v>0</v>
      </c>
      <c r="K3109" t="n">
        <v>0</v>
      </c>
      <c r="L3109" t="n">
        <v>0</v>
      </c>
      <c r="M3109" t="n">
        <v>0</v>
      </c>
      <c r="N3109" t="n">
        <v>0</v>
      </c>
      <c r="O3109" t="n">
        <v>0</v>
      </c>
      <c r="P3109" t="n">
        <v>0</v>
      </c>
      <c r="Q3109" t="n">
        <v>0</v>
      </c>
      <c r="R3109" s="2" t="inlineStr"/>
    </row>
    <row r="3110" ht="15" customHeight="1">
      <c r="A3110" t="inlineStr">
        <is>
          <t>A 56966-2022</t>
        </is>
      </c>
      <c r="B3110" s="1" t="n">
        <v>44894</v>
      </c>
      <c r="C3110" s="1" t="n">
        <v>45705</v>
      </c>
      <c r="D3110" t="inlineStr">
        <is>
          <t>UPPSALA LÄN</t>
        </is>
      </c>
      <c r="E3110" t="inlineStr">
        <is>
          <t>TIERP</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56972-2022</t>
        </is>
      </c>
      <c r="B3111" s="1" t="n">
        <v>44894</v>
      </c>
      <c r="C3111" s="1" t="n">
        <v>45705</v>
      </c>
      <c r="D3111" t="inlineStr">
        <is>
          <t>UPPSALA LÄN</t>
        </is>
      </c>
      <c r="E3111" t="inlineStr">
        <is>
          <t>TIERP</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56795-2022</t>
        </is>
      </c>
      <c r="B3112" s="1" t="n">
        <v>44894</v>
      </c>
      <c r="C3112" s="1" t="n">
        <v>45705</v>
      </c>
      <c r="D3112" t="inlineStr">
        <is>
          <t>UPPSALA LÄN</t>
        </is>
      </c>
      <c r="E3112" t="inlineStr">
        <is>
          <t>UPPSALA</t>
        </is>
      </c>
      <c r="F3112" t="inlineStr">
        <is>
          <t>Holmen skog AB</t>
        </is>
      </c>
      <c r="G3112" t="n">
        <v>4.1</v>
      </c>
      <c r="H3112" t="n">
        <v>0</v>
      </c>
      <c r="I3112" t="n">
        <v>0</v>
      </c>
      <c r="J3112" t="n">
        <v>0</v>
      </c>
      <c r="K3112" t="n">
        <v>0</v>
      </c>
      <c r="L3112" t="n">
        <v>0</v>
      </c>
      <c r="M3112" t="n">
        <v>0</v>
      </c>
      <c r="N3112" t="n">
        <v>0</v>
      </c>
      <c r="O3112" t="n">
        <v>0</v>
      </c>
      <c r="P3112" t="n">
        <v>0</v>
      </c>
      <c r="Q3112" t="n">
        <v>0</v>
      </c>
      <c r="R3112" s="2" t="inlineStr"/>
    </row>
    <row r="3113" ht="15" customHeight="1">
      <c r="A3113" t="inlineStr">
        <is>
          <t>A 56779-2022</t>
        </is>
      </c>
      <c r="B3113" s="1" t="n">
        <v>44894</v>
      </c>
      <c r="C3113" s="1" t="n">
        <v>45705</v>
      </c>
      <c r="D3113" t="inlineStr">
        <is>
          <t>UPPSALA LÄN</t>
        </is>
      </c>
      <c r="E3113" t="inlineStr">
        <is>
          <t>UPPSALA</t>
        </is>
      </c>
      <c r="F3113" t="inlineStr">
        <is>
          <t>Holmen skog AB</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56877-2022</t>
        </is>
      </c>
      <c r="B3114" s="1" t="n">
        <v>44894</v>
      </c>
      <c r="C3114" s="1" t="n">
        <v>45705</v>
      </c>
      <c r="D3114" t="inlineStr">
        <is>
          <t>UPPSALA LÄN</t>
        </is>
      </c>
      <c r="E3114" t="inlineStr">
        <is>
          <t>TIERP</t>
        </is>
      </c>
      <c r="F3114" t="inlineStr">
        <is>
          <t>Bergvik skog väst AB</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56947-2022</t>
        </is>
      </c>
      <c r="B3115" s="1" t="n">
        <v>44894</v>
      </c>
      <c r="C3115" s="1" t="n">
        <v>45705</v>
      </c>
      <c r="D3115" t="inlineStr">
        <is>
          <t>UPPSALA LÄN</t>
        </is>
      </c>
      <c r="E3115" t="inlineStr">
        <is>
          <t>TIERP</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56969-2022</t>
        </is>
      </c>
      <c r="B3116" s="1" t="n">
        <v>44894</v>
      </c>
      <c r="C3116" s="1" t="n">
        <v>45705</v>
      </c>
      <c r="D3116" t="inlineStr">
        <is>
          <t>UPPSALA LÄN</t>
        </is>
      </c>
      <c r="E3116" t="inlineStr">
        <is>
          <t>ÖSTHAMMAR</t>
        </is>
      </c>
      <c r="G3116" t="n">
        <v>5.5</v>
      </c>
      <c r="H3116" t="n">
        <v>0</v>
      </c>
      <c r="I3116" t="n">
        <v>0</v>
      </c>
      <c r="J3116" t="n">
        <v>0</v>
      </c>
      <c r="K3116" t="n">
        <v>0</v>
      </c>
      <c r="L3116" t="n">
        <v>0</v>
      </c>
      <c r="M3116" t="n">
        <v>0</v>
      </c>
      <c r="N3116" t="n">
        <v>0</v>
      </c>
      <c r="O3116" t="n">
        <v>0</v>
      </c>
      <c r="P3116" t="n">
        <v>0</v>
      </c>
      <c r="Q3116" t="n">
        <v>0</v>
      </c>
      <c r="R3116" s="2" t="inlineStr"/>
    </row>
    <row r="3117" ht="15" customHeight="1">
      <c r="A3117" t="inlineStr">
        <is>
          <t>A 57462-2022</t>
        </is>
      </c>
      <c r="B3117" s="1" t="n">
        <v>44896</v>
      </c>
      <c r="C3117" s="1" t="n">
        <v>45705</v>
      </c>
      <c r="D3117" t="inlineStr">
        <is>
          <t>UPPSALA LÄN</t>
        </is>
      </c>
      <c r="E3117" t="inlineStr">
        <is>
          <t>ÖSTHAMMAR</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57453-2022</t>
        </is>
      </c>
      <c r="B3118" s="1" t="n">
        <v>44896</v>
      </c>
      <c r="C3118" s="1" t="n">
        <v>45705</v>
      </c>
      <c r="D3118" t="inlineStr">
        <is>
          <t>UPPSALA LÄN</t>
        </is>
      </c>
      <c r="E3118" t="inlineStr">
        <is>
          <t>ÖSTHAMMAR</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57532-2022</t>
        </is>
      </c>
      <c r="B3119" s="1" t="n">
        <v>44896</v>
      </c>
      <c r="C3119" s="1" t="n">
        <v>45705</v>
      </c>
      <c r="D3119" t="inlineStr">
        <is>
          <t>UPPSALA LÄN</t>
        </is>
      </c>
      <c r="E3119" t="inlineStr">
        <is>
          <t>TIERP</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57495-2022</t>
        </is>
      </c>
      <c r="B3120" s="1" t="n">
        <v>44896</v>
      </c>
      <c r="C3120" s="1" t="n">
        <v>45705</v>
      </c>
      <c r="D3120" t="inlineStr">
        <is>
          <t>UPPSALA LÄN</t>
        </is>
      </c>
      <c r="E3120" t="inlineStr">
        <is>
          <t>UPPSALA</t>
        </is>
      </c>
      <c r="G3120" t="n">
        <v>7</v>
      </c>
      <c r="H3120" t="n">
        <v>0</v>
      </c>
      <c r="I3120" t="n">
        <v>0</v>
      </c>
      <c r="J3120" t="n">
        <v>0</v>
      </c>
      <c r="K3120" t="n">
        <v>0</v>
      </c>
      <c r="L3120" t="n">
        <v>0</v>
      </c>
      <c r="M3120" t="n">
        <v>0</v>
      </c>
      <c r="N3120" t="n">
        <v>0</v>
      </c>
      <c r="O3120" t="n">
        <v>0</v>
      </c>
      <c r="P3120" t="n">
        <v>0</v>
      </c>
      <c r="Q3120" t="n">
        <v>0</v>
      </c>
      <c r="R3120" s="2" t="inlineStr"/>
    </row>
    <row r="3121" ht="15" customHeight="1">
      <c r="A3121" t="inlineStr">
        <is>
          <t>A 57536-2022</t>
        </is>
      </c>
      <c r="B3121" s="1" t="n">
        <v>44896</v>
      </c>
      <c r="C3121" s="1" t="n">
        <v>45705</v>
      </c>
      <c r="D3121" t="inlineStr">
        <is>
          <t>UPPSALA LÄN</t>
        </is>
      </c>
      <c r="E3121" t="inlineStr">
        <is>
          <t>TIERP</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57563-2022</t>
        </is>
      </c>
      <c r="B3122" s="1" t="n">
        <v>44896</v>
      </c>
      <c r="C3122" s="1" t="n">
        <v>45705</v>
      </c>
      <c r="D3122" t="inlineStr">
        <is>
          <t>UPPSALA LÄN</t>
        </is>
      </c>
      <c r="E3122" t="inlineStr">
        <is>
          <t>ENKÖPING</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57714-2022</t>
        </is>
      </c>
      <c r="B3123" s="1" t="n">
        <v>44897</v>
      </c>
      <c r="C3123" s="1" t="n">
        <v>45705</v>
      </c>
      <c r="D3123" t="inlineStr">
        <is>
          <t>UPPSALA LÄN</t>
        </is>
      </c>
      <c r="E3123" t="inlineStr">
        <is>
          <t>UPPSALA</t>
        </is>
      </c>
      <c r="G3123" t="n">
        <v>8.9</v>
      </c>
      <c r="H3123" t="n">
        <v>0</v>
      </c>
      <c r="I3123" t="n">
        <v>0</v>
      </c>
      <c r="J3123" t="n">
        <v>0</v>
      </c>
      <c r="K3123" t="n">
        <v>0</v>
      </c>
      <c r="L3123" t="n">
        <v>0</v>
      </c>
      <c r="M3123" t="n">
        <v>0</v>
      </c>
      <c r="N3123" t="n">
        <v>0</v>
      </c>
      <c r="O3123" t="n">
        <v>0</v>
      </c>
      <c r="P3123" t="n">
        <v>0</v>
      </c>
      <c r="Q3123" t="n">
        <v>0</v>
      </c>
      <c r="R3123" s="2" t="inlineStr"/>
    </row>
    <row r="3124" ht="15" customHeight="1">
      <c r="A3124" t="inlineStr">
        <is>
          <t>A 57809-2022</t>
        </is>
      </c>
      <c r="B3124" s="1" t="n">
        <v>44897</v>
      </c>
      <c r="C3124" s="1" t="n">
        <v>45705</v>
      </c>
      <c r="D3124" t="inlineStr">
        <is>
          <t>UPPSALA LÄN</t>
        </is>
      </c>
      <c r="E3124" t="inlineStr">
        <is>
          <t>UPPSALA</t>
        </is>
      </c>
      <c r="G3124" t="n">
        <v>8.9</v>
      </c>
      <c r="H3124" t="n">
        <v>0</v>
      </c>
      <c r="I3124" t="n">
        <v>0</v>
      </c>
      <c r="J3124" t="n">
        <v>0</v>
      </c>
      <c r="K3124" t="n">
        <v>0</v>
      </c>
      <c r="L3124" t="n">
        <v>0</v>
      </c>
      <c r="M3124" t="n">
        <v>0</v>
      </c>
      <c r="N3124" t="n">
        <v>0</v>
      </c>
      <c r="O3124" t="n">
        <v>0</v>
      </c>
      <c r="P3124" t="n">
        <v>0</v>
      </c>
      <c r="Q3124" t="n">
        <v>0</v>
      </c>
      <c r="R3124" s="2" t="inlineStr"/>
    </row>
    <row r="3125" ht="15" customHeight="1">
      <c r="A3125" t="inlineStr">
        <is>
          <t>A 58023-2022</t>
        </is>
      </c>
      <c r="B3125" s="1" t="n">
        <v>44900</v>
      </c>
      <c r="C3125" s="1" t="n">
        <v>45705</v>
      </c>
      <c r="D3125" t="inlineStr">
        <is>
          <t>UPPSALA LÄN</t>
        </is>
      </c>
      <c r="E3125" t="inlineStr">
        <is>
          <t>UPPSALA</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58096-2022</t>
        </is>
      </c>
      <c r="B3126" s="1" t="n">
        <v>44900</v>
      </c>
      <c r="C3126" s="1" t="n">
        <v>45705</v>
      </c>
      <c r="D3126" t="inlineStr">
        <is>
          <t>UPPSALA LÄN</t>
        </is>
      </c>
      <c r="E3126" t="inlineStr">
        <is>
          <t>UPPSALA</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57940-2022</t>
        </is>
      </c>
      <c r="B3127" s="1" t="n">
        <v>44900</v>
      </c>
      <c r="C3127" s="1" t="n">
        <v>45705</v>
      </c>
      <c r="D3127" t="inlineStr">
        <is>
          <t>UPPSALA LÄN</t>
        </is>
      </c>
      <c r="E3127" t="inlineStr">
        <is>
          <t>ENKÖPING</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58120-2022</t>
        </is>
      </c>
      <c r="B3128" s="1" t="n">
        <v>44900</v>
      </c>
      <c r="C3128" s="1" t="n">
        <v>45705</v>
      </c>
      <c r="D3128" t="inlineStr">
        <is>
          <t>UPPSALA LÄN</t>
        </is>
      </c>
      <c r="E3128" t="inlineStr">
        <is>
          <t>TIERP</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58127-2022</t>
        </is>
      </c>
      <c r="B3129" s="1" t="n">
        <v>44900</v>
      </c>
      <c r="C3129" s="1" t="n">
        <v>45705</v>
      </c>
      <c r="D3129" t="inlineStr">
        <is>
          <t>UPPSALA LÄN</t>
        </is>
      </c>
      <c r="E3129" t="inlineStr">
        <is>
          <t>ÖSTHAMMAR</t>
        </is>
      </c>
      <c r="F3129" t="inlineStr">
        <is>
          <t>Bergvik skog öst AB</t>
        </is>
      </c>
      <c r="G3129" t="n">
        <v>6.4</v>
      </c>
      <c r="H3129" t="n">
        <v>0</v>
      </c>
      <c r="I3129" t="n">
        <v>0</v>
      </c>
      <c r="J3129" t="n">
        <v>0</v>
      </c>
      <c r="K3129" t="n">
        <v>0</v>
      </c>
      <c r="L3129" t="n">
        <v>0</v>
      </c>
      <c r="M3129" t="n">
        <v>0</v>
      </c>
      <c r="N3129" t="n">
        <v>0</v>
      </c>
      <c r="O3129" t="n">
        <v>0</v>
      </c>
      <c r="P3129" t="n">
        <v>0</v>
      </c>
      <c r="Q3129" t="n">
        <v>0</v>
      </c>
      <c r="R3129" s="2" t="inlineStr"/>
    </row>
    <row r="3130" ht="15" customHeight="1">
      <c r="A3130" t="inlineStr">
        <is>
          <t>A 58058-2022</t>
        </is>
      </c>
      <c r="B3130" s="1" t="n">
        <v>44900</v>
      </c>
      <c r="C3130" s="1" t="n">
        <v>45705</v>
      </c>
      <c r="D3130" t="inlineStr">
        <is>
          <t>UPPSALA LÄN</t>
        </is>
      </c>
      <c r="E3130" t="inlineStr">
        <is>
          <t>TIERP</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58080-2022</t>
        </is>
      </c>
      <c r="B3131" s="1" t="n">
        <v>44900</v>
      </c>
      <c r="C3131" s="1" t="n">
        <v>45705</v>
      </c>
      <c r="D3131" t="inlineStr">
        <is>
          <t>UPPSALA LÄN</t>
        </is>
      </c>
      <c r="E3131" t="inlineStr">
        <is>
          <t>TIERP</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58124-2022</t>
        </is>
      </c>
      <c r="B3132" s="1" t="n">
        <v>44900</v>
      </c>
      <c r="C3132" s="1" t="n">
        <v>45705</v>
      </c>
      <c r="D3132" t="inlineStr">
        <is>
          <t>UPPSALA LÄN</t>
        </is>
      </c>
      <c r="E3132" t="inlineStr">
        <is>
          <t>HEBY</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58367-2022</t>
        </is>
      </c>
      <c r="B3133" s="1" t="n">
        <v>44901</v>
      </c>
      <c r="C3133" s="1" t="n">
        <v>45705</v>
      </c>
      <c r="D3133" t="inlineStr">
        <is>
          <t>UPPSALA LÄN</t>
        </is>
      </c>
      <c r="E3133" t="inlineStr">
        <is>
          <t>ÖSTHAMMAR</t>
        </is>
      </c>
      <c r="F3133" t="inlineStr">
        <is>
          <t>Bergvik skog öst AB</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58222-2022</t>
        </is>
      </c>
      <c r="B3134" s="1" t="n">
        <v>44901</v>
      </c>
      <c r="C3134" s="1" t="n">
        <v>45705</v>
      </c>
      <c r="D3134" t="inlineStr">
        <is>
          <t>UPPSALA LÄN</t>
        </is>
      </c>
      <c r="E3134" t="inlineStr">
        <is>
          <t>TIERP</t>
        </is>
      </c>
      <c r="F3134" t="inlineStr">
        <is>
          <t>Bergvik skog väst AB</t>
        </is>
      </c>
      <c r="G3134" t="n">
        <v>6.1</v>
      </c>
      <c r="H3134" t="n">
        <v>0</v>
      </c>
      <c r="I3134" t="n">
        <v>0</v>
      </c>
      <c r="J3134" t="n">
        <v>0</v>
      </c>
      <c r="K3134" t="n">
        <v>0</v>
      </c>
      <c r="L3134" t="n">
        <v>0</v>
      </c>
      <c r="M3134" t="n">
        <v>0</v>
      </c>
      <c r="N3134" t="n">
        <v>0</v>
      </c>
      <c r="O3134" t="n">
        <v>0</v>
      </c>
      <c r="P3134" t="n">
        <v>0</v>
      </c>
      <c r="Q3134" t="n">
        <v>0</v>
      </c>
      <c r="R3134" s="2" t="inlineStr"/>
    </row>
    <row r="3135" ht="15" customHeight="1">
      <c r="A3135" t="inlineStr">
        <is>
          <t>A 58384-2022</t>
        </is>
      </c>
      <c r="B3135" s="1" t="n">
        <v>44901</v>
      </c>
      <c r="C3135" s="1" t="n">
        <v>45705</v>
      </c>
      <c r="D3135" t="inlineStr">
        <is>
          <t>UPPSALA LÄN</t>
        </is>
      </c>
      <c r="E3135" t="inlineStr">
        <is>
          <t>ENKÖPING</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58243-2022</t>
        </is>
      </c>
      <c r="B3136" s="1" t="n">
        <v>44901</v>
      </c>
      <c r="C3136" s="1" t="n">
        <v>45705</v>
      </c>
      <c r="D3136" t="inlineStr">
        <is>
          <t>UPPSALA LÄN</t>
        </is>
      </c>
      <c r="E3136" t="inlineStr">
        <is>
          <t>UPPSALA</t>
        </is>
      </c>
      <c r="F3136" t="inlineStr">
        <is>
          <t>Sveaskog</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58412-2022</t>
        </is>
      </c>
      <c r="B3137" s="1" t="n">
        <v>44901</v>
      </c>
      <c r="C3137" s="1" t="n">
        <v>45705</v>
      </c>
      <c r="D3137" t="inlineStr">
        <is>
          <t>UPPSALA LÄN</t>
        </is>
      </c>
      <c r="E3137" t="inlineStr">
        <is>
          <t>HEBY</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58410-2022</t>
        </is>
      </c>
      <c r="B3138" s="1" t="n">
        <v>44901</v>
      </c>
      <c r="C3138" s="1" t="n">
        <v>45705</v>
      </c>
      <c r="D3138" t="inlineStr">
        <is>
          <t>UPPSALA LÄN</t>
        </is>
      </c>
      <c r="E3138" t="inlineStr">
        <is>
          <t>HEBY</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58691-2022</t>
        </is>
      </c>
      <c r="B3139" s="1" t="n">
        <v>44902</v>
      </c>
      <c r="C3139" s="1" t="n">
        <v>45705</v>
      </c>
      <c r="D3139" t="inlineStr">
        <is>
          <t>UPPSALA LÄN</t>
        </is>
      </c>
      <c r="E3139" t="inlineStr">
        <is>
          <t>TIERP</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58878-2022</t>
        </is>
      </c>
      <c r="B3140" s="1" t="n">
        <v>44903</v>
      </c>
      <c r="C3140" s="1" t="n">
        <v>45705</v>
      </c>
      <c r="D3140" t="inlineStr">
        <is>
          <t>UPPSALA LÄN</t>
        </is>
      </c>
      <c r="E3140" t="inlineStr">
        <is>
          <t>ÖSTHAMMAR</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58957-2022</t>
        </is>
      </c>
      <c r="B3141" s="1" t="n">
        <v>44903</v>
      </c>
      <c r="C3141" s="1" t="n">
        <v>45705</v>
      </c>
      <c r="D3141" t="inlineStr">
        <is>
          <t>UPPSALA LÄN</t>
        </is>
      </c>
      <c r="E3141" t="inlineStr">
        <is>
          <t>TIERP</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59015-2022</t>
        </is>
      </c>
      <c r="B3142" s="1" t="n">
        <v>44903</v>
      </c>
      <c r="C3142" s="1" t="n">
        <v>45705</v>
      </c>
      <c r="D3142" t="inlineStr">
        <is>
          <t>UPPSALA LÄN</t>
        </is>
      </c>
      <c r="E3142" t="inlineStr">
        <is>
          <t>HEBY</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60258-2022</t>
        </is>
      </c>
      <c r="B3143" s="1" t="n">
        <v>44903</v>
      </c>
      <c r="C3143" s="1" t="n">
        <v>45705</v>
      </c>
      <c r="D3143" t="inlineStr">
        <is>
          <t>UPPSALA LÄN</t>
        </is>
      </c>
      <c r="E3143" t="inlineStr">
        <is>
          <t>ÖSTHAMMAR</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59190-2022</t>
        </is>
      </c>
      <c r="B3144" s="1" t="n">
        <v>44904</v>
      </c>
      <c r="C3144" s="1" t="n">
        <v>45705</v>
      </c>
      <c r="D3144" t="inlineStr">
        <is>
          <t>UPPSALA LÄN</t>
        </is>
      </c>
      <c r="E3144" t="inlineStr">
        <is>
          <t>ENKÖPING</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59200-2022</t>
        </is>
      </c>
      <c r="B3145" s="1" t="n">
        <v>44904</v>
      </c>
      <c r="C3145" s="1" t="n">
        <v>45705</v>
      </c>
      <c r="D3145" t="inlineStr">
        <is>
          <t>UPPSALA LÄN</t>
        </is>
      </c>
      <c r="E3145" t="inlineStr">
        <is>
          <t>ENKÖPING</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59337-2022</t>
        </is>
      </c>
      <c r="B3146" s="1" t="n">
        <v>44904</v>
      </c>
      <c r="C3146" s="1" t="n">
        <v>45705</v>
      </c>
      <c r="D3146" t="inlineStr">
        <is>
          <t>UPPSALA LÄN</t>
        </is>
      </c>
      <c r="E3146" t="inlineStr">
        <is>
          <t>ENKÖPING</t>
        </is>
      </c>
      <c r="G3146" t="n">
        <v>8.4</v>
      </c>
      <c r="H3146" t="n">
        <v>0</v>
      </c>
      <c r="I3146" t="n">
        <v>0</v>
      </c>
      <c r="J3146" t="n">
        <v>0</v>
      </c>
      <c r="K3146" t="n">
        <v>0</v>
      </c>
      <c r="L3146" t="n">
        <v>0</v>
      </c>
      <c r="M3146" t="n">
        <v>0</v>
      </c>
      <c r="N3146" t="n">
        <v>0</v>
      </c>
      <c r="O3146" t="n">
        <v>0</v>
      </c>
      <c r="P3146" t="n">
        <v>0</v>
      </c>
      <c r="Q3146" t="n">
        <v>0</v>
      </c>
      <c r="R3146" s="2" t="inlineStr"/>
    </row>
    <row r="3147" ht="15" customHeight="1">
      <c r="A3147" t="inlineStr">
        <is>
          <t>A 59203-2022</t>
        </is>
      </c>
      <c r="B3147" s="1" t="n">
        <v>44904</v>
      </c>
      <c r="C3147" s="1" t="n">
        <v>45705</v>
      </c>
      <c r="D3147" t="inlineStr">
        <is>
          <t>UPPSALA LÄN</t>
        </is>
      </c>
      <c r="E3147" t="inlineStr">
        <is>
          <t>ENKÖPING</t>
        </is>
      </c>
      <c r="G3147" t="n">
        <v>4.3</v>
      </c>
      <c r="H3147" t="n">
        <v>0</v>
      </c>
      <c r="I3147" t="n">
        <v>0</v>
      </c>
      <c r="J3147" t="n">
        <v>0</v>
      </c>
      <c r="K3147" t="n">
        <v>0</v>
      </c>
      <c r="L3147" t="n">
        <v>0</v>
      </c>
      <c r="M3147" t="n">
        <v>0</v>
      </c>
      <c r="N3147" t="n">
        <v>0</v>
      </c>
      <c r="O3147" t="n">
        <v>0</v>
      </c>
      <c r="P3147" t="n">
        <v>0</v>
      </c>
      <c r="Q3147" t="n">
        <v>0</v>
      </c>
      <c r="R3147" s="2" t="inlineStr"/>
    </row>
    <row r="3148" ht="15" customHeight="1">
      <c r="A3148" t="inlineStr">
        <is>
          <t>A 59344-2022</t>
        </is>
      </c>
      <c r="B3148" s="1" t="n">
        <v>44904</v>
      </c>
      <c r="C3148" s="1" t="n">
        <v>45705</v>
      </c>
      <c r="D3148" t="inlineStr">
        <is>
          <t>UPPSALA LÄN</t>
        </is>
      </c>
      <c r="E3148" t="inlineStr">
        <is>
          <t>ENKÖPING</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59133-2022</t>
        </is>
      </c>
      <c r="B3149" s="1" t="n">
        <v>44904</v>
      </c>
      <c r="C3149" s="1" t="n">
        <v>45705</v>
      </c>
      <c r="D3149" t="inlineStr">
        <is>
          <t>UPPSALA LÄN</t>
        </is>
      </c>
      <c r="E3149" t="inlineStr">
        <is>
          <t>UPPSALA</t>
        </is>
      </c>
      <c r="F3149" t="inlineStr">
        <is>
          <t>Sveaskog</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59345-2022</t>
        </is>
      </c>
      <c r="B3150" s="1" t="n">
        <v>44904</v>
      </c>
      <c r="C3150" s="1" t="n">
        <v>45705</v>
      </c>
      <c r="D3150" t="inlineStr">
        <is>
          <t>UPPSALA LÄN</t>
        </is>
      </c>
      <c r="E3150" t="inlineStr">
        <is>
          <t>ENKÖPING</t>
        </is>
      </c>
      <c r="G3150" t="n">
        <v>4.9</v>
      </c>
      <c r="H3150" t="n">
        <v>0</v>
      </c>
      <c r="I3150" t="n">
        <v>0</v>
      </c>
      <c r="J3150" t="n">
        <v>0</v>
      </c>
      <c r="K3150" t="n">
        <v>0</v>
      </c>
      <c r="L3150" t="n">
        <v>0</v>
      </c>
      <c r="M3150" t="n">
        <v>0</v>
      </c>
      <c r="N3150" t="n">
        <v>0</v>
      </c>
      <c r="O3150" t="n">
        <v>0</v>
      </c>
      <c r="P3150" t="n">
        <v>0</v>
      </c>
      <c r="Q3150" t="n">
        <v>0</v>
      </c>
      <c r="R3150" s="2" t="inlineStr"/>
    </row>
    <row r="3151" ht="15" customHeight="1">
      <c r="A3151" t="inlineStr">
        <is>
          <t>A 59382-2022</t>
        </is>
      </c>
      <c r="B3151" s="1" t="n">
        <v>44905</v>
      </c>
      <c r="C3151" s="1" t="n">
        <v>45705</v>
      </c>
      <c r="D3151" t="inlineStr">
        <is>
          <t>UPPSALA LÄN</t>
        </is>
      </c>
      <c r="E3151" t="inlineStr">
        <is>
          <t>ÖSTHAMMAR</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59393-2022</t>
        </is>
      </c>
      <c r="B3152" s="1" t="n">
        <v>44906</v>
      </c>
      <c r="C3152" s="1" t="n">
        <v>45705</v>
      </c>
      <c r="D3152" t="inlineStr">
        <is>
          <t>UPPSALA LÄN</t>
        </is>
      </c>
      <c r="E3152" t="inlineStr">
        <is>
          <t>TIERP</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59394-2022</t>
        </is>
      </c>
      <c r="B3153" s="1" t="n">
        <v>44906</v>
      </c>
      <c r="C3153" s="1" t="n">
        <v>45705</v>
      </c>
      <c r="D3153" t="inlineStr">
        <is>
          <t>UPPSALA LÄN</t>
        </is>
      </c>
      <c r="E3153" t="inlineStr">
        <is>
          <t>TIERP</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59444-2022</t>
        </is>
      </c>
      <c r="B3154" s="1" t="n">
        <v>44907</v>
      </c>
      <c r="C3154" s="1" t="n">
        <v>45705</v>
      </c>
      <c r="D3154" t="inlineStr">
        <is>
          <t>UPPSALA LÄN</t>
        </is>
      </c>
      <c r="E3154" t="inlineStr">
        <is>
          <t>HEBY</t>
        </is>
      </c>
      <c r="G3154" t="n">
        <v>4.2</v>
      </c>
      <c r="H3154" t="n">
        <v>0</v>
      </c>
      <c r="I3154" t="n">
        <v>0</v>
      </c>
      <c r="J3154" t="n">
        <v>0</v>
      </c>
      <c r="K3154" t="n">
        <v>0</v>
      </c>
      <c r="L3154" t="n">
        <v>0</v>
      </c>
      <c r="M3154" t="n">
        <v>0</v>
      </c>
      <c r="N3154" t="n">
        <v>0</v>
      </c>
      <c r="O3154" t="n">
        <v>0</v>
      </c>
      <c r="P3154" t="n">
        <v>0</v>
      </c>
      <c r="Q3154" t="n">
        <v>0</v>
      </c>
      <c r="R3154" s="2" t="inlineStr"/>
    </row>
    <row r="3155" ht="15" customHeight="1">
      <c r="A3155" t="inlineStr">
        <is>
          <t>A 59563-2022</t>
        </is>
      </c>
      <c r="B3155" s="1" t="n">
        <v>44907</v>
      </c>
      <c r="C3155" s="1" t="n">
        <v>45705</v>
      </c>
      <c r="D3155" t="inlineStr">
        <is>
          <t>UPPSALA LÄN</t>
        </is>
      </c>
      <c r="E3155" t="inlineStr">
        <is>
          <t>ÖSTHAMMAR</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59534-2022</t>
        </is>
      </c>
      <c r="B3156" s="1" t="n">
        <v>44907</v>
      </c>
      <c r="C3156" s="1" t="n">
        <v>45705</v>
      </c>
      <c r="D3156" t="inlineStr">
        <is>
          <t>UPPSALA LÄN</t>
        </is>
      </c>
      <c r="E3156" t="inlineStr">
        <is>
          <t>TIERP</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59609-2022</t>
        </is>
      </c>
      <c r="B3157" s="1" t="n">
        <v>44907</v>
      </c>
      <c r="C3157" s="1" t="n">
        <v>45705</v>
      </c>
      <c r="D3157" t="inlineStr">
        <is>
          <t>UPPSALA LÄN</t>
        </is>
      </c>
      <c r="E3157" t="inlineStr">
        <is>
          <t>ENKÖPING</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59608-2022</t>
        </is>
      </c>
      <c r="B3158" s="1" t="n">
        <v>44907</v>
      </c>
      <c r="C3158" s="1" t="n">
        <v>45705</v>
      </c>
      <c r="D3158" t="inlineStr">
        <is>
          <t>UPPSALA LÄN</t>
        </is>
      </c>
      <c r="E3158" t="inlineStr">
        <is>
          <t>ENKÖPING</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59602-2022</t>
        </is>
      </c>
      <c r="B3159" s="1" t="n">
        <v>44907</v>
      </c>
      <c r="C3159" s="1" t="n">
        <v>45705</v>
      </c>
      <c r="D3159" t="inlineStr">
        <is>
          <t>UPPSALA LÄN</t>
        </is>
      </c>
      <c r="E3159" t="inlineStr">
        <is>
          <t>ENKÖPING</t>
        </is>
      </c>
      <c r="G3159" t="n">
        <v>14.2</v>
      </c>
      <c r="H3159" t="n">
        <v>0</v>
      </c>
      <c r="I3159" t="n">
        <v>0</v>
      </c>
      <c r="J3159" t="n">
        <v>0</v>
      </c>
      <c r="K3159" t="n">
        <v>0</v>
      </c>
      <c r="L3159" t="n">
        <v>0</v>
      </c>
      <c r="M3159" t="n">
        <v>0</v>
      </c>
      <c r="N3159" t="n">
        <v>0</v>
      </c>
      <c r="O3159" t="n">
        <v>0</v>
      </c>
      <c r="P3159" t="n">
        <v>0</v>
      </c>
      <c r="Q3159" t="n">
        <v>0</v>
      </c>
      <c r="R3159" s="2" t="inlineStr"/>
    </row>
    <row r="3160" ht="15" customHeight="1">
      <c r="A3160" t="inlineStr">
        <is>
          <t>A 59589-2022</t>
        </is>
      </c>
      <c r="B3160" s="1" t="n">
        <v>44907</v>
      </c>
      <c r="C3160" s="1" t="n">
        <v>45705</v>
      </c>
      <c r="D3160" t="inlineStr">
        <is>
          <t>UPPSALA LÄN</t>
        </is>
      </c>
      <c r="E3160" t="inlineStr">
        <is>
          <t>TIERP</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59610-2022</t>
        </is>
      </c>
      <c r="B3161" s="1" t="n">
        <v>44907</v>
      </c>
      <c r="C3161" s="1" t="n">
        <v>45705</v>
      </c>
      <c r="D3161" t="inlineStr">
        <is>
          <t>UPPSALA LÄN</t>
        </is>
      </c>
      <c r="E3161" t="inlineStr">
        <is>
          <t>ENKÖPING</t>
        </is>
      </c>
      <c r="G3161" t="n">
        <v>3.6</v>
      </c>
      <c r="H3161" t="n">
        <v>0</v>
      </c>
      <c r="I3161" t="n">
        <v>0</v>
      </c>
      <c r="J3161" t="n">
        <v>0</v>
      </c>
      <c r="K3161" t="n">
        <v>0</v>
      </c>
      <c r="L3161" t="n">
        <v>0</v>
      </c>
      <c r="M3161" t="n">
        <v>0</v>
      </c>
      <c r="N3161" t="n">
        <v>0</v>
      </c>
      <c r="O3161" t="n">
        <v>0</v>
      </c>
      <c r="P3161" t="n">
        <v>0</v>
      </c>
      <c r="Q3161" t="n">
        <v>0</v>
      </c>
      <c r="R3161" s="2" t="inlineStr"/>
    </row>
    <row r="3162" ht="15" customHeight="1">
      <c r="A3162" t="inlineStr">
        <is>
          <t>A 59730-2022</t>
        </is>
      </c>
      <c r="B3162" s="1" t="n">
        <v>44908</v>
      </c>
      <c r="C3162" s="1" t="n">
        <v>45705</v>
      </c>
      <c r="D3162" t="inlineStr">
        <is>
          <t>UPPSALA LÄN</t>
        </is>
      </c>
      <c r="E3162" t="inlineStr">
        <is>
          <t>UPPSALA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59719-2022</t>
        </is>
      </c>
      <c r="B3163" s="1" t="n">
        <v>44908</v>
      </c>
      <c r="C3163" s="1" t="n">
        <v>45705</v>
      </c>
      <c r="D3163" t="inlineStr">
        <is>
          <t>UPPSALA LÄN</t>
        </is>
      </c>
      <c r="E3163" t="inlineStr">
        <is>
          <t>UPPSALA</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59727-2022</t>
        </is>
      </c>
      <c r="B3164" s="1" t="n">
        <v>44908</v>
      </c>
      <c r="C3164" s="1" t="n">
        <v>45705</v>
      </c>
      <c r="D3164" t="inlineStr">
        <is>
          <t>UPPSALA LÄN</t>
        </is>
      </c>
      <c r="E3164" t="inlineStr">
        <is>
          <t>UPPSALA</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59731-2022</t>
        </is>
      </c>
      <c r="B3165" s="1" t="n">
        <v>44908</v>
      </c>
      <c r="C3165" s="1" t="n">
        <v>45705</v>
      </c>
      <c r="D3165" t="inlineStr">
        <is>
          <t>UPPSALA LÄN</t>
        </is>
      </c>
      <c r="E3165" t="inlineStr">
        <is>
          <t>TIERP</t>
        </is>
      </c>
      <c r="F3165" t="inlineStr">
        <is>
          <t>Kyrkan</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59880-2022</t>
        </is>
      </c>
      <c r="B3166" s="1" t="n">
        <v>44908</v>
      </c>
      <c r="C3166" s="1" t="n">
        <v>45705</v>
      </c>
      <c r="D3166" t="inlineStr">
        <is>
          <t>UPPSALA LÄN</t>
        </is>
      </c>
      <c r="E3166" t="inlineStr">
        <is>
          <t>ÖSTHAMMAR</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60056-2022</t>
        </is>
      </c>
      <c r="B3167" s="1" t="n">
        <v>44909</v>
      </c>
      <c r="C3167" s="1" t="n">
        <v>45705</v>
      </c>
      <c r="D3167" t="inlineStr">
        <is>
          <t>UPPSALA LÄN</t>
        </is>
      </c>
      <c r="E3167" t="inlineStr">
        <is>
          <t>UPPSALA</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60154-2022</t>
        </is>
      </c>
      <c r="B3168" s="1" t="n">
        <v>44909</v>
      </c>
      <c r="C3168" s="1" t="n">
        <v>45705</v>
      </c>
      <c r="D3168" t="inlineStr">
        <is>
          <t>UPPSALA LÄN</t>
        </is>
      </c>
      <c r="E3168" t="inlineStr">
        <is>
          <t>TIERP</t>
        </is>
      </c>
      <c r="G3168" t="n">
        <v>6</v>
      </c>
      <c r="H3168" t="n">
        <v>0</v>
      </c>
      <c r="I3168" t="n">
        <v>0</v>
      </c>
      <c r="J3168" t="n">
        <v>0</v>
      </c>
      <c r="K3168" t="n">
        <v>0</v>
      </c>
      <c r="L3168" t="n">
        <v>0</v>
      </c>
      <c r="M3168" t="n">
        <v>0</v>
      </c>
      <c r="N3168" t="n">
        <v>0</v>
      </c>
      <c r="O3168" t="n">
        <v>0</v>
      </c>
      <c r="P3168" t="n">
        <v>0</v>
      </c>
      <c r="Q3168" t="n">
        <v>0</v>
      </c>
      <c r="R3168" s="2" t="inlineStr"/>
    </row>
    <row r="3169" ht="15" customHeight="1">
      <c r="A3169" t="inlineStr">
        <is>
          <t>A 60047-2022</t>
        </is>
      </c>
      <c r="B3169" s="1" t="n">
        <v>44909</v>
      </c>
      <c r="C3169" s="1" t="n">
        <v>45705</v>
      </c>
      <c r="D3169" t="inlineStr">
        <is>
          <t>UPPSALA LÄN</t>
        </is>
      </c>
      <c r="E3169" t="inlineStr">
        <is>
          <t>UPPSALA</t>
        </is>
      </c>
      <c r="F3169" t="inlineStr">
        <is>
          <t>Kyrkan</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60079-2022</t>
        </is>
      </c>
      <c r="B3170" s="1" t="n">
        <v>44909</v>
      </c>
      <c r="C3170" s="1" t="n">
        <v>45705</v>
      </c>
      <c r="D3170" t="inlineStr">
        <is>
          <t>UPPSALA LÄN</t>
        </is>
      </c>
      <c r="E3170" t="inlineStr">
        <is>
          <t>ÖSTHAMMAR</t>
        </is>
      </c>
      <c r="G3170" t="n">
        <v>9.6</v>
      </c>
      <c r="H3170" t="n">
        <v>0</v>
      </c>
      <c r="I3170" t="n">
        <v>0</v>
      </c>
      <c r="J3170" t="n">
        <v>0</v>
      </c>
      <c r="K3170" t="n">
        <v>0</v>
      </c>
      <c r="L3170" t="n">
        <v>0</v>
      </c>
      <c r="M3170" t="n">
        <v>0</v>
      </c>
      <c r="N3170" t="n">
        <v>0</v>
      </c>
      <c r="O3170" t="n">
        <v>0</v>
      </c>
      <c r="P3170" t="n">
        <v>0</v>
      </c>
      <c r="Q3170" t="n">
        <v>0</v>
      </c>
      <c r="R3170" s="2" t="inlineStr"/>
    </row>
    <row r="3171" ht="15" customHeight="1">
      <c r="A3171" t="inlineStr">
        <is>
          <t>A 59963-2022</t>
        </is>
      </c>
      <c r="B3171" s="1" t="n">
        <v>44909</v>
      </c>
      <c r="C3171" s="1" t="n">
        <v>45705</v>
      </c>
      <c r="D3171" t="inlineStr">
        <is>
          <t>UPPSALA LÄN</t>
        </is>
      </c>
      <c r="E3171" t="inlineStr">
        <is>
          <t>HEBY</t>
        </is>
      </c>
      <c r="F3171" t="inlineStr">
        <is>
          <t>Allmännings- och besparingsskogar</t>
        </is>
      </c>
      <c r="G3171" t="n">
        <v>12.6</v>
      </c>
      <c r="H3171" t="n">
        <v>0</v>
      </c>
      <c r="I3171" t="n">
        <v>0</v>
      </c>
      <c r="J3171" t="n">
        <v>0</v>
      </c>
      <c r="K3171" t="n">
        <v>0</v>
      </c>
      <c r="L3171" t="n">
        <v>0</v>
      </c>
      <c r="M3171" t="n">
        <v>0</v>
      </c>
      <c r="N3171" t="n">
        <v>0</v>
      </c>
      <c r="O3171" t="n">
        <v>0</v>
      </c>
      <c r="P3171" t="n">
        <v>0</v>
      </c>
      <c r="Q3171" t="n">
        <v>0</v>
      </c>
      <c r="R3171" s="2" t="inlineStr"/>
    </row>
    <row r="3172" ht="15" customHeight="1">
      <c r="A3172" t="inlineStr">
        <is>
          <t>A 60132-2022</t>
        </is>
      </c>
      <c r="B3172" s="1" t="n">
        <v>44909</v>
      </c>
      <c r="C3172" s="1" t="n">
        <v>45705</v>
      </c>
      <c r="D3172" t="inlineStr">
        <is>
          <t>UPPSALA LÄN</t>
        </is>
      </c>
      <c r="E3172" t="inlineStr">
        <is>
          <t>ENKÖPING</t>
        </is>
      </c>
      <c r="F3172" t="inlineStr">
        <is>
          <t>Allmännings- och besparingsskogar</t>
        </is>
      </c>
      <c r="G3172" t="n">
        <v>5.4</v>
      </c>
      <c r="H3172" t="n">
        <v>0</v>
      </c>
      <c r="I3172" t="n">
        <v>0</v>
      </c>
      <c r="J3172" t="n">
        <v>0</v>
      </c>
      <c r="K3172" t="n">
        <v>0</v>
      </c>
      <c r="L3172" t="n">
        <v>0</v>
      </c>
      <c r="M3172" t="n">
        <v>0</v>
      </c>
      <c r="N3172" t="n">
        <v>0</v>
      </c>
      <c r="O3172" t="n">
        <v>0</v>
      </c>
      <c r="P3172" t="n">
        <v>0</v>
      </c>
      <c r="Q3172" t="n">
        <v>0</v>
      </c>
      <c r="R3172" s="2" t="inlineStr"/>
    </row>
    <row r="3173" ht="15" customHeight="1">
      <c r="A3173" t="inlineStr">
        <is>
          <t>A 60151-2022</t>
        </is>
      </c>
      <c r="B3173" s="1" t="n">
        <v>44909</v>
      </c>
      <c r="C3173" s="1" t="n">
        <v>45705</v>
      </c>
      <c r="D3173" t="inlineStr">
        <is>
          <t>UPPSALA LÄN</t>
        </is>
      </c>
      <c r="E3173" t="inlineStr">
        <is>
          <t>TIERP</t>
        </is>
      </c>
      <c r="G3173" t="n">
        <v>4.1</v>
      </c>
      <c r="H3173" t="n">
        <v>0</v>
      </c>
      <c r="I3173" t="n">
        <v>0</v>
      </c>
      <c r="J3173" t="n">
        <v>0</v>
      </c>
      <c r="K3173" t="n">
        <v>0</v>
      </c>
      <c r="L3173" t="n">
        <v>0</v>
      </c>
      <c r="M3173" t="n">
        <v>0</v>
      </c>
      <c r="N3173" t="n">
        <v>0</v>
      </c>
      <c r="O3173" t="n">
        <v>0</v>
      </c>
      <c r="P3173" t="n">
        <v>0</v>
      </c>
      <c r="Q3173" t="n">
        <v>0</v>
      </c>
      <c r="R3173" s="2" t="inlineStr"/>
    </row>
    <row r="3174" ht="15" customHeight="1">
      <c r="A3174" t="inlineStr">
        <is>
          <t>A 59968-2022</t>
        </is>
      </c>
      <c r="B3174" s="1" t="n">
        <v>44909</v>
      </c>
      <c r="C3174" s="1" t="n">
        <v>45705</v>
      </c>
      <c r="D3174" t="inlineStr">
        <is>
          <t>UPPSALA LÄN</t>
        </is>
      </c>
      <c r="E3174" t="inlineStr">
        <is>
          <t>HEBY</t>
        </is>
      </c>
      <c r="F3174" t="inlineStr">
        <is>
          <t>Allmännings- och besparingsskogar</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60289-2022</t>
        </is>
      </c>
      <c r="B3175" s="1" t="n">
        <v>44910</v>
      </c>
      <c r="C3175" s="1" t="n">
        <v>45705</v>
      </c>
      <c r="D3175" t="inlineStr">
        <is>
          <t>UPPSALA LÄN</t>
        </is>
      </c>
      <c r="E3175" t="inlineStr">
        <is>
          <t>ENKÖPING</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60350-2022</t>
        </is>
      </c>
      <c r="B3176" s="1" t="n">
        <v>44910</v>
      </c>
      <c r="C3176" s="1" t="n">
        <v>45705</v>
      </c>
      <c r="D3176" t="inlineStr">
        <is>
          <t>UPPSALA LÄN</t>
        </is>
      </c>
      <c r="E3176" t="inlineStr">
        <is>
          <t>ENKÖPING</t>
        </is>
      </c>
      <c r="F3176" t="inlineStr">
        <is>
          <t>Allmännings- och besparingsskogar</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61434-2022</t>
        </is>
      </c>
      <c r="B3177" s="1" t="n">
        <v>44910</v>
      </c>
      <c r="C3177" s="1" t="n">
        <v>45705</v>
      </c>
      <c r="D3177" t="inlineStr">
        <is>
          <t>UPPSALA LÄN</t>
        </is>
      </c>
      <c r="E3177" t="inlineStr">
        <is>
          <t>HEBY</t>
        </is>
      </c>
      <c r="F3177" t="inlineStr">
        <is>
          <t>Bergvik skog väst AB</t>
        </is>
      </c>
      <c r="G3177" t="n">
        <v>5.1</v>
      </c>
      <c r="H3177" t="n">
        <v>0</v>
      </c>
      <c r="I3177" t="n">
        <v>0</v>
      </c>
      <c r="J3177" t="n">
        <v>0</v>
      </c>
      <c r="K3177" t="n">
        <v>0</v>
      </c>
      <c r="L3177" t="n">
        <v>0</v>
      </c>
      <c r="M3177" t="n">
        <v>0</v>
      </c>
      <c r="N3177" t="n">
        <v>0</v>
      </c>
      <c r="O3177" t="n">
        <v>0</v>
      </c>
      <c r="P3177" t="n">
        <v>0</v>
      </c>
      <c r="Q3177" t="n">
        <v>0</v>
      </c>
      <c r="R3177" s="2" t="inlineStr"/>
    </row>
    <row r="3178" ht="15" customHeight="1">
      <c r="A3178" t="inlineStr">
        <is>
          <t>A 60456-2022</t>
        </is>
      </c>
      <c r="B3178" s="1" t="n">
        <v>44911</v>
      </c>
      <c r="C3178" s="1" t="n">
        <v>45705</v>
      </c>
      <c r="D3178" t="inlineStr">
        <is>
          <t>UPPSALA LÄN</t>
        </is>
      </c>
      <c r="E3178" t="inlineStr">
        <is>
          <t>HEBY</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60478-2022</t>
        </is>
      </c>
      <c r="B3179" s="1" t="n">
        <v>44911</v>
      </c>
      <c r="C3179" s="1" t="n">
        <v>45705</v>
      </c>
      <c r="D3179" t="inlineStr">
        <is>
          <t>UPPSALA LÄN</t>
        </is>
      </c>
      <c r="E3179" t="inlineStr">
        <is>
          <t>ENKÖPING</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60552-2022</t>
        </is>
      </c>
      <c r="B3180" s="1" t="n">
        <v>44911</v>
      </c>
      <c r="C3180" s="1" t="n">
        <v>45705</v>
      </c>
      <c r="D3180" t="inlineStr">
        <is>
          <t>UPPSALA LÄN</t>
        </is>
      </c>
      <c r="E3180" t="inlineStr">
        <is>
          <t>HEBY</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60461-2022</t>
        </is>
      </c>
      <c r="B3181" s="1" t="n">
        <v>44911</v>
      </c>
      <c r="C3181" s="1" t="n">
        <v>45705</v>
      </c>
      <c r="D3181" t="inlineStr">
        <is>
          <t>UPPSALA LÄN</t>
        </is>
      </c>
      <c r="E3181" t="inlineStr">
        <is>
          <t>HEBY</t>
        </is>
      </c>
      <c r="G3181" t="n">
        <v>3.8</v>
      </c>
      <c r="H3181" t="n">
        <v>0</v>
      </c>
      <c r="I3181" t="n">
        <v>0</v>
      </c>
      <c r="J3181" t="n">
        <v>0</v>
      </c>
      <c r="K3181" t="n">
        <v>0</v>
      </c>
      <c r="L3181" t="n">
        <v>0</v>
      </c>
      <c r="M3181" t="n">
        <v>0</v>
      </c>
      <c r="N3181" t="n">
        <v>0</v>
      </c>
      <c r="O3181" t="n">
        <v>0</v>
      </c>
      <c r="P3181" t="n">
        <v>0</v>
      </c>
      <c r="Q3181" t="n">
        <v>0</v>
      </c>
      <c r="R3181" s="2" t="inlineStr"/>
    </row>
    <row r="3182" ht="15" customHeight="1">
      <c r="A3182" t="inlineStr">
        <is>
          <t>A 60597-2022</t>
        </is>
      </c>
      <c r="B3182" s="1" t="n">
        <v>44911</v>
      </c>
      <c r="C3182" s="1" t="n">
        <v>45705</v>
      </c>
      <c r="D3182" t="inlineStr">
        <is>
          <t>UPPSALA LÄN</t>
        </is>
      </c>
      <c r="E3182" t="inlineStr">
        <is>
          <t>ÖSTHAMMAR</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60505-2022</t>
        </is>
      </c>
      <c r="B3183" s="1" t="n">
        <v>44911</v>
      </c>
      <c r="C3183" s="1" t="n">
        <v>45705</v>
      </c>
      <c r="D3183" t="inlineStr">
        <is>
          <t>UPPSALA LÄN</t>
        </is>
      </c>
      <c r="E3183" t="inlineStr">
        <is>
          <t>TIERP</t>
        </is>
      </c>
      <c r="F3183" t="inlineStr">
        <is>
          <t>Bergvik skog öst AB</t>
        </is>
      </c>
      <c r="G3183" t="n">
        <v>8</v>
      </c>
      <c r="H3183" t="n">
        <v>0</v>
      </c>
      <c r="I3183" t="n">
        <v>0</v>
      </c>
      <c r="J3183" t="n">
        <v>0</v>
      </c>
      <c r="K3183" t="n">
        <v>0</v>
      </c>
      <c r="L3183" t="n">
        <v>0</v>
      </c>
      <c r="M3183" t="n">
        <v>0</v>
      </c>
      <c r="N3183" t="n">
        <v>0</v>
      </c>
      <c r="O3183" t="n">
        <v>0</v>
      </c>
      <c r="P3183" t="n">
        <v>0</v>
      </c>
      <c r="Q3183" t="n">
        <v>0</v>
      </c>
      <c r="R3183" s="2" t="inlineStr"/>
    </row>
    <row r="3184" ht="15" customHeight="1">
      <c r="A3184" t="inlineStr">
        <is>
          <t>A 60702-2022</t>
        </is>
      </c>
      <c r="B3184" s="1" t="n">
        <v>44912</v>
      </c>
      <c r="C3184" s="1" t="n">
        <v>45705</v>
      </c>
      <c r="D3184" t="inlineStr">
        <is>
          <t>UPPSALA LÄN</t>
        </is>
      </c>
      <c r="E3184" t="inlineStr">
        <is>
          <t>UPPSALA</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60701-2022</t>
        </is>
      </c>
      <c r="B3185" s="1" t="n">
        <v>44912</v>
      </c>
      <c r="C3185" s="1" t="n">
        <v>45705</v>
      </c>
      <c r="D3185" t="inlineStr">
        <is>
          <t>UPPSALA LÄN</t>
        </is>
      </c>
      <c r="E3185" t="inlineStr">
        <is>
          <t>UPPSALA</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60722-2022</t>
        </is>
      </c>
      <c r="B3186" s="1" t="n">
        <v>44913</v>
      </c>
      <c r="C3186" s="1" t="n">
        <v>45705</v>
      </c>
      <c r="D3186" t="inlineStr">
        <is>
          <t>UPPSALA LÄN</t>
        </is>
      </c>
      <c r="E3186" t="inlineStr">
        <is>
          <t>HEBY</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60788-2022</t>
        </is>
      </c>
      <c r="B3187" s="1" t="n">
        <v>44914</v>
      </c>
      <c r="C3187" s="1" t="n">
        <v>45705</v>
      </c>
      <c r="D3187" t="inlineStr">
        <is>
          <t>UPPSALA LÄN</t>
        </is>
      </c>
      <c r="E3187" t="inlineStr">
        <is>
          <t>HEBY</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60798-2022</t>
        </is>
      </c>
      <c r="B3188" s="1" t="n">
        <v>44914</v>
      </c>
      <c r="C3188" s="1" t="n">
        <v>45705</v>
      </c>
      <c r="D3188" t="inlineStr">
        <is>
          <t>UPPSALA LÄN</t>
        </is>
      </c>
      <c r="E3188" t="inlineStr">
        <is>
          <t>HEBY</t>
        </is>
      </c>
      <c r="G3188" t="n">
        <v>4.4</v>
      </c>
      <c r="H3188" t="n">
        <v>0</v>
      </c>
      <c r="I3188" t="n">
        <v>0</v>
      </c>
      <c r="J3188" t="n">
        <v>0</v>
      </c>
      <c r="K3188" t="n">
        <v>0</v>
      </c>
      <c r="L3188" t="n">
        <v>0</v>
      </c>
      <c r="M3188" t="n">
        <v>0</v>
      </c>
      <c r="N3188" t="n">
        <v>0</v>
      </c>
      <c r="O3188" t="n">
        <v>0</v>
      </c>
      <c r="P3188" t="n">
        <v>0</v>
      </c>
      <c r="Q3188" t="n">
        <v>0</v>
      </c>
      <c r="R3188" s="2" t="inlineStr"/>
    </row>
    <row r="3189" ht="15" customHeight="1">
      <c r="A3189" t="inlineStr">
        <is>
          <t>A 60837-2022</t>
        </is>
      </c>
      <c r="B3189" s="1" t="n">
        <v>44914</v>
      </c>
      <c r="C3189" s="1" t="n">
        <v>45705</v>
      </c>
      <c r="D3189" t="inlineStr">
        <is>
          <t>UPPSALA LÄN</t>
        </is>
      </c>
      <c r="E3189" t="inlineStr">
        <is>
          <t>ÄLVKARLEBY</t>
        </is>
      </c>
      <c r="F3189" t="inlineStr">
        <is>
          <t>Bergvik skog väst AB</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60984-2022</t>
        </is>
      </c>
      <c r="B3190" s="1" t="n">
        <v>44914</v>
      </c>
      <c r="C3190" s="1" t="n">
        <v>45705</v>
      </c>
      <c r="D3190" t="inlineStr">
        <is>
          <t>UPPSALA LÄN</t>
        </is>
      </c>
      <c r="E3190" t="inlineStr">
        <is>
          <t>UPPSALA</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60900-2022</t>
        </is>
      </c>
      <c r="B3191" s="1" t="n">
        <v>44914</v>
      </c>
      <c r="C3191" s="1" t="n">
        <v>45705</v>
      </c>
      <c r="D3191" t="inlineStr">
        <is>
          <t>UPPSALA LÄN</t>
        </is>
      </c>
      <c r="E3191" t="inlineStr">
        <is>
          <t>HEBY</t>
        </is>
      </c>
      <c r="G3191" t="n">
        <v>7.5</v>
      </c>
      <c r="H3191" t="n">
        <v>0</v>
      </c>
      <c r="I3191" t="n">
        <v>0</v>
      </c>
      <c r="J3191" t="n">
        <v>0</v>
      </c>
      <c r="K3191" t="n">
        <v>0</v>
      </c>
      <c r="L3191" t="n">
        <v>0</v>
      </c>
      <c r="M3191" t="n">
        <v>0</v>
      </c>
      <c r="N3191" t="n">
        <v>0</v>
      </c>
      <c r="O3191" t="n">
        <v>0</v>
      </c>
      <c r="P3191" t="n">
        <v>0</v>
      </c>
      <c r="Q3191" t="n">
        <v>0</v>
      </c>
      <c r="R3191" s="2" t="inlineStr"/>
    </row>
    <row r="3192" ht="15" customHeight="1">
      <c r="A3192" t="inlineStr">
        <is>
          <t>A 60986-2022</t>
        </is>
      </c>
      <c r="B3192" s="1" t="n">
        <v>44914</v>
      </c>
      <c r="C3192" s="1" t="n">
        <v>45705</v>
      </c>
      <c r="D3192" t="inlineStr">
        <is>
          <t>UPPSALA LÄN</t>
        </is>
      </c>
      <c r="E3192" t="inlineStr">
        <is>
          <t>UPPSALA</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60988-2022</t>
        </is>
      </c>
      <c r="B3193" s="1" t="n">
        <v>44914</v>
      </c>
      <c r="C3193" s="1" t="n">
        <v>45705</v>
      </c>
      <c r="D3193" t="inlineStr">
        <is>
          <t>UPPSALA LÄN</t>
        </is>
      </c>
      <c r="E3193" t="inlineStr">
        <is>
          <t>UPPSALA</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62132-2022</t>
        </is>
      </c>
      <c r="B3194" s="1" t="n">
        <v>44914</v>
      </c>
      <c r="C3194" s="1" t="n">
        <v>45705</v>
      </c>
      <c r="D3194" t="inlineStr">
        <is>
          <t>UPPSALA LÄN</t>
        </is>
      </c>
      <c r="E3194" t="inlineStr">
        <is>
          <t>HEBY</t>
        </is>
      </c>
      <c r="G3194" t="n">
        <v>4.6</v>
      </c>
      <c r="H3194" t="n">
        <v>0</v>
      </c>
      <c r="I3194" t="n">
        <v>0</v>
      </c>
      <c r="J3194" t="n">
        <v>0</v>
      </c>
      <c r="K3194" t="n">
        <v>0</v>
      </c>
      <c r="L3194" t="n">
        <v>0</v>
      </c>
      <c r="M3194" t="n">
        <v>0</v>
      </c>
      <c r="N3194" t="n">
        <v>0</v>
      </c>
      <c r="O3194" t="n">
        <v>0</v>
      </c>
      <c r="P3194" t="n">
        <v>0</v>
      </c>
      <c r="Q3194" t="n">
        <v>0</v>
      </c>
      <c r="R3194" s="2" t="inlineStr"/>
    </row>
    <row r="3195" ht="15" customHeight="1">
      <c r="A3195" t="inlineStr">
        <is>
          <t>A 62145-2022</t>
        </is>
      </c>
      <c r="B3195" s="1" t="n">
        <v>44914</v>
      </c>
      <c r="C3195" s="1" t="n">
        <v>45705</v>
      </c>
      <c r="D3195" t="inlineStr">
        <is>
          <t>UPPSALA LÄN</t>
        </is>
      </c>
      <c r="E3195" t="inlineStr">
        <is>
          <t>HEBY</t>
        </is>
      </c>
      <c r="G3195" t="n">
        <v>5.4</v>
      </c>
      <c r="H3195" t="n">
        <v>0</v>
      </c>
      <c r="I3195" t="n">
        <v>0</v>
      </c>
      <c r="J3195" t="n">
        <v>0</v>
      </c>
      <c r="K3195" t="n">
        <v>0</v>
      </c>
      <c r="L3195" t="n">
        <v>0</v>
      </c>
      <c r="M3195" t="n">
        <v>0</v>
      </c>
      <c r="N3195" t="n">
        <v>0</v>
      </c>
      <c r="O3195" t="n">
        <v>0</v>
      </c>
      <c r="P3195" t="n">
        <v>0</v>
      </c>
      <c r="Q3195" t="n">
        <v>0</v>
      </c>
      <c r="R3195" s="2" t="inlineStr"/>
    </row>
    <row r="3196" ht="15" customHeight="1">
      <c r="A3196" t="inlineStr">
        <is>
          <t>A 61125-2022</t>
        </is>
      </c>
      <c r="B3196" s="1" t="n">
        <v>44915</v>
      </c>
      <c r="C3196" s="1" t="n">
        <v>45705</v>
      </c>
      <c r="D3196" t="inlineStr">
        <is>
          <t>UPPSALA LÄN</t>
        </is>
      </c>
      <c r="E3196" t="inlineStr">
        <is>
          <t>ENKÖPING</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61142-2022</t>
        </is>
      </c>
      <c r="B3197" s="1" t="n">
        <v>44915</v>
      </c>
      <c r="C3197" s="1" t="n">
        <v>45705</v>
      </c>
      <c r="D3197" t="inlineStr">
        <is>
          <t>UPPSALA LÄN</t>
        </is>
      </c>
      <c r="E3197" t="inlineStr">
        <is>
          <t>HEBY</t>
        </is>
      </c>
      <c r="G3197" t="n">
        <v>4.1</v>
      </c>
      <c r="H3197" t="n">
        <v>0</v>
      </c>
      <c r="I3197" t="n">
        <v>0</v>
      </c>
      <c r="J3197" t="n">
        <v>0</v>
      </c>
      <c r="K3197" t="n">
        <v>0</v>
      </c>
      <c r="L3197" t="n">
        <v>0</v>
      </c>
      <c r="M3197" t="n">
        <v>0</v>
      </c>
      <c r="N3197" t="n">
        <v>0</v>
      </c>
      <c r="O3197" t="n">
        <v>0</v>
      </c>
      <c r="P3197" t="n">
        <v>0</v>
      </c>
      <c r="Q3197" t="n">
        <v>0</v>
      </c>
      <c r="R3197" s="2" t="inlineStr"/>
    </row>
    <row r="3198" ht="15" customHeight="1">
      <c r="A3198" t="inlineStr">
        <is>
          <t>A 61181-2022</t>
        </is>
      </c>
      <c r="B3198" s="1" t="n">
        <v>44915</v>
      </c>
      <c r="C3198" s="1" t="n">
        <v>45705</v>
      </c>
      <c r="D3198" t="inlineStr">
        <is>
          <t>UPPSALA LÄN</t>
        </is>
      </c>
      <c r="E3198" t="inlineStr">
        <is>
          <t>ENKÖPING</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61261-2022</t>
        </is>
      </c>
      <c r="B3199" s="1" t="n">
        <v>44915</v>
      </c>
      <c r="C3199" s="1" t="n">
        <v>45705</v>
      </c>
      <c r="D3199" t="inlineStr">
        <is>
          <t>UPPSALA LÄN</t>
        </is>
      </c>
      <c r="E3199" t="inlineStr">
        <is>
          <t>ÖSTHAMMAR</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61106-2022</t>
        </is>
      </c>
      <c r="B3200" s="1" t="n">
        <v>44915</v>
      </c>
      <c r="C3200" s="1" t="n">
        <v>45705</v>
      </c>
      <c r="D3200" t="inlineStr">
        <is>
          <t>UPPSALA LÄN</t>
        </is>
      </c>
      <c r="E3200" t="inlineStr">
        <is>
          <t>ENKÖPING</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61144-2022</t>
        </is>
      </c>
      <c r="B3201" s="1" t="n">
        <v>44915</v>
      </c>
      <c r="C3201" s="1" t="n">
        <v>45705</v>
      </c>
      <c r="D3201" t="inlineStr">
        <is>
          <t>UPPSALA LÄN</t>
        </is>
      </c>
      <c r="E3201" t="inlineStr">
        <is>
          <t>HEBY</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61216-2022</t>
        </is>
      </c>
      <c r="B3202" s="1" t="n">
        <v>44915</v>
      </c>
      <c r="C3202" s="1" t="n">
        <v>45705</v>
      </c>
      <c r="D3202" t="inlineStr">
        <is>
          <t>UPPSALA LÄN</t>
        </is>
      </c>
      <c r="E3202" t="inlineStr">
        <is>
          <t>ÖSTHAMMAR</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61150-2022</t>
        </is>
      </c>
      <c r="B3203" s="1" t="n">
        <v>44915</v>
      </c>
      <c r="C3203" s="1" t="n">
        <v>45705</v>
      </c>
      <c r="D3203" t="inlineStr">
        <is>
          <t>UPPSALA LÄN</t>
        </is>
      </c>
      <c r="E3203" t="inlineStr">
        <is>
          <t>HEBY</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61257-2022</t>
        </is>
      </c>
      <c r="B3204" s="1" t="n">
        <v>44915</v>
      </c>
      <c r="C3204" s="1" t="n">
        <v>45705</v>
      </c>
      <c r="D3204" t="inlineStr">
        <is>
          <t>UPPSALA LÄN</t>
        </is>
      </c>
      <c r="E3204" t="inlineStr">
        <is>
          <t>ÖSTHAMMAR</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61453-2022</t>
        </is>
      </c>
      <c r="B3205" s="1" t="n">
        <v>44916</v>
      </c>
      <c r="C3205" s="1" t="n">
        <v>45705</v>
      </c>
      <c r="D3205" t="inlineStr">
        <is>
          <t>UPPSALA LÄN</t>
        </is>
      </c>
      <c r="E3205" t="inlineStr">
        <is>
          <t>HEBY</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61526-2022</t>
        </is>
      </c>
      <c r="B3206" s="1" t="n">
        <v>44916</v>
      </c>
      <c r="C3206" s="1" t="n">
        <v>45705</v>
      </c>
      <c r="D3206" t="inlineStr">
        <is>
          <t>UPPSALA LÄN</t>
        </is>
      </c>
      <c r="E3206" t="inlineStr">
        <is>
          <t>UPPSALA</t>
        </is>
      </c>
      <c r="F3206" t="inlineStr">
        <is>
          <t>Kyrkan</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61590-2022</t>
        </is>
      </c>
      <c r="B3207" s="1" t="n">
        <v>44916</v>
      </c>
      <c r="C3207" s="1" t="n">
        <v>45705</v>
      </c>
      <c r="D3207" t="inlineStr">
        <is>
          <t>UPPSALA LÄN</t>
        </is>
      </c>
      <c r="E3207" t="inlineStr">
        <is>
          <t>HEBY</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61615-2022</t>
        </is>
      </c>
      <c r="B3208" s="1" t="n">
        <v>44916</v>
      </c>
      <c r="C3208" s="1" t="n">
        <v>45705</v>
      </c>
      <c r="D3208" t="inlineStr">
        <is>
          <t>UPPSALA LÄN</t>
        </is>
      </c>
      <c r="E3208" t="inlineStr">
        <is>
          <t>TIERP</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61578-2022</t>
        </is>
      </c>
      <c r="B3209" s="1" t="n">
        <v>44916</v>
      </c>
      <c r="C3209" s="1" t="n">
        <v>45705</v>
      </c>
      <c r="D3209" t="inlineStr">
        <is>
          <t>UPPSALA LÄN</t>
        </is>
      </c>
      <c r="E3209" t="inlineStr">
        <is>
          <t>UPPSALA</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61617-2022</t>
        </is>
      </c>
      <c r="B3210" s="1" t="n">
        <v>44916</v>
      </c>
      <c r="C3210" s="1" t="n">
        <v>45705</v>
      </c>
      <c r="D3210" t="inlineStr">
        <is>
          <t>UPPSALA LÄN</t>
        </is>
      </c>
      <c r="E3210" t="inlineStr">
        <is>
          <t>TIERP</t>
        </is>
      </c>
      <c r="G3210" t="n">
        <v>0.3</v>
      </c>
      <c r="H3210" t="n">
        <v>0</v>
      </c>
      <c r="I3210" t="n">
        <v>0</v>
      </c>
      <c r="J3210" t="n">
        <v>0</v>
      </c>
      <c r="K3210" t="n">
        <v>0</v>
      </c>
      <c r="L3210" t="n">
        <v>0</v>
      </c>
      <c r="M3210" t="n">
        <v>0</v>
      </c>
      <c r="N3210" t="n">
        <v>0</v>
      </c>
      <c r="O3210" t="n">
        <v>0</v>
      </c>
      <c r="P3210" t="n">
        <v>0</v>
      </c>
      <c r="Q3210" t="n">
        <v>0</v>
      </c>
      <c r="R3210" s="2" t="inlineStr"/>
    </row>
    <row r="3211" ht="15" customHeight="1">
      <c r="A3211" t="inlineStr">
        <is>
          <t>A 62311-2022</t>
        </is>
      </c>
      <c r="B3211" s="1" t="n">
        <v>44916</v>
      </c>
      <c r="C3211" s="1" t="n">
        <v>45705</v>
      </c>
      <c r="D3211" t="inlineStr">
        <is>
          <t>UPPSALA LÄN</t>
        </is>
      </c>
      <c r="E3211" t="inlineStr">
        <is>
          <t>UPPSALA</t>
        </is>
      </c>
      <c r="G3211" t="n">
        <v>7.6</v>
      </c>
      <c r="H3211" t="n">
        <v>0</v>
      </c>
      <c r="I3211" t="n">
        <v>0</v>
      </c>
      <c r="J3211" t="n">
        <v>0</v>
      </c>
      <c r="K3211" t="n">
        <v>0</v>
      </c>
      <c r="L3211" t="n">
        <v>0</v>
      </c>
      <c r="M3211" t="n">
        <v>0</v>
      </c>
      <c r="N3211" t="n">
        <v>0</v>
      </c>
      <c r="O3211" t="n">
        <v>0</v>
      </c>
      <c r="P3211" t="n">
        <v>0</v>
      </c>
      <c r="Q3211" t="n">
        <v>0</v>
      </c>
      <c r="R3211" s="2" t="inlineStr"/>
    </row>
    <row r="3212" ht="15" customHeight="1">
      <c r="A3212" t="inlineStr">
        <is>
          <t>A 62295-2022</t>
        </is>
      </c>
      <c r="B3212" s="1" t="n">
        <v>44916</v>
      </c>
      <c r="C3212" s="1" t="n">
        <v>45705</v>
      </c>
      <c r="D3212" t="inlineStr">
        <is>
          <t>UPPSALA LÄN</t>
        </is>
      </c>
      <c r="E3212" t="inlineStr">
        <is>
          <t>ÖSTHAMMAR</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61694-2022</t>
        </is>
      </c>
      <c r="B3213" s="1" t="n">
        <v>44917</v>
      </c>
      <c r="C3213" s="1" t="n">
        <v>45705</v>
      </c>
      <c r="D3213" t="inlineStr">
        <is>
          <t>UPPSALA LÄN</t>
        </is>
      </c>
      <c r="E3213" t="inlineStr">
        <is>
          <t>TIERP</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61715-2022</t>
        </is>
      </c>
      <c r="B3214" s="1" t="n">
        <v>44917</v>
      </c>
      <c r="C3214" s="1" t="n">
        <v>45705</v>
      </c>
      <c r="D3214" t="inlineStr">
        <is>
          <t>UPPSALA LÄN</t>
        </is>
      </c>
      <c r="E3214" t="inlineStr">
        <is>
          <t>TIERP</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61717-2022</t>
        </is>
      </c>
      <c r="B3215" s="1" t="n">
        <v>44917</v>
      </c>
      <c r="C3215" s="1" t="n">
        <v>45705</v>
      </c>
      <c r="D3215" t="inlineStr">
        <is>
          <t>UPPSALA LÄN</t>
        </is>
      </c>
      <c r="E3215" t="inlineStr">
        <is>
          <t>TIERP</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61800-2022</t>
        </is>
      </c>
      <c r="B3216" s="1" t="n">
        <v>44917</v>
      </c>
      <c r="C3216" s="1" t="n">
        <v>45705</v>
      </c>
      <c r="D3216" t="inlineStr">
        <is>
          <t>UPPSALA LÄN</t>
        </is>
      </c>
      <c r="E3216" t="inlineStr">
        <is>
          <t>ENKÖPING</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61807-2022</t>
        </is>
      </c>
      <c r="B3217" s="1" t="n">
        <v>44917</v>
      </c>
      <c r="C3217" s="1" t="n">
        <v>45705</v>
      </c>
      <c r="D3217" t="inlineStr">
        <is>
          <t>UPPSALA LÄN</t>
        </is>
      </c>
      <c r="E3217" t="inlineStr">
        <is>
          <t>HEBY</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61875-2022</t>
        </is>
      </c>
      <c r="B3218" s="1" t="n">
        <v>44917</v>
      </c>
      <c r="C3218" s="1" t="n">
        <v>45705</v>
      </c>
      <c r="D3218" t="inlineStr">
        <is>
          <t>UPPSALA LÄN</t>
        </is>
      </c>
      <c r="E3218" t="inlineStr">
        <is>
          <t>HEBY</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61801-2022</t>
        </is>
      </c>
      <c r="B3219" s="1" t="n">
        <v>44917</v>
      </c>
      <c r="C3219" s="1" t="n">
        <v>45705</v>
      </c>
      <c r="D3219" t="inlineStr">
        <is>
          <t>UPPSALA LÄN</t>
        </is>
      </c>
      <c r="E3219" t="inlineStr">
        <is>
          <t>HEBY</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62716-2022</t>
        </is>
      </c>
      <c r="B3220" s="1" t="n">
        <v>44917</v>
      </c>
      <c r="C3220" s="1" t="n">
        <v>45705</v>
      </c>
      <c r="D3220" t="inlineStr">
        <is>
          <t>UPPSALA LÄN</t>
        </is>
      </c>
      <c r="E3220" t="inlineStr">
        <is>
          <t>ENKÖPING</t>
        </is>
      </c>
      <c r="G3220" t="n">
        <v>4.3</v>
      </c>
      <c r="H3220" t="n">
        <v>0</v>
      </c>
      <c r="I3220" t="n">
        <v>0</v>
      </c>
      <c r="J3220" t="n">
        <v>0</v>
      </c>
      <c r="K3220" t="n">
        <v>0</v>
      </c>
      <c r="L3220" t="n">
        <v>0</v>
      </c>
      <c r="M3220" t="n">
        <v>0</v>
      </c>
      <c r="N3220" t="n">
        <v>0</v>
      </c>
      <c r="O3220" t="n">
        <v>0</v>
      </c>
      <c r="P3220" t="n">
        <v>0</v>
      </c>
      <c r="Q3220" t="n">
        <v>0</v>
      </c>
      <c r="R3220" s="2" t="inlineStr"/>
    </row>
    <row r="3221" ht="15" customHeight="1">
      <c r="A3221" t="inlineStr">
        <is>
          <t>A 62138-2022</t>
        </is>
      </c>
      <c r="B3221" s="1" t="n">
        <v>44922</v>
      </c>
      <c r="C3221" s="1" t="n">
        <v>45705</v>
      </c>
      <c r="D3221" t="inlineStr">
        <is>
          <t>UPPSALA LÄN</t>
        </is>
      </c>
      <c r="E3221" t="inlineStr">
        <is>
          <t>TIERP</t>
        </is>
      </c>
      <c r="F3221" t="inlineStr">
        <is>
          <t>Bergvik skog öst AB</t>
        </is>
      </c>
      <c r="G3221" t="n">
        <v>16.9</v>
      </c>
      <c r="H3221" t="n">
        <v>0</v>
      </c>
      <c r="I3221" t="n">
        <v>0</v>
      </c>
      <c r="J3221" t="n">
        <v>0</v>
      </c>
      <c r="K3221" t="n">
        <v>0</v>
      </c>
      <c r="L3221" t="n">
        <v>0</v>
      </c>
      <c r="M3221" t="n">
        <v>0</v>
      </c>
      <c r="N3221" t="n">
        <v>0</v>
      </c>
      <c r="O3221" t="n">
        <v>0</v>
      </c>
      <c r="P3221" t="n">
        <v>0</v>
      </c>
      <c r="Q3221" t="n">
        <v>0</v>
      </c>
      <c r="R3221" s="2" t="inlineStr"/>
    </row>
    <row r="3222" ht="15" customHeight="1">
      <c r="A3222" t="inlineStr">
        <is>
          <t>A 62394-2022</t>
        </is>
      </c>
      <c r="B3222" s="1" t="n">
        <v>44923</v>
      </c>
      <c r="C3222" s="1" t="n">
        <v>45705</v>
      </c>
      <c r="D3222" t="inlineStr">
        <is>
          <t>UPPSALA LÄN</t>
        </is>
      </c>
      <c r="E3222" t="inlineStr">
        <is>
          <t>ÖSTHAMMAR</t>
        </is>
      </c>
      <c r="F3222" t="inlineStr">
        <is>
          <t>Bergvik skog öst AB</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62393-2022</t>
        </is>
      </c>
      <c r="B3223" s="1" t="n">
        <v>44923</v>
      </c>
      <c r="C3223" s="1" t="n">
        <v>45705</v>
      </c>
      <c r="D3223" t="inlineStr">
        <is>
          <t>UPPSALA LÄN</t>
        </is>
      </c>
      <c r="E3223" t="inlineStr">
        <is>
          <t>ÖSTHAMMAR</t>
        </is>
      </c>
      <c r="F3223" t="inlineStr">
        <is>
          <t>Bergvik skog öst AB</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62392-2022</t>
        </is>
      </c>
      <c r="B3224" s="1" t="n">
        <v>44923</v>
      </c>
      <c r="C3224" s="1" t="n">
        <v>45705</v>
      </c>
      <c r="D3224" t="inlineStr">
        <is>
          <t>UPPSALA LÄN</t>
        </is>
      </c>
      <c r="E3224" t="inlineStr">
        <is>
          <t>ÖSTHAMMAR</t>
        </is>
      </c>
      <c r="F3224" t="inlineStr">
        <is>
          <t>Bergvik skog öst AB</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62391-2022</t>
        </is>
      </c>
      <c r="B3225" s="1" t="n">
        <v>44923</v>
      </c>
      <c r="C3225" s="1" t="n">
        <v>45705</v>
      </c>
      <c r="D3225" t="inlineStr">
        <is>
          <t>UPPSALA LÄN</t>
        </is>
      </c>
      <c r="E3225" t="inlineStr">
        <is>
          <t>ÖSTHAMMAR</t>
        </is>
      </c>
      <c r="F3225" t="inlineStr">
        <is>
          <t>Bergvik skog öst AB</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62423-2022</t>
        </is>
      </c>
      <c r="B3226" s="1" t="n">
        <v>44924</v>
      </c>
      <c r="C3226" s="1" t="n">
        <v>45705</v>
      </c>
      <c r="D3226" t="inlineStr">
        <is>
          <t>UPPSALA LÄN</t>
        </is>
      </c>
      <c r="E3226" t="inlineStr">
        <is>
          <t>ENKÖPING</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62419-2022</t>
        </is>
      </c>
      <c r="B3227" s="1" t="n">
        <v>44924</v>
      </c>
      <c r="C3227" s="1" t="n">
        <v>45705</v>
      </c>
      <c r="D3227" t="inlineStr">
        <is>
          <t>UPPSALA LÄN</t>
        </is>
      </c>
      <c r="E3227" t="inlineStr">
        <is>
          <t>ENKÖPING</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439-2023</t>
        </is>
      </c>
      <c r="B3228" s="1" t="n">
        <v>44924</v>
      </c>
      <c r="C3228" s="1" t="n">
        <v>45705</v>
      </c>
      <c r="D3228" t="inlineStr">
        <is>
          <t>UPPSALA LÄN</t>
        </is>
      </c>
      <c r="E3228" t="inlineStr">
        <is>
          <t>TIERP</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437-2023</t>
        </is>
      </c>
      <c r="B3229" s="1" t="n">
        <v>44924</v>
      </c>
      <c r="C3229" s="1" t="n">
        <v>45705</v>
      </c>
      <c r="D3229" t="inlineStr">
        <is>
          <t>UPPSALA LÄN</t>
        </is>
      </c>
      <c r="E3229" t="inlineStr">
        <is>
          <t>TIERP</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62650-2022</t>
        </is>
      </c>
      <c r="B3230" s="1" t="n">
        <v>44925</v>
      </c>
      <c r="C3230" s="1" t="n">
        <v>45705</v>
      </c>
      <c r="D3230" t="inlineStr">
        <is>
          <t>UPPSALA LÄN</t>
        </is>
      </c>
      <c r="E3230" t="inlineStr">
        <is>
          <t>HEBY</t>
        </is>
      </c>
      <c r="G3230" t="n">
        <v>4.8</v>
      </c>
      <c r="H3230" t="n">
        <v>0</v>
      </c>
      <c r="I3230" t="n">
        <v>0</v>
      </c>
      <c r="J3230" t="n">
        <v>0</v>
      </c>
      <c r="K3230" t="n">
        <v>0</v>
      </c>
      <c r="L3230" t="n">
        <v>0</v>
      </c>
      <c r="M3230" t="n">
        <v>0</v>
      </c>
      <c r="N3230" t="n">
        <v>0</v>
      </c>
      <c r="O3230" t="n">
        <v>0</v>
      </c>
      <c r="P3230" t="n">
        <v>0</v>
      </c>
      <c r="Q3230" t="n">
        <v>0</v>
      </c>
      <c r="R3230" s="2" t="inlineStr"/>
    </row>
    <row r="3231" ht="15" customHeight="1">
      <c r="A3231" t="inlineStr">
        <is>
          <t>A 57-2023</t>
        </is>
      </c>
      <c r="B3231" s="1" t="n">
        <v>44928</v>
      </c>
      <c r="C3231" s="1" t="n">
        <v>45705</v>
      </c>
      <c r="D3231" t="inlineStr">
        <is>
          <t>UPPSALA LÄN</t>
        </is>
      </c>
      <c r="E3231" t="inlineStr">
        <is>
          <t>ÖSTHAMMAR</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59-2023</t>
        </is>
      </c>
      <c r="B3232" s="1" t="n">
        <v>44928</v>
      </c>
      <c r="C3232" s="1" t="n">
        <v>45705</v>
      </c>
      <c r="D3232" t="inlineStr">
        <is>
          <t>UPPSALA LÄN</t>
        </is>
      </c>
      <c r="E3232" t="inlineStr">
        <is>
          <t>ÖSTHAMMAR</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73-2023</t>
        </is>
      </c>
      <c r="B3233" s="1" t="n">
        <v>44928</v>
      </c>
      <c r="C3233" s="1" t="n">
        <v>45705</v>
      </c>
      <c r="D3233" t="inlineStr">
        <is>
          <t>UPPSALA LÄN</t>
        </is>
      </c>
      <c r="E3233" t="inlineStr">
        <is>
          <t>TIERP</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111-2023</t>
        </is>
      </c>
      <c r="B3234" s="1" t="n">
        <v>44928</v>
      </c>
      <c r="C3234" s="1" t="n">
        <v>45705</v>
      </c>
      <c r="D3234" t="inlineStr">
        <is>
          <t>UPPSALA LÄN</t>
        </is>
      </c>
      <c r="E3234" t="inlineStr">
        <is>
          <t>UPPSALA</t>
        </is>
      </c>
      <c r="F3234" t="inlineStr">
        <is>
          <t>Kommuner</t>
        </is>
      </c>
      <c r="G3234" t="n">
        <v>4.8</v>
      </c>
      <c r="H3234" t="n">
        <v>0</v>
      </c>
      <c r="I3234" t="n">
        <v>0</v>
      </c>
      <c r="J3234" t="n">
        <v>0</v>
      </c>
      <c r="K3234" t="n">
        <v>0</v>
      </c>
      <c r="L3234" t="n">
        <v>0</v>
      </c>
      <c r="M3234" t="n">
        <v>0</v>
      </c>
      <c r="N3234" t="n">
        <v>0</v>
      </c>
      <c r="O3234" t="n">
        <v>0</v>
      </c>
      <c r="P3234" t="n">
        <v>0</v>
      </c>
      <c r="Q3234" t="n">
        <v>0</v>
      </c>
      <c r="R3234" s="2" t="inlineStr"/>
    </row>
    <row r="3235" ht="15" customHeight="1">
      <c r="A3235" t="inlineStr">
        <is>
          <t>A 179-2023</t>
        </is>
      </c>
      <c r="B3235" s="1" t="n">
        <v>44928</v>
      </c>
      <c r="C3235" s="1" t="n">
        <v>45705</v>
      </c>
      <c r="D3235" t="inlineStr">
        <is>
          <t>UPPSALA LÄN</t>
        </is>
      </c>
      <c r="E3235" t="inlineStr">
        <is>
          <t>UPPSALA</t>
        </is>
      </c>
      <c r="F3235" t="inlineStr">
        <is>
          <t>Kommuner</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319-2023</t>
        </is>
      </c>
      <c r="B3236" s="1" t="n">
        <v>44929</v>
      </c>
      <c r="C3236" s="1" t="n">
        <v>45705</v>
      </c>
      <c r="D3236" t="inlineStr">
        <is>
          <t>UPPSALA LÄN</t>
        </is>
      </c>
      <c r="E3236" t="inlineStr">
        <is>
          <t>TIERP</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367-2023</t>
        </is>
      </c>
      <c r="B3237" s="1" t="n">
        <v>44929</v>
      </c>
      <c r="C3237" s="1" t="n">
        <v>45705</v>
      </c>
      <c r="D3237" t="inlineStr">
        <is>
          <t>UPPSALA LÄN</t>
        </is>
      </c>
      <c r="E3237" t="inlineStr">
        <is>
          <t>UPPSALA</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390-2023</t>
        </is>
      </c>
      <c r="B3238" s="1" t="n">
        <v>44929</v>
      </c>
      <c r="C3238" s="1" t="n">
        <v>45705</v>
      </c>
      <c r="D3238" t="inlineStr">
        <is>
          <t>UPPSALA LÄN</t>
        </is>
      </c>
      <c r="E3238" t="inlineStr">
        <is>
          <t>ÖSTHAMMAR</t>
        </is>
      </c>
      <c r="F3238" t="inlineStr">
        <is>
          <t>Övriga Aktiebolag</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554-2023</t>
        </is>
      </c>
      <c r="B3239" s="1" t="n">
        <v>44930</v>
      </c>
      <c r="C3239" s="1" t="n">
        <v>45705</v>
      </c>
      <c r="D3239" t="inlineStr">
        <is>
          <t>UPPSALA LÄN</t>
        </is>
      </c>
      <c r="E3239" t="inlineStr">
        <is>
          <t>UPPSALA</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686-2023</t>
        </is>
      </c>
      <c r="B3240" s="1" t="n">
        <v>44930</v>
      </c>
      <c r="C3240" s="1" t="n">
        <v>45705</v>
      </c>
      <c r="D3240" t="inlineStr">
        <is>
          <t>UPPSALA LÄN</t>
        </is>
      </c>
      <c r="E3240" t="inlineStr">
        <is>
          <t>UPPSALA</t>
        </is>
      </c>
      <c r="F3240" t="inlineStr">
        <is>
          <t>Bergvik skog öst AB</t>
        </is>
      </c>
      <c r="G3240" t="n">
        <v>4.6</v>
      </c>
      <c r="H3240" t="n">
        <v>0</v>
      </c>
      <c r="I3240" t="n">
        <v>0</v>
      </c>
      <c r="J3240" t="n">
        <v>0</v>
      </c>
      <c r="K3240" t="n">
        <v>0</v>
      </c>
      <c r="L3240" t="n">
        <v>0</v>
      </c>
      <c r="M3240" t="n">
        <v>0</v>
      </c>
      <c r="N3240" t="n">
        <v>0</v>
      </c>
      <c r="O3240" t="n">
        <v>0</v>
      </c>
      <c r="P3240" t="n">
        <v>0</v>
      </c>
      <c r="Q3240" t="n">
        <v>0</v>
      </c>
      <c r="R3240" s="2" t="inlineStr"/>
    </row>
    <row r="3241" ht="15" customHeight="1">
      <c r="A3241" t="inlineStr">
        <is>
          <t>A 799-2023</t>
        </is>
      </c>
      <c r="B3241" s="1" t="n">
        <v>44931</v>
      </c>
      <c r="C3241" s="1" t="n">
        <v>45705</v>
      </c>
      <c r="D3241" t="inlineStr">
        <is>
          <t>UPPSALA LÄN</t>
        </is>
      </c>
      <c r="E3241" t="inlineStr">
        <is>
          <t>ENKÖPING</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946-2023</t>
        </is>
      </c>
      <c r="B3242" s="1" t="n">
        <v>44934</v>
      </c>
      <c r="C3242" s="1" t="n">
        <v>45705</v>
      </c>
      <c r="D3242" t="inlineStr">
        <is>
          <t>UPPSALA LÄN</t>
        </is>
      </c>
      <c r="E3242" t="inlineStr">
        <is>
          <t>HEBY</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1032-2023</t>
        </is>
      </c>
      <c r="B3243" s="1" t="n">
        <v>44935</v>
      </c>
      <c r="C3243" s="1" t="n">
        <v>45705</v>
      </c>
      <c r="D3243" t="inlineStr">
        <is>
          <t>UPPSALA LÄN</t>
        </is>
      </c>
      <c r="E3243" t="inlineStr">
        <is>
          <t>UPPSALA</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1357-2023</t>
        </is>
      </c>
      <c r="B3244" s="1" t="n">
        <v>44936</v>
      </c>
      <c r="C3244" s="1" t="n">
        <v>45705</v>
      </c>
      <c r="D3244" t="inlineStr">
        <is>
          <t>UPPSALA LÄN</t>
        </is>
      </c>
      <c r="E3244" t="inlineStr">
        <is>
          <t>UPPSALA</t>
        </is>
      </c>
      <c r="F3244" t="inlineStr">
        <is>
          <t>Bergvik skog öst AB</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1384-2023</t>
        </is>
      </c>
      <c r="B3245" s="1" t="n">
        <v>44936</v>
      </c>
      <c r="C3245" s="1" t="n">
        <v>45705</v>
      </c>
      <c r="D3245" t="inlineStr">
        <is>
          <t>UPPSALA LÄN</t>
        </is>
      </c>
      <c r="E3245" t="inlineStr">
        <is>
          <t>TIERP</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1383-2023</t>
        </is>
      </c>
      <c r="B3246" s="1" t="n">
        <v>44936</v>
      </c>
      <c r="C3246" s="1" t="n">
        <v>45705</v>
      </c>
      <c r="D3246" t="inlineStr">
        <is>
          <t>UPPSALA LÄN</t>
        </is>
      </c>
      <c r="E3246" t="inlineStr">
        <is>
          <t>TIERP</t>
        </is>
      </c>
      <c r="G3246" t="n">
        <v>5.2</v>
      </c>
      <c r="H3246" t="n">
        <v>0</v>
      </c>
      <c r="I3246" t="n">
        <v>0</v>
      </c>
      <c r="J3246" t="n">
        <v>0</v>
      </c>
      <c r="K3246" t="n">
        <v>0</v>
      </c>
      <c r="L3246" t="n">
        <v>0</v>
      </c>
      <c r="M3246" t="n">
        <v>0</v>
      </c>
      <c r="N3246" t="n">
        <v>0</v>
      </c>
      <c r="O3246" t="n">
        <v>0</v>
      </c>
      <c r="P3246" t="n">
        <v>0</v>
      </c>
      <c r="Q3246" t="n">
        <v>0</v>
      </c>
      <c r="R3246" s="2" t="inlineStr"/>
    </row>
    <row r="3247" ht="15" customHeight="1">
      <c r="A3247" t="inlineStr">
        <is>
          <t>A 1572-2023</t>
        </is>
      </c>
      <c r="B3247" s="1" t="n">
        <v>44937</v>
      </c>
      <c r="C3247" s="1" t="n">
        <v>45705</v>
      </c>
      <c r="D3247" t="inlineStr">
        <is>
          <t>UPPSALA LÄN</t>
        </is>
      </c>
      <c r="E3247" t="inlineStr">
        <is>
          <t>TIERP</t>
        </is>
      </c>
      <c r="G3247" t="n">
        <v>7.4</v>
      </c>
      <c r="H3247" t="n">
        <v>0</v>
      </c>
      <c r="I3247" t="n">
        <v>0</v>
      </c>
      <c r="J3247" t="n">
        <v>0</v>
      </c>
      <c r="K3247" t="n">
        <v>0</v>
      </c>
      <c r="L3247" t="n">
        <v>0</v>
      </c>
      <c r="M3247" t="n">
        <v>0</v>
      </c>
      <c r="N3247" t="n">
        <v>0</v>
      </c>
      <c r="O3247" t="n">
        <v>0</v>
      </c>
      <c r="P3247" t="n">
        <v>0</v>
      </c>
      <c r="Q3247" t="n">
        <v>0</v>
      </c>
      <c r="R3247" s="2" t="inlineStr"/>
    </row>
    <row r="3248" ht="15" customHeight="1">
      <c r="A3248" t="inlineStr">
        <is>
          <t>A 1587-2023</t>
        </is>
      </c>
      <c r="B3248" s="1" t="n">
        <v>44937</v>
      </c>
      <c r="C3248" s="1" t="n">
        <v>45705</v>
      </c>
      <c r="D3248" t="inlineStr">
        <is>
          <t>UPPSALA LÄN</t>
        </is>
      </c>
      <c r="E3248" t="inlineStr">
        <is>
          <t>ENKÖPING</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1593-2023</t>
        </is>
      </c>
      <c r="B3249" s="1" t="n">
        <v>44937</v>
      </c>
      <c r="C3249" s="1" t="n">
        <v>45705</v>
      </c>
      <c r="D3249" t="inlineStr">
        <is>
          <t>UPPSALA LÄN</t>
        </is>
      </c>
      <c r="E3249" t="inlineStr">
        <is>
          <t>ENKÖPING</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1791-2023</t>
        </is>
      </c>
      <c r="B3250" s="1" t="n">
        <v>44938</v>
      </c>
      <c r="C3250" s="1" t="n">
        <v>45705</v>
      </c>
      <c r="D3250" t="inlineStr">
        <is>
          <t>UPPSALA LÄN</t>
        </is>
      </c>
      <c r="E3250" t="inlineStr">
        <is>
          <t>ÖSTHAMMAR</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1800-2023</t>
        </is>
      </c>
      <c r="B3251" s="1" t="n">
        <v>44938</v>
      </c>
      <c r="C3251" s="1" t="n">
        <v>45705</v>
      </c>
      <c r="D3251" t="inlineStr">
        <is>
          <t>UPPSALA LÄN</t>
        </is>
      </c>
      <c r="E3251" t="inlineStr">
        <is>
          <t>ÖSTHAMMAR</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1796-2023</t>
        </is>
      </c>
      <c r="B3252" s="1" t="n">
        <v>44938</v>
      </c>
      <c r="C3252" s="1" t="n">
        <v>45705</v>
      </c>
      <c r="D3252" t="inlineStr">
        <is>
          <t>UPPSALA LÄN</t>
        </is>
      </c>
      <c r="E3252" t="inlineStr">
        <is>
          <t>ÖSTHAMMAR</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2064-2023</t>
        </is>
      </c>
      <c r="B3253" s="1" t="n">
        <v>44939</v>
      </c>
      <c r="C3253" s="1" t="n">
        <v>45705</v>
      </c>
      <c r="D3253" t="inlineStr">
        <is>
          <t>UPPSALA LÄN</t>
        </is>
      </c>
      <c r="E3253" t="inlineStr">
        <is>
          <t>HEBY</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2025-2023</t>
        </is>
      </c>
      <c r="B3254" s="1" t="n">
        <v>44939</v>
      </c>
      <c r="C3254" s="1" t="n">
        <v>45705</v>
      </c>
      <c r="D3254" t="inlineStr">
        <is>
          <t>UPPSALA LÄN</t>
        </is>
      </c>
      <c r="E3254" t="inlineStr">
        <is>
          <t>HEBY</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2039-2023</t>
        </is>
      </c>
      <c r="B3255" s="1" t="n">
        <v>44939</v>
      </c>
      <c r="C3255" s="1" t="n">
        <v>45705</v>
      </c>
      <c r="D3255" t="inlineStr">
        <is>
          <t>UPPSALA LÄN</t>
        </is>
      </c>
      <c r="E3255" t="inlineStr">
        <is>
          <t>HEBY</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2020-2023</t>
        </is>
      </c>
      <c r="B3256" s="1" t="n">
        <v>44939</v>
      </c>
      <c r="C3256" s="1" t="n">
        <v>45705</v>
      </c>
      <c r="D3256" t="inlineStr">
        <is>
          <t>UPPSALA LÄN</t>
        </is>
      </c>
      <c r="E3256" t="inlineStr">
        <is>
          <t>HEBY</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2030-2023</t>
        </is>
      </c>
      <c r="B3257" s="1" t="n">
        <v>44939</v>
      </c>
      <c r="C3257" s="1" t="n">
        <v>45705</v>
      </c>
      <c r="D3257" t="inlineStr">
        <is>
          <t>UPPSALA LÄN</t>
        </is>
      </c>
      <c r="E3257" t="inlineStr">
        <is>
          <t>HEBY</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2102-2023</t>
        </is>
      </c>
      <c r="B3258" s="1" t="n">
        <v>44939</v>
      </c>
      <c r="C3258" s="1" t="n">
        <v>45705</v>
      </c>
      <c r="D3258" t="inlineStr">
        <is>
          <t>UPPSALA LÄN</t>
        </is>
      </c>
      <c r="E3258" t="inlineStr">
        <is>
          <t>TIERP</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2161-2023</t>
        </is>
      </c>
      <c r="B3259" s="1" t="n">
        <v>44941</v>
      </c>
      <c r="C3259" s="1" t="n">
        <v>45705</v>
      </c>
      <c r="D3259" t="inlineStr">
        <is>
          <t>UPPSALA LÄN</t>
        </is>
      </c>
      <c r="E3259" t="inlineStr">
        <is>
          <t>ENKÖPING</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2165-2023</t>
        </is>
      </c>
      <c r="B3260" s="1" t="n">
        <v>44941</v>
      </c>
      <c r="C3260" s="1" t="n">
        <v>45705</v>
      </c>
      <c r="D3260" t="inlineStr">
        <is>
          <t>UPPSALA LÄN</t>
        </is>
      </c>
      <c r="E3260" t="inlineStr">
        <is>
          <t>ENKÖPING</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2162-2023</t>
        </is>
      </c>
      <c r="B3261" s="1" t="n">
        <v>44941</v>
      </c>
      <c r="C3261" s="1" t="n">
        <v>45705</v>
      </c>
      <c r="D3261" t="inlineStr">
        <is>
          <t>UPPSALA LÄN</t>
        </is>
      </c>
      <c r="E3261" t="inlineStr">
        <is>
          <t>ENKÖPING</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2164-2023</t>
        </is>
      </c>
      <c r="B3262" s="1" t="n">
        <v>44941</v>
      </c>
      <c r="C3262" s="1" t="n">
        <v>45705</v>
      </c>
      <c r="D3262" t="inlineStr">
        <is>
          <t>UPPSALA LÄN</t>
        </is>
      </c>
      <c r="E3262" t="inlineStr">
        <is>
          <t>ENKÖPING</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2227-2023</t>
        </is>
      </c>
      <c r="B3263" s="1" t="n">
        <v>44942</v>
      </c>
      <c r="C3263" s="1" t="n">
        <v>45705</v>
      </c>
      <c r="D3263" t="inlineStr">
        <is>
          <t>UPPSALA LÄN</t>
        </is>
      </c>
      <c r="E3263" t="inlineStr">
        <is>
          <t>HEBY</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2212-2023</t>
        </is>
      </c>
      <c r="B3264" s="1" t="n">
        <v>44942</v>
      </c>
      <c r="C3264" s="1" t="n">
        <v>45705</v>
      </c>
      <c r="D3264" t="inlineStr">
        <is>
          <t>UPPSALA LÄN</t>
        </is>
      </c>
      <c r="E3264" t="inlineStr">
        <is>
          <t>HEBY</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2186-2023</t>
        </is>
      </c>
      <c r="B3265" s="1" t="n">
        <v>44942</v>
      </c>
      <c r="C3265" s="1" t="n">
        <v>45705</v>
      </c>
      <c r="D3265" t="inlineStr">
        <is>
          <t>UPPSALA LÄN</t>
        </is>
      </c>
      <c r="E3265" t="inlineStr">
        <is>
          <t>UPPSALA</t>
        </is>
      </c>
      <c r="F3265" t="inlineStr">
        <is>
          <t>Bergvik skog öst AB</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2266-2023</t>
        </is>
      </c>
      <c r="B3266" s="1" t="n">
        <v>44942</v>
      </c>
      <c r="C3266" s="1" t="n">
        <v>45705</v>
      </c>
      <c r="D3266" t="inlineStr">
        <is>
          <t>UPPSALA LÄN</t>
        </is>
      </c>
      <c r="E3266" t="inlineStr">
        <is>
          <t>TIERP</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2541-2023</t>
        </is>
      </c>
      <c r="B3267" s="1" t="n">
        <v>44943</v>
      </c>
      <c r="C3267" s="1" t="n">
        <v>45705</v>
      </c>
      <c r="D3267" t="inlineStr">
        <is>
          <t>UPPSALA LÄN</t>
        </is>
      </c>
      <c r="E3267" t="inlineStr">
        <is>
          <t>HEBY</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2733-2023</t>
        </is>
      </c>
      <c r="B3268" s="1" t="n">
        <v>44943</v>
      </c>
      <c r="C3268" s="1" t="n">
        <v>45705</v>
      </c>
      <c r="D3268" t="inlineStr">
        <is>
          <t>UPPSALA LÄN</t>
        </is>
      </c>
      <c r="E3268" t="inlineStr">
        <is>
          <t>ÖSTHAMMAR</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2553-2023</t>
        </is>
      </c>
      <c r="B3269" s="1" t="n">
        <v>44943</v>
      </c>
      <c r="C3269" s="1" t="n">
        <v>45705</v>
      </c>
      <c r="D3269" t="inlineStr">
        <is>
          <t>UPPSALA LÄN</t>
        </is>
      </c>
      <c r="E3269" t="inlineStr">
        <is>
          <t>HEBY</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2617-2023</t>
        </is>
      </c>
      <c r="B3270" s="1" t="n">
        <v>44944</v>
      </c>
      <c r="C3270" s="1" t="n">
        <v>45705</v>
      </c>
      <c r="D3270" t="inlineStr">
        <is>
          <t>UPPSALA LÄN</t>
        </is>
      </c>
      <c r="E3270" t="inlineStr">
        <is>
          <t>HEBY</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2641-2023</t>
        </is>
      </c>
      <c r="B3271" s="1" t="n">
        <v>44944</v>
      </c>
      <c r="C3271" s="1" t="n">
        <v>45705</v>
      </c>
      <c r="D3271" t="inlineStr">
        <is>
          <t>UPPSALA LÄN</t>
        </is>
      </c>
      <c r="E3271" t="inlineStr">
        <is>
          <t>HEBY</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2622-2023</t>
        </is>
      </c>
      <c r="B3272" s="1" t="n">
        <v>44944</v>
      </c>
      <c r="C3272" s="1" t="n">
        <v>45705</v>
      </c>
      <c r="D3272" t="inlineStr">
        <is>
          <t>UPPSALA LÄN</t>
        </is>
      </c>
      <c r="E3272" t="inlineStr">
        <is>
          <t>UPPSALA</t>
        </is>
      </c>
      <c r="F3272" t="inlineStr">
        <is>
          <t>Kommuner</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2670-2023</t>
        </is>
      </c>
      <c r="B3273" s="1" t="n">
        <v>44944</v>
      </c>
      <c r="C3273" s="1" t="n">
        <v>45705</v>
      </c>
      <c r="D3273" t="inlineStr">
        <is>
          <t>UPPSALA LÄN</t>
        </is>
      </c>
      <c r="E3273" t="inlineStr">
        <is>
          <t>HÅBO</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2611-2023</t>
        </is>
      </c>
      <c r="B3274" s="1" t="n">
        <v>44944</v>
      </c>
      <c r="C3274" s="1" t="n">
        <v>45705</v>
      </c>
      <c r="D3274" t="inlineStr">
        <is>
          <t>UPPSALA LÄN</t>
        </is>
      </c>
      <c r="E3274" t="inlineStr">
        <is>
          <t>HEBY</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2624-2023</t>
        </is>
      </c>
      <c r="B3275" s="1" t="n">
        <v>44944</v>
      </c>
      <c r="C3275" s="1" t="n">
        <v>45705</v>
      </c>
      <c r="D3275" t="inlineStr">
        <is>
          <t>UPPSALA LÄN</t>
        </is>
      </c>
      <c r="E3275" t="inlineStr">
        <is>
          <t>UPPSALA</t>
        </is>
      </c>
      <c r="F3275" t="inlineStr">
        <is>
          <t>Kommuner</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2682-2023</t>
        </is>
      </c>
      <c r="B3276" s="1" t="n">
        <v>44944</v>
      </c>
      <c r="C3276" s="1" t="n">
        <v>45705</v>
      </c>
      <c r="D3276" t="inlineStr">
        <is>
          <t>UPPSALA LÄN</t>
        </is>
      </c>
      <c r="E3276" t="inlineStr">
        <is>
          <t>HÅBO</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2735-2023</t>
        </is>
      </c>
      <c r="B3277" s="1" t="n">
        <v>44944</v>
      </c>
      <c r="C3277" s="1" t="n">
        <v>45705</v>
      </c>
      <c r="D3277" t="inlineStr">
        <is>
          <t>UPPSALA LÄN</t>
        </is>
      </c>
      <c r="E3277" t="inlineStr">
        <is>
          <t>TIERP</t>
        </is>
      </c>
      <c r="G3277" t="n">
        <v>8.300000000000001</v>
      </c>
      <c r="H3277" t="n">
        <v>0</v>
      </c>
      <c r="I3277" t="n">
        <v>0</v>
      </c>
      <c r="J3277" t="n">
        <v>0</v>
      </c>
      <c r="K3277" t="n">
        <v>0</v>
      </c>
      <c r="L3277" t="n">
        <v>0</v>
      </c>
      <c r="M3277" t="n">
        <v>0</v>
      </c>
      <c r="N3277" t="n">
        <v>0</v>
      </c>
      <c r="O3277" t="n">
        <v>0</v>
      </c>
      <c r="P3277" t="n">
        <v>0</v>
      </c>
      <c r="Q3277" t="n">
        <v>0</v>
      </c>
      <c r="R3277" s="2" t="inlineStr"/>
    </row>
    <row r="3278" ht="15" customHeight="1">
      <c r="A3278" t="inlineStr">
        <is>
          <t>A 5362-2023</t>
        </is>
      </c>
      <c r="B3278" s="1" t="n">
        <v>44944</v>
      </c>
      <c r="C3278" s="1" t="n">
        <v>45705</v>
      </c>
      <c r="D3278" t="inlineStr">
        <is>
          <t>UPPSALA LÄN</t>
        </is>
      </c>
      <c r="E3278" t="inlineStr">
        <is>
          <t>UPPSALA</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2983-2023</t>
        </is>
      </c>
      <c r="B3279" s="1" t="n">
        <v>44944</v>
      </c>
      <c r="C3279" s="1" t="n">
        <v>45705</v>
      </c>
      <c r="D3279" t="inlineStr">
        <is>
          <t>UPPSALA LÄN</t>
        </is>
      </c>
      <c r="E3279" t="inlineStr">
        <is>
          <t>HEBY</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3214-2023</t>
        </is>
      </c>
      <c r="B3280" s="1" t="n">
        <v>44944</v>
      </c>
      <c r="C3280" s="1" t="n">
        <v>45705</v>
      </c>
      <c r="D3280" t="inlineStr">
        <is>
          <t>UPPSALA LÄN</t>
        </is>
      </c>
      <c r="E3280" t="inlineStr">
        <is>
          <t>UPPSALA</t>
        </is>
      </c>
      <c r="G3280" t="n">
        <v>4.1</v>
      </c>
      <c r="H3280" t="n">
        <v>0</v>
      </c>
      <c r="I3280" t="n">
        <v>0</v>
      </c>
      <c r="J3280" t="n">
        <v>0</v>
      </c>
      <c r="K3280" t="n">
        <v>0</v>
      </c>
      <c r="L3280" t="n">
        <v>0</v>
      </c>
      <c r="M3280" t="n">
        <v>0</v>
      </c>
      <c r="N3280" t="n">
        <v>0</v>
      </c>
      <c r="O3280" t="n">
        <v>0</v>
      </c>
      <c r="P3280" t="n">
        <v>0</v>
      </c>
      <c r="Q3280" t="n">
        <v>0</v>
      </c>
      <c r="R3280" s="2" t="inlineStr"/>
    </row>
    <row r="3281" ht="15" customHeight="1">
      <c r="A3281" t="inlineStr">
        <is>
          <t>A 5374-2023</t>
        </is>
      </c>
      <c r="B3281" s="1" t="n">
        <v>44944</v>
      </c>
      <c r="C3281" s="1" t="n">
        <v>45705</v>
      </c>
      <c r="D3281" t="inlineStr">
        <is>
          <t>UPPSALA LÄN</t>
        </is>
      </c>
      <c r="E3281" t="inlineStr">
        <is>
          <t>UPPSALA</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2860-2023</t>
        </is>
      </c>
      <c r="B3282" s="1" t="n">
        <v>44945</v>
      </c>
      <c r="C3282" s="1" t="n">
        <v>45705</v>
      </c>
      <c r="D3282" t="inlineStr">
        <is>
          <t>UPPSALA LÄN</t>
        </is>
      </c>
      <c r="E3282" t="inlineStr">
        <is>
          <t>HEBY</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2899-2023</t>
        </is>
      </c>
      <c r="B3283" s="1" t="n">
        <v>44945</v>
      </c>
      <c r="C3283" s="1" t="n">
        <v>45705</v>
      </c>
      <c r="D3283" t="inlineStr">
        <is>
          <t>UPPSALA LÄN</t>
        </is>
      </c>
      <c r="E3283" t="inlineStr">
        <is>
          <t>TIERP</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2942-2023</t>
        </is>
      </c>
      <c r="B3284" s="1" t="n">
        <v>44945</v>
      </c>
      <c r="C3284" s="1" t="n">
        <v>45705</v>
      </c>
      <c r="D3284" t="inlineStr">
        <is>
          <t>UPPSALA LÄN</t>
        </is>
      </c>
      <c r="E3284" t="inlineStr">
        <is>
          <t>UPPSALA</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2874-2023</t>
        </is>
      </c>
      <c r="B3285" s="1" t="n">
        <v>44945</v>
      </c>
      <c r="C3285" s="1" t="n">
        <v>45705</v>
      </c>
      <c r="D3285" t="inlineStr">
        <is>
          <t>UPPSALA LÄN</t>
        </is>
      </c>
      <c r="E3285" t="inlineStr">
        <is>
          <t>HEBY</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2902-2023</t>
        </is>
      </c>
      <c r="B3286" s="1" t="n">
        <v>44945</v>
      </c>
      <c r="C3286" s="1" t="n">
        <v>45705</v>
      </c>
      <c r="D3286" t="inlineStr">
        <is>
          <t>UPPSALA LÄN</t>
        </is>
      </c>
      <c r="E3286" t="inlineStr">
        <is>
          <t>TIERP</t>
        </is>
      </c>
      <c r="G3286" t="n">
        <v>6</v>
      </c>
      <c r="H3286" t="n">
        <v>0</v>
      </c>
      <c r="I3286" t="n">
        <v>0</v>
      </c>
      <c r="J3286" t="n">
        <v>0</v>
      </c>
      <c r="K3286" t="n">
        <v>0</v>
      </c>
      <c r="L3286" t="n">
        <v>0</v>
      </c>
      <c r="M3286" t="n">
        <v>0</v>
      </c>
      <c r="N3286" t="n">
        <v>0</v>
      </c>
      <c r="O3286" t="n">
        <v>0</v>
      </c>
      <c r="P3286" t="n">
        <v>0</v>
      </c>
      <c r="Q3286" t="n">
        <v>0</v>
      </c>
      <c r="R3286" s="2" t="inlineStr"/>
    </row>
    <row r="3287" ht="15" customHeight="1">
      <c r="A3287" t="inlineStr">
        <is>
          <t>A 2880-2023</t>
        </is>
      </c>
      <c r="B3287" s="1" t="n">
        <v>44945</v>
      </c>
      <c r="C3287" s="1" t="n">
        <v>45705</v>
      </c>
      <c r="D3287" t="inlineStr">
        <is>
          <t>UPPSALA LÄN</t>
        </is>
      </c>
      <c r="E3287" t="inlineStr">
        <is>
          <t>HEBY</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2901-2023</t>
        </is>
      </c>
      <c r="B3288" s="1" t="n">
        <v>44945</v>
      </c>
      <c r="C3288" s="1" t="n">
        <v>45705</v>
      </c>
      <c r="D3288" t="inlineStr">
        <is>
          <t>UPPSALA LÄN</t>
        </is>
      </c>
      <c r="E3288" t="inlineStr">
        <is>
          <t>TIERP</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2967-2023</t>
        </is>
      </c>
      <c r="B3289" s="1" t="n">
        <v>44945</v>
      </c>
      <c r="C3289" s="1" t="n">
        <v>45705</v>
      </c>
      <c r="D3289" t="inlineStr">
        <is>
          <t>UPPSALA LÄN</t>
        </is>
      </c>
      <c r="E3289" t="inlineStr">
        <is>
          <t>ÖSTHAMMAR</t>
        </is>
      </c>
      <c r="F3289" t="inlineStr">
        <is>
          <t>Övriga Aktiebolag</t>
        </is>
      </c>
      <c r="G3289" t="n">
        <v>3.1</v>
      </c>
      <c r="H3289" t="n">
        <v>0</v>
      </c>
      <c r="I3289" t="n">
        <v>0</v>
      </c>
      <c r="J3289" t="n">
        <v>0</v>
      </c>
      <c r="K3289" t="n">
        <v>0</v>
      </c>
      <c r="L3289" t="n">
        <v>0</v>
      </c>
      <c r="M3289" t="n">
        <v>0</v>
      </c>
      <c r="N3289" t="n">
        <v>0</v>
      </c>
      <c r="O3289" t="n">
        <v>0</v>
      </c>
      <c r="P3289" t="n">
        <v>0</v>
      </c>
      <c r="Q3289" t="n">
        <v>0</v>
      </c>
      <c r="R3289" s="2" t="inlineStr"/>
    </row>
    <row r="3290" ht="15" customHeight="1">
      <c r="A3290" t="inlineStr">
        <is>
          <t>A 3005-2023</t>
        </is>
      </c>
      <c r="B3290" s="1" t="n">
        <v>44945</v>
      </c>
      <c r="C3290" s="1" t="n">
        <v>45705</v>
      </c>
      <c r="D3290" t="inlineStr">
        <is>
          <t>UPPSALA LÄN</t>
        </is>
      </c>
      <c r="E3290" t="inlineStr">
        <is>
          <t>ÖSTHAMMAR</t>
        </is>
      </c>
      <c r="F3290" t="inlineStr">
        <is>
          <t>Bergvik skog öst AB</t>
        </is>
      </c>
      <c r="G3290" t="n">
        <v>6.5</v>
      </c>
      <c r="H3290" t="n">
        <v>0</v>
      </c>
      <c r="I3290" t="n">
        <v>0</v>
      </c>
      <c r="J3290" t="n">
        <v>0</v>
      </c>
      <c r="K3290" t="n">
        <v>0</v>
      </c>
      <c r="L3290" t="n">
        <v>0</v>
      </c>
      <c r="M3290" t="n">
        <v>0</v>
      </c>
      <c r="N3290" t="n">
        <v>0</v>
      </c>
      <c r="O3290" t="n">
        <v>0</v>
      </c>
      <c r="P3290" t="n">
        <v>0</v>
      </c>
      <c r="Q3290" t="n">
        <v>0</v>
      </c>
      <c r="R3290" s="2" t="inlineStr"/>
    </row>
    <row r="3291" ht="15" customHeight="1">
      <c r="A3291" t="inlineStr">
        <is>
          <t>A 3040-2023</t>
        </is>
      </c>
      <c r="B3291" s="1" t="n">
        <v>44946</v>
      </c>
      <c r="C3291" s="1" t="n">
        <v>45705</v>
      </c>
      <c r="D3291" t="inlineStr">
        <is>
          <t>UPPSALA LÄN</t>
        </is>
      </c>
      <c r="E3291" t="inlineStr">
        <is>
          <t>UPPSALA</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3089-2023</t>
        </is>
      </c>
      <c r="B3292" s="1" t="n">
        <v>44946</v>
      </c>
      <c r="C3292" s="1" t="n">
        <v>45705</v>
      </c>
      <c r="D3292" t="inlineStr">
        <is>
          <t>UPPSALA LÄN</t>
        </is>
      </c>
      <c r="E3292" t="inlineStr">
        <is>
          <t>UPPSALA</t>
        </is>
      </c>
      <c r="G3292" t="n">
        <v>3.7</v>
      </c>
      <c r="H3292" t="n">
        <v>0</v>
      </c>
      <c r="I3292" t="n">
        <v>0</v>
      </c>
      <c r="J3292" t="n">
        <v>0</v>
      </c>
      <c r="K3292" t="n">
        <v>0</v>
      </c>
      <c r="L3292" t="n">
        <v>0</v>
      </c>
      <c r="M3292" t="n">
        <v>0</v>
      </c>
      <c r="N3292" t="n">
        <v>0</v>
      </c>
      <c r="O3292" t="n">
        <v>0</v>
      </c>
      <c r="P3292" t="n">
        <v>0</v>
      </c>
      <c r="Q3292" t="n">
        <v>0</v>
      </c>
      <c r="R3292" s="2" t="inlineStr"/>
    </row>
    <row r="3293" ht="15" customHeight="1">
      <c r="A3293" t="inlineStr">
        <is>
          <t>A 3086-2023</t>
        </is>
      </c>
      <c r="B3293" s="1" t="n">
        <v>44946</v>
      </c>
      <c r="C3293" s="1" t="n">
        <v>45705</v>
      </c>
      <c r="D3293" t="inlineStr">
        <is>
          <t>UPPSALA LÄN</t>
        </is>
      </c>
      <c r="E3293" t="inlineStr">
        <is>
          <t>UPPSALA</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3092-2023</t>
        </is>
      </c>
      <c r="B3294" s="1" t="n">
        <v>44946</v>
      </c>
      <c r="C3294" s="1" t="n">
        <v>45705</v>
      </c>
      <c r="D3294" t="inlineStr">
        <is>
          <t>UPPSALA LÄN</t>
        </is>
      </c>
      <c r="E3294" t="inlineStr">
        <is>
          <t>UPPSALA</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3234-2023</t>
        </is>
      </c>
      <c r="B3295" s="1" t="n">
        <v>44946</v>
      </c>
      <c r="C3295" s="1" t="n">
        <v>45705</v>
      </c>
      <c r="D3295" t="inlineStr">
        <is>
          <t>UPPSALA LÄN</t>
        </is>
      </c>
      <c r="E3295" t="inlineStr">
        <is>
          <t>HEBY</t>
        </is>
      </c>
      <c r="G3295" t="n">
        <v>7.4</v>
      </c>
      <c r="H3295" t="n">
        <v>0</v>
      </c>
      <c r="I3295" t="n">
        <v>0</v>
      </c>
      <c r="J3295" t="n">
        <v>0</v>
      </c>
      <c r="K3295" t="n">
        <v>0</v>
      </c>
      <c r="L3295" t="n">
        <v>0</v>
      </c>
      <c r="M3295" t="n">
        <v>0</v>
      </c>
      <c r="N3295" t="n">
        <v>0</v>
      </c>
      <c r="O3295" t="n">
        <v>0</v>
      </c>
      <c r="P3295" t="n">
        <v>0</v>
      </c>
      <c r="Q3295" t="n">
        <v>0</v>
      </c>
      <c r="R3295" s="2" t="inlineStr"/>
    </row>
    <row r="3296" ht="15" customHeight="1">
      <c r="A3296" t="inlineStr">
        <is>
          <t>A 3232-2023</t>
        </is>
      </c>
      <c r="B3296" s="1" t="n">
        <v>44946</v>
      </c>
      <c r="C3296" s="1" t="n">
        <v>45705</v>
      </c>
      <c r="D3296" t="inlineStr">
        <is>
          <t>UPPSALA LÄN</t>
        </is>
      </c>
      <c r="E3296" t="inlineStr">
        <is>
          <t>HEBY</t>
        </is>
      </c>
      <c r="G3296" t="n">
        <v>10.2</v>
      </c>
      <c r="H3296" t="n">
        <v>0</v>
      </c>
      <c r="I3296" t="n">
        <v>0</v>
      </c>
      <c r="J3296" t="n">
        <v>0</v>
      </c>
      <c r="K3296" t="n">
        <v>0</v>
      </c>
      <c r="L3296" t="n">
        <v>0</v>
      </c>
      <c r="M3296" t="n">
        <v>0</v>
      </c>
      <c r="N3296" t="n">
        <v>0</v>
      </c>
      <c r="O3296" t="n">
        <v>0</v>
      </c>
      <c r="P3296" t="n">
        <v>0</v>
      </c>
      <c r="Q3296" t="n">
        <v>0</v>
      </c>
      <c r="R3296" s="2" t="inlineStr"/>
    </row>
    <row r="3297" ht="15" customHeight="1">
      <c r="A3297" t="inlineStr">
        <is>
          <t>A 3743-2023</t>
        </is>
      </c>
      <c r="B3297" s="1" t="n">
        <v>44948</v>
      </c>
      <c r="C3297" s="1" t="n">
        <v>45705</v>
      </c>
      <c r="D3297" t="inlineStr">
        <is>
          <t>UPPSALA LÄN</t>
        </is>
      </c>
      <c r="E3297" t="inlineStr">
        <is>
          <t>ÖSTHAMMAR</t>
        </is>
      </c>
      <c r="G3297" t="n">
        <v>3.1</v>
      </c>
      <c r="H3297" t="n">
        <v>0</v>
      </c>
      <c r="I3297" t="n">
        <v>0</v>
      </c>
      <c r="J3297" t="n">
        <v>0</v>
      </c>
      <c r="K3297" t="n">
        <v>0</v>
      </c>
      <c r="L3297" t="n">
        <v>0</v>
      </c>
      <c r="M3297" t="n">
        <v>0</v>
      </c>
      <c r="N3297" t="n">
        <v>0</v>
      </c>
      <c r="O3297" t="n">
        <v>0</v>
      </c>
      <c r="P3297" t="n">
        <v>0</v>
      </c>
      <c r="Q3297" t="n">
        <v>0</v>
      </c>
      <c r="R3297" s="2" t="inlineStr"/>
    </row>
    <row r="3298" ht="15" customHeight="1">
      <c r="A3298" t="inlineStr">
        <is>
          <t>A 3327-2023</t>
        </is>
      </c>
      <c r="B3298" s="1" t="n">
        <v>44949</v>
      </c>
      <c r="C3298" s="1" t="n">
        <v>45705</v>
      </c>
      <c r="D3298" t="inlineStr">
        <is>
          <t>UPPSALA LÄN</t>
        </is>
      </c>
      <c r="E3298" t="inlineStr">
        <is>
          <t>ÖSTHAMMAR</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3343-2023</t>
        </is>
      </c>
      <c r="B3299" s="1" t="n">
        <v>44949</v>
      </c>
      <c r="C3299" s="1" t="n">
        <v>45705</v>
      </c>
      <c r="D3299" t="inlineStr">
        <is>
          <t>UPPSALA LÄN</t>
        </is>
      </c>
      <c r="E3299" t="inlineStr">
        <is>
          <t>UPPSALA</t>
        </is>
      </c>
      <c r="F3299" t="inlineStr">
        <is>
          <t>Allmännings- och besparingsskogar</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3353-2023</t>
        </is>
      </c>
      <c r="B3300" s="1" t="n">
        <v>44949</v>
      </c>
      <c r="C3300" s="1" t="n">
        <v>45705</v>
      </c>
      <c r="D3300" t="inlineStr">
        <is>
          <t>UPPSALA LÄN</t>
        </is>
      </c>
      <c r="E3300" t="inlineStr">
        <is>
          <t>UPPSALA</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3550-2023</t>
        </is>
      </c>
      <c r="B3301" s="1" t="n">
        <v>44950</v>
      </c>
      <c r="C3301" s="1" t="n">
        <v>45705</v>
      </c>
      <c r="D3301" t="inlineStr">
        <is>
          <t>UPPSALA LÄN</t>
        </is>
      </c>
      <c r="E3301" t="inlineStr">
        <is>
          <t>ENKÖPING</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3547-2023</t>
        </is>
      </c>
      <c r="B3302" s="1" t="n">
        <v>44950</v>
      </c>
      <c r="C3302" s="1" t="n">
        <v>45705</v>
      </c>
      <c r="D3302" t="inlineStr">
        <is>
          <t>UPPSALA LÄN</t>
        </is>
      </c>
      <c r="E3302" t="inlineStr">
        <is>
          <t>HEBY</t>
        </is>
      </c>
      <c r="G3302" t="n">
        <v>6.5</v>
      </c>
      <c r="H3302" t="n">
        <v>0</v>
      </c>
      <c r="I3302" t="n">
        <v>0</v>
      </c>
      <c r="J3302" t="n">
        <v>0</v>
      </c>
      <c r="K3302" t="n">
        <v>0</v>
      </c>
      <c r="L3302" t="n">
        <v>0</v>
      </c>
      <c r="M3302" t="n">
        <v>0</v>
      </c>
      <c r="N3302" t="n">
        <v>0</v>
      </c>
      <c r="O3302" t="n">
        <v>0</v>
      </c>
      <c r="P3302" t="n">
        <v>0</v>
      </c>
      <c r="Q3302" t="n">
        <v>0</v>
      </c>
      <c r="R3302" s="2" t="inlineStr"/>
    </row>
    <row r="3303" ht="15" customHeight="1">
      <c r="A3303" t="inlineStr">
        <is>
          <t>A 3514-2023</t>
        </is>
      </c>
      <c r="B3303" s="1" t="n">
        <v>44950</v>
      </c>
      <c r="C3303" s="1" t="n">
        <v>45705</v>
      </c>
      <c r="D3303" t="inlineStr">
        <is>
          <t>UPPSALA LÄN</t>
        </is>
      </c>
      <c r="E3303" t="inlineStr">
        <is>
          <t>ÖSTHAMMAR</t>
        </is>
      </c>
      <c r="F3303" t="inlineStr">
        <is>
          <t>Övriga Aktiebolag</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3545-2023</t>
        </is>
      </c>
      <c r="B3304" s="1" t="n">
        <v>44950</v>
      </c>
      <c r="C3304" s="1" t="n">
        <v>45705</v>
      </c>
      <c r="D3304" t="inlineStr">
        <is>
          <t>UPPSALA LÄN</t>
        </is>
      </c>
      <c r="E3304" t="inlineStr">
        <is>
          <t>TIERP</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3561-2023</t>
        </is>
      </c>
      <c r="B3305" s="1" t="n">
        <v>44950</v>
      </c>
      <c r="C3305" s="1" t="n">
        <v>45705</v>
      </c>
      <c r="D3305" t="inlineStr">
        <is>
          <t>UPPSALA LÄN</t>
        </is>
      </c>
      <c r="E3305" t="inlineStr">
        <is>
          <t>TIERP</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3661-2023</t>
        </is>
      </c>
      <c r="B3306" s="1" t="n">
        <v>44950</v>
      </c>
      <c r="C3306" s="1" t="n">
        <v>45705</v>
      </c>
      <c r="D3306" t="inlineStr">
        <is>
          <t>UPPSALA LÄN</t>
        </is>
      </c>
      <c r="E3306" t="inlineStr">
        <is>
          <t>UPPSALA</t>
        </is>
      </c>
      <c r="F3306" t="inlineStr">
        <is>
          <t>Allmännings- och besparingsskogar</t>
        </is>
      </c>
      <c r="G3306" t="n">
        <v>8.699999999999999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4213-2023</t>
        </is>
      </c>
      <c r="B3307" s="1" t="n">
        <v>44951</v>
      </c>
      <c r="C3307" s="1" t="n">
        <v>45705</v>
      </c>
      <c r="D3307" t="inlineStr">
        <is>
          <t>UPPSALA LÄN</t>
        </is>
      </c>
      <c r="E3307" t="inlineStr">
        <is>
          <t>HEBY</t>
        </is>
      </c>
      <c r="G3307" t="n">
        <v>11.2</v>
      </c>
      <c r="H3307" t="n">
        <v>0</v>
      </c>
      <c r="I3307" t="n">
        <v>0</v>
      </c>
      <c r="J3307" t="n">
        <v>0</v>
      </c>
      <c r="K3307" t="n">
        <v>0</v>
      </c>
      <c r="L3307" t="n">
        <v>0</v>
      </c>
      <c r="M3307" t="n">
        <v>0</v>
      </c>
      <c r="N3307" t="n">
        <v>0</v>
      </c>
      <c r="O3307" t="n">
        <v>0</v>
      </c>
      <c r="P3307" t="n">
        <v>0</v>
      </c>
      <c r="Q3307" t="n">
        <v>0</v>
      </c>
      <c r="R3307" s="2" t="inlineStr"/>
    </row>
    <row r="3308" ht="15" customHeight="1">
      <c r="A3308" t="inlineStr">
        <is>
          <t>A 3940-2023</t>
        </is>
      </c>
      <c r="B3308" s="1" t="n">
        <v>44952</v>
      </c>
      <c r="C3308" s="1" t="n">
        <v>45705</v>
      </c>
      <c r="D3308" t="inlineStr">
        <is>
          <t>UPPSALA LÄN</t>
        </is>
      </c>
      <c r="E3308" t="inlineStr">
        <is>
          <t>UPPSALA</t>
        </is>
      </c>
      <c r="F3308" t="inlineStr">
        <is>
          <t>Bergvik skog öst AB</t>
        </is>
      </c>
      <c r="G3308" t="n">
        <v>20.6</v>
      </c>
      <c r="H3308" t="n">
        <v>0</v>
      </c>
      <c r="I3308" t="n">
        <v>0</v>
      </c>
      <c r="J3308" t="n">
        <v>0</v>
      </c>
      <c r="K3308" t="n">
        <v>0</v>
      </c>
      <c r="L3308" t="n">
        <v>0</v>
      </c>
      <c r="M3308" t="n">
        <v>0</v>
      </c>
      <c r="N3308" t="n">
        <v>0</v>
      </c>
      <c r="O3308" t="n">
        <v>0</v>
      </c>
      <c r="P3308" t="n">
        <v>0</v>
      </c>
      <c r="Q3308" t="n">
        <v>0</v>
      </c>
      <c r="R3308" s="2" t="inlineStr"/>
    </row>
    <row r="3309" ht="15" customHeight="1">
      <c r="A3309" t="inlineStr">
        <is>
          <t>A 3939-2023</t>
        </is>
      </c>
      <c r="B3309" s="1" t="n">
        <v>44952</v>
      </c>
      <c r="C3309" s="1" t="n">
        <v>45705</v>
      </c>
      <c r="D3309" t="inlineStr">
        <is>
          <t>UPPSALA LÄN</t>
        </is>
      </c>
      <c r="E3309" t="inlineStr">
        <is>
          <t>UPPSALA</t>
        </is>
      </c>
      <c r="F3309" t="inlineStr">
        <is>
          <t>Bergvik skog öst AB</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4004-2023</t>
        </is>
      </c>
      <c r="B3310" s="1" t="n">
        <v>44952</v>
      </c>
      <c r="C3310" s="1" t="n">
        <v>45705</v>
      </c>
      <c r="D3310" t="inlineStr">
        <is>
          <t>UPPSALA LÄN</t>
        </is>
      </c>
      <c r="E3310" t="inlineStr">
        <is>
          <t>ÖSTHAMMAR</t>
        </is>
      </c>
      <c r="G3310" t="n">
        <v>4.1</v>
      </c>
      <c r="H3310" t="n">
        <v>0</v>
      </c>
      <c r="I3310" t="n">
        <v>0</v>
      </c>
      <c r="J3310" t="n">
        <v>0</v>
      </c>
      <c r="K3310" t="n">
        <v>0</v>
      </c>
      <c r="L3310" t="n">
        <v>0</v>
      </c>
      <c r="M3310" t="n">
        <v>0</v>
      </c>
      <c r="N3310" t="n">
        <v>0</v>
      </c>
      <c r="O3310" t="n">
        <v>0</v>
      </c>
      <c r="P3310" t="n">
        <v>0</v>
      </c>
      <c r="Q3310" t="n">
        <v>0</v>
      </c>
      <c r="R3310" s="2" t="inlineStr"/>
    </row>
    <row r="3311" ht="15" customHeight="1">
      <c r="A3311" t="inlineStr">
        <is>
          <t>A 4054-2023</t>
        </is>
      </c>
      <c r="B3311" s="1" t="n">
        <v>44952</v>
      </c>
      <c r="C3311" s="1" t="n">
        <v>45705</v>
      </c>
      <c r="D3311" t="inlineStr">
        <is>
          <t>UPPSALA LÄN</t>
        </is>
      </c>
      <c r="E3311" t="inlineStr">
        <is>
          <t>ÖSTHAMMAR</t>
        </is>
      </c>
      <c r="F3311" t="inlineStr">
        <is>
          <t>Övriga Aktiebolag</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4233-2023</t>
        </is>
      </c>
      <c r="B3312" s="1" t="n">
        <v>44953</v>
      </c>
      <c r="C3312" s="1" t="n">
        <v>45705</v>
      </c>
      <c r="D3312" t="inlineStr">
        <is>
          <t>UPPSALA LÄN</t>
        </is>
      </c>
      <c r="E3312" t="inlineStr">
        <is>
          <t>ÖSTHAMMAR</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4276-2023</t>
        </is>
      </c>
      <c r="B3313" s="1" t="n">
        <v>44953</v>
      </c>
      <c r="C3313" s="1" t="n">
        <v>45705</v>
      </c>
      <c r="D3313" t="inlineStr">
        <is>
          <t>UPPSALA LÄN</t>
        </is>
      </c>
      <c r="E3313" t="inlineStr">
        <is>
          <t>TIERP</t>
        </is>
      </c>
      <c r="G3313" t="n">
        <v>6</v>
      </c>
      <c r="H3313" t="n">
        <v>0</v>
      </c>
      <c r="I3313" t="n">
        <v>0</v>
      </c>
      <c r="J3313" t="n">
        <v>0</v>
      </c>
      <c r="K3313" t="n">
        <v>0</v>
      </c>
      <c r="L3313" t="n">
        <v>0</v>
      </c>
      <c r="M3313" t="n">
        <v>0</v>
      </c>
      <c r="N3313" t="n">
        <v>0</v>
      </c>
      <c r="O3313" t="n">
        <v>0</v>
      </c>
      <c r="P3313" t="n">
        <v>0</v>
      </c>
      <c r="Q3313" t="n">
        <v>0</v>
      </c>
      <c r="R3313" s="2" t="inlineStr"/>
    </row>
    <row r="3314" ht="15" customHeight="1">
      <c r="A3314" t="inlineStr">
        <is>
          <t>A 4228-2023</t>
        </is>
      </c>
      <c r="B3314" s="1" t="n">
        <v>44953</v>
      </c>
      <c r="C3314" s="1" t="n">
        <v>45705</v>
      </c>
      <c r="D3314" t="inlineStr">
        <is>
          <t>UPPSALA LÄN</t>
        </is>
      </c>
      <c r="E3314" t="inlineStr">
        <is>
          <t>ÖSTHAMMAR</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4329-2023</t>
        </is>
      </c>
      <c r="B3315" s="1" t="n">
        <v>44953</v>
      </c>
      <c r="C3315" s="1" t="n">
        <v>45705</v>
      </c>
      <c r="D3315" t="inlineStr">
        <is>
          <t>UPPSALA LÄN</t>
        </is>
      </c>
      <c r="E3315" t="inlineStr">
        <is>
          <t>TIERP</t>
        </is>
      </c>
      <c r="G3315" t="n">
        <v>4.9</v>
      </c>
      <c r="H3315" t="n">
        <v>0</v>
      </c>
      <c r="I3315" t="n">
        <v>0</v>
      </c>
      <c r="J3315" t="n">
        <v>0</v>
      </c>
      <c r="K3315" t="n">
        <v>0</v>
      </c>
      <c r="L3315" t="n">
        <v>0</v>
      </c>
      <c r="M3315" t="n">
        <v>0</v>
      </c>
      <c r="N3315" t="n">
        <v>0</v>
      </c>
      <c r="O3315" t="n">
        <v>0</v>
      </c>
      <c r="P3315" t="n">
        <v>0</v>
      </c>
      <c r="Q3315" t="n">
        <v>0</v>
      </c>
      <c r="R3315" s="2" t="inlineStr"/>
    </row>
    <row r="3316" ht="15" customHeight="1">
      <c r="A3316" t="inlineStr">
        <is>
          <t>A 4361-2023</t>
        </is>
      </c>
      <c r="B3316" s="1" t="n">
        <v>44954</v>
      </c>
      <c r="C3316" s="1" t="n">
        <v>45705</v>
      </c>
      <c r="D3316" t="inlineStr">
        <is>
          <t>UPPSALA LÄN</t>
        </is>
      </c>
      <c r="E3316" t="inlineStr">
        <is>
          <t>ÖSTHAMMAR</t>
        </is>
      </c>
      <c r="F3316" t="inlineStr">
        <is>
          <t>Bergvik skog öst AB</t>
        </is>
      </c>
      <c r="G3316" t="n">
        <v>18.3</v>
      </c>
      <c r="H3316" t="n">
        <v>0</v>
      </c>
      <c r="I3316" t="n">
        <v>0</v>
      </c>
      <c r="J3316" t="n">
        <v>0</v>
      </c>
      <c r="K3316" t="n">
        <v>0</v>
      </c>
      <c r="L3316" t="n">
        <v>0</v>
      </c>
      <c r="M3316" t="n">
        <v>0</v>
      </c>
      <c r="N3316" t="n">
        <v>0</v>
      </c>
      <c r="O3316" t="n">
        <v>0</v>
      </c>
      <c r="P3316" t="n">
        <v>0</v>
      </c>
      <c r="Q3316" t="n">
        <v>0</v>
      </c>
      <c r="R3316" s="2" t="inlineStr"/>
    </row>
    <row r="3317" ht="15" customHeight="1">
      <c r="A3317" t="inlineStr">
        <is>
          <t>A 4487-2023</t>
        </is>
      </c>
      <c r="B3317" s="1" t="n">
        <v>44956</v>
      </c>
      <c r="C3317" s="1" t="n">
        <v>45705</v>
      </c>
      <c r="D3317" t="inlineStr">
        <is>
          <t>UPPSALA LÄN</t>
        </is>
      </c>
      <c r="E3317" t="inlineStr">
        <is>
          <t>HEBY</t>
        </is>
      </c>
      <c r="F3317" t="inlineStr">
        <is>
          <t>Kyrkan</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4409-2023</t>
        </is>
      </c>
      <c r="B3318" s="1" t="n">
        <v>44956</v>
      </c>
      <c r="C3318" s="1" t="n">
        <v>45705</v>
      </c>
      <c r="D3318" t="inlineStr">
        <is>
          <t>UPPSALA LÄN</t>
        </is>
      </c>
      <c r="E3318" t="inlineStr">
        <is>
          <t>TIERP</t>
        </is>
      </c>
      <c r="F3318" t="inlineStr">
        <is>
          <t>Bergvik skog öst AB</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4531-2023</t>
        </is>
      </c>
      <c r="B3319" s="1" t="n">
        <v>44956</v>
      </c>
      <c r="C3319" s="1" t="n">
        <v>45705</v>
      </c>
      <c r="D3319" t="inlineStr">
        <is>
          <t>UPPSALA LÄN</t>
        </is>
      </c>
      <c r="E3319" t="inlineStr">
        <is>
          <t>TIERP</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4511-2023</t>
        </is>
      </c>
      <c r="B3320" s="1" t="n">
        <v>44956</v>
      </c>
      <c r="C3320" s="1" t="n">
        <v>45705</v>
      </c>
      <c r="D3320" t="inlineStr">
        <is>
          <t>UPPSALA LÄN</t>
        </is>
      </c>
      <c r="E3320" t="inlineStr">
        <is>
          <t>TIERP</t>
        </is>
      </c>
      <c r="G3320" t="n">
        <v>7.8</v>
      </c>
      <c r="H3320" t="n">
        <v>0</v>
      </c>
      <c r="I3320" t="n">
        <v>0</v>
      </c>
      <c r="J3320" t="n">
        <v>0</v>
      </c>
      <c r="K3320" t="n">
        <v>0</v>
      </c>
      <c r="L3320" t="n">
        <v>0</v>
      </c>
      <c r="M3320" t="n">
        <v>0</v>
      </c>
      <c r="N3320" t="n">
        <v>0</v>
      </c>
      <c r="O3320" t="n">
        <v>0</v>
      </c>
      <c r="P3320" t="n">
        <v>0</v>
      </c>
      <c r="Q3320" t="n">
        <v>0</v>
      </c>
      <c r="R3320" s="2" t="inlineStr"/>
    </row>
    <row r="3321" ht="15" customHeight="1">
      <c r="A3321" t="inlineStr">
        <is>
          <t>A 4530-2023</t>
        </is>
      </c>
      <c r="B3321" s="1" t="n">
        <v>44956</v>
      </c>
      <c r="C3321" s="1" t="n">
        <v>45705</v>
      </c>
      <c r="D3321" t="inlineStr">
        <is>
          <t>UPPSALA LÄN</t>
        </is>
      </c>
      <c r="E3321" t="inlineStr">
        <is>
          <t>TIERP</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4639-2023</t>
        </is>
      </c>
      <c r="B3322" s="1" t="n">
        <v>44957</v>
      </c>
      <c r="C3322" s="1" t="n">
        <v>45705</v>
      </c>
      <c r="D3322" t="inlineStr">
        <is>
          <t>UPPSALA LÄN</t>
        </is>
      </c>
      <c r="E3322" t="inlineStr">
        <is>
          <t>HEBY</t>
        </is>
      </c>
      <c r="F3322" t="inlineStr">
        <is>
          <t>Kyrkan</t>
        </is>
      </c>
      <c r="G3322" t="n">
        <v>9.5</v>
      </c>
      <c r="H3322" t="n">
        <v>0</v>
      </c>
      <c r="I3322" t="n">
        <v>0</v>
      </c>
      <c r="J3322" t="n">
        <v>0</v>
      </c>
      <c r="K3322" t="n">
        <v>0</v>
      </c>
      <c r="L3322" t="n">
        <v>0</v>
      </c>
      <c r="M3322" t="n">
        <v>0</v>
      </c>
      <c r="N3322" t="n">
        <v>0</v>
      </c>
      <c r="O3322" t="n">
        <v>0</v>
      </c>
      <c r="P3322" t="n">
        <v>0</v>
      </c>
      <c r="Q3322" t="n">
        <v>0</v>
      </c>
      <c r="R3322" s="2" t="inlineStr"/>
    </row>
    <row r="3323" ht="15" customHeight="1">
      <c r="A3323" t="inlineStr">
        <is>
          <t>A 5404-2023</t>
        </is>
      </c>
      <c r="B3323" s="1" t="n">
        <v>44957</v>
      </c>
      <c r="C3323" s="1" t="n">
        <v>45705</v>
      </c>
      <c r="D3323" t="inlineStr">
        <is>
          <t>UPPSALA LÄN</t>
        </is>
      </c>
      <c r="E3323" t="inlineStr">
        <is>
          <t>ÖSTHAMMAR</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4901-2023</t>
        </is>
      </c>
      <c r="B3324" s="1" t="n">
        <v>44958</v>
      </c>
      <c r="C3324" s="1" t="n">
        <v>45705</v>
      </c>
      <c r="D3324" t="inlineStr">
        <is>
          <t>UPPSALA LÄN</t>
        </is>
      </c>
      <c r="E3324" t="inlineStr">
        <is>
          <t>ENKÖPING</t>
        </is>
      </c>
      <c r="G3324" t="n">
        <v>4.6</v>
      </c>
      <c r="H3324" t="n">
        <v>0</v>
      </c>
      <c r="I3324" t="n">
        <v>0</v>
      </c>
      <c r="J3324" t="n">
        <v>0</v>
      </c>
      <c r="K3324" t="n">
        <v>0</v>
      </c>
      <c r="L3324" t="n">
        <v>0</v>
      </c>
      <c r="M3324" t="n">
        <v>0</v>
      </c>
      <c r="N3324" t="n">
        <v>0</v>
      </c>
      <c r="O3324" t="n">
        <v>0</v>
      </c>
      <c r="P3324" t="n">
        <v>0</v>
      </c>
      <c r="Q3324" t="n">
        <v>0</v>
      </c>
      <c r="R3324" s="2" t="inlineStr"/>
    </row>
    <row r="3325" ht="15" customHeight="1">
      <c r="A3325" t="inlineStr">
        <is>
          <t>A 5060-2023</t>
        </is>
      </c>
      <c r="B3325" s="1" t="n">
        <v>44958</v>
      </c>
      <c r="C3325" s="1" t="n">
        <v>45705</v>
      </c>
      <c r="D3325" t="inlineStr">
        <is>
          <t>UPPSALA LÄN</t>
        </is>
      </c>
      <c r="E3325" t="inlineStr">
        <is>
          <t>HEBY</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5254-2023</t>
        </is>
      </c>
      <c r="B3326" s="1" t="n">
        <v>44959</v>
      </c>
      <c r="C3326" s="1" t="n">
        <v>45705</v>
      </c>
      <c r="D3326" t="inlineStr">
        <is>
          <t>UPPSALA LÄN</t>
        </is>
      </c>
      <c r="E3326" t="inlineStr">
        <is>
          <t>UPPSALA</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5258-2023</t>
        </is>
      </c>
      <c r="B3327" s="1" t="n">
        <v>44959</v>
      </c>
      <c r="C3327" s="1" t="n">
        <v>45705</v>
      </c>
      <c r="D3327" t="inlineStr">
        <is>
          <t>UPPSALA LÄN</t>
        </is>
      </c>
      <c r="E3327" t="inlineStr">
        <is>
          <t>UPPSALA</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5289-2023</t>
        </is>
      </c>
      <c r="B3328" s="1" t="n">
        <v>44959</v>
      </c>
      <c r="C3328" s="1" t="n">
        <v>45705</v>
      </c>
      <c r="D3328" t="inlineStr">
        <is>
          <t>UPPSALA LÄN</t>
        </is>
      </c>
      <c r="E3328" t="inlineStr">
        <is>
          <t>TIERP</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5429-2023</t>
        </is>
      </c>
      <c r="B3329" s="1" t="n">
        <v>44959</v>
      </c>
      <c r="C3329" s="1" t="n">
        <v>45705</v>
      </c>
      <c r="D3329" t="inlineStr">
        <is>
          <t>UPPSALA LÄN</t>
        </is>
      </c>
      <c r="E3329" t="inlineStr">
        <is>
          <t>ÖSTHAMMAR</t>
        </is>
      </c>
      <c r="F3329" t="inlineStr">
        <is>
          <t>Bergvik skog öst AB</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5378-2023</t>
        </is>
      </c>
      <c r="B3330" s="1" t="n">
        <v>44959</v>
      </c>
      <c r="C3330" s="1" t="n">
        <v>45705</v>
      </c>
      <c r="D3330" t="inlineStr">
        <is>
          <t>UPPSALA LÄN</t>
        </is>
      </c>
      <c r="E3330" t="inlineStr">
        <is>
          <t>HEBY</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5430-2023</t>
        </is>
      </c>
      <c r="B3331" s="1" t="n">
        <v>44959</v>
      </c>
      <c r="C3331" s="1" t="n">
        <v>45705</v>
      </c>
      <c r="D3331" t="inlineStr">
        <is>
          <t>UPPSALA LÄN</t>
        </is>
      </c>
      <c r="E3331" t="inlineStr">
        <is>
          <t>ÖSTHAMMAR</t>
        </is>
      </c>
      <c r="F3331" t="inlineStr">
        <is>
          <t>Bergvik skog öst AB</t>
        </is>
      </c>
      <c r="G3331" t="n">
        <v>18.4</v>
      </c>
      <c r="H3331" t="n">
        <v>0</v>
      </c>
      <c r="I3331" t="n">
        <v>0</v>
      </c>
      <c r="J3331" t="n">
        <v>0</v>
      </c>
      <c r="K3331" t="n">
        <v>0</v>
      </c>
      <c r="L3331" t="n">
        <v>0</v>
      </c>
      <c r="M3331" t="n">
        <v>0</v>
      </c>
      <c r="N3331" t="n">
        <v>0</v>
      </c>
      <c r="O3331" t="n">
        <v>0</v>
      </c>
      <c r="P3331" t="n">
        <v>0</v>
      </c>
      <c r="Q3331" t="n">
        <v>0</v>
      </c>
      <c r="R3331" s="2" t="inlineStr"/>
    </row>
    <row r="3332" ht="15" customHeight="1">
      <c r="A3332" t="inlineStr">
        <is>
          <t>A 5247-2023</t>
        </is>
      </c>
      <c r="B3332" s="1" t="n">
        <v>44959</v>
      </c>
      <c r="C3332" s="1" t="n">
        <v>45705</v>
      </c>
      <c r="D3332" t="inlineStr">
        <is>
          <t>UPPSALA LÄN</t>
        </is>
      </c>
      <c r="E3332" t="inlineStr">
        <is>
          <t>UPPSALA</t>
        </is>
      </c>
      <c r="G3332" t="n">
        <v>11.1</v>
      </c>
      <c r="H3332" t="n">
        <v>0</v>
      </c>
      <c r="I3332" t="n">
        <v>0</v>
      </c>
      <c r="J3332" t="n">
        <v>0</v>
      </c>
      <c r="K3332" t="n">
        <v>0</v>
      </c>
      <c r="L3332" t="n">
        <v>0</v>
      </c>
      <c r="M3332" t="n">
        <v>0</v>
      </c>
      <c r="N3332" t="n">
        <v>0</v>
      </c>
      <c r="O3332" t="n">
        <v>0</v>
      </c>
      <c r="P3332" t="n">
        <v>0</v>
      </c>
      <c r="Q3332" t="n">
        <v>0</v>
      </c>
      <c r="R3332" s="2" t="inlineStr"/>
    </row>
    <row r="3333" ht="15" customHeight="1">
      <c r="A3333" t="inlineStr">
        <is>
          <t>A 5402-2023</t>
        </is>
      </c>
      <c r="B3333" s="1" t="n">
        <v>44959</v>
      </c>
      <c r="C3333" s="1" t="n">
        <v>45705</v>
      </c>
      <c r="D3333" t="inlineStr">
        <is>
          <t>UPPSALA LÄN</t>
        </is>
      </c>
      <c r="E3333" t="inlineStr">
        <is>
          <t>KNIVSTA</t>
        </is>
      </c>
      <c r="G3333" t="n">
        <v>4.3</v>
      </c>
      <c r="H3333" t="n">
        <v>0</v>
      </c>
      <c r="I3333" t="n">
        <v>0</v>
      </c>
      <c r="J3333" t="n">
        <v>0</v>
      </c>
      <c r="K3333" t="n">
        <v>0</v>
      </c>
      <c r="L3333" t="n">
        <v>0</v>
      </c>
      <c r="M3333" t="n">
        <v>0</v>
      </c>
      <c r="N3333" t="n">
        <v>0</v>
      </c>
      <c r="O3333" t="n">
        <v>0</v>
      </c>
      <c r="P3333" t="n">
        <v>0</v>
      </c>
      <c r="Q3333" t="n">
        <v>0</v>
      </c>
      <c r="R3333" s="2" t="inlineStr"/>
    </row>
    <row r="3334" ht="15" customHeight="1">
      <c r="A3334" t="inlineStr">
        <is>
          <t>A 5643-2023</t>
        </is>
      </c>
      <c r="B3334" s="1" t="n">
        <v>44960</v>
      </c>
      <c r="C3334" s="1" t="n">
        <v>45705</v>
      </c>
      <c r="D3334" t="inlineStr">
        <is>
          <t>UPPSALA LÄN</t>
        </is>
      </c>
      <c r="E3334" t="inlineStr">
        <is>
          <t>ÖSTHAMMAR</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5678-2023</t>
        </is>
      </c>
      <c r="B3335" s="1" t="n">
        <v>44960</v>
      </c>
      <c r="C3335" s="1" t="n">
        <v>45705</v>
      </c>
      <c r="D3335" t="inlineStr">
        <is>
          <t>UPPSALA LÄN</t>
        </is>
      </c>
      <c r="E3335" t="inlineStr">
        <is>
          <t>UPPSALA</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5682-2023</t>
        </is>
      </c>
      <c r="B3336" s="1" t="n">
        <v>44960</v>
      </c>
      <c r="C3336" s="1" t="n">
        <v>45705</v>
      </c>
      <c r="D3336" t="inlineStr">
        <is>
          <t>UPPSALA LÄN</t>
        </is>
      </c>
      <c r="E3336" t="inlineStr">
        <is>
          <t>UPPSALA</t>
        </is>
      </c>
      <c r="F3336" t="inlineStr">
        <is>
          <t>Allmännings- och besparingsskogar</t>
        </is>
      </c>
      <c r="G3336" t="n">
        <v>14.2</v>
      </c>
      <c r="H3336" t="n">
        <v>0</v>
      </c>
      <c r="I3336" t="n">
        <v>0</v>
      </c>
      <c r="J3336" t="n">
        <v>0</v>
      </c>
      <c r="K3336" t="n">
        <v>0</v>
      </c>
      <c r="L3336" t="n">
        <v>0</v>
      </c>
      <c r="M3336" t="n">
        <v>0</v>
      </c>
      <c r="N3336" t="n">
        <v>0</v>
      </c>
      <c r="O3336" t="n">
        <v>0</v>
      </c>
      <c r="P3336" t="n">
        <v>0</v>
      </c>
      <c r="Q3336" t="n">
        <v>0</v>
      </c>
      <c r="R3336" s="2" t="inlineStr"/>
    </row>
    <row r="3337" ht="15" customHeight="1">
      <c r="A3337" t="inlineStr">
        <is>
          <t>A 5663-2023</t>
        </is>
      </c>
      <c r="B3337" s="1" t="n">
        <v>44960</v>
      </c>
      <c r="C3337" s="1" t="n">
        <v>45705</v>
      </c>
      <c r="D3337" t="inlineStr">
        <is>
          <t>UPPSALA LÄN</t>
        </is>
      </c>
      <c r="E3337" t="inlineStr">
        <is>
          <t>UPPSALA</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5669-2023</t>
        </is>
      </c>
      <c r="B3338" s="1" t="n">
        <v>44960</v>
      </c>
      <c r="C3338" s="1" t="n">
        <v>45705</v>
      </c>
      <c r="D3338" t="inlineStr">
        <is>
          <t>UPPSALA LÄN</t>
        </is>
      </c>
      <c r="E3338" t="inlineStr">
        <is>
          <t>UPPSALA</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5675-2023</t>
        </is>
      </c>
      <c r="B3339" s="1" t="n">
        <v>44960</v>
      </c>
      <c r="C3339" s="1" t="n">
        <v>45705</v>
      </c>
      <c r="D3339" t="inlineStr">
        <is>
          <t>UPPSALA LÄN</t>
        </is>
      </c>
      <c r="E3339" t="inlineStr">
        <is>
          <t>UPPSALA</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5565-2023</t>
        </is>
      </c>
      <c r="B3340" s="1" t="n">
        <v>44960</v>
      </c>
      <c r="C3340" s="1" t="n">
        <v>45705</v>
      </c>
      <c r="D3340" t="inlineStr">
        <is>
          <t>UPPSALA LÄN</t>
        </is>
      </c>
      <c r="E3340" t="inlineStr">
        <is>
          <t>HEBY</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5570-2023</t>
        </is>
      </c>
      <c r="B3341" s="1" t="n">
        <v>44960</v>
      </c>
      <c r="C3341" s="1" t="n">
        <v>45705</v>
      </c>
      <c r="D3341" t="inlineStr">
        <is>
          <t>UPPSALA LÄN</t>
        </is>
      </c>
      <c r="E3341" t="inlineStr">
        <is>
          <t>HEBY</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6629-2023</t>
        </is>
      </c>
      <c r="B3342" s="1" t="n">
        <v>44960</v>
      </c>
      <c r="C3342" s="1" t="n">
        <v>45705</v>
      </c>
      <c r="D3342" t="inlineStr">
        <is>
          <t>UPPSALA LÄN</t>
        </is>
      </c>
      <c r="E3342" t="inlineStr">
        <is>
          <t>ÖSTHAMMAR</t>
        </is>
      </c>
      <c r="G3342" t="n">
        <v>4.6</v>
      </c>
      <c r="H3342" t="n">
        <v>0</v>
      </c>
      <c r="I3342" t="n">
        <v>0</v>
      </c>
      <c r="J3342" t="n">
        <v>0</v>
      </c>
      <c r="K3342" t="n">
        <v>0</v>
      </c>
      <c r="L3342" t="n">
        <v>0</v>
      </c>
      <c r="M3342" t="n">
        <v>0</v>
      </c>
      <c r="N3342" t="n">
        <v>0</v>
      </c>
      <c r="O3342" t="n">
        <v>0</v>
      </c>
      <c r="P3342" t="n">
        <v>0</v>
      </c>
      <c r="Q3342" t="n">
        <v>0</v>
      </c>
      <c r="R3342" s="2" t="inlineStr"/>
    </row>
    <row r="3343" ht="15" customHeight="1">
      <c r="A3343" t="inlineStr">
        <is>
          <t>A 6635-2023</t>
        </is>
      </c>
      <c r="B3343" s="1" t="n">
        <v>44960</v>
      </c>
      <c r="C3343" s="1" t="n">
        <v>45705</v>
      </c>
      <c r="D3343" t="inlineStr">
        <is>
          <t>UPPSALA LÄN</t>
        </is>
      </c>
      <c r="E3343" t="inlineStr">
        <is>
          <t>ÖSTHAMMAR</t>
        </is>
      </c>
      <c r="G3343" t="n">
        <v>4.6</v>
      </c>
      <c r="H3343" t="n">
        <v>0</v>
      </c>
      <c r="I3343" t="n">
        <v>0</v>
      </c>
      <c r="J3343" t="n">
        <v>0</v>
      </c>
      <c r="K3343" t="n">
        <v>0</v>
      </c>
      <c r="L3343" t="n">
        <v>0</v>
      </c>
      <c r="M3343" t="n">
        <v>0</v>
      </c>
      <c r="N3343" t="n">
        <v>0</v>
      </c>
      <c r="O3343" t="n">
        <v>0</v>
      </c>
      <c r="P3343" t="n">
        <v>0</v>
      </c>
      <c r="Q3343" t="n">
        <v>0</v>
      </c>
      <c r="R3343" s="2" t="inlineStr"/>
    </row>
    <row r="3344" ht="15" customHeight="1">
      <c r="A3344" t="inlineStr">
        <is>
          <t>A 5832-2023</t>
        </is>
      </c>
      <c r="B3344" s="1" t="n">
        <v>44963</v>
      </c>
      <c r="C3344" s="1" t="n">
        <v>45705</v>
      </c>
      <c r="D3344" t="inlineStr">
        <is>
          <t>UPPSALA LÄN</t>
        </is>
      </c>
      <c r="E3344" t="inlineStr">
        <is>
          <t>ÖSTHAMMAR</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5836-2023</t>
        </is>
      </c>
      <c r="B3345" s="1" t="n">
        <v>44963</v>
      </c>
      <c r="C3345" s="1" t="n">
        <v>45705</v>
      </c>
      <c r="D3345" t="inlineStr">
        <is>
          <t>UPPSALA LÄN</t>
        </is>
      </c>
      <c r="E3345" t="inlineStr">
        <is>
          <t>ÖSTHAMMAR</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5831-2023</t>
        </is>
      </c>
      <c r="B3346" s="1" t="n">
        <v>44963</v>
      </c>
      <c r="C3346" s="1" t="n">
        <v>45705</v>
      </c>
      <c r="D3346" t="inlineStr">
        <is>
          <t>UPPSALA LÄN</t>
        </is>
      </c>
      <c r="E3346" t="inlineStr">
        <is>
          <t>ÖSTHAMMAR</t>
        </is>
      </c>
      <c r="G3346" t="n">
        <v>8.1</v>
      </c>
      <c r="H3346" t="n">
        <v>0</v>
      </c>
      <c r="I3346" t="n">
        <v>0</v>
      </c>
      <c r="J3346" t="n">
        <v>0</v>
      </c>
      <c r="K3346" t="n">
        <v>0</v>
      </c>
      <c r="L3346" t="n">
        <v>0</v>
      </c>
      <c r="M3346" t="n">
        <v>0</v>
      </c>
      <c r="N3346" t="n">
        <v>0</v>
      </c>
      <c r="O3346" t="n">
        <v>0</v>
      </c>
      <c r="P3346" t="n">
        <v>0</v>
      </c>
      <c r="Q3346" t="n">
        <v>0</v>
      </c>
      <c r="R3346" s="2" t="inlineStr"/>
    </row>
    <row r="3347" ht="15" customHeight="1">
      <c r="A3347" t="inlineStr">
        <is>
          <t>A 5857-2023</t>
        </is>
      </c>
      <c r="B3347" s="1" t="n">
        <v>44963</v>
      </c>
      <c r="C3347" s="1" t="n">
        <v>45705</v>
      </c>
      <c r="D3347" t="inlineStr">
        <is>
          <t>UPPSALA LÄN</t>
        </is>
      </c>
      <c r="E3347" t="inlineStr">
        <is>
          <t>ÖSTHAMMAR</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5892-2023</t>
        </is>
      </c>
      <c r="B3348" s="1" t="n">
        <v>44963</v>
      </c>
      <c r="C3348" s="1" t="n">
        <v>45705</v>
      </c>
      <c r="D3348" t="inlineStr">
        <is>
          <t>UPPSALA LÄN</t>
        </is>
      </c>
      <c r="E3348" t="inlineStr">
        <is>
          <t>ENKÖPING</t>
        </is>
      </c>
      <c r="G3348" t="n">
        <v>5.5</v>
      </c>
      <c r="H3348" t="n">
        <v>0</v>
      </c>
      <c r="I3348" t="n">
        <v>0</v>
      </c>
      <c r="J3348" t="n">
        <v>0</v>
      </c>
      <c r="K3348" t="n">
        <v>0</v>
      </c>
      <c r="L3348" t="n">
        <v>0</v>
      </c>
      <c r="M3348" t="n">
        <v>0</v>
      </c>
      <c r="N3348" t="n">
        <v>0</v>
      </c>
      <c r="O3348" t="n">
        <v>0</v>
      </c>
      <c r="P3348" t="n">
        <v>0</v>
      </c>
      <c r="Q3348" t="n">
        <v>0</v>
      </c>
      <c r="R3348" s="2" t="inlineStr"/>
    </row>
    <row r="3349" ht="15" customHeight="1">
      <c r="A3349" t="inlineStr">
        <is>
          <t>A 5884-2023</t>
        </is>
      </c>
      <c r="B3349" s="1" t="n">
        <v>44963</v>
      </c>
      <c r="C3349" s="1" t="n">
        <v>45705</v>
      </c>
      <c r="D3349" t="inlineStr">
        <is>
          <t>UPPSALA LÄN</t>
        </is>
      </c>
      <c r="E3349" t="inlineStr">
        <is>
          <t>ÖSTHAMMAR</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5877-2023</t>
        </is>
      </c>
      <c r="B3350" s="1" t="n">
        <v>44963</v>
      </c>
      <c r="C3350" s="1" t="n">
        <v>45705</v>
      </c>
      <c r="D3350" t="inlineStr">
        <is>
          <t>UPPSALA LÄN</t>
        </is>
      </c>
      <c r="E3350" t="inlineStr">
        <is>
          <t>ÖSTHAMMAR</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5967-2023</t>
        </is>
      </c>
      <c r="B3351" s="1" t="n">
        <v>44964</v>
      </c>
      <c r="C3351" s="1" t="n">
        <v>45705</v>
      </c>
      <c r="D3351" t="inlineStr">
        <is>
          <t>UPPSALA LÄN</t>
        </is>
      </c>
      <c r="E3351" t="inlineStr">
        <is>
          <t>TIERP</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5987-2023</t>
        </is>
      </c>
      <c r="B3352" s="1" t="n">
        <v>44964</v>
      </c>
      <c r="C3352" s="1" t="n">
        <v>45705</v>
      </c>
      <c r="D3352" t="inlineStr">
        <is>
          <t>UPPSALA LÄN</t>
        </is>
      </c>
      <c r="E3352" t="inlineStr">
        <is>
          <t>TIERP</t>
        </is>
      </c>
      <c r="F3352" t="inlineStr">
        <is>
          <t>Bergvik skog öst AB</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5994-2023</t>
        </is>
      </c>
      <c r="B3353" s="1" t="n">
        <v>44964</v>
      </c>
      <c r="C3353" s="1" t="n">
        <v>45705</v>
      </c>
      <c r="D3353" t="inlineStr">
        <is>
          <t>UPPSALA LÄN</t>
        </is>
      </c>
      <c r="E3353" t="inlineStr">
        <is>
          <t>TIERP</t>
        </is>
      </c>
      <c r="F3353" t="inlineStr">
        <is>
          <t>Bergvik skog öst AB</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6075-2023</t>
        </is>
      </c>
      <c r="B3354" s="1" t="n">
        <v>44964</v>
      </c>
      <c r="C3354" s="1" t="n">
        <v>45705</v>
      </c>
      <c r="D3354" t="inlineStr">
        <is>
          <t>UPPSALA LÄN</t>
        </is>
      </c>
      <c r="E3354" t="inlineStr">
        <is>
          <t>TIERP</t>
        </is>
      </c>
      <c r="F3354" t="inlineStr">
        <is>
          <t>Bergvik skog öst AB</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5963-2023</t>
        </is>
      </c>
      <c r="B3355" s="1" t="n">
        <v>44964</v>
      </c>
      <c r="C3355" s="1" t="n">
        <v>45705</v>
      </c>
      <c r="D3355" t="inlineStr">
        <is>
          <t>UPPSALA LÄN</t>
        </is>
      </c>
      <c r="E3355" t="inlineStr">
        <is>
          <t>TIERP</t>
        </is>
      </c>
      <c r="F3355" t="inlineStr">
        <is>
          <t>Bergvik skog öst AB</t>
        </is>
      </c>
      <c r="G3355" t="n">
        <v>4.1</v>
      </c>
      <c r="H3355" t="n">
        <v>0</v>
      </c>
      <c r="I3355" t="n">
        <v>0</v>
      </c>
      <c r="J3355" t="n">
        <v>0</v>
      </c>
      <c r="K3355" t="n">
        <v>0</v>
      </c>
      <c r="L3355" t="n">
        <v>0</v>
      </c>
      <c r="M3355" t="n">
        <v>0</v>
      </c>
      <c r="N3355" t="n">
        <v>0</v>
      </c>
      <c r="O3355" t="n">
        <v>0</v>
      </c>
      <c r="P3355" t="n">
        <v>0</v>
      </c>
      <c r="Q3355" t="n">
        <v>0</v>
      </c>
      <c r="R3355" s="2" t="inlineStr"/>
    </row>
    <row r="3356" ht="15" customHeight="1">
      <c r="A3356" t="inlineStr">
        <is>
          <t>A 5995-2023</t>
        </is>
      </c>
      <c r="B3356" s="1" t="n">
        <v>44964</v>
      </c>
      <c r="C3356" s="1" t="n">
        <v>45705</v>
      </c>
      <c r="D3356" t="inlineStr">
        <is>
          <t>UPPSALA LÄN</t>
        </is>
      </c>
      <c r="E3356" t="inlineStr">
        <is>
          <t>TIERP</t>
        </is>
      </c>
      <c r="F3356" t="inlineStr">
        <is>
          <t>Bergvik skog öst AB</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6048-2023</t>
        </is>
      </c>
      <c r="B3357" s="1" t="n">
        <v>44964</v>
      </c>
      <c r="C3357" s="1" t="n">
        <v>45705</v>
      </c>
      <c r="D3357" t="inlineStr">
        <is>
          <t>UPPSALA LÄN</t>
        </is>
      </c>
      <c r="E3357" t="inlineStr">
        <is>
          <t>TIERP</t>
        </is>
      </c>
      <c r="F3357" t="inlineStr">
        <is>
          <t>Bergvik skog öst AB</t>
        </is>
      </c>
      <c r="G3357" t="n">
        <v>4.4</v>
      </c>
      <c r="H3357" t="n">
        <v>0</v>
      </c>
      <c r="I3357" t="n">
        <v>0</v>
      </c>
      <c r="J3357" t="n">
        <v>0</v>
      </c>
      <c r="K3357" t="n">
        <v>0</v>
      </c>
      <c r="L3357" t="n">
        <v>0</v>
      </c>
      <c r="M3357" t="n">
        <v>0</v>
      </c>
      <c r="N3357" t="n">
        <v>0</v>
      </c>
      <c r="O3357" t="n">
        <v>0</v>
      </c>
      <c r="P3357" t="n">
        <v>0</v>
      </c>
      <c r="Q3357" t="n">
        <v>0</v>
      </c>
      <c r="R3357" s="2" t="inlineStr"/>
    </row>
    <row r="3358" ht="15" customHeight="1">
      <c r="A3358" t="inlineStr">
        <is>
          <t>A 6071-2023</t>
        </is>
      </c>
      <c r="B3358" s="1" t="n">
        <v>44964</v>
      </c>
      <c r="C3358" s="1" t="n">
        <v>45705</v>
      </c>
      <c r="D3358" t="inlineStr">
        <is>
          <t>UPPSALA LÄN</t>
        </is>
      </c>
      <c r="E3358" t="inlineStr">
        <is>
          <t>TIERP</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5993-2023</t>
        </is>
      </c>
      <c r="B3359" s="1" t="n">
        <v>44964</v>
      </c>
      <c r="C3359" s="1" t="n">
        <v>45705</v>
      </c>
      <c r="D3359" t="inlineStr">
        <is>
          <t>UPPSALA LÄN</t>
        </is>
      </c>
      <c r="E3359" t="inlineStr">
        <is>
          <t>TIERP</t>
        </is>
      </c>
      <c r="F3359" t="inlineStr">
        <is>
          <t>Bergvik skog öst AB</t>
        </is>
      </c>
      <c r="G3359" t="n">
        <v>4.1</v>
      </c>
      <c r="H3359" t="n">
        <v>0</v>
      </c>
      <c r="I3359" t="n">
        <v>0</v>
      </c>
      <c r="J3359" t="n">
        <v>0</v>
      </c>
      <c r="K3359" t="n">
        <v>0</v>
      </c>
      <c r="L3359" t="n">
        <v>0</v>
      </c>
      <c r="M3359" t="n">
        <v>0</v>
      </c>
      <c r="N3359" t="n">
        <v>0</v>
      </c>
      <c r="O3359" t="n">
        <v>0</v>
      </c>
      <c r="P3359" t="n">
        <v>0</v>
      </c>
      <c r="Q3359" t="n">
        <v>0</v>
      </c>
      <c r="R3359" s="2" t="inlineStr"/>
    </row>
    <row r="3360" ht="15" customHeight="1">
      <c r="A3360" t="inlineStr">
        <is>
          <t>A 6213-2023</t>
        </is>
      </c>
      <c r="B3360" s="1" t="n">
        <v>44964</v>
      </c>
      <c r="C3360" s="1" t="n">
        <v>45705</v>
      </c>
      <c r="D3360" t="inlineStr">
        <is>
          <t>UPPSALA LÄN</t>
        </is>
      </c>
      <c r="E3360" t="inlineStr">
        <is>
          <t>UPPSALA</t>
        </is>
      </c>
      <c r="G3360" t="n">
        <v>3.9</v>
      </c>
      <c r="H3360" t="n">
        <v>0</v>
      </c>
      <c r="I3360" t="n">
        <v>0</v>
      </c>
      <c r="J3360" t="n">
        <v>0</v>
      </c>
      <c r="K3360" t="n">
        <v>0</v>
      </c>
      <c r="L3360" t="n">
        <v>0</v>
      </c>
      <c r="M3360" t="n">
        <v>0</v>
      </c>
      <c r="N3360" t="n">
        <v>0</v>
      </c>
      <c r="O3360" t="n">
        <v>0</v>
      </c>
      <c r="P3360" t="n">
        <v>0</v>
      </c>
      <c r="Q3360" t="n">
        <v>0</v>
      </c>
      <c r="R3360" s="2" t="inlineStr"/>
    </row>
    <row r="3361" ht="15" customHeight="1">
      <c r="A3361" t="inlineStr">
        <is>
          <t>A 5997-2023</t>
        </is>
      </c>
      <c r="B3361" s="1" t="n">
        <v>44964</v>
      </c>
      <c r="C3361" s="1" t="n">
        <v>45705</v>
      </c>
      <c r="D3361" t="inlineStr">
        <is>
          <t>UPPSALA LÄN</t>
        </is>
      </c>
      <c r="E3361" t="inlineStr">
        <is>
          <t>TIERP</t>
        </is>
      </c>
      <c r="F3361" t="inlineStr">
        <is>
          <t>Bergvik skog öst AB</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6049-2023</t>
        </is>
      </c>
      <c r="B3362" s="1" t="n">
        <v>44964</v>
      </c>
      <c r="C3362" s="1" t="n">
        <v>45705</v>
      </c>
      <c r="D3362" t="inlineStr">
        <is>
          <t>UPPSALA LÄN</t>
        </is>
      </c>
      <c r="E3362" t="inlineStr">
        <is>
          <t>TIERP</t>
        </is>
      </c>
      <c r="F3362" t="inlineStr">
        <is>
          <t>Bergvik skog öst AB</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6155-2023</t>
        </is>
      </c>
      <c r="B3363" s="1" t="n">
        <v>44964</v>
      </c>
      <c r="C3363" s="1" t="n">
        <v>45705</v>
      </c>
      <c r="D3363" t="inlineStr">
        <is>
          <t>UPPSALA LÄN</t>
        </is>
      </c>
      <c r="E3363" t="inlineStr">
        <is>
          <t>UPPSALA</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6203-2023</t>
        </is>
      </c>
      <c r="B3364" s="1" t="n">
        <v>44964</v>
      </c>
      <c r="C3364" s="1" t="n">
        <v>45705</v>
      </c>
      <c r="D3364" t="inlineStr">
        <is>
          <t>UPPSALA LÄN</t>
        </is>
      </c>
      <c r="E3364" t="inlineStr">
        <is>
          <t>HEBY</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6215-2023</t>
        </is>
      </c>
      <c r="B3365" s="1" t="n">
        <v>44964</v>
      </c>
      <c r="C3365" s="1" t="n">
        <v>45705</v>
      </c>
      <c r="D3365" t="inlineStr">
        <is>
          <t>UPPSALA LÄN</t>
        </is>
      </c>
      <c r="E3365" t="inlineStr">
        <is>
          <t>UPPSALA</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6172-2023</t>
        </is>
      </c>
      <c r="B3366" s="1" t="n">
        <v>44964</v>
      </c>
      <c r="C3366" s="1" t="n">
        <v>45705</v>
      </c>
      <c r="D3366" t="inlineStr">
        <is>
          <t>UPPSALA LÄN</t>
        </is>
      </c>
      <c r="E3366" t="inlineStr">
        <is>
          <t>ENKÖPING</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6288-2023</t>
        </is>
      </c>
      <c r="B3367" s="1" t="n">
        <v>44965</v>
      </c>
      <c r="C3367" s="1" t="n">
        <v>45705</v>
      </c>
      <c r="D3367" t="inlineStr">
        <is>
          <t>UPPSALA LÄN</t>
        </is>
      </c>
      <c r="E3367" t="inlineStr">
        <is>
          <t>TIERP</t>
        </is>
      </c>
      <c r="F3367" t="inlineStr">
        <is>
          <t>Bergvik skog öst AB</t>
        </is>
      </c>
      <c r="G3367" t="n">
        <v>5.4</v>
      </c>
      <c r="H3367" t="n">
        <v>0</v>
      </c>
      <c r="I3367" t="n">
        <v>0</v>
      </c>
      <c r="J3367" t="n">
        <v>0</v>
      </c>
      <c r="K3367" t="n">
        <v>0</v>
      </c>
      <c r="L3367" t="n">
        <v>0</v>
      </c>
      <c r="M3367" t="n">
        <v>0</v>
      </c>
      <c r="N3367" t="n">
        <v>0</v>
      </c>
      <c r="O3367" t="n">
        <v>0</v>
      </c>
      <c r="P3367" t="n">
        <v>0</v>
      </c>
      <c r="Q3367" t="n">
        <v>0</v>
      </c>
      <c r="R3367" s="2" t="inlineStr"/>
    </row>
    <row r="3368" ht="15" customHeight="1">
      <c r="A3368" t="inlineStr">
        <is>
          <t>A 6364-2023</t>
        </is>
      </c>
      <c r="B3368" s="1" t="n">
        <v>44965</v>
      </c>
      <c r="C3368" s="1" t="n">
        <v>45705</v>
      </c>
      <c r="D3368" t="inlineStr">
        <is>
          <t>UPPSALA LÄN</t>
        </is>
      </c>
      <c r="E3368" t="inlineStr">
        <is>
          <t>TIERP</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6422-2023</t>
        </is>
      </c>
      <c r="B3369" s="1" t="n">
        <v>44965</v>
      </c>
      <c r="C3369" s="1" t="n">
        <v>45705</v>
      </c>
      <c r="D3369" t="inlineStr">
        <is>
          <t>UPPSALA LÄN</t>
        </is>
      </c>
      <c r="E3369" t="inlineStr">
        <is>
          <t>UPPSALA</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6423-2023</t>
        </is>
      </c>
      <c r="B3370" s="1" t="n">
        <v>44965</v>
      </c>
      <c r="C3370" s="1" t="n">
        <v>45705</v>
      </c>
      <c r="D3370" t="inlineStr">
        <is>
          <t>UPPSALA LÄN</t>
        </is>
      </c>
      <c r="E3370" t="inlineStr">
        <is>
          <t>UPPSALA</t>
        </is>
      </c>
      <c r="G3370" t="n">
        <v>8.800000000000001</v>
      </c>
      <c r="H3370" t="n">
        <v>0</v>
      </c>
      <c r="I3370" t="n">
        <v>0</v>
      </c>
      <c r="J3370" t="n">
        <v>0</v>
      </c>
      <c r="K3370" t="n">
        <v>0</v>
      </c>
      <c r="L3370" t="n">
        <v>0</v>
      </c>
      <c r="M3370" t="n">
        <v>0</v>
      </c>
      <c r="N3370" t="n">
        <v>0</v>
      </c>
      <c r="O3370" t="n">
        <v>0</v>
      </c>
      <c r="P3370" t="n">
        <v>0</v>
      </c>
      <c r="Q3370" t="n">
        <v>0</v>
      </c>
      <c r="R3370" s="2" t="inlineStr"/>
    </row>
    <row r="3371" ht="15" customHeight="1">
      <c r="A3371" t="inlineStr">
        <is>
          <t>A 6602-2023</t>
        </is>
      </c>
      <c r="B3371" s="1" t="n">
        <v>44966</v>
      </c>
      <c r="C3371" s="1" t="n">
        <v>45705</v>
      </c>
      <c r="D3371" t="inlineStr">
        <is>
          <t>UPPSALA LÄN</t>
        </is>
      </c>
      <c r="E3371" t="inlineStr">
        <is>
          <t>UPPSALA</t>
        </is>
      </c>
      <c r="F3371" t="inlineStr">
        <is>
          <t>Allmännings- och besparingsskogar</t>
        </is>
      </c>
      <c r="G3371" t="n">
        <v>20.2</v>
      </c>
      <c r="H3371" t="n">
        <v>0</v>
      </c>
      <c r="I3371" t="n">
        <v>0</v>
      </c>
      <c r="J3371" t="n">
        <v>0</v>
      </c>
      <c r="K3371" t="n">
        <v>0</v>
      </c>
      <c r="L3371" t="n">
        <v>0</v>
      </c>
      <c r="M3371" t="n">
        <v>0</v>
      </c>
      <c r="N3371" t="n">
        <v>0</v>
      </c>
      <c r="O3371" t="n">
        <v>0</v>
      </c>
      <c r="P3371" t="n">
        <v>0</v>
      </c>
      <c r="Q3371" t="n">
        <v>0</v>
      </c>
      <c r="R3371" s="2" t="inlineStr"/>
    </row>
    <row r="3372" ht="15" customHeight="1">
      <c r="A3372" t="inlineStr">
        <is>
          <t>A 6620-2023</t>
        </is>
      </c>
      <c r="B3372" s="1" t="n">
        <v>44966</v>
      </c>
      <c r="C3372" s="1" t="n">
        <v>45705</v>
      </c>
      <c r="D3372" t="inlineStr">
        <is>
          <t>UPPSALA LÄN</t>
        </is>
      </c>
      <c r="E3372" t="inlineStr">
        <is>
          <t>ENKÖPING</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6497-2023</t>
        </is>
      </c>
      <c r="B3373" s="1" t="n">
        <v>44966</v>
      </c>
      <c r="C3373" s="1" t="n">
        <v>45705</v>
      </c>
      <c r="D3373" t="inlineStr">
        <is>
          <t>UPPSALA LÄN</t>
        </is>
      </c>
      <c r="E3373" t="inlineStr">
        <is>
          <t>TIERP</t>
        </is>
      </c>
      <c r="F3373" t="inlineStr">
        <is>
          <t>Bergvik skog öst AB</t>
        </is>
      </c>
      <c r="G3373" t="n">
        <v>12.9</v>
      </c>
      <c r="H3373" t="n">
        <v>0</v>
      </c>
      <c r="I3373" t="n">
        <v>0</v>
      </c>
      <c r="J3373" t="n">
        <v>0</v>
      </c>
      <c r="K3373" t="n">
        <v>0</v>
      </c>
      <c r="L3373" t="n">
        <v>0</v>
      </c>
      <c r="M3373" t="n">
        <v>0</v>
      </c>
      <c r="N3373" t="n">
        <v>0</v>
      </c>
      <c r="O3373" t="n">
        <v>0</v>
      </c>
      <c r="P3373" t="n">
        <v>0</v>
      </c>
      <c r="Q3373" t="n">
        <v>0</v>
      </c>
      <c r="R3373" s="2" t="inlineStr"/>
    </row>
    <row r="3374" ht="15" customHeight="1">
      <c r="A3374" t="inlineStr">
        <is>
          <t>A 6623-2023</t>
        </is>
      </c>
      <c r="B3374" s="1" t="n">
        <v>44966</v>
      </c>
      <c r="C3374" s="1" t="n">
        <v>45705</v>
      </c>
      <c r="D3374" t="inlineStr">
        <is>
          <t>UPPSALA LÄN</t>
        </is>
      </c>
      <c r="E3374" t="inlineStr">
        <is>
          <t>ENKÖPING</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6624-2023</t>
        </is>
      </c>
      <c r="B3375" s="1" t="n">
        <v>44966</v>
      </c>
      <c r="C3375" s="1" t="n">
        <v>45705</v>
      </c>
      <c r="D3375" t="inlineStr">
        <is>
          <t>UPPSALA LÄN</t>
        </is>
      </c>
      <c r="E3375" t="inlineStr">
        <is>
          <t>ENKÖPING</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6626-2023</t>
        </is>
      </c>
      <c r="B3376" s="1" t="n">
        <v>44966</v>
      </c>
      <c r="C3376" s="1" t="n">
        <v>45705</v>
      </c>
      <c r="D3376" t="inlineStr">
        <is>
          <t>UPPSALA LÄN</t>
        </is>
      </c>
      <c r="E3376" t="inlineStr">
        <is>
          <t>ENKÖPING</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6692-2023</t>
        </is>
      </c>
      <c r="B3377" s="1" t="n">
        <v>44966</v>
      </c>
      <c r="C3377" s="1" t="n">
        <v>45705</v>
      </c>
      <c r="D3377" t="inlineStr">
        <is>
          <t>UPPSALA LÄN</t>
        </is>
      </c>
      <c r="E3377" t="inlineStr">
        <is>
          <t>HEBY</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6749-2023</t>
        </is>
      </c>
      <c r="B3378" s="1" t="n">
        <v>44966</v>
      </c>
      <c r="C3378" s="1" t="n">
        <v>45705</v>
      </c>
      <c r="D3378" t="inlineStr">
        <is>
          <t>UPPSALA LÄN</t>
        </is>
      </c>
      <c r="E3378" t="inlineStr">
        <is>
          <t>UPPSALA</t>
        </is>
      </c>
      <c r="F3378" t="inlineStr">
        <is>
          <t>Allmännings- och besparingsskogar</t>
        </is>
      </c>
      <c r="G3378" t="n">
        <v>13.5</v>
      </c>
      <c r="H3378" t="n">
        <v>0</v>
      </c>
      <c r="I3378" t="n">
        <v>0</v>
      </c>
      <c r="J3378" t="n">
        <v>0</v>
      </c>
      <c r="K3378" t="n">
        <v>0</v>
      </c>
      <c r="L3378" t="n">
        <v>0</v>
      </c>
      <c r="M3378" t="n">
        <v>0</v>
      </c>
      <c r="N3378" t="n">
        <v>0</v>
      </c>
      <c r="O3378" t="n">
        <v>0</v>
      </c>
      <c r="P3378" t="n">
        <v>0</v>
      </c>
      <c r="Q3378" t="n">
        <v>0</v>
      </c>
      <c r="R3378" s="2" t="inlineStr"/>
    </row>
    <row r="3379" ht="15" customHeight="1">
      <c r="A3379" t="inlineStr">
        <is>
          <t>A 7352-2023</t>
        </is>
      </c>
      <c r="B3379" s="1" t="n">
        <v>44966</v>
      </c>
      <c r="C3379" s="1" t="n">
        <v>45705</v>
      </c>
      <c r="D3379" t="inlineStr">
        <is>
          <t>UPPSALA LÄN</t>
        </is>
      </c>
      <c r="E3379" t="inlineStr">
        <is>
          <t>TIERP</t>
        </is>
      </c>
      <c r="G3379" t="n">
        <v>3.5</v>
      </c>
      <c r="H3379" t="n">
        <v>0</v>
      </c>
      <c r="I3379" t="n">
        <v>0</v>
      </c>
      <c r="J3379" t="n">
        <v>0</v>
      </c>
      <c r="K3379" t="n">
        <v>0</v>
      </c>
      <c r="L3379" t="n">
        <v>0</v>
      </c>
      <c r="M3379" t="n">
        <v>0</v>
      </c>
      <c r="N3379" t="n">
        <v>0</v>
      </c>
      <c r="O3379" t="n">
        <v>0</v>
      </c>
      <c r="P3379" t="n">
        <v>0</v>
      </c>
      <c r="Q3379" t="n">
        <v>0</v>
      </c>
      <c r="R3379" s="2" t="inlineStr"/>
    </row>
    <row r="3380" ht="15" customHeight="1">
      <c r="A3380" t="inlineStr">
        <is>
          <t>A 7359-2023</t>
        </is>
      </c>
      <c r="B3380" s="1" t="n">
        <v>44966</v>
      </c>
      <c r="C3380" s="1" t="n">
        <v>45705</v>
      </c>
      <c r="D3380" t="inlineStr">
        <is>
          <t>UPPSALA LÄN</t>
        </is>
      </c>
      <c r="E3380" t="inlineStr">
        <is>
          <t>TIERP</t>
        </is>
      </c>
      <c r="G3380" t="n">
        <v>3.4</v>
      </c>
      <c r="H3380" t="n">
        <v>0</v>
      </c>
      <c r="I3380" t="n">
        <v>0</v>
      </c>
      <c r="J3380" t="n">
        <v>0</v>
      </c>
      <c r="K3380" t="n">
        <v>0</v>
      </c>
      <c r="L3380" t="n">
        <v>0</v>
      </c>
      <c r="M3380" t="n">
        <v>0</v>
      </c>
      <c r="N3380" t="n">
        <v>0</v>
      </c>
      <c r="O3380" t="n">
        <v>0</v>
      </c>
      <c r="P3380" t="n">
        <v>0</v>
      </c>
      <c r="Q3380" t="n">
        <v>0</v>
      </c>
      <c r="R3380" s="2" t="inlineStr"/>
    </row>
    <row r="3381" ht="15" customHeight="1">
      <c r="A3381" t="inlineStr">
        <is>
          <t>A 6839-2023</t>
        </is>
      </c>
      <c r="B3381" s="1" t="n">
        <v>44967</v>
      </c>
      <c r="C3381" s="1" t="n">
        <v>45705</v>
      </c>
      <c r="D3381" t="inlineStr">
        <is>
          <t>UPPSALA LÄN</t>
        </is>
      </c>
      <c r="E3381" t="inlineStr">
        <is>
          <t>ÄLVKARLEBY</t>
        </is>
      </c>
      <c r="F3381" t="inlineStr">
        <is>
          <t>Bergvik skog väst AB</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6834-2023</t>
        </is>
      </c>
      <c r="B3382" s="1" t="n">
        <v>44967</v>
      </c>
      <c r="C3382" s="1" t="n">
        <v>45705</v>
      </c>
      <c r="D3382" t="inlineStr">
        <is>
          <t>UPPSALA LÄN</t>
        </is>
      </c>
      <c r="E3382" t="inlineStr">
        <is>
          <t>ÄLVKARLEBY</t>
        </is>
      </c>
      <c r="F3382" t="inlineStr">
        <is>
          <t>Bergvik skog väst AB</t>
        </is>
      </c>
      <c r="G3382" t="n">
        <v>8.1</v>
      </c>
      <c r="H3382" t="n">
        <v>0</v>
      </c>
      <c r="I3382" t="n">
        <v>0</v>
      </c>
      <c r="J3382" t="n">
        <v>0</v>
      </c>
      <c r="K3382" t="n">
        <v>0</v>
      </c>
      <c r="L3382" t="n">
        <v>0</v>
      </c>
      <c r="M3382" t="n">
        <v>0</v>
      </c>
      <c r="N3382" t="n">
        <v>0</v>
      </c>
      <c r="O3382" t="n">
        <v>0</v>
      </c>
      <c r="P3382" t="n">
        <v>0</v>
      </c>
      <c r="Q3382" t="n">
        <v>0</v>
      </c>
      <c r="R3382" s="2" t="inlineStr"/>
    </row>
    <row r="3383" ht="15" customHeight="1">
      <c r="A3383" t="inlineStr">
        <is>
          <t>A 6930-2023</t>
        </is>
      </c>
      <c r="B3383" s="1" t="n">
        <v>44967</v>
      </c>
      <c r="C3383" s="1" t="n">
        <v>45705</v>
      </c>
      <c r="D3383" t="inlineStr">
        <is>
          <t>UPPSALA LÄN</t>
        </is>
      </c>
      <c r="E3383" t="inlineStr">
        <is>
          <t>UPPSALA</t>
        </is>
      </c>
      <c r="G3383" t="n">
        <v>8.800000000000001</v>
      </c>
      <c r="H3383" t="n">
        <v>0</v>
      </c>
      <c r="I3383" t="n">
        <v>0</v>
      </c>
      <c r="J3383" t="n">
        <v>0</v>
      </c>
      <c r="K3383" t="n">
        <v>0</v>
      </c>
      <c r="L3383" t="n">
        <v>0</v>
      </c>
      <c r="M3383" t="n">
        <v>0</v>
      </c>
      <c r="N3383" t="n">
        <v>0</v>
      </c>
      <c r="O3383" t="n">
        <v>0</v>
      </c>
      <c r="P3383" t="n">
        <v>0</v>
      </c>
      <c r="Q3383" t="n">
        <v>0</v>
      </c>
      <c r="R3383" s="2" t="inlineStr"/>
    </row>
    <row r="3384" ht="15" customHeight="1">
      <c r="A3384" t="inlineStr">
        <is>
          <t>A 7000-2023</t>
        </is>
      </c>
      <c r="B3384" s="1" t="n">
        <v>44967</v>
      </c>
      <c r="C3384" s="1" t="n">
        <v>45705</v>
      </c>
      <c r="D3384" t="inlineStr">
        <is>
          <t>UPPSALA LÄN</t>
        </is>
      </c>
      <c r="E3384" t="inlineStr">
        <is>
          <t>UPPSALA</t>
        </is>
      </c>
      <c r="G3384" t="n">
        <v>7.1</v>
      </c>
      <c r="H3384" t="n">
        <v>0</v>
      </c>
      <c r="I3384" t="n">
        <v>0</v>
      </c>
      <c r="J3384" t="n">
        <v>0</v>
      </c>
      <c r="K3384" t="n">
        <v>0</v>
      </c>
      <c r="L3384" t="n">
        <v>0</v>
      </c>
      <c r="M3384" t="n">
        <v>0</v>
      </c>
      <c r="N3384" t="n">
        <v>0</v>
      </c>
      <c r="O3384" t="n">
        <v>0</v>
      </c>
      <c r="P3384" t="n">
        <v>0</v>
      </c>
      <c r="Q3384" t="n">
        <v>0</v>
      </c>
      <c r="R3384" s="2" t="inlineStr"/>
    </row>
    <row r="3385" ht="15" customHeight="1">
      <c r="A3385" t="inlineStr">
        <is>
          <t>A 6999-2023</t>
        </is>
      </c>
      <c r="B3385" s="1" t="n">
        <v>44967</v>
      </c>
      <c r="C3385" s="1" t="n">
        <v>45705</v>
      </c>
      <c r="D3385" t="inlineStr">
        <is>
          <t>UPPSALA LÄN</t>
        </is>
      </c>
      <c r="E3385" t="inlineStr">
        <is>
          <t>UPPSALA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6997-2023</t>
        </is>
      </c>
      <c r="B3386" s="1" t="n">
        <v>44967</v>
      </c>
      <c r="C3386" s="1" t="n">
        <v>45705</v>
      </c>
      <c r="D3386" t="inlineStr">
        <is>
          <t>UPPSALA LÄN</t>
        </is>
      </c>
      <c r="E3386" t="inlineStr">
        <is>
          <t>UPPSALA</t>
        </is>
      </c>
      <c r="G3386" t="n">
        <v>3.9</v>
      </c>
      <c r="H3386" t="n">
        <v>0</v>
      </c>
      <c r="I3386" t="n">
        <v>0</v>
      </c>
      <c r="J3386" t="n">
        <v>0</v>
      </c>
      <c r="K3386" t="n">
        <v>0</v>
      </c>
      <c r="L3386" t="n">
        <v>0</v>
      </c>
      <c r="M3386" t="n">
        <v>0</v>
      </c>
      <c r="N3386" t="n">
        <v>0</v>
      </c>
      <c r="O3386" t="n">
        <v>0</v>
      </c>
      <c r="P3386" t="n">
        <v>0</v>
      </c>
      <c r="Q3386" t="n">
        <v>0</v>
      </c>
      <c r="R3386" s="2" t="inlineStr"/>
    </row>
    <row r="3387" ht="15" customHeight="1">
      <c r="A3387" t="inlineStr">
        <is>
          <t>A 7001-2023</t>
        </is>
      </c>
      <c r="B3387" s="1" t="n">
        <v>44967</v>
      </c>
      <c r="C3387" s="1" t="n">
        <v>45705</v>
      </c>
      <c r="D3387" t="inlineStr">
        <is>
          <t>UPPSALA LÄN</t>
        </is>
      </c>
      <c r="E3387" t="inlineStr">
        <is>
          <t>UPPSALA</t>
        </is>
      </c>
      <c r="G3387" t="n">
        <v>4.3</v>
      </c>
      <c r="H3387" t="n">
        <v>0</v>
      </c>
      <c r="I3387" t="n">
        <v>0</v>
      </c>
      <c r="J3387" t="n">
        <v>0</v>
      </c>
      <c r="K3387" t="n">
        <v>0</v>
      </c>
      <c r="L3387" t="n">
        <v>0</v>
      </c>
      <c r="M3387" t="n">
        <v>0</v>
      </c>
      <c r="N3387" t="n">
        <v>0</v>
      </c>
      <c r="O3387" t="n">
        <v>0</v>
      </c>
      <c r="P3387" t="n">
        <v>0</v>
      </c>
      <c r="Q3387" t="n">
        <v>0</v>
      </c>
      <c r="R3387" s="2" t="inlineStr"/>
    </row>
    <row r="3388" ht="15" customHeight="1">
      <c r="A3388" t="inlineStr">
        <is>
          <t>A 7002-2023</t>
        </is>
      </c>
      <c r="B3388" s="1" t="n">
        <v>44967</v>
      </c>
      <c r="C3388" s="1" t="n">
        <v>45705</v>
      </c>
      <c r="D3388" t="inlineStr">
        <is>
          <t>UPPSALA LÄN</t>
        </is>
      </c>
      <c r="E3388" t="inlineStr">
        <is>
          <t>UPPSALA</t>
        </is>
      </c>
      <c r="G3388" t="n">
        <v>5</v>
      </c>
      <c r="H3388" t="n">
        <v>0</v>
      </c>
      <c r="I3388" t="n">
        <v>0</v>
      </c>
      <c r="J3388" t="n">
        <v>0</v>
      </c>
      <c r="K3388" t="n">
        <v>0</v>
      </c>
      <c r="L3388" t="n">
        <v>0</v>
      </c>
      <c r="M3388" t="n">
        <v>0</v>
      </c>
      <c r="N3388" t="n">
        <v>0</v>
      </c>
      <c r="O3388" t="n">
        <v>0</v>
      </c>
      <c r="P3388" t="n">
        <v>0</v>
      </c>
      <c r="Q3388" t="n">
        <v>0</v>
      </c>
      <c r="R3388" s="2" t="inlineStr"/>
    </row>
    <row r="3389" ht="15" customHeight="1">
      <c r="A3389" t="inlineStr">
        <is>
          <t>A 7611-2023</t>
        </is>
      </c>
      <c r="B3389" s="1" t="n">
        <v>44967</v>
      </c>
      <c r="C3389" s="1" t="n">
        <v>45705</v>
      </c>
      <c r="D3389" t="inlineStr">
        <is>
          <t>UPPSALA LÄN</t>
        </is>
      </c>
      <c r="E3389" t="inlineStr">
        <is>
          <t>UPPSALA</t>
        </is>
      </c>
      <c r="G3389" t="n">
        <v>3.5</v>
      </c>
      <c r="H3389" t="n">
        <v>0</v>
      </c>
      <c r="I3389" t="n">
        <v>0</v>
      </c>
      <c r="J3389" t="n">
        <v>0</v>
      </c>
      <c r="K3389" t="n">
        <v>0</v>
      </c>
      <c r="L3389" t="n">
        <v>0</v>
      </c>
      <c r="M3389" t="n">
        <v>0</v>
      </c>
      <c r="N3389" t="n">
        <v>0</v>
      </c>
      <c r="O3389" t="n">
        <v>0</v>
      </c>
      <c r="P3389" t="n">
        <v>0</v>
      </c>
      <c r="Q3389" t="n">
        <v>0</v>
      </c>
      <c r="R3389" s="2" t="inlineStr"/>
    </row>
    <row r="3390" ht="15" customHeight="1">
      <c r="A3390" t="inlineStr">
        <is>
          <t>A 7607-2023</t>
        </is>
      </c>
      <c r="B3390" s="1" t="n">
        <v>44967</v>
      </c>
      <c r="C3390" s="1" t="n">
        <v>45705</v>
      </c>
      <c r="D3390" t="inlineStr">
        <is>
          <t>UPPSALA LÄN</t>
        </is>
      </c>
      <c r="E3390" t="inlineStr">
        <is>
          <t>UPPSALA</t>
        </is>
      </c>
      <c r="G3390" t="n">
        <v>11.1</v>
      </c>
      <c r="H3390" t="n">
        <v>0</v>
      </c>
      <c r="I3390" t="n">
        <v>0</v>
      </c>
      <c r="J3390" t="n">
        <v>0</v>
      </c>
      <c r="K3390" t="n">
        <v>0</v>
      </c>
      <c r="L3390" t="n">
        <v>0</v>
      </c>
      <c r="M3390" t="n">
        <v>0</v>
      </c>
      <c r="N3390" t="n">
        <v>0</v>
      </c>
      <c r="O3390" t="n">
        <v>0</v>
      </c>
      <c r="P3390" t="n">
        <v>0</v>
      </c>
      <c r="Q3390" t="n">
        <v>0</v>
      </c>
      <c r="R3390" s="2" t="inlineStr"/>
    </row>
    <row r="3391" ht="15" customHeight="1">
      <c r="A3391" t="inlineStr">
        <is>
          <t>A 7058-2023</t>
        </is>
      </c>
      <c r="B3391" s="1" t="n">
        <v>44969</v>
      </c>
      <c r="C3391" s="1" t="n">
        <v>45705</v>
      </c>
      <c r="D3391" t="inlineStr">
        <is>
          <t>UPPSALA LÄN</t>
        </is>
      </c>
      <c r="E3391" t="inlineStr">
        <is>
          <t>UPPSALA</t>
        </is>
      </c>
      <c r="G3391" t="n">
        <v>8.199999999999999</v>
      </c>
      <c r="H3391" t="n">
        <v>0</v>
      </c>
      <c r="I3391" t="n">
        <v>0</v>
      </c>
      <c r="J3391" t="n">
        <v>0</v>
      </c>
      <c r="K3391" t="n">
        <v>0</v>
      </c>
      <c r="L3391" t="n">
        <v>0</v>
      </c>
      <c r="M3391" t="n">
        <v>0</v>
      </c>
      <c r="N3391" t="n">
        <v>0</v>
      </c>
      <c r="O3391" t="n">
        <v>0</v>
      </c>
      <c r="P3391" t="n">
        <v>0</v>
      </c>
      <c r="Q3391" t="n">
        <v>0</v>
      </c>
      <c r="R3391" s="2" t="inlineStr"/>
    </row>
    <row r="3392" ht="15" customHeight="1">
      <c r="A3392" t="inlineStr">
        <is>
          <t>A 7074-2023</t>
        </is>
      </c>
      <c r="B3392" s="1" t="n">
        <v>44970</v>
      </c>
      <c r="C3392" s="1" t="n">
        <v>45705</v>
      </c>
      <c r="D3392" t="inlineStr">
        <is>
          <t>UPPSALA LÄN</t>
        </is>
      </c>
      <c r="E3392" t="inlineStr">
        <is>
          <t>HÅBO</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7084-2023</t>
        </is>
      </c>
      <c r="B3393" s="1" t="n">
        <v>44970</v>
      </c>
      <c r="C3393" s="1" t="n">
        <v>45705</v>
      </c>
      <c r="D3393" t="inlineStr">
        <is>
          <t>UPPSALA LÄN</t>
        </is>
      </c>
      <c r="E3393" t="inlineStr">
        <is>
          <t>UPPSALA</t>
        </is>
      </c>
      <c r="F3393" t="inlineStr">
        <is>
          <t>Sveaskog</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7195-2023</t>
        </is>
      </c>
      <c r="B3394" s="1" t="n">
        <v>44970</v>
      </c>
      <c r="C3394" s="1" t="n">
        <v>45705</v>
      </c>
      <c r="D3394" t="inlineStr">
        <is>
          <t>UPPSALA LÄN</t>
        </is>
      </c>
      <c r="E3394" t="inlineStr">
        <is>
          <t>ÖSTHAMMAR</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7206-2023</t>
        </is>
      </c>
      <c r="B3395" s="1" t="n">
        <v>44970</v>
      </c>
      <c r="C3395" s="1" t="n">
        <v>45705</v>
      </c>
      <c r="D3395" t="inlineStr">
        <is>
          <t>UPPSALA LÄN</t>
        </is>
      </c>
      <c r="E3395" t="inlineStr">
        <is>
          <t>ÖSTHAMMAR</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7286-2023</t>
        </is>
      </c>
      <c r="B3396" s="1" t="n">
        <v>44970</v>
      </c>
      <c r="C3396" s="1" t="n">
        <v>45705</v>
      </c>
      <c r="D3396" t="inlineStr">
        <is>
          <t>UPPSALA LÄN</t>
        </is>
      </c>
      <c r="E3396" t="inlineStr">
        <is>
          <t>ÄLVKARLEBY</t>
        </is>
      </c>
      <c r="F3396" t="inlineStr">
        <is>
          <t>Bergvik skog väst AB</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7118-2023</t>
        </is>
      </c>
      <c r="B3397" s="1" t="n">
        <v>44970</v>
      </c>
      <c r="C3397" s="1" t="n">
        <v>45705</v>
      </c>
      <c r="D3397" t="inlineStr">
        <is>
          <t>UPPSALA LÄN</t>
        </is>
      </c>
      <c r="E3397" t="inlineStr">
        <is>
          <t>ÖSTHAMMAR</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7392-2023</t>
        </is>
      </c>
      <c r="B3398" s="1" t="n">
        <v>44971</v>
      </c>
      <c r="C3398" s="1" t="n">
        <v>45705</v>
      </c>
      <c r="D3398" t="inlineStr">
        <is>
          <t>UPPSALA LÄN</t>
        </is>
      </c>
      <c r="E3398" t="inlineStr">
        <is>
          <t>TIERP</t>
        </is>
      </c>
      <c r="F3398" t="inlineStr">
        <is>
          <t>Bergvik skog öst AB</t>
        </is>
      </c>
      <c r="G3398" t="n">
        <v>7.9</v>
      </c>
      <c r="H3398" t="n">
        <v>0</v>
      </c>
      <c r="I3398" t="n">
        <v>0</v>
      </c>
      <c r="J3398" t="n">
        <v>0</v>
      </c>
      <c r="K3398" t="n">
        <v>0</v>
      </c>
      <c r="L3398" t="n">
        <v>0</v>
      </c>
      <c r="M3398" t="n">
        <v>0</v>
      </c>
      <c r="N3398" t="n">
        <v>0</v>
      </c>
      <c r="O3398" t="n">
        <v>0</v>
      </c>
      <c r="P3398" t="n">
        <v>0</v>
      </c>
      <c r="Q3398" t="n">
        <v>0</v>
      </c>
      <c r="R3398" s="2" t="inlineStr"/>
    </row>
    <row r="3399" ht="15" customHeight="1">
      <c r="A3399" t="inlineStr">
        <is>
          <t>A 7370-2023</t>
        </is>
      </c>
      <c r="B3399" s="1" t="n">
        <v>44971</v>
      </c>
      <c r="C3399" s="1" t="n">
        <v>45705</v>
      </c>
      <c r="D3399" t="inlineStr">
        <is>
          <t>UPPSALA LÄN</t>
        </is>
      </c>
      <c r="E3399" t="inlineStr">
        <is>
          <t>TIERP</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8384-2023</t>
        </is>
      </c>
      <c r="B3400" s="1" t="n">
        <v>44971</v>
      </c>
      <c r="C3400" s="1" t="n">
        <v>45705</v>
      </c>
      <c r="D3400" t="inlineStr">
        <is>
          <t>UPPSALA LÄN</t>
        </is>
      </c>
      <c r="E3400" t="inlineStr">
        <is>
          <t>UPPSALA</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8286-2023</t>
        </is>
      </c>
      <c r="B3401" s="1" t="n">
        <v>44971</v>
      </c>
      <c r="C3401" s="1" t="n">
        <v>45705</v>
      </c>
      <c r="D3401" t="inlineStr">
        <is>
          <t>UPPSALA LÄN</t>
        </is>
      </c>
      <c r="E3401" t="inlineStr">
        <is>
          <t>UPPSALA</t>
        </is>
      </c>
      <c r="G3401" t="n">
        <v>9</v>
      </c>
      <c r="H3401" t="n">
        <v>0</v>
      </c>
      <c r="I3401" t="n">
        <v>0</v>
      </c>
      <c r="J3401" t="n">
        <v>0</v>
      </c>
      <c r="K3401" t="n">
        <v>0</v>
      </c>
      <c r="L3401" t="n">
        <v>0</v>
      </c>
      <c r="M3401" t="n">
        <v>0</v>
      </c>
      <c r="N3401" t="n">
        <v>0</v>
      </c>
      <c r="O3401" t="n">
        <v>0</v>
      </c>
      <c r="P3401" t="n">
        <v>0</v>
      </c>
      <c r="Q3401" t="n">
        <v>0</v>
      </c>
      <c r="R3401" s="2" t="inlineStr"/>
    </row>
    <row r="3402" ht="15" customHeight="1">
      <c r="A3402" t="inlineStr">
        <is>
          <t>A 7546-2023</t>
        </is>
      </c>
      <c r="B3402" s="1" t="n">
        <v>44972</v>
      </c>
      <c r="C3402" s="1" t="n">
        <v>45705</v>
      </c>
      <c r="D3402" t="inlineStr">
        <is>
          <t>UPPSALA LÄN</t>
        </is>
      </c>
      <c r="E3402" t="inlineStr">
        <is>
          <t>ÖSTHAMMAR</t>
        </is>
      </c>
      <c r="F3402" t="inlineStr">
        <is>
          <t>Bergvik skog öst AB</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7543-2023</t>
        </is>
      </c>
      <c r="B3403" s="1" t="n">
        <v>44972</v>
      </c>
      <c r="C3403" s="1" t="n">
        <v>45705</v>
      </c>
      <c r="D3403" t="inlineStr">
        <is>
          <t>UPPSALA LÄN</t>
        </is>
      </c>
      <c r="E3403" t="inlineStr">
        <is>
          <t>ÖSTHAMMAR</t>
        </is>
      </c>
      <c r="F3403" t="inlineStr">
        <is>
          <t>Bergvik skog öst AB</t>
        </is>
      </c>
      <c r="G3403" t="n">
        <v>13.3</v>
      </c>
      <c r="H3403" t="n">
        <v>0</v>
      </c>
      <c r="I3403" t="n">
        <v>0</v>
      </c>
      <c r="J3403" t="n">
        <v>0</v>
      </c>
      <c r="K3403" t="n">
        <v>0</v>
      </c>
      <c r="L3403" t="n">
        <v>0</v>
      </c>
      <c r="M3403" t="n">
        <v>0</v>
      </c>
      <c r="N3403" t="n">
        <v>0</v>
      </c>
      <c r="O3403" t="n">
        <v>0</v>
      </c>
      <c r="P3403" t="n">
        <v>0</v>
      </c>
      <c r="Q3403" t="n">
        <v>0</v>
      </c>
      <c r="R3403" s="2" t="inlineStr"/>
    </row>
    <row r="3404" ht="15" customHeight="1">
      <c r="A3404" t="inlineStr">
        <is>
          <t>A 7560-2023</t>
        </is>
      </c>
      <c r="B3404" s="1" t="n">
        <v>44972</v>
      </c>
      <c r="C3404" s="1" t="n">
        <v>45705</v>
      </c>
      <c r="D3404" t="inlineStr">
        <is>
          <t>UPPSALA LÄN</t>
        </is>
      </c>
      <c r="E3404" t="inlineStr">
        <is>
          <t>ÖSTHAMMAR</t>
        </is>
      </c>
      <c r="F3404" t="inlineStr">
        <is>
          <t>Bergvik skog öst AB</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7577-2023</t>
        </is>
      </c>
      <c r="B3405" s="1" t="n">
        <v>44972</v>
      </c>
      <c r="C3405" s="1" t="n">
        <v>45705</v>
      </c>
      <c r="D3405" t="inlineStr">
        <is>
          <t>UPPSALA LÄN</t>
        </is>
      </c>
      <c r="E3405" t="inlineStr">
        <is>
          <t>UPPSALA</t>
        </is>
      </c>
      <c r="G3405" t="n">
        <v>5.5</v>
      </c>
      <c r="H3405" t="n">
        <v>0</v>
      </c>
      <c r="I3405" t="n">
        <v>0</v>
      </c>
      <c r="J3405" t="n">
        <v>0</v>
      </c>
      <c r="K3405" t="n">
        <v>0</v>
      </c>
      <c r="L3405" t="n">
        <v>0</v>
      </c>
      <c r="M3405" t="n">
        <v>0</v>
      </c>
      <c r="N3405" t="n">
        <v>0</v>
      </c>
      <c r="O3405" t="n">
        <v>0</v>
      </c>
      <c r="P3405" t="n">
        <v>0</v>
      </c>
      <c r="Q3405" t="n">
        <v>0</v>
      </c>
      <c r="R3405" s="2" t="inlineStr"/>
    </row>
    <row r="3406" ht="15" customHeight="1">
      <c r="A3406" t="inlineStr">
        <is>
          <t>A 7591-2023</t>
        </is>
      </c>
      <c r="B3406" s="1" t="n">
        <v>44972</v>
      </c>
      <c r="C3406" s="1" t="n">
        <v>45705</v>
      </c>
      <c r="D3406" t="inlineStr">
        <is>
          <t>UPPSALA LÄN</t>
        </is>
      </c>
      <c r="E3406" t="inlineStr">
        <is>
          <t>TIERP</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7663-2023</t>
        </is>
      </c>
      <c r="B3407" s="1" t="n">
        <v>44972</v>
      </c>
      <c r="C3407" s="1" t="n">
        <v>45705</v>
      </c>
      <c r="D3407" t="inlineStr">
        <is>
          <t>UPPSALA LÄN</t>
        </is>
      </c>
      <c r="E3407" t="inlineStr">
        <is>
          <t>UPPSALA</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7876-2023</t>
        </is>
      </c>
      <c r="B3408" s="1" t="n">
        <v>44973</v>
      </c>
      <c r="C3408" s="1" t="n">
        <v>45705</v>
      </c>
      <c r="D3408" t="inlineStr">
        <is>
          <t>UPPSALA LÄN</t>
        </is>
      </c>
      <c r="E3408" t="inlineStr">
        <is>
          <t>ÖSTHAMMAR</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7944-2023</t>
        </is>
      </c>
      <c r="B3409" s="1" t="n">
        <v>44973</v>
      </c>
      <c r="C3409" s="1" t="n">
        <v>45705</v>
      </c>
      <c r="D3409" t="inlineStr">
        <is>
          <t>UPPSALA LÄN</t>
        </is>
      </c>
      <c r="E3409" t="inlineStr">
        <is>
          <t>ÖSTHAMMAR</t>
        </is>
      </c>
      <c r="G3409" t="n">
        <v>4.6</v>
      </c>
      <c r="H3409" t="n">
        <v>0</v>
      </c>
      <c r="I3409" t="n">
        <v>0</v>
      </c>
      <c r="J3409" t="n">
        <v>0</v>
      </c>
      <c r="K3409" t="n">
        <v>0</v>
      </c>
      <c r="L3409" t="n">
        <v>0</v>
      </c>
      <c r="M3409" t="n">
        <v>0</v>
      </c>
      <c r="N3409" t="n">
        <v>0</v>
      </c>
      <c r="O3409" t="n">
        <v>0</v>
      </c>
      <c r="P3409" t="n">
        <v>0</v>
      </c>
      <c r="Q3409" t="n">
        <v>0</v>
      </c>
      <c r="R3409" s="2" t="inlineStr"/>
    </row>
    <row r="3410" ht="15" customHeight="1">
      <c r="A3410" t="inlineStr">
        <is>
          <t>A 7975-2023</t>
        </is>
      </c>
      <c r="B3410" s="1" t="n">
        <v>44973</v>
      </c>
      <c r="C3410" s="1" t="n">
        <v>45705</v>
      </c>
      <c r="D3410" t="inlineStr">
        <is>
          <t>UPPSALA LÄN</t>
        </is>
      </c>
      <c r="E3410" t="inlineStr">
        <is>
          <t>ÖSTHAMMAR</t>
        </is>
      </c>
      <c r="F3410" t="inlineStr">
        <is>
          <t>Bergvik skog öst AB</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7894-2023</t>
        </is>
      </c>
      <c r="B3411" s="1" t="n">
        <v>44973</v>
      </c>
      <c r="C3411" s="1" t="n">
        <v>45705</v>
      </c>
      <c r="D3411" t="inlineStr">
        <is>
          <t>UPPSALA LÄN</t>
        </is>
      </c>
      <c r="E3411" t="inlineStr">
        <is>
          <t>UPPSALA</t>
        </is>
      </c>
      <c r="G3411" t="n">
        <v>4.4</v>
      </c>
      <c r="H3411" t="n">
        <v>0</v>
      </c>
      <c r="I3411" t="n">
        <v>0</v>
      </c>
      <c r="J3411" t="n">
        <v>0</v>
      </c>
      <c r="K3411" t="n">
        <v>0</v>
      </c>
      <c r="L3411" t="n">
        <v>0</v>
      </c>
      <c r="M3411" t="n">
        <v>0</v>
      </c>
      <c r="N3411" t="n">
        <v>0</v>
      </c>
      <c r="O3411" t="n">
        <v>0</v>
      </c>
      <c r="P3411" t="n">
        <v>0</v>
      </c>
      <c r="Q3411" t="n">
        <v>0</v>
      </c>
      <c r="R3411" s="2" t="inlineStr"/>
    </row>
    <row r="3412" ht="15" customHeight="1">
      <c r="A3412" t="inlineStr">
        <is>
          <t>A 8006-2023</t>
        </is>
      </c>
      <c r="B3412" s="1" t="n">
        <v>44973</v>
      </c>
      <c r="C3412" s="1" t="n">
        <v>45705</v>
      </c>
      <c r="D3412" t="inlineStr">
        <is>
          <t>UPPSALA LÄN</t>
        </is>
      </c>
      <c r="E3412" t="inlineStr">
        <is>
          <t>ÖSTHAMMAR</t>
        </is>
      </c>
      <c r="F3412" t="inlineStr">
        <is>
          <t>Bergvik skog öst AB</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8914-2023</t>
        </is>
      </c>
      <c r="B3413" s="1" t="n">
        <v>44973</v>
      </c>
      <c r="C3413" s="1" t="n">
        <v>45705</v>
      </c>
      <c r="D3413" t="inlineStr">
        <is>
          <t>UPPSALA LÄN</t>
        </is>
      </c>
      <c r="E3413" t="inlineStr">
        <is>
          <t>TIERP</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8051-2023</t>
        </is>
      </c>
      <c r="B3414" s="1" t="n">
        <v>44974</v>
      </c>
      <c r="C3414" s="1" t="n">
        <v>45705</v>
      </c>
      <c r="D3414" t="inlineStr">
        <is>
          <t>UPPSALA LÄN</t>
        </is>
      </c>
      <c r="E3414" t="inlineStr">
        <is>
          <t>HEBY</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8046-2023</t>
        </is>
      </c>
      <c r="B3415" s="1" t="n">
        <v>44974</v>
      </c>
      <c r="C3415" s="1" t="n">
        <v>45705</v>
      </c>
      <c r="D3415" t="inlineStr">
        <is>
          <t>UPPSALA LÄN</t>
        </is>
      </c>
      <c r="E3415" t="inlineStr">
        <is>
          <t>HEBY</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8162-2023</t>
        </is>
      </c>
      <c r="B3416" s="1" t="n">
        <v>44974</v>
      </c>
      <c r="C3416" s="1" t="n">
        <v>45705</v>
      </c>
      <c r="D3416" t="inlineStr">
        <is>
          <t>UPPSALA LÄN</t>
        </is>
      </c>
      <c r="E3416" t="inlineStr">
        <is>
          <t>UPPSALA</t>
        </is>
      </c>
      <c r="G3416" t="n">
        <v>3.9</v>
      </c>
      <c r="H3416" t="n">
        <v>0</v>
      </c>
      <c r="I3416" t="n">
        <v>0</v>
      </c>
      <c r="J3416" t="n">
        <v>0</v>
      </c>
      <c r="K3416" t="n">
        <v>0</v>
      </c>
      <c r="L3416" t="n">
        <v>0</v>
      </c>
      <c r="M3416" t="n">
        <v>0</v>
      </c>
      <c r="N3416" t="n">
        <v>0</v>
      </c>
      <c r="O3416" t="n">
        <v>0</v>
      </c>
      <c r="P3416" t="n">
        <v>0</v>
      </c>
      <c r="Q3416" t="n">
        <v>0</v>
      </c>
      <c r="R3416" s="2" t="inlineStr"/>
    </row>
    <row r="3417" ht="15" customHeight="1">
      <c r="A3417" t="inlineStr">
        <is>
          <t>A 8232-2023</t>
        </is>
      </c>
      <c r="B3417" s="1" t="n">
        <v>44974</v>
      </c>
      <c r="C3417" s="1" t="n">
        <v>45705</v>
      </c>
      <c r="D3417" t="inlineStr">
        <is>
          <t>UPPSALA LÄN</t>
        </is>
      </c>
      <c r="E3417" t="inlineStr">
        <is>
          <t>HEBY</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8314-2023</t>
        </is>
      </c>
      <c r="B3418" s="1" t="n">
        <v>44974</v>
      </c>
      <c r="C3418" s="1" t="n">
        <v>45705</v>
      </c>
      <c r="D3418" t="inlineStr">
        <is>
          <t>UPPSALA LÄN</t>
        </is>
      </c>
      <c r="E3418" t="inlineStr">
        <is>
          <t>HEBY</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8473-2023</t>
        </is>
      </c>
      <c r="B3419" s="1" t="n">
        <v>44977</v>
      </c>
      <c r="C3419" s="1" t="n">
        <v>45705</v>
      </c>
      <c r="D3419" t="inlineStr">
        <is>
          <t>UPPSALA LÄN</t>
        </is>
      </c>
      <c r="E3419" t="inlineStr">
        <is>
          <t>UPPSALA</t>
        </is>
      </c>
      <c r="F3419" t="inlineStr">
        <is>
          <t>Holmen skog AB</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8616-2023</t>
        </is>
      </c>
      <c r="B3420" s="1" t="n">
        <v>44977</v>
      </c>
      <c r="C3420" s="1" t="n">
        <v>45705</v>
      </c>
      <c r="D3420" t="inlineStr">
        <is>
          <t>UPPSALA LÄN</t>
        </is>
      </c>
      <c r="E3420" t="inlineStr">
        <is>
          <t>ÖSTHAMMAR</t>
        </is>
      </c>
      <c r="F3420" t="inlineStr">
        <is>
          <t>Bergvik skog öst AB</t>
        </is>
      </c>
      <c r="G3420" t="n">
        <v>0.2</v>
      </c>
      <c r="H3420" t="n">
        <v>0</v>
      </c>
      <c r="I3420" t="n">
        <v>0</v>
      </c>
      <c r="J3420" t="n">
        <v>0</v>
      </c>
      <c r="K3420" t="n">
        <v>0</v>
      </c>
      <c r="L3420" t="n">
        <v>0</v>
      </c>
      <c r="M3420" t="n">
        <v>0</v>
      </c>
      <c r="N3420" t="n">
        <v>0</v>
      </c>
      <c r="O3420" t="n">
        <v>0</v>
      </c>
      <c r="P3420" t="n">
        <v>0</v>
      </c>
      <c r="Q3420" t="n">
        <v>0</v>
      </c>
      <c r="R3420" s="2" t="inlineStr"/>
    </row>
    <row r="3421" ht="15" customHeight="1">
      <c r="A3421" t="inlineStr">
        <is>
          <t>A 9426-2023</t>
        </is>
      </c>
      <c r="B3421" s="1" t="n">
        <v>44977</v>
      </c>
      <c r="C3421" s="1" t="n">
        <v>45705</v>
      </c>
      <c r="D3421" t="inlineStr">
        <is>
          <t>UPPSALA LÄN</t>
        </is>
      </c>
      <c r="E3421" t="inlineStr">
        <is>
          <t>UPPSALA</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9398-2023</t>
        </is>
      </c>
      <c r="B3422" s="1" t="n">
        <v>44977</v>
      </c>
      <c r="C3422" s="1" t="n">
        <v>45705</v>
      </c>
      <c r="D3422" t="inlineStr">
        <is>
          <t>UPPSALA LÄN</t>
        </is>
      </c>
      <c r="E3422" t="inlineStr">
        <is>
          <t>UPPSALA</t>
        </is>
      </c>
      <c r="G3422" t="n">
        <v>5.1</v>
      </c>
      <c r="H3422" t="n">
        <v>0</v>
      </c>
      <c r="I3422" t="n">
        <v>0</v>
      </c>
      <c r="J3422" t="n">
        <v>0</v>
      </c>
      <c r="K3422" t="n">
        <v>0</v>
      </c>
      <c r="L3422" t="n">
        <v>0</v>
      </c>
      <c r="M3422" t="n">
        <v>0</v>
      </c>
      <c r="N3422" t="n">
        <v>0</v>
      </c>
      <c r="O3422" t="n">
        <v>0</v>
      </c>
      <c r="P3422" t="n">
        <v>0</v>
      </c>
      <c r="Q3422" t="n">
        <v>0</v>
      </c>
      <c r="R3422" s="2" t="inlineStr"/>
    </row>
    <row r="3423" ht="15" customHeight="1">
      <c r="A3423" t="inlineStr">
        <is>
          <t>A 8767-2023</t>
        </is>
      </c>
      <c r="B3423" s="1" t="n">
        <v>44978</v>
      </c>
      <c r="C3423" s="1" t="n">
        <v>45705</v>
      </c>
      <c r="D3423" t="inlineStr">
        <is>
          <t>UPPSALA LÄN</t>
        </is>
      </c>
      <c r="E3423" t="inlineStr">
        <is>
          <t>TIERP</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8777-2023</t>
        </is>
      </c>
      <c r="B3424" s="1" t="n">
        <v>44978</v>
      </c>
      <c r="C3424" s="1" t="n">
        <v>45705</v>
      </c>
      <c r="D3424" t="inlineStr">
        <is>
          <t>UPPSALA LÄN</t>
        </is>
      </c>
      <c r="E3424" t="inlineStr">
        <is>
          <t>HEBY</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8775-2023</t>
        </is>
      </c>
      <c r="B3425" s="1" t="n">
        <v>44978</v>
      </c>
      <c r="C3425" s="1" t="n">
        <v>45705</v>
      </c>
      <c r="D3425" t="inlineStr">
        <is>
          <t>UPPSALA LÄN</t>
        </is>
      </c>
      <c r="E3425" t="inlineStr">
        <is>
          <t>HEBY</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8768-2023</t>
        </is>
      </c>
      <c r="B3426" s="1" t="n">
        <v>44978</v>
      </c>
      <c r="C3426" s="1" t="n">
        <v>45705</v>
      </c>
      <c r="D3426" t="inlineStr">
        <is>
          <t>UPPSALA LÄN</t>
        </is>
      </c>
      <c r="E3426" t="inlineStr">
        <is>
          <t>TIERP</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8774-2023</t>
        </is>
      </c>
      <c r="B3427" s="1" t="n">
        <v>44978</v>
      </c>
      <c r="C3427" s="1" t="n">
        <v>45705</v>
      </c>
      <c r="D3427" t="inlineStr">
        <is>
          <t>UPPSALA LÄN</t>
        </is>
      </c>
      <c r="E3427" t="inlineStr">
        <is>
          <t>TIERP</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8783-2023</t>
        </is>
      </c>
      <c r="B3428" s="1" t="n">
        <v>44978</v>
      </c>
      <c r="C3428" s="1" t="n">
        <v>45705</v>
      </c>
      <c r="D3428" t="inlineStr">
        <is>
          <t>UPPSALA LÄN</t>
        </is>
      </c>
      <c r="E3428" t="inlineStr">
        <is>
          <t>HEBY</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8826-2023</t>
        </is>
      </c>
      <c r="B3429" s="1" t="n">
        <v>44978</v>
      </c>
      <c r="C3429" s="1" t="n">
        <v>45705</v>
      </c>
      <c r="D3429" t="inlineStr">
        <is>
          <t>UPPSALA LÄN</t>
        </is>
      </c>
      <c r="E3429" t="inlineStr">
        <is>
          <t>ÖSTHAMMAR</t>
        </is>
      </c>
      <c r="F3429" t="inlineStr">
        <is>
          <t>Bergvik skog öst AB</t>
        </is>
      </c>
      <c r="G3429" t="n">
        <v>4.3</v>
      </c>
      <c r="H3429" t="n">
        <v>0</v>
      </c>
      <c r="I3429" t="n">
        <v>0</v>
      </c>
      <c r="J3429" t="n">
        <v>0</v>
      </c>
      <c r="K3429" t="n">
        <v>0</v>
      </c>
      <c r="L3429" t="n">
        <v>0</v>
      </c>
      <c r="M3429" t="n">
        <v>0</v>
      </c>
      <c r="N3429" t="n">
        <v>0</v>
      </c>
      <c r="O3429" t="n">
        <v>0</v>
      </c>
      <c r="P3429" t="n">
        <v>0</v>
      </c>
      <c r="Q3429" t="n">
        <v>0</v>
      </c>
      <c r="R3429" s="2" t="inlineStr"/>
    </row>
    <row r="3430" ht="15" customHeight="1">
      <c r="A3430" t="inlineStr">
        <is>
          <t>A 8772-2023</t>
        </is>
      </c>
      <c r="B3430" s="1" t="n">
        <v>44978</v>
      </c>
      <c r="C3430" s="1" t="n">
        <v>45705</v>
      </c>
      <c r="D3430" t="inlineStr">
        <is>
          <t>UPPSALA LÄN</t>
        </is>
      </c>
      <c r="E3430" t="inlineStr">
        <is>
          <t>TIERP</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8790-2023</t>
        </is>
      </c>
      <c r="B3431" s="1" t="n">
        <v>44978</v>
      </c>
      <c r="C3431" s="1" t="n">
        <v>45705</v>
      </c>
      <c r="D3431" t="inlineStr">
        <is>
          <t>UPPSALA LÄN</t>
        </is>
      </c>
      <c r="E3431" t="inlineStr">
        <is>
          <t>HEBY</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8830-2023</t>
        </is>
      </c>
      <c r="B3432" s="1" t="n">
        <v>44978</v>
      </c>
      <c r="C3432" s="1" t="n">
        <v>45705</v>
      </c>
      <c r="D3432" t="inlineStr">
        <is>
          <t>UPPSALA LÄN</t>
        </is>
      </c>
      <c r="E3432" t="inlineStr">
        <is>
          <t>ÖSTHAMMAR</t>
        </is>
      </c>
      <c r="F3432" t="inlineStr">
        <is>
          <t>Bergvik skog öst AB</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8805-2023</t>
        </is>
      </c>
      <c r="B3433" s="1" t="n">
        <v>44978</v>
      </c>
      <c r="C3433" s="1" t="n">
        <v>45705</v>
      </c>
      <c r="D3433" t="inlineStr">
        <is>
          <t>UPPSALA LÄN</t>
        </is>
      </c>
      <c r="E3433" t="inlineStr">
        <is>
          <t>HEBY</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9957-2023</t>
        </is>
      </c>
      <c r="B3434" s="1" t="n">
        <v>44978</v>
      </c>
      <c r="C3434" s="1" t="n">
        <v>45705</v>
      </c>
      <c r="D3434" t="inlineStr">
        <is>
          <t>UPPSALA LÄN</t>
        </is>
      </c>
      <c r="E3434" t="inlineStr">
        <is>
          <t>ENKÖPING</t>
        </is>
      </c>
      <c r="G3434" t="n">
        <v>5.9</v>
      </c>
      <c r="H3434" t="n">
        <v>0</v>
      </c>
      <c r="I3434" t="n">
        <v>0</v>
      </c>
      <c r="J3434" t="n">
        <v>0</v>
      </c>
      <c r="K3434" t="n">
        <v>0</v>
      </c>
      <c r="L3434" t="n">
        <v>0</v>
      </c>
      <c r="M3434" t="n">
        <v>0</v>
      </c>
      <c r="N3434" t="n">
        <v>0</v>
      </c>
      <c r="O3434" t="n">
        <v>0</v>
      </c>
      <c r="P3434" t="n">
        <v>0</v>
      </c>
      <c r="Q3434" t="n">
        <v>0</v>
      </c>
      <c r="R3434" s="2" t="inlineStr"/>
    </row>
    <row r="3435" ht="15" customHeight="1">
      <c r="A3435" t="inlineStr">
        <is>
          <t>A 9958-2023</t>
        </is>
      </c>
      <c r="B3435" s="1" t="n">
        <v>44978</v>
      </c>
      <c r="C3435" s="1" t="n">
        <v>45705</v>
      </c>
      <c r="D3435" t="inlineStr">
        <is>
          <t>UPPSALA LÄN</t>
        </is>
      </c>
      <c r="E3435" t="inlineStr">
        <is>
          <t>ENKÖPING</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9041-2023</t>
        </is>
      </c>
      <c r="B3436" s="1" t="n">
        <v>44979</v>
      </c>
      <c r="C3436" s="1" t="n">
        <v>45705</v>
      </c>
      <c r="D3436" t="inlineStr">
        <is>
          <t>UPPSALA LÄN</t>
        </is>
      </c>
      <c r="E3436" t="inlineStr">
        <is>
          <t>ENKÖPING</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9030-2023</t>
        </is>
      </c>
      <c r="B3437" s="1" t="n">
        <v>44979</v>
      </c>
      <c r="C3437" s="1" t="n">
        <v>45705</v>
      </c>
      <c r="D3437" t="inlineStr">
        <is>
          <t>UPPSALA LÄN</t>
        </is>
      </c>
      <c r="E3437" t="inlineStr">
        <is>
          <t>TIERP</t>
        </is>
      </c>
      <c r="G3437" t="n">
        <v>5</v>
      </c>
      <c r="H3437" t="n">
        <v>0</v>
      </c>
      <c r="I3437" t="n">
        <v>0</v>
      </c>
      <c r="J3437" t="n">
        <v>0</v>
      </c>
      <c r="K3437" t="n">
        <v>0</v>
      </c>
      <c r="L3437" t="n">
        <v>0</v>
      </c>
      <c r="M3437" t="n">
        <v>0</v>
      </c>
      <c r="N3437" t="n">
        <v>0</v>
      </c>
      <c r="O3437" t="n">
        <v>0</v>
      </c>
      <c r="P3437" t="n">
        <v>0</v>
      </c>
      <c r="Q3437" t="n">
        <v>0</v>
      </c>
      <c r="R3437" s="2" t="inlineStr"/>
    </row>
    <row r="3438" ht="15" customHeight="1">
      <c r="A3438" t="inlineStr">
        <is>
          <t>A 9043-2023</t>
        </is>
      </c>
      <c r="B3438" s="1" t="n">
        <v>44979</v>
      </c>
      <c r="C3438" s="1" t="n">
        <v>45705</v>
      </c>
      <c r="D3438" t="inlineStr">
        <is>
          <t>UPPSALA LÄN</t>
        </is>
      </c>
      <c r="E3438" t="inlineStr">
        <is>
          <t>HEBY</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9052-2023</t>
        </is>
      </c>
      <c r="B3439" s="1" t="n">
        <v>44979</v>
      </c>
      <c r="C3439" s="1" t="n">
        <v>45705</v>
      </c>
      <c r="D3439" t="inlineStr">
        <is>
          <t>UPPSALA LÄN</t>
        </is>
      </c>
      <c r="E3439" t="inlineStr">
        <is>
          <t>ÖSTHAMMAR</t>
        </is>
      </c>
      <c r="F3439" t="inlineStr">
        <is>
          <t>Kyrkan</t>
        </is>
      </c>
      <c r="G3439" t="n">
        <v>0.2</v>
      </c>
      <c r="H3439" t="n">
        <v>0</v>
      </c>
      <c r="I3439" t="n">
        <v>0</v>
      </c>
      <c r="J3439" t="n">
        <v>0</v>
      </c>
      <c r="K3439" t="n">
        <v>0</v>
      </c>
      <c r="L3439" t="n">
        <v>0</v>
      </c>
      <c r="M3439" t="n">
        <v>0</v>
      </c>
      <c r="N3439" t="n">
        <v>0</v>
      </c>
      <c r="O3439" t="n">
        <v>0</v>
      </c>
      <c r="P3439" t="n">
        <v>0</v>
      </c>
      <c r="Q3439" t="n">
        <v>0</v>
      </c>
      <c r="R3439" s="2" t="inlineStr"/>
    </row>
    <row r="3440" ht="15" customHeight="1">
      <c r="A3440" t="inlineStr">
        <is>
          <t>A 9243-2023</t>
        </is>
      </c>
      <c r="B3440" s="1" t="n">
        <v>44980</v>
      </c>
      <c r="C3440" s="1" t="n">
        <v>45705</v>
      </c>
      <c r="D3440" t="inlineStr">
        <is>
          <t>UPPSALA LÄN</t>
        </is>
      </c>
      <c r="E3440" t="inlineStr">
        <is>
          <t>HEBY</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9295-2023</t>
        </is>
      </c>
      <c r="B3441" s="1" t="n">
        <v>44980</v>
      </c>
      <c r="C3441" s="1" t="n">
        <v>45705</v>
      </c>
      <c r="D3441" t="inlineStr">
        <is>
          <t>UPPSALA LÄN</t>
        </is>
      </c>
      <c r="E3441" t="inlineStr">
        <is>
          <t>UPPSALA</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9231-2023</t>
        </is>
      </c>
      <c r="B3442" s="1" t="n">
        <v>44980</v>
      </c>
      <c r="C3442" s="1" t="n">
        <v>45705</v>
      </c>
      <c r="D3442" t="inlineStr">
        <is>
          <t>UPPSALA LÄN</t>
        </is>
      </c>
      <c r="E3442" t="inlineStr">
        <is>
          <t>ENKÖPING</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9261-2023</t>
        </is>
      </c>
      <c r="B3443" s="1" t="n">
        <v>44980</v>
      </c>
      <c r="C3443" s="1" t="n">
        <v>45705</v>
      </c>
      <c r="D3443" t="inlineStr">
        <is>
          <t>UPPSALA LÄN</t>
        </is>
      </c>
      <c r="E3443" t="inlineStr">
        <is>
          <t>UPPSALA</t>
        </is>
      </c>
      <c r="G3443" t="n">
        <v>5.3</v>
      </c>
      <c r="H3443" t="n">
        <v>0</v>
      </c>
      <c r="I3443" t="n">
        <v>0</v>
      </c>
      <c r="J3443" t="n">
        <v>0</v>
      </c>
      <c r="K3443" t="n">
        <v>0</v>
      </c>
      <c r="L3443" t="n">
        <v>0</v>
      </c>
      <c r="M3443" t="n">
        <v>0</v>
      </c>
      <c r="N3443" t="n">
        <v>0</v>
      </c>
      <c r="O3443" t="n">
        <v>0</v>
      </c>
      <c r="P3443" t="n">
        <v>0</v>
      </c>
      <c r="Q3443" t="n">
        <v>0</v>
      </c>
      <c r="R3443" s="2" t="inlineStr"/>
    </row>
    <row r="3444" ht="15" customHeight="1">
      <c r="A3444" t="inlineStr">
        <is>
          <t>A 9291-2023</t>
        </is>
      </c>
      <c r="B3444" s="1" t="n">
        <v>44980</v>
      </c>
      <c r="C3444" s="1" t="n">
        <v>45705</v>
      </c>
      <c r="D3444" t="inlineStr">
        <is>
          <t>UPPSALA LÄN</t>
        </is>
      </c>
      <c r="E3444" t="inlineStr">
        <is>
          <t>UPPSALA</t>
        </is>
      </c>
      <c r="G3444" t="n">
        <v>12.9</v>
      </c>
      <c r="H3444" t="n">
        <v>0</v>
      </c>
      <c r="I3444" t="n">
        <v>0</v>
      </c>
      <c r="J3444" t="n">
        <v>0</v>
      </c>
      <c r="K3444" t="n">
        <v>0</v>
      </c>
      <c r="L3444" t="n">
        <v>0</v>
      </c>
      <c r="M3444" t="n">
        <v>0</v>
      </c>
      <c r="N3444" t="n">
        <v>0</v>
      </c>
      <c r="O3444" t="n">
        <v>0</v>
      </c>
      <c r="P3444" t="n">
        <v>0</v>
      </c>
      <c r="Q3444" t="n">
        <v>0</v>
      </c>
      <c r="R3444" s="2" t="inlineStr"/>
    </row>
    <row r="3445" ht="15" customHeight="1">
      <c r="A3445" t="inlineStr">
        <is>
          <t>A 9313-2023</t>
        </is>
      </c>
      <c r="B3445" s="1" t="n">
        <v>44980</v>
      </c>
      <c r="C3445" s="1" t="n">
        <v>45705</v>
      </c>
      <c r="D3445" t="inlineStr">
        <is>
          <t>UPPSALA LÄN</t>
        </is>
      </c>
      <c r="E3445" t="inlineStr">
        <is>
          <t>UPPSALA</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9230-2023</t>
        </is>
      </c>
      <c r="B3446" s="1" t="n">
        <v>44980</v>
      </c>
      <c r="C3446" s="1" t="n">
        <v>45705</v>
      </c>
      <c r="D3446" t="inlineStr">
        <is>
          <t>UPPSALA LÄN</t>
        </is>
      </c>
      <c r="E3446" t="inlineStr">
        <is>
          <t>TIERP</t>
        </is>
      </c>
      <c r="G3446" t="n">
        <v>5.4</v>
      </c>
      <c r="H3446" t="n">
        <v>0</v>
      </c>
      <c r="I3446" t="n">
        <v>0</v>
      </c>
      <c r="J3446" t="n">
        <v>0</v>
      </c>
      <c r="K3446" t="n">
        <v>0</v>
      </c>
      <c r="L3446" t="n">
        <v>0</v>
      </c>
      <c r="M3446" t="n">
        <v>0</v>
      </c>
      <c r="N3446" t="n">
        <v>0</v>
      </c>
      <c r="O3446" t="n">
        <v>0</v>
      </c>
      <c r="P3446" t="n">
        <v>0</v>
      </c>
      <c r="Q3446" t="n">
        <v>0</v>
      </c>
      <c r="R3446" s="2" t="inlineStr"/>
    </row>
    <row r="3447" ht="15" customHeight="1">
      <c r="A3447" t="inlineStr">
        <is>
          <t>A 9238-2023</t>
        </is>
      </c>
      <c r="B3447" s="1" t="n">
        <v>44980</v>
      </c>
      <c r="C3447" s="1" t="n">
        <v>45705</v>
      </c>
      <c r="D3447" t="inlineStr">
        <is>
          <t>UPPSALA LÄN</t>
        </is>
      </c>
      <c r="E3447" t="inlineStr">
        <is>
          <t>TIERP</t>
        </is>
      </c>
      <c r="G3447" t="n">
        <v>4.8</v>
      </c>
      <c r="H3447" t="n">
        <v>0</v>
      </c>
      <c r="I3447" t="n">
        <v>0</v>
      </c>
      <c r="J3447" t="n">
        <v>0</v>
      </c>
      <c r="K3447" t="n">
        <v>0</v>
      </c>
      <c r="L3447" t="n">
        <v>0</v>
      </c>
      <c r="M3447" t="n">
        <v>0</v>
      </c>
      <c r="N3447" t="n">
        <v>0</v>
      </c>
      <c r="O3447" t="n">
        <v>0</v>
      </c>
      <c r="P3447" t="n">
        <v>0</v>
      </c>
      <c r="Q3447" t="n">
        <v>0</v>
      </c>
      <c r="R3447" s="2" t="inlineStr"/>
    </row>
    <row r="3448" ht="15" customHeight="1">
      <c r="A3448" t="inlineStr">
        <is>
          <t>A 9290-2023</t>
        </is>
      </c>
      <c r="B3448" s="1" t="n">
        <v>44980</v>
      </c>
      <c r="C3448" s="1" t="n">
        <v>45705</v>
      </c>
      <c r="D3448" t="inlineStr">
        <is>
          <t>UPPSALA LÄN</t>
        </is>
      </c>
      <c r="E3448" t="inlineStr">
        <is>
          <t>TIERP</t>
        </is>
      </c>
      <c r="G3448" t="n">
        <v>6.9</v>
      </c>
      <c r="H3448" t="n">
        <v>0</v>
      </c>
      <c r="I3448" t="n">
        <v>0</v>
      </c>
      <c r="J3448" t="n">
        <v>0</v>
      </c>
      <c r="K3448" t="n">
        <v>0</v>
      </c>
      <c r="L3448" t="n">
        <v>0</v>
      </c>
      <c r="M3448" t="n">
        <v>0</v>
      </c>
      <c r="N3448" t="n">
        <v>0</v>
      </c>
      <c r="O3448" t="n">
        <v>0</v>
      </c>
      <c r="P3448" t="n">
        <v>0</v>
      </c>
      <c r="Q3448" t="n">
        <v>0</v>
      </c>
      <c r="R3448" s="2" t="inlineStr"/>
    </row>
    <row r="3449" ht="15" customHeight="1">
      <c r="A3449" t="inlineStr">
        <is>
          <t>A 9432-2023</t>
        </is>
      </c>
      <c r="B3449" s="1" t="n">
        <v>44981</v>
      </c>
      <c r="C3449" s="1" t="n">
        <v>45705</v>
      </c>
      <c r="D3449" t="inlineStr">
        <is>
          <t>UPPSALA LÄN</t>
        </is>
      </c>
      <c r="E3449" t="inlineStr">
        <is>
          <t>TIERP</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9443-2023</t>
        </is>
      </c>
      <c r="B3450" s="1" t="n">
        <v>44981</v>
      </c>
      <c r="C3450" s="1" t="n">
        <v>45705</v>
      </c>
      <c r="D3450" t="inlineStr">
        <is>
          <t>UPPSALA LÄN</t>
        </is>
      </c>
      <c r="E3450" t="inlineStr">
        <is>
          <t>HEBY</t>
        </is>
      </c>
      <c r="G3450" t="n">
        <v>4.3</v>
      </c>
      <c r="H3450" t="n">
        <v>0</v>
      </c>
      <c r="I3450" t="n">
        <v>0</v>
      </c>
      <c r="J3450" t="n">
        <v>0</v>
      </c>
      <c r="K3450" t="n">
        <v>0</v>
      </c>
      <c r="L3450" t="n">
        <v>0</v>
      </c>
      <c r="M3450" t="n">
        <v>0</v>
      </c>
      <c r="N3450" t="n">
        <v>0</v>
      </c>
      <c r="O3450" t="n">
        <v>0</v>
      </c>
      <c r="P3450" t="n">
        <v>0</v>
      </c>
      <c r="Q3450" t="n">
        <v>0</v>
      </c>
      <c r="R3450" s="2" t="inlineStr"/>
    </row>
    <row r="3451" ht="15" customHeight="1">
      <c r="A3451" t="inlineStr">
        <is>
          <t>A 9446-2023</t>
        </is>
      </c>
      <c r="B3451" s="1" t="n">
        <v>44981</v>
      </c>
      <c r="C3451" s="1" t="n">
        <v>45705</v>
      </c>
      <c r="D3451" t="inlineStr">
        <is>
          <t>UPPSALA LÄN</t>
        </is>
      </c>
      <c r="E3451" t="inlineStr">
        <is>
          <t>HEBY</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9461-2023</t>
        </is>
      </c>
      <c r="B3452" s="1" t="n">
        <v>44981</v>
      </c>
      <c r="C3452" s="1" t="n">
        <v>45705</v>
      </c>
      <c r="D3452" t="inlineStr">
        <is>
          <t>UPPSALA LÄN</t>
        </is>
      </c>
      <c r="E3452" t="inlineStr">
        <is>
          <t>HEBY</t>
        </is>
      </c>
      <c r="G3452" t="n">
        <v>4.5</v>
      </c>
      <c r="H3452" t="n">
        <v>0</v>
      </c>
      <c r="I3452" t="n">
        <v>0</v>
      </c>
      <c r="J3452" t="n">
        <v>0</v>
      </c>
      <c r="K3452" t="n">
        <v>0</v>
      </c>
      <c r="L3452" t="n">
        <v>0</v>
      </c>
      <c r="M3452" t="n">
        <v>0</v>
      </c>
      <c r="N3452" t="n">
        <v>0</v>
      </c>
      <c r="O3452" t="n">
        <v>0</v>
      </c>
      <c r="P3452" t="n">
        <v>0</v>
      </c>
      <c r="Q3452" t="n">
        <v>0</v>
      </c>
      <c r="R3452" s="2" t="inlineStr"/>
    </row>
    <row r="3453" ht="15" customHeight="1">
      <c r="A3453" t="inlineStr">
        <is>
          <t>A 9543-2023</t>
        </is>
      </c>
      <c r="B3453" s="1" t="n">
        <v>44981</v>
      </c>
      <c r="C3453" s="1" t="n">
        <v>45705</v>
      </c>
      <c r="D3453" t="inlineStr">
        <is>
          <t>UPPSALA LÄN</t>
        </is>
      </c>
      <c r="E3453" t="inlineStr">
        <is>
          <t>ÖSTHAMMAR</t>
        </is>
      </c>
      <c r="F3453" t="inlineStr">
        <is>
          <t>Bergvik skog öst AB</t>
        </is>
      </c>
      <c r="G3453" t="n">
        <v>5.9</v>
      </c>
      <c r="H3453" t="n">
        <v>0</v>
      </c>
      <c r="I3453" t="n">
        <v>0</v>
      </c>
      <c r="J3453" t="n">
        <v>0</v>
      </c>
      <c r="K3453" t="n">
        <v>0</v>
      </c>
      <c r="L3453" t="n">
        <v>0</v>
      </c>
      <c r="M3453" t="n">
        <v>0</v>
      </c>
      <c r="N3453" t="n">
        <v>0</v>
      </c>
      <c r="O3453" t="n">
        <v>0</v>
      </c>
      <c r="P3453" t="n">
        <v>0</v>
      </c>
      <c r="Q3453" t="n">
        <v>0</v>
      </c>
      <c r="R3453" s="2" t="inlineStr"/>
    </row>
    <row r="3454" ht="15" customHeight="1">
      <c r="A3454" t="inlineStr">
        <is>
          <t>A 9494-2023</t>
        </is>
      </c>
      <c r="B3454" s="1" t="n">
        <v>44981</v>
      </c>
      <c r="C3454" s="1" t="n">
        <v>45705</v>
      </c>
      <c r="D3454" t="inlineStr">
        <is>
          <t>UPPSALA LÄN</t>
        </is>
      </c>
      <c r="E3454" t="inlineStr">
        <is>
          <t>HEBY</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9497-2023</t>
        </is>
      </c>
      <c r="B3455" s="1" t="n">
        <v>44981</v>
      </c>
      <c r="C3455" s="1" t="n">
        <v>45705</v>
      </c>
      <c r="D3455" t="inlineStr">
        <is>
          <t>UPPSALA LÄN</t>
        </is>
      </c>
      <c r="E3455" t="inlineStr">
        <is>
          <t>HEBY</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9542-2023</t>
        </is>
      </c>
      <c r="B3456" s="1" t="n">
        <v>44981</v>
      </c>
      <c r="C3456" s="1" t="n">
        <v>45705</v>
      </c>
      <c r="D3456" t="inlineStr">
        <is>
          <t>UPPSALA LÄN</t>
        </is>
      </c>
      <c r="E3456" t="inlineStr">
        <is>
          <t>ÖSTHAMMAR</t>
        </is>
      </c>
      <c r="F3456" t="inlineStr">
        <is>
          <t>Bergvik skog öst AB</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9664-2023</t>
        </is>
      </c>
      <c r="B3457" s="1" t="n">
        <v>44984</v>
      </c>
      <c r="C3457" s="1" t="n">
        <v>45705</v>
      </c>
      <c r="D3457" t="inlineStr">
        <is>
          <t>UPPSALA LÄN</t>
        </is>
      </c>
      <c r="E3457" t="inlineStr">
        <is>
          <t>TIERP</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9687-2023</t>
        </is>
      </c>
      <c r="B3458" s="1" t="n">
        <v>44984</v>
      </c>
      <c r="C3458" s="1" t="n">
        <v>45705</v>
      </c>
      <c r="D3458" t="inlineStr">
        <is>
          <t>UPPSALA LÄN</t>
        </is>
      </c>
      <c r="E3458" t="inlineStr">
        <is>
          <t>HEBY</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9675-2023</t>
        </is>
      </c>
      <c r="B3459" s="1" t="n">
        <v>44984</v>
      </c>
      <c r="C3459" s="1" t="n">
        <v>45705</v>
      </c>
      <c r="D3459" t="inlineStr">
        <is>
          <t>UPPSALA LÄN</t>
        </is>
      </c>
      <c r="E3459" t="inlineStr">
        <is>
          <t>HEBY</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9761-2023</t>
        </is>
      </c>
      <c r="B3460" s="1" t="n">
        <v>44984</v>
      </c>
      <c r="C3460" s="1" t="n">
        <v>45705</v>
      </c>
      <c r="D3460" t="inlineStr">
        <is>
          <t>UPPSALA LÄN</t>
        </is>
      </c>
      <c r="E3460" t="inlineStr">
        <is>
          <t>HEBY</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9769-2023</t>
        </is>
      </c>
      <c r="B3461" s="1" t="n">
        <v>44984</v>
      </c>
      <c r="C3461" s="1" t="n">
        <v>45705</v>
      </c>
      <c r="D3461" t="inlineStr">
        <is>
          <t>UPPSALA LÄN</t>
        </is>
      </c>
      <c r="E3461" t="inlineStr">
        <is>
          <t>HEBY</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9817-2023</t>
        </is>
      </c>
      <c r="B3462" s="1" t="n">
        <v>44984</v>
      </c>
      <c r="C3462" s="1" t="n">
        <v>45705</v>
      </c>
      <c r="D3462" t="inlineStr">
        <is>
          <t>UPPSALA LÄN</t>
        </is>
      </c>
      <c r="E3462" t="inlineStr">
        <is>
          <t>UPPSALA</t>
        </is>
      </c>
      <c r="F3462" t="inlineStr">
        <is>
          <t>Kyrkan</t>
        </is>
      </c>
      <c r="G3462" t="n">
        <v>5.3</v>
      </c>
      <c r="H3462" t="n">
        <v>0</v>
      </c>
      <c r="I3462" t="n">
        <v>0</v>
      </c>
      <c r="J3462" t="n">
        <v>0</v>
      </c>
      <c r="K3462" t="n">
        <v>0</v>
      </c>
      <c r="L3462" t="n">
        <v>0</v>
      </c>
      <c r="M3462" t="n">
        <v>0</v>
      </c>
      <c r="N3462" t="n">
        <v>0</v>
      </c>
      <c r="O3462" t="n">
        <v>0</v>
      </c>
      <c r="P3462" t="n">
        <v>0</v>
      </c>
      <c r="Q3462" t="n">
        <v>0</v>
      </c>
      <c r="R3462" s="2" t="inlineStr"/>
    </row>
    <row r="3463" ht="15" customHeight="1">
      <c r="A3463" t="inlineStr">
        <is>
          <t>A 9767-2023</t>
        </is>
      </c>
      <c r="B3463" s="1" t="n">
        <v>44984</v>
      </c>
      <c r="C3463" s="1" t="n">
        <v>45705</v>
      </c>
      <c r="D3463" t="inlineStr">
        <is>
          <t>UPPSALA LÄN</t>
        </is>
      </c>
      <c r="E3463" t="inlineStr">
        <is>
          <t>HEBY</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9814-2023</t>
        </is>
      </c>
      <c r="B3464" s="1" t="n">
        <v>44984</v>
      </c>
      <c r="C3464" s="1" t="n">
        <v>45705</v>
      </c>
      <c r="D3464" t="inlineStr">
        <is>
          <t>UPPSALA LÄN</t>
        </is>
      </c>
      <c r="E3464" t="inlineStr">
        <is>
          <t>UPPSALA</t>
        </is>
      </c>
      <c r="F3464" t="inlineStr">
        <is>
          <t>Kyrkan</t>
        </is>
      </c>
      <c r="G3464" t="n">
        <v>5</v>
      </c>
      <c r="H3464" t="n">
        <v>0</v>
      </c>
      <c r="I3464" t="n">
        <v>0</v>
      </c>
      <c r="J3464" t="n">
        <v>0</v>
      </c>
      <c r="K3464" t="n">
        <v>0</v>
      </c>
      <c r="L3464" t="n">
        <v>0</v>
      </c>
      <c r="M3464" t="n">
        <v>0</v>
      </c>
      <c r="N3464" t="n">
        <v>0</v>
      </c>
      <c r="O3464" t="n">
        <v>0</v>
      </c>
      <c r="P3464" t="n">
        <v>0</v>
      </c>
      <c r="Q3464" t="n">
        <v>0</v>
      </c>
      <c r="R3464" s="2" t="inlineStr"/>
    </row>
    <row r="3465" ht="15" customHeight="1">
      <c r="A3465" t="inlineStr">
        <is>
          <t>A 9758-2023</t>
        </is>
      </c>
      <c r="B3465" s="1" t="n">
        <v>44984</v>
      </c>
      <c r="C3465" s="1" t="n">
        <v>45705</v>
      </c>
      <c r="D3465" t="inlineStr">
        <is>
          <t>UPPSALA LÄN</t>
        </is>
      </c>
      <c r="E3465" t="inlineStr">
        <is>
          <t>HEBY</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9766-2023</t>
        </is>
      </c>
      <c r="B3466" s="1" t="n">
        <v>44984</v>
      </c>
      <c r="C3466" s="1" t="n">
        <v>45705</v>
      </c>
      <c r="D3466" t="inlineStr">
        <is>
          <t>UPPSALA LÄN</t>
        </is>
      </c>
      <c r="E3466" t="inlineStr">
        <is>
          <t>HEBY</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9773-2023</t>
        </is>
      </c>
      <c r="B3467" s="1" t="n">
        <v>44984</v>
      </c>
      <c r="C3467" s="1" t="n">
        <v>45705</v>
      </c>
      <c r="D3467" t="inlineStr">
        <is>
          <t>UPPSALA LÄN</t>
        </is>
      </c>
      <c r="E3467" t="inlineStr">
        <is>
          <t>HEBY</t>
        </is>
      </c>
      <c r="F3467" t="inlineStr">
        <is>
          <t>Allmännings- och besparingsskogar</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9811-2023</t>
        </is>
      </c>
      <c r="B3468" s="1" t="n">
        <v>44984</v>
      </c>
      <c r="C3468" s="1" t="n">
        <v>45705</v>
      </c>
      <c r="D3468" t="inlineStr">
        <is>
          <t>UPPSALA LÄN</t>
        </is>
      </c>
      <c r="E3468" t="inlineStr">
        <is>
          <t>UPPSALA</t>
        </is>
      </c>
      <c r="G3468" t="n">
        <v>5.5</v>
      </c>
      <c r="H3468" t="n">
        <v>0</v>
      </c>
      <c r="I3468" t="n">
        <v>0</v>
      </c>
      <c r="J3468" t="n">
        <v>0</v>
      </c>
      <c r="K3468" t="n">
        <v>0</v>
      </c>
      <c r="L3468" t="n">
        <v>0</v>
      </c>
      <c r="M3468" t="n">
        <v>0</v>
      </c>
      <c r="N3468" t="n">
        <v>0</v>
      </c>
      <c r="O3468" t="n">
        <v>0</v>
      </c>
      <c r="P3468" t="n">
        <v>0</v>
      </c>
      <c r="Q3468" t="n">
        <v>0</v>
      </c>
      <c r="R3468" s="2" t="inlineStr"/>
    </row>
    <row r="3469" ht="15" customHeight="1">
      <c r="A3469" t="inlineStr">
        <is>
          <t>A 9820-2023</t>
        </is>
      </c>
      <c r="B3469" s="1" t="n">
        <v>44984</v>
      </c>
      <c r="C3469" s="1" t="n">
        <v>45705</v>
      </c>
      <c r="D3469" t="inlineStr">
        <is>
          <t>UPPSALA LÄN</t>
        </is>
      </c>
      <c r="E3469" t="inlineStr">
        <is>
          <t>UPPSALA</t>
        </is>
      </c>
      <c r="F3469" t="inlineStr">
        <is>
          <t>Kyrkan</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10005-2023</t>
        </is>
      </c>
      <c r="B3470" s="1" t="n">
        <v>44985</v>
      </c>
      <c r="C3470" s="1" t="n">
        <v>45705</v>
      </c>
      <c r="D3470" t="inlineStr">
        <is>
          <t>UPPSALA LÄN</t>
        </is>
      </c>
      <c r="E3470" t="inlineStr">
        <is>
          <t>UPPSALA</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10204-2023</t>
        </is>
      </c>
      <c r="B3471" s="1" t="n">
        <v>44986</v>
      </c>
      <c r="C3471" s="1" t="n">
        <v>45705</v>
      </c>
      <c r="D3471" t="inlineStr">
        <is>
          <t>UPPSALA LÄN</t>
        </is>
      </c>
      <c r="E3471" t="inlineStr">
        <is>
          <t>TIERP</t>
        </is>
      </c>
      <c r="F3471" t="inlineStr">
        <is>
          <t>Bergvik skog väst AB</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10216-2023</t>
        </is>
      </c>
      <c r="B3472" s="1" t="n">
        <v>44986</v>
      </c>
      <c r="C3472" s="1" t="n">
        <v>45705</v>
      </c>
      <c r="D3472" t="inlineStr">
        <is>
          <t>UPPSALA LÄN</t>
        </is>
      </c>
      <c r="E3472" t="inlineStr">
        <is>
          <t>TIERP</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10199-2023</t>
        </is>
      </c>
      <c r="B3473" s="1" t="n">
        <v>44986</v>
      </c>
      <c r="C3473" s="1" t="n">
        <v>45705</v>
      </c>
      <c r="D3473" t="inlineStr">
        <is>
          <t>UPPSALA LÄN</t>
        </is>
      </c>
      <c r="E3473" t="inlineStr">
        <is>
          <t>TIERP</t>
        </is>
      </c>
      <c r="G3473" t="n">
        <v>4.4</v>
      </c>
      <c r="H3473" t="n">
        <v>0</v>
      </c>
      <c r="I3473" t="n">
        <v>0</v>
      </c>
      <c r="J3473" t="n">
        <v>0</v>
      </c>
      <c r="K3473" t="n">
        <v>0</v>
      </c>
      <c r="L3473" t="n">
        <v>0</v>
      </c>
      <c r="M3473" t="n">
        <v>0</v>
      </c>
      <c r="N3473" t="n">
        <v>0</v>
      </c>
      <c r="O3473" t="n">
        <v>0</v>
      </c>
      <c r="P3473" t="n">
        <v>0</v>
      </c>
      <c r="Q3473" t="n">
        <v>0</v>
      </c>
      <c r="R3473" s="2" t="inlineStr"/>
    </row>
    <row r="3474" ht="15" customHeight="1">
      <c r="A3474" t="inlineStr">
        <is>
          <t>A 10449-2023</t>
        </is>
      </c>
      <c r="B3474" s="1" t="n">
        <v>44987</v>
      </c>
      <c r="C3474" s="1" t="n">
        <v>45705</v>
      </c>
      <c r="D3474" t="inlineStr">
        <is>
          <t>UPPSALA LÄN</t>
        </is>
      </c>
      <c r="E3474" t="inlineStr">
        <is>
          <t>ÖSTHAMMAR</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10451-2023</t>
        </is>
      </c>
      <c r="B3475" s="1" t="n">
        <v>44987</v>
      </c>
      <c r="C3475" s="1" t="n">
        <v>45705</v>
      </c>
      <c r="D3475" t="inlineStr">
        <is>
          <t>UPPSALA LÄN</t>
        </is>
      </c>
      <c r="E3475" t="inlineStr">
        <is>
          <t>HEBY</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10448-2023</t>
        </is>
      </c>
      <c r="B3476" s="1" t="n">
        <v>44987</v>
      </c>
      <c r="C3476" s="1" t="n">
        <v>45705</v>
      </c>
      <c r="D3476" t="inlineStr">
        <is>
          <t>UPPSALA LÄN</t>
        </is>
      </c>
      <c r="E3476" t="inlineStr">
        <is>
          <t>HEBY</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11191-2023</t>
        </is>
      </c>
      <c r="B3477" s="1" t="n">
        <v>44987</v>
      </c>
      <c r="C3477" s="1" t="n">
        <v>45705</v>
      </c>
      <c r="D3477" t="inlineStr">
        <is>
          <t>UPPSALA LÄN</t>
        </is>
      </c>
      <c r="E3477" t="inlineStr">
        <is>
          <t>KNIVSTA</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10669-2023</t>
        </is>
      </c>
      <c r="B3478" s="1" t="n">
        <v>44988</v>
      </c>
      <c r="C3478" s="1" t="n">
        <v>45705</v>
      </c>
      <c r="D3478" t="inlineStr">
        <is>
          <t>UPPSALA LÄN</t>
        </is>
      </c>
      <c r="E3478" t="inlineStr">
        <is>
          <t>UPPSALA</t>
        </is>
      </c>
      <c r="G3478" t="n">
        <v>4.9</v>
      </c>
      <c r="H3478" t="n">
        <v>0</v>
      </c>
      <c r="I3478" t="n">
        <v>0</v>
      </c>
      <c r="J3478" t="n">
        <v>0</v>
      </c>
      <c r="K3478" t="n">
        <v>0</v>
      </c>
      <c r="L3478" t="n">
        <v>0</v>
      </c>
      <c r="M3478" t="n">
        <v>0</v>
      </c>
      <c r="N3478" t="n">
        <v>0</v>
      </c>
      <c r="O3478" t="n">
        <v>0</v>
      </c>
      <c r="P3478" t="n">
        <v>0</v>
      </c>
      <c r="Q3478" t="n">
        <v>0</v>
      </c>
      <c r="R3478" s="2" t="inlineStr"/>
    </row>
    <row r="3479" ht="15" customHeight="1">
      <c r="A3479" t="inlineStr">
        <is>
          <t>A 10594-2023</t>
        </is>
      </c>
      <c r="B3479" s="1" t="n">
        <v>44988</v>
      </c>
      <c r="C3479" s="1" t="n">
        <v>45705</v>
      </c>
      <c r="D3479" t="inlineStr">
        <is>
          <t>UPPSALA LÄN</t>
        </is>
      </c>
      <c r="E3479" t="inlineStr">
        <is>
          <t>TIERP</t>
        </is>
      </c>
      <c r="F3479" t="inlineStr">
        <is>
          <t>Bergvik skog öst AB</t>
        </is>
      </c>
      <c r="G3479" t="n">
        <v>4.4</v>
      </c>
      <c r="H3479" t="n">
        <v>0</v>
      </c>
      <c r="I3479" t="n">
        <v>0</v>
      </c>
      <c r="J3479" t="n">
        <v>0</v>
      </c>
      <c r="K3479" t="n">
        <v>0</v>
      </c>
      <c r="L3479" t="n">
        <v>0</v>
      </c>
      <c r="M3479" t="n">
        <v>0</v>
      </c>
      <c r="N3479" t="n">
        <v>0</v>
      </c>
      <c r="O3479" t="n">
        <v>0</v>
      </c>
      <c r="P3479" t="n">
        <v>0</v>
      </c>
      <c r="Q3479" t="n">
        <v>0</v>
      </c>
      <c r="R3479" s="2" t="inlineStr"/>
    </row>
    <row r="3480" ht="15" customHeight="1">
      <c r="A3480" t="inlineStr">
        <is>
          <t>A 10898-2023</t>
        </is>
      </c>
      <c r="B3480" s="1" t="n">
        <v>44991</v>
      </c>
      <c r="C3480" s="1" t="n">
        <v>45705</v>
      </c>
      <c r="D3480" t="inlineStr">
        <is>
          <t>UPPSALA LÄN</t>
        </is>
      </c>
      <c r="E3480" t="inlineStr">
        <is>
          <t>KNIVSTA</t>
        </is>
      </c>
      <c r="F3480" t="inlineStr">
        <is>
          <t>Holmen skog AB</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11017-2023</t>
        </is>
      </c>
      <c r="B3481" s="1" t="n">
        <v>44991</v>
      </c>
      <c r="C3481" s="1" t="n">
        <v>45705</v>
      </c>
      <c r="D3481" t="inlineStr">
        <is>
          <t>UPPSALA LÄN</t>
        </is>
      </c>
      <c r="E3481" t="inlineStr">
        <is>
          <t>ÖSTHAMMAR</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10914-2023</t>
        </is>
      </c>
      <c r="B3482" s="1" t="n">
        <v>44991</v>
      </c>
      <c r="C3482" s="1" t="n">
        <v>45705</v>
      </c>
      <c r="D3482" t="inlineStr">
        <is>
          <t>UPPSALA LÄN</t>
        </is>
      </c>
      <c r="E3482" t="inlineStr">
        <is>
          <t>KNIVSTA</t>
        </is>
      </c>
      <c r="F3482" t="inlineStr">
        <is>
          <t>Holmen skog AB</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10943-2023</t>
        </is>
      </c>
      <c r="B3483" s="1" t="n">
        <v>44991</v>
      </c>
      <c r="C3483" s="1" t="n">
        <v>45705</v>
      </c>
      <c r="D3483" t="inlineStr">
        <is>
          <t>UPPSALA LÄN</t>
        </is>
      </c>
      <c r="E3483" t="inlineStr">
        <is>
          <t>TIERP</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10982-2023</t>
        </is>
      </c>
      <c r="B3484" s="1" t="n">
        <v>44991</v>
      </c>
      <c r="C3484" s="1" t="n">
        <v>45705</v>
      </c>
      <c r="D3484" t="inlineStr">
        <is>
          <t>UPPSALA LÄN</t>
        </is>
      </c>
      <c r="E3484" t="inlineStr">
        <is>
          <t>ÖSTHAMMAR</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11008-2023</t>
        </is>
      </c>
      <c r="B3485" s="1" t="n">
        <v>44991</v>
      </c>
      <c r="C3485" s="1" t="n">
        <v>45705</v>
      </c>
      <c r="D3485" t="inlineStr">
        <is>
          <t>UPPSALA LÄN</t>
        </is>
      </c>
      <c r="E3485" t="inlineStr">
        <is>
          <t>ÖSTHAMMAR</t>
        </is>
      </c>
      <c r="F3485" t="inlineStr">
        <is>
          <t>Bergvik skog öst AB</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11015-2023</t>
        </is>
      </c>
      <c r="B3486" s="1" t="n">
        <v>44991</v>
      </c>
      <c r="C3486" s="1" t="n">
        <v>45705</v>
      </c>
      <c r="D3486" t="inlineStr">
        <is>
          <t>UPPSALA LÄN</t>
        </is>
      </c>
      <c r="E3486" t="inlineStr">
        <is>
          <t>ÖSTHAMMAR</t>
        </is>
      </c>
      <c r="F3486" t="inlineStr">
        <is>
          <t>Bergvik skog öst AB</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11005-2023</t>
        </is>
      </c>
      <c r="B3487" s="1" t="n">
        <v>44991</v>
      </c>
      <c r="C3487" s="1" t="n">
        <v>45705</v>
      </c>
      <c r="D3487" t="inlineStr">
        <is>
          <t>UPPSALA LÄN</t>
        </is>
      </c>
      <c r="E3487" t="inlineStr">
        <is>
          <t>ENKÖPING</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11036-2023</t>
        </is>
      </c>
      <c r="B3488" s="1" t="n">
        <v>44991</v>
      </c>
      <c r="C3488" s="1" t="n">
        <v>45705</v>
      </c>
      <c r="D3488" t="inlineStr">
        <is>
          <t>UPPSALA LÄN</t>
        </is>
      </c>
      <c r="E3488" t="inlineStr">
        <is>
          <t>ÖSTHAMMAR</t>
        </is>
      </c>
      <c r="F3488" t="inlineStr">
        <is>
          <t>Bergvik skog öst AB</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11484-2023</t>
        </is>
      </c>
      <c r="B3489" s="1" t="n">
        <v>44991</v>
      </c>
      <c r="C3489" s="1" t="n">
        <v>45705</v>
      </c>
      <c r="D3489" t="inlineStr">
        <is>
          <t>UPPSALA LÄN</t>
        </is>
      </c>
      <c r="E3489" t="inlineStr">
        <is>
          <t>UPPSALA</t>
        </is>
      </c>
      <c r="G3489" t="n">
        <v>10.3</v>
      </c>
      <c r="H3489" t="n">
        <v>0</v>
      </c>
      <c r="I3489" t="n">
        <v>0</v>
      </c>
      <c r="J3489" t="n">
        <v>0</v>
      </c>
      <c r="K3489" t="n">
        <v>0</v>
      </c>
      <c r="L3489" t="n">
        <v>0</v>
      </c>
      <c r="M3489" t="n">
        <v>0</v>
      </c>
      <c r="N3489" t="n">
        <v>0</v>
      </c>
      <c r="O3489" t="n">
        <v>0</v>
      </c>
      <c r="P3489" t="n">
        <v>0</v>
      </c>
      <c r="Q3489" t="n">
        <v>0</v>
      </c>
      <c r="R3489" s="2" t="inlineStr"/>
    </row>
    <row r="3490" ht="15" customHeight="1">
      <c r="A3490" t="inlineStr">
        <is>
          <t>A 10940-2023</t>
        </is>
      </c>
      <c r="B3490" s="1" t="n">
        <v>44991</v>
      </c>
      <c r="C3490" s="1" t="n">
        <v>45705</v>
      </c>
      <c r="D3490" t="inlineStr">
        <is>
          <t>UPPSALA LÄN</t>
        </is>
      </c>
      <c r="E3490" t="inlineStr">
        <is>
          <t>TIERP</t>
        </is>
      </c>
      <c r="G3490" t="n">
        <v>4.5</v>
      </c>
      <c r="H3490" t="n">
        <v>0</v>
      </c>
      <c r="I3490" t="n">
        <v>0</v>
      </c>
      <c r="J3490" t="n">
        <v>0</v>
      </c>
      <c r="K3490" t="n">
        <v>0</v>
      </c>
      <c r="L3490" t="n">
        <v>0</v>
      </c>
      <c r="M3490" t="n">
        <v>0</v>
      </c>
      <c r="N3490" t="n">
        <v>0</v>
      </c>
      <c r="O3490" t="n">
        <v>0</v>
      </c>
      <c r="P3490" t="n">
        <v>0</v>
      </c>
      <c r="Q3490" t="n">
        <v>0</v>
      </c>
      <c r="R3490" s="2" t="inlineStr"/>
    </row>
    <row r="3491" ht="15" customHeight="1">
      <c r="A3491" t="inlineStr">
        <is>
          <t>A 11009-2023</t>
        </is>
      </c>
      <c r="B3491" s="1" t="n">
        <v>44991</v>
      </c>
      <c r="C3491" s="1" t="n">
        <v>45705</v>
      </c>
      <c r="D3491" t="inlineStr">
        <is>
          <t>UPPSALA LÄN</t>
        </is>
      </c>
      <c r="E3491" t="inlineStr">
        <is>
          <t>ÖSTHAMMAR</t>
        </is>
      </c>
      <c r="F3491" t="inlineStr">
        <is>
          <t>Bergvik skog öst AB</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11033-2023</t>
        </is>
      </c>
      <c r="B3492" s="1" t="n">
        <v>44991</v>
      </c>
      <c r="C3492" s="1" t="n">
        <v>45705</v>
      </c>
      <c r="D3492" t="inlineStr">
        <is>
          <t>UPPSALA LÄN</t>
        </is>
      </c>
      <c r="E3492" t="inlineStr">
        <is>
          <t>ÖSTHAMMAR</t>
        </is>
      </c>
      <c r="F3492" t="inlineStr">
        <is>
          <t>Bergvik skog öst AB</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11282-2023</t>
        </is>
      </c>
      <c r="B3493" s="1" t="n">
        <v>44992</v>
      </c>
      <c r="C3493" s="1" t="n">
        <v>45705</v>
      </c>
      <c r="D3493" t="inlineStr">
        <is>
          <t>UPPSALA LÄN</t>
        </is>
      </c>
      <c r="E3493" t="inlineStr">
        <is>
          <t>ÖSTHAMMAR</t>
        </is>
      </c>
      <c r="F3493" t="inlineStr">
        <is>
          <t>Bergvik skog öst AB</t>
        </is>
      </c>
      <c r="G3493" t="n">
        <v>12.3</v>
      </c>
      <c r="H3493" t="n">
        <v>0</v>
      </c>
      <c r="I3493" t="n">
        <v>0</v>
      </c>
      <c r="J3493" t="n">
        <v>0</v>
      </c>
      <c r="K3493" t="n">
        <v>0</v>
      </c>
      <c r="L3493" t="n">
        <v>0</v>
      </c>
      <c r="M3493" t="n">
        <v>0</v>
      </c>
      <c r="N3493" t="n">
        <v>0</v>
      </c>
      <c r="O3493" t="n">
        <v>0</v>
      </c>
      <c r="P3493" t="n">
        <v>0</v>
      </c>
      <c r="Q3493" t="n">
        <v>0</v>
      </c>
      <c r="R3493" s="2" t="inlineStr"/>
    </row>
    <row r="3494" ht="15" customHeight="1">
      <c r="A3494" t="inlineStr">
        <is>
          <t>A 11281-2023</t>
        </is>
      </c>
      <c r="B3494" s="1" t="n">
        <v>44992</v>
      </c>
      <c r="C3494" s="1" t="n">
        <v>45705</v>
      </c>
      <c r="D3494" t="inlineStr">
        <is>
          <t>UPPSALA LÄN</t>
        </is>
      </c>
      <c r="E3494" t="inlineStr">
        <is>
          <t>ÖSTHAMMAR</t>
        </is>
      </c>
      <c r="F3494" t="inlineStr">
        <is>
          <t>Bergvik skog öst AB</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11452-2023</t>
        </is>
      </c>
      <c r="B3495" s="1" t="n">
        <v>44993</v>
      </c>
      <c r="C3495" s="1" t="n">
        <v>45705</v>
      </c>
      <c r="D3495" t="inlineStr">
        <is>
          <t>UPPSALA LÄN</t>
        </is>
      </c>
      <c r="E3495" t="inlineStr">
        <is>
          <t>KNIVSTA</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11503-2023</t>
        </is>
      </c>
      <c r="B3496" s="1" t="n">
        <v>44993</v>
      </c>
      <c r="C3496" s="1" t="n">
        <v>45705</v>
      </c>
      <c r="D3496" t="inlineStr">
        <is>
          <t>UPPSALA LÄN</t>
        </is>
      </c>
      <c r="E3496" t="inlineStr">
        <is>
          <t>HEBY</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11450-2023</t>
        </is>
      </c>
      <c r="B3497" s="1" t="n">
        <v>44993</v>
      </c>
      <c r="C3497" s="1" t="n">
        <v>45705</v>
      </c>
      <c r="D3497" t="inlineStr">
        <is>
          <t>UPPSALA LÄN</t>
        </is>
      </c>
      <c r="E3497" t="inlineStr">
        <is>
          <t>KNIVSTA</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11469-2023</t>
        </is>
      </c>
      <c r="B3498" s="1" t="n">
        <v>44993</v>
      </c>
      <c r="C3498" s="1" t="n">
        <v>45705</v>
      </c>
      <c r="D3498" t="inlineStr">
        <is>
          <t>UPPSALA LÄN</t>
        </is>
      </c>
      <c r="E3498" t="inlineStr">
        <is>
          <t>ÖSTHAMMAR</t>
        </is>
      </c>
      <c r="F3498" t="inlineStr">
        <is>
          <t>Bergvik skog öst AB</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11739-2023</t>
        </is>
      </c>
      <c r="B3499" s="1" t="n">
        <v>44993</v>
      </c>
      <c r="C3499" s="1" t="n">
        <v>45705</v>
      </c>
      <c r="D3499" t="inlineStr">
        <is>
          <t>UPPSALA LÄN</t>
        </is>
      </c>
      <c r="E3499" t="inlineStr">
        <is>
          <t>UPPSALA</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11744-2023</t>
        </is>
      </c>
      <c r="B3500" s="1" t="n">
        <v>44993</v>
      </c>
      <c r="C3500" s="1" t="n">
        <v>45705</v>
      </c>
      <c r="D3500" t="inlineStr">
        <is>
          <t>UPPSALA LÄN</t>
        </is>
      </c>
      <c r="E3500" t="inlineStr">
        <is>
          <t>UPPSALA</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11568-2023</t>
        </is>
      </c>
      <c r="B3501" s="1" t="n">
        <v>44994</v>
      </c>
      <c r="C3501" s="1" t="n">
        <v>45705</v>
      </c>
      <c r="D3501" t="inlineStr">
        <is>
          <t>UPPSALA LÄN</t>
        </is>
      </c>
      <c r="E3501" t="inlineStr">
        <is>
          <t>UPPSALA</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11574-2023</t>
        </is>
      </c>
      <c r="B3502" s="1" t="n">
        <v>44994</v>
      </c>
      <c r="C3502" s="1" t="n">
        <v>45705</v>
      </c>
      <c r="D3502" t="inlineStr">
        <is>
          <t>UPPSALA LÄN</t>
        </is>
      </c>
      <c r="E3502" t="inlineStr">
        <is>
          <t>TIERP</t>
        </is>
      </c>
      <c r="F3502" t="inlineStr">
        <is>
          <t>Bergvik skog öst AB</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11845-2023</t>
        </is>
      </c>
      <c r="B3503" s="1" t="n">
        <v>44995</v>
      </c>
      <c r="C3503" s="1" t="n">
        <v>45705</v>
      </c>
      <c r="D3503" t="inlineStr">
        <is>
          <t>UPPSALA LÄN</t>
        </is>
      </c>
      <c r="E3503" t="inlineStr">
        <is>
          <t>KNIVSTA</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11847-2023</t>
        </is>
      </c>
      <c r="B3504" s="1" t="n">
        <v>44995</v>
      </c>
      <c r="C3504" s="1" t="n">
        <v>45705</v>
      </c>
      <c r="D3504" t="inlineStr">
        <is>
          <t>UPPSALA LÄN</t>
        </is>
      </c>
      <c r="E3504" t="inlineStr">
        <is>
          <t>KNIVSTA</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11841-2023</t>
        </is>
      </c>
      <c r="B3505" s="1" t="n">
        <v>44995</v>
      </c>
      <c r="C3505" s="1" t="n">
        <v>45705</v>
      </c>
      <c r="D3505" t="inlineStr">
        <is>
          <t>UPPSALA LÄN</t>
        </is>
      </c>
      <c r="E3505" t="inlineStr">
        <is>
          <t>KNIVSTA</t>
        </is>
      </c>
      <c r="G3505" t="n">
        <v>3.9</v>
      </c>
      <c r="H3505" t="n">
        <v>0</v>
      </c>
      <c r="I3505" t="n">
        <v>0</v>
      </c>
      <c r="J3505" t="n">
        <v>0</v>
      </c>
      <c r="K3505" t="n">
        <v>0</v>
      </c>
      <c r="L3505" t="n">
        <v>0</v>
      </c>
      <c r="M3505" t="n">
        <v>0</v>
      </c>
      <c r="N3505" t="n">
        <v>0</v>
      </c>
      <c r="O3505" t="n">
        <v>0</v>
      </c>
      <c r="P3505" t="n">
        <v>0</v>
      </c>
      <c r="Q3505" t="n">
        <v>0</v>
      </c>
      <c r="R3505" s="2" t="inlineStr"/>
    </row>
    <row r="3506" ht="15" customHeight="1">
      <c r="A3506" t="inlineStr">
        <is>
          <t>A 12190-2023</t>
        </is>
      </c>
      <c r="B3506" s="1" t="n">
        <v>44995</v>
      </c>
      <c r="C3506" s="1" t="n">
        <v>45705</v>
      </c>
      <c r="D3506" t="inlineStr">
        <is>
          <t>UPPSALA LÄN</t>
        </is>
      </c>
      <c r="E3506" t="inlineStr">
        <is>
          <t>ÖSTHAMMAR</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12186-2023</t>
        </is>
      </c>
      <c r="B3507" s="1" t="n">
        <v>44995</v>
      </c>
      <c r="C3507" s="1" t="n">
        <v>45705</v>
      </c>
      <c r="D3507" t="inlineStr">
        <is>
          <t>UPPSALA LÄN</t>
        </is>
      </c>
      <c r="E3507" t="inlineStr">
        <is>
          <t>ÖSTHAMMAR</t>
        </is>
      </c>
      <c r="G3507" t="n">
        <v>5.7</v>
      </c>
      <c r="H3507" t="n">
        <v>0</v>
      </c>
      <c r="I3507" t="n">
        <v>0</v>
      </c>
      <c r="J3507" t="n">
        <v>0</v>
      </c>
      <c r="K3507" t="n">
        <v>0</v>
      </c>
      <c r="L3507" t="n">
        <v>0</v>
      </c>
      <c r="M3507" t="n">
        <v>0</v>
      </c>
      <c r="N3507" t="n">
        <v>0</v>
      </c>
      <c r="O3507" t="n">
        <v>0</v>
      </c>
      <c r="P3507" t="n">
        <v>0</v>
      </c>
      <c r="Q3507" t="n">
        <v>0</v>
      </c>
      <c r="R3507" s="2" t="inlineStr"/>
    </row>
    <row r="3508" ht="15" customHeight="1">
      <c r="A3508" t="inlineStr">
        <is>
          <t>A 12262-2023</t>
        </is>
      </c>
      <c r="B3508" s="1" t="n">
        <v>44998</v>
      </c>
      <c r="C3508" s="1" t="n">
        <v>45705</v>
      </c>
      <c r="D3508" t="inlineStr">
        <is>
          <t>UPPSALA LÄN</t>
        </is>
      </c>
      <c r="E3508" t="inlineStr">
        <is>
          <t>ÖSTHAMMAR</t>
        </is>
      </c>
      <c r="G3508" t="n">
        <v>4.1</v>
      </c>
      <c r="H3508" t="n">
        <v>0</v>
      </c>
      <c r="I3508" t="n">
        <v>0</v>
      </c>
      <c r="J3508" t="n">
        <v>0</v>
      </c>
      <c r="K3508" t="n">
        <v>0</v>
      </c>
      <c r="L3508" t="n">
        <v>0</v>
      </c>
      <c r="M3508" t="n">
        <v>0</v>
      </c>
      <c r="N3508" t="n">
        <v>0</v>
      </c>
      <c r="O3508" t="n">
        <v>0</v>
      </c>
      <c r="P3508" t="n">
        <v>0</v>
      </c>
      <c r="Q3508" t="n">
        <v>0</v>
      </c>
      <c r="R3508" s="2" t="inlineStr"/>
    </row>
    <row r="3509" ht="15" customHeight="1">
      <c r="A3509" t="inlineStr">
        <is>
          <t>A 12154-2023</t>
        </is>
      </c>
      <c r="B3509" s="1" t="n">
        <v>44998</v>
      </c>
      <c r="C3509" s="1" t="n">
        <v>45705</v>
      </c>
      <c r="D3509" t="inlineStr">
        <is>
          <t>UPPSALA LÄN</t>
        </is>
      </c>
      <c r="E3509" t="inlineStr">
        <is>
          <t>HÅBO</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12158-2023</t>
        </is>
      </c>
      <c r="B3510" s="1" t="n">
        <v>44998</v>
      </c>
      <c r="C3510" s="1" t="n">
        <v>45705</v>
      </c>
      <c r="D3510" t="inlineStr">
        <is>
          <t>UPPSALA LÄN</t>
        </is>
      </c>
      <c r="E3510" t="inlineStr">
        <is>
          <t>UPPSALA</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12215-2023</t>
        </is>
      </c>
      <c r="B3511" s="1" t="n">
        <v>44998</v>
      </c>
      <c r="C3511" s="1" t="n">
        <v>45705</v>
      </c>
      <c r="D3511" t="inlineStr">
        <is>
          <t>UPPSALA LÄN</t>
        </is>
      </c>
      <c r="E3511" t="inlineStr">
        <is>
          <t>ÖSTHAMMAR</t>
        </is>
      </c>
      <c r="G3511" t="n">
        <v>5.1</v>
      </c>
      <c r="H3511" t="n">
        <v>0</v>
      </c>
      <c r="I3511" t="n">
        <v>0</v>
      </c>
      <c r="J3511" t="n">
        <v>0</v>
      </c>
      <c r="K3511" t="n">
        <v>0</v>
      </c>
      <c r="L3511" t="n">
        <v>0</v>
      </c>
      <c r="M3511" t="n">
        <v>0</v>
      </c>
      <c r="N3511" t="n">
        <v>0</v>
      </c>
      <c r="O3511" t="n">
        <v>0</v>
      </c>
      <c r="P3511" t="n">
        <v>0</v>
      </c>
      <c r="Q3511" t="n">
        <v>0</v>
      </c>
      <c r="R3511" s="2" t="inlineStr"/>
    </row>
    <row r="3512" ht="15" customHeight="1">
      <c r="A3512" t="inlineStr">
        <is>
          <t>A 12146-2023</t>
        </is>
      </c>
      <c r="B3512" s="1" t="n">
        <v>44998</v>
      </c>
      <c r="C3512" s="1" t="n">
        <v>45705</v>
      </c>
      <c r="D3512" t="inlineStr">
        <is>
          <t>UPPSALA LÄN</t>
        </is>
      </c>
      <c r="E3512" t="inlineStr">
        <is>
          <t>HÅBO</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12156-2023</t>
        </is>
      </c>
      <c r="B3513" s="1" t="n">
        <v>44998</v>
      </c>
      <c r="C3513" s="1" t="n">
        <v>45705</v>
      </c>
      <c r="D3513" t="inlineStr">
        <is>
          <t>UPPSALA LÄN</t>
        </is>
      </c>
      <c r="E3513" t="inlineStr">
        <is>
          <t>HÅBO</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12360-2023</t>
        </is>
      </c>
      <c r="B3514" s="1" t="n">
        <v>44999</v>
      </c>
      <c r="C3514" s="1" t="n">
        <v>45705</v>
      </c>
      <c r="D3514" t="inlineStr">
        <is>
          <t>UPPSALA LÄN</t>
        </is>
      </c>
      <c r="E3514" t="inlineStr">
        <is>
          <t>ENKÖPING</t>
        </is>
      </c>
      <c r="G3514" t="n">
        <v>6.3</v>
      </c>
      <c r="H3514" t="n">
        <v>0</v>
      </c>
      <c r="I3514" t="n">
        <v>0</v>
      </c>
      <c r="J3514" t="n">
        <v>0</v>
      </c>
      <c r="K3514" t="n">
        <v>0</v>
      </c>
      <c r="L3514" t="n">
        <v>0</v>
      </c>
      <c r="M3514" t="n">
        <v>0</v>
      </c>
      <c r="N3514" t="n">
        <v>0</v>
      </c>
      <c r="O3514" t="n">
        <v>0</v>
      </c>
      <c r="P3514" t="n">
        <v>0</v>
      </c>
      <c r="Q3514" t="n">
        <v>0</v>
      </c>
      <c r="R3514" s="2" t="inlineStr"/>
    </row>
    <row r="3515" ht="15" customHeight="1">
      <c r="A3515" t="inlineStr">
        <is>
          <t>A 12433-2023</t>
        </is>
      </c>
      <c r="B3515" s="1" t="n">
        <v>44999</v>
      </c>
      <c r="C3515" s="1" t="n">
        <v>45705</v>
      </c>
      <c r="D3515" t="inlineStr">
        <is>
          <t>UPPSALA LÄN</t>
        </is>
      </c>
      <c r="E3515" t="inlineStr">
        <is>
          <t>HEBY</t>
        </is>
      </c>
      <c r="F3515" t="inlineStr">
        <is>
          <t>Kyrkan</t>
        </is>
      </c>
      <c r="G3515" t="n">
        <v>15.9</v>
      </c>
      <c r="H3515" t="n">
        <v>0</v>
      </c>
      <c r="I3515" t="n">
        <v>0</v>
      </c>
      <c r="J3515" t="n">
        <v>0</v>
      </c>
      <c r="K3515" t="n">
        <v>0</v>
      </c>
      <c r="L3515" t="n">
        <v>0</v>
      </c>
      <c r="M3515" t="n">
        <v>0</v>
      </c>
      <c r="N3515" t="n">
        <v>0</v>
      </c>
      <c r="O3515" t="n">
        <v>0</v>
      </c>
      <c r="P3515" t="n">
        <v>0</v>
      </c>
      <c r="Q3515" t="n">
        <v>0</v>
      </c>
      <c r="R3515" s="2" t="inlineStr"/>
    </row>
    <row r="3516" ht="15" customHeight="1">
      <c r="A3516" t="inlineStr">
        <is>
          <t>A 12497-2023</t>
        </is>
      </c>
      <c r="B3516" s="1" t="n">
        <v>44999</v>
      </c>
      <c r="C3516" s="1" t="n">
        <v>45705</v>
      </c>
      <c r="D3516" t="inlineStr">
        <is>
          <t>UPPSALA LÄN</t>
        </is>
      </c>
      <c r="E3516" t="inlineStr">
        <is>
          <t>ÖSTHAMMAR</t>
        </is>
      </c>
      <c r="F3516" t="inlineStr">
        <is>
          <t>Bergvik skog öst AB</t>
        </is>
      </c>
      <c r="G3516" t="n">
        <v>3.6</v>
      </c>
      <c r="H3516" t="n">
        <v>0</v>
      </c>
      <c r="I3516" t="n">
        <v>0</v>
      </c>
      <c r="J3516" t="n">
        <v>0</v>
      </c>
      <c r="K3516" t="n">
        <v>0</v>
      </c>
      <c r="L3516" t="n">
        <v>0</v>
      </c>
      <c r="M3516" t="n">
        <v>0</v>
      </c>
      <c r="N3516" t="n">
        <v>0</v>
      </c>
      <c r="O3516" t="n">
        <v>0</v>
      </c>
      <c r="P3516" t="n">
        <v>0</v>
      </c>
      <c r="Q3516" t="n">
        <v>0</v>
      </c>
      <c r="R3516" s="2" t="inlineStr"/>
    </row>
    <row r="3517" ht="15" customHeight="1">
      <c r="A3517" t="inlineStr">
        <is>
          <t>A 12604-2023</t>
        </is>
      </c>
      <c r="B3517" s="1" t="n">
        <v>45000</v>
      </c>
      <c r="C3517" s="1" t="n">
        <v>45705</v>
      </c>
      <c r="D3517" t="inlineStr">
        <is>
          <t>UPPSALA LÄN</t>
        </is>
      </c>
      <c r="E3517" t="inlineStr">
        <is>
          <t>UPPSALA</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12603-2023</t>
        </is>
      </c>
      <c r="B3518" s="1" t="n">
        <v>45000</v>
      </c>
      <c r="C3518" s="1" t="n">
        <v>45705</v>
      </c>
      <c r="D3518" t="inlineStr">
        <is>
          <t>UPPSALA LÄN</t>
        </is>
      </c>
      <c r="E3518" t="inlineStr">
        <is>
          <t>UPPSALA</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12602-2023</t>
        </is>
      </c>
      <c r="B3519" s="1" t="n">
        <v>45000</v>
      </c>
      <c r="C3519" s="1" t="n">
        <v>45705</v>
      </c>
      <c r="D3519" t="inlineStr">
        <is>
          <t>UPPSALA LÄN</t>
        </is>
      </c>
      <c r="E3519" t="inlineStr">
        <is>
          <t>UPPSALA</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12703-2023</t>
        </is>
      </c>
      <c r="B3520" s="1" t="n">
        <v>45000</v>
      </c>
      <c r="C3520" s="1" t="n">
        <v>45705</v>
      </c>
      <c r="D3520" t="inlineStr">
        <is>
          <t>UPPSALA LÄN</t>
        </is>
      </c>
      <c r="E3520" t="inlineStr">
        <is>
          <t>UPPSALA</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12709-2023</t>
        </is>
      </c>
      <c r="B3521" s="1" t="n">
        <v>45000</v>
      </c>
      <c r="C3521" s="1" t="n">
        <v>45705</v>
      </c>
      <c r="D3521" t="inlineStr">
        <is>
          <t>UPPSALA LÄN</t>
        </is>
      </c>
      <c r="E3521" t="inlineStr">
        <is>
          <t>HEBY</t>
        </is>
      </c>
      <c r="G3521" t="n">
        <v>8</v>
      </c>
      <c r="H3521" t="n">
        <v>0</v>
      </c>
      <c r="I3521" t="n">
        <v>0</v>
      </c>
      <c r="J3521" t="n">
        <v>0</v>
      </c>
      <c r="K3521" t="n">
        <v>0</v>
      </c>
      <c r="L3521" t="n">
        <v>0</v>
      </c>
      <c r="M3521" t="n">
        <v>0</v>
      </c>
      <c r="N3521" t="n">
        <v>0</v>
      </c>
      <c r="O3521" t="n">
        <v>0</v>
      </c>
      <c r="P3521" t="n">
        <v>0</v>
      </c>
      <c r="Q3521" t="n">
        <v>0</v>
      </c>
      <c r="R3521" s="2" t="inlineStr"/>
    </row>
    <row r="3522" ht="15" customHeight="1">
      <c r="A3522" t="inlineStr">
        <is>
          <t>A 12606-2023</t>
        </is>
      </c>
      <c r="B3522" s="1" t="n">
        <v>45000</v>
      </c>
      <c r="C3522" s="1" t="n">
        <v>45705</v>
      </c>
      <c r="D3522" t="inlineStr">
        <is>
          <t>UPPSALA LÄN</t>
        </is>
      </c>
      <c r="E3522" t="inlineStr">
        <is>
          <t>UPPSALA</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13140-2023</t>
        </is>
      </c>
      <c r="B3523" s="1" t="n">
        <v>45001</v>
      </c>
      <c r="C3523" s="1" t="n">
        <v>45705</v>
      </c>
      <c r="D3523" t="inlineStr">
        <is>
          <t>UPPSALA LÄN</t>
        </is>
      </c>
      <c r="E3523" t="inlineStr">
        <is>
          <t>ENKÖPING</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13099-2023</t>
        </is>
      </c>
      <c r="B3524" s="1" t="n">
        <v>45001</v>
      </c>
      <c r="C3524" s="1" t="n">
        <v>45705</v>
      </c>
      <c r="D3524" t="inlineStr">
        <is>
          <t>UPPSALA LÄN</t>
        </is>
      </c>
      <c r="E3524" t="inlineStr">
        <is>
          <t>ENKÖPING</t>
        </is>
      </c>
      <c r="G3524" t="n">
        <v>10.5</v>
      </c>
      <c r="H3524" t="n">
        <v>0</v>
      </c>
      <c r="I3524" t="n">
        <v>0</v>
      </c>
      <c r="J3524" t="n">
        <v>0</v>
      </c>
      <c r="K3524" t="n">
        <v>0</v>
      </c>
      <c r="L3524" t="n">
        <v>0</v>
      </c>
      <c r="M3524" t="n">
        <v>0</v>
      </c>
      <c r="N3524" t="n">
        <v>0</v>
      </c>
      <c r="O3524" t="n">
        <v>0</v>
      </c>
      <c r="P3524" t="n">
        <v>0</v>
      </c>
      <c r="Q3524" t="n">
        <v>0</v>
      </c>
      <c r="R3524" s="2" t="inlineStr"/>
    </row>
    <row r="3525" ht="15" customHeight="1">
      <c r="A3525" t="inlineStr">
        <is>
          <t>A 13110-2023</t>
        </is>
      </c>
      <c r="B3525" s="1" t="n">
        <v>45001</v>
      </c>
      <c r="C3525" s="1" t="n">
        <v>45705</v>
      </c>
      <c r="D3525" t="inlineStr">
        <is>
          <t>UPPSALA LÄN</t>
        </is>
      </c>
      <c r="E3525" t="inlineStr">
        <is>
          <t>ENKÖPING</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13448-2023</t>
        </is>
      </c>
      <c r="B3526" s="1" t="n">
        <v>45005</v>
      </c>
      <c r="C3526" s="1" t="n">
        <v>45705</v>
      </c>
      <c r="D3526" t="inlineStr">
        <is>
          <t>UPPSALA LÄN</t>
        </is>
      </c>
      <c r="E3526" t="inlineStr">
        <is>
          <t>TIERP</t>
        </is>
      </c>
      <c r="F3526" t="inlineStr">
        <is>
          <t>Bergvik skog väst AB</t>
        </is>
      </c>
      <c r="G3526" t="n">
        <v>15.7</v>
      </c>
      <c r="H3526" t="n">
        <v>0</v>
      </c>
      <c r="I3526" t="n">
        <v>0</v>
      </c>
      <c r="J3526" t="n">
        <v>0</v>
      </c>
      <c r="K3526" t="n">
        <v>0</v>
      </c>
      <c r="L3526" t="n">
        <v>0</v>
      </c>
      <c r="M3526" t="n">
        <v>0</v>
      </c>
      <c r="N3526" t="n">
        <v>0</v>
      </c>
      <c r="O3526" t="n">
        <v>0</v>
      </c>
      <c r="P3526" t="n">
        <v>0</v>
      </c>
      <c r="Q3526" t="n">
        <v>0</v>
      </c>
      <c r="R3526" s="2" t="inlineStr"/>
    </row>
    <row r="3527" ht="15" customHeight="1">
      <c r="A3527" t="inlineStr">
        <is>
          <t>A 13336-2023</t>
        </is>
      </c>
      <c r="B3527" s="1" t="n">
        <v>45005</v>
      </c>
      <c r="C3527" s="1" t="n">
        <v>45705</v>
      </c>
      <c r="D3527" t="inlineStr">
        <is>
          <t>UPPSALA LÄN</t>
        </is>
      </c>
      <c r="E3527" t="inlineStr">
        <is>
          <t>ÖSTHAMMAR</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13407-2023</t>
        </is>
      </c>
      <c r="B3528" s="1" t="n">
        <v>45005</v>
      </c>
      <c r="C3528" s="1" t="n">
        <v>45705</v>
      </c>
      <c r="D3528" t="inlineStr">
        <is>
          <t>UPPSALA LÄN</t>
        </is>
      </c>
      <c r="E3528" t="inlineStr">
        <is>
          <t>TIERP</t>
        </is>
      </c>
      <c r="F3528" t="inlineStr">
        <is>
          <t>Bergvik skog väst AB</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13428-2023</t>
        </is>
      </c>
      <c r="B3529" s="1" t="n">
        <v>45005</v>
      </c>
      <c r="C3529" s="1" t="n">
        <v>45705</v>
      </c>
      <c r="D3529" t="inlineStr">
        <is>
          <t>UPPSALA LÄN</t>
        </is>
      </c>
      <c r="E3529" t="inlineStr">
        <is>
          <t>TIERP</t>
        </is>
      </c>
      <c r="F3529" t="inlineStr">
        <is>
          <t>Bergvik skog väst AB</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13447-2023</t>
        </is>
      </c>
      <c r="B3530" s="1" t="n">
        <v>45005</v>
      </c>
      <c r="C3530" s="1" t="n">
        <v>45705</v>
      </c>
      <c r="D3530" t="inlineStr">
        <is>
          <t>UPPSALA LÄN</t>
        </is>
      </c>
      <c r="E3530" t="inlineStr">
        <is>
          <t>TIERP</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13466-2023</t>
        </is>
      </c>
      <c r="B3531" s="1" t="n">
        <v>45005</v>
      </c>
      <c r="C3531" s="1" t="n">
        <v>45705</v>
      </c>
      <c r="D3531" t="inlineStr">
        <is>
          <t>UPPSALA LÄN</t>
        </is>
      </c>
      <c r="E3531" t="inlineStr">
        <is>
          <t>TIERP</t>
        </is>
      </c>
      <c r="F3531" t="inlineStr">
        <is>
          <t>Övriga Aktiebolag</t>
        </is>
      </c>
      <c r="G3531" t="n">
        <v>20.6</v>
      </c>
      <c r="H3531" t="n">
        <v>0</v>
      </c>
      <c r="I3531" t="n">
        <v>0</v>
      </c>
      <c r="J3531" t="n">
        <v>0</v>
      </c>
      <c r="K3531" t="n">
        <v>0</v>
      </c>
      <c r="L3531" t="n">
        <v>0</v>
      </c>
      <c r="M3531" t="n">
        <v>0</v>
      </c>
      <c r="N3531" t="n">
        <v>0</v>
      </c>
      <c r="O3531" t="n">
        <v>0</v>
      </c>
      <c r="P3531" t="n">
        <v>0</v>
      </c>
      <c r="Q3531" t="n">
        <v>0</v>
      </c>
      <c r="R3531" s="2" t="inlineStr"/>
    </row>
    <row r="3532" ht="15" customHeight="1">
      <c r="A3532" t="inlineStr">
        <is>
          <t>A 13304-2023</t>
        </is>
      </c>
      <c r="B3532" s="1" t="n">
        <v>45005</v>
      </c>
      <c r="C3532" s="1" t="n">
        <v>45705</v>
      </c>
      <c r="D3532" t="inlineStr">
        <is>
          <t>UPPSALA LÄN</t>
        </is>
      </c>
      <c r="E3532" t="inlineStr">
        <is>
          <t>TIERP</t>
        </is>
      </c>
      <c r="F3532" t="inlineStr">
        <is>
          <t>Kyrkan</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13394-2023</t>
        </is>
      </c>
      <c r="B3533" s="1" t="n">
        <v>45005</v>
      </c>
      <c r="C3533" s="1" t="n">
        <v>45705</v>
      </c>
      <c r="D3533" t="inlineStr">
        <is>
          <t>UPPSALA LÄN</t>
        </is>
      </c>
      <c r="E3533" t="inlineStr">
        <is>
          <t>HEBY</t>
        </is>
      </c>
      <c r="F3533" t="inlineStr">
        <is>
          <t>Kyrkan</t>
        </is>
      </c>
      <c r="G3533" t="n">
        <v>4.8</v>
      </c>
      <c r="H3533" t="n">
        <v>0</v>
      </c>
      <c r="I3533" t="n">
        <v>0</v>
      </c>
      <c r="J3533" t="n">
        <v>0</v>
      </c>
      <c r="K3533" t="n">
        <v>0</v>
      </c>
      <c r="L3533" t="n">
        <v>0</v>
      </c>
      <c r="M3533" t="n">
        <v>0</v>
      </c>
      <c r="N3533" t="n">
        <v>0</v>
      </c>
      <c r="O3533" t="n">
        <v>0</v>
      </c>
      <c r="P3533" t="n">
        <v>0</v>
      </c>
      <c r="Q3533" t="n">
        <v>0</v>
      </c>
      <c r="R3533" s="2" t="inlineStr"/>
    </row>
    <row r="3534" ht="15" customHeight="1">
      <c r="A3534" t="inlineStr">
        <is>
          <t>A 13412-2023</t>
        </is>
      </c>
      <c r="B3534" s="1" t="n">
        <v>45005</v>
      </c>
      <c r="C3534" s="1" t="n">
        <v>45705</v>
      </c>
      <c r="D3534" t="inlineStr">
        <is>
          <t>UPPSALA LÄN</t>
        </is>
      </c>
      <c r="E3534" t="inlineStr">
        <is>
          <t>TIERP</t>
        </is>
      </c>
      <c r="F3534" t="inlineStr">
        <is>
          <t>Bergvik skog väst AB</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13352-2023</t>
        </is>
      </c>
      <c r="B3535" s="1" t="n">
        <v>45005</v>
      </c>
      <c r="C3535" s="1" t="n">
        <v>45705</v>
      </c>
      <c r="D3535" t="inlineStr">
        <is>
          <t>UPPSALA LÄN</t>
        </is>
      </c>
      <c r="E3535" t="inlineStr">
        <is>
          <t>ÖSTHAMMAR</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13418-2023</t>
        </is>
      </c>
      <c r="B3536" s="1" t="n">
        <v>45005</v>
      </c>
      <c r="C3536" s="1" t="n">
        <v>45705</v>
      </c>
      <c r="D3536" t="inlineStr">
        <is>
          <t>UPPSALA LÄN</t>
        </is>
      </c>
      <c r="E3536" t="inlineStr">
        <is>
          <t>TIERP</t>
        </is>
      </c>
      <c r="F3536" t="inlineStr">
        <is>
          <t>Bergvik skog väst AB</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13593-2023</t>
        </is>
      </c>
      <c r="B3537" s="1" t="n">
        <v>45006</v>
      </c>
      <c r="C3537" s="1" t="n">
        <v>45705</v>
      </c>
      <c r="D3537" t="inlineStr">
        <is>
          <t>UPPSALA LÄN</t>
        </is>
      </c>
      <c r="E3537" t="inlineStr">
        <is>
          <t>HEBY</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13599-2023</t>
        </is>
      </c>
      <c r="B3538" s="1" t="n">
        <v>45006</v>
      </c>
      <c r="C3538" s="1" t="n">
        <v>45705</v>
      </c>
      <c r="D3538" t="inlineStr">
        <is>
          <t>UPPSALA LÄN</t>
        </is>
      </c>
      <c r="E3538" t="inlineStr">
        <is>
          <t>HEBY</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13572-2023</t>
        </is>
      </c>
      <c r="B3539" s="1" t="n">
        <v>45006</v>
      </c>
      <c r="C3539" s="1" t="n">
        <v>45705</v>
      </c>
      <c r="D3539" t="inlineStr">
        <is>
          <t>UPPSALA LÄN</t>
        </is>
      </c>
      <c r="E3539" t="inlineStr">
        <is>
          <t>TIERP</t>
        </is>
      </c>
      <c r="F3539" t="inlineStr">
        <is>
          <t>Bergvik skog väst AB</t>
        </is>
      </c>
      <c r="G3539" t="n">
        <v>3.9</v>
      </c>
      <c r="H3539" t="n">
        <v>0</v>
      </c>
      <c r="I3539" t="n">
        <v>0</v>
      </c>
      <c r="J3539" t="n">
        <v>0</v>
      </c>
      <c r="K3539" t="n">
        <v>0</v>
      </c>
      <c r="L3539" t="n">
        <v>0</v>
      </c>
      <c r="M3539" t="n">
        <v>0</v>
      </c>
      <c r="N3539" t="n">
        <v>0</v>
      </c>
      <c r="O3539" t="n">
        <v>0</v>
      </c>
      <c r="P3539" t="n">
        <v>0</v>
      </c>
      <c r="Q3539" t="n">
        <v>0</v>
      </c>
      <c r="R3539" s="2" t="inlineStr"/>
    </row>
    <row r="3540" ht="15" customHeight="1">
      <c r="A3540" t="inlineStr">
        <is>
          <t>A 13643-2023</t>
        </is>
      </c>
      <c r="B3540" s="1" t="n">
        <v>45006</v>
      </c>
      <c r="C3540" s="1" t="n">
        <v>45705</v>
      </c>
      <c r="D3540" t="inlineStr">
        <is>
          <t>UPPSALA LÄN</t>
        </is>
      </c>
      <c r="E3540" t="inlineStr">
        <is>
          <t>ÖSTHAMMAR</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13501-2023</t>
        </is>
      </c>
      <c r="B3541" s="1" t="n">
        <v>45006</v>
      </c>
      <c r="C3541" s="1" t="n">
        <v>45705</v>
      </c>
      <c r="D3541" t="inlineStr">
        <is>
          <t>UPPSALA LÄN</t>
        </is>
      </c>
      <c r="E3541" t="inlineStr">
        <is>
          <t>HEBY</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13634-2023</t>
        </is>
      </c>
      <c r="B3542" s="1" t="n">
        <v>45006</v>
      </c>
      <c r="C3542" s="1" t="n">
        <v>45705</v>
      </c>
      <c r="D3542" t="inlineStr">
        <is>
          <t>UPPSALA LÄN</t>
        </is>
      </c>
      <c r="E3542" t="inlineStr">
        <is>
          <t>HEBY</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13526-2023</t>
        </is>
      </c>
      <c r="B3543" s="1" t="n">
        <v>45006</v>
      </c>
      <c r="C3543" s="1" t="n">
        <v>45705</v>
      </c>
      <c r="D3543" t="inlineStr">
        <is>
          <t>UPPSALA LÄN</t>
        </is>
      </c>
      <c r="E3543" t="inlineStr">
        <is>
          <t>UPPSALA</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13580-2023</t>
        </is>
      </c>
      <c r="B3544" s="1" t="n">
        <v>45006</v>
      </c>
      <c r="C3544" s="1" t="n">
        <v>45705</v>
      </c>
      <c r="D3544" t="inlineStr">
        <is>
          <t>UPPSALA LÄN</t>
        </is>
      </c>
      <c r="E3544" t="inlineStr">
        <is>
          <t>ÖSTHAMMAR</t>
        </is>
      </c>
      <c r="F3544" t="inlineStr">
        <is>
          <t>Övriga Aktiebolag</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13584-2023</t>
        </is>
      </c>
      <c r="B3545" s="1" t="n">
        <v>45006</v>
      </c>
      <c r="C3545" s="1" t="n">
        <v>45705</v>
      </c>
      <c r="D3545" t="inlineStr">
        <is>
          <t>UPPSALA LÄN</t>
        </is>
      </c>
      <c r="E3545" t="inlineStr">
        <is>
          <t>ÖSTHAMMAR</t>
        </is>
      </c>
      <c r="F3545" t="inlineStr">
        <is>
          <t>Övriga Aktiebolag</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13603-2023</t>
        </is>
      </c>
      <c r="B3546" s="1" t="n">
        <v>45006</v>
      </c>
      <c r="C3546" s="1" t="n">
        <v>45705</v>
      </c>
      <c r="D3546" t="inlineStr">
        <is>
          <t>UPPSALA LÄN</t>
        </is>
      </c>
      <c r="E3546" t="inlineStr">
        <is>
          <t>HEBY</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13738-2023</t>
        </is>
      </c>
      <c r="B3547" s="1" t="n">
        <v>45007</v>
      </c>
      <c r="C3547" s="1" t="n">
        <v>45705</v>
      </c>
      <c r="D3547" t="inlineStr">
        <is>
          <t>UPPSALA LÄN</t>
        </is>
      </c>
      <c r="E3547" t="inlineStr">
        <is>
          <t>ÖSTHAMMAR</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13767-2023</t>
        </is>
      </c>
      <c r="B3548" s="1" t="n">
        <v>45007</v>
      </c>
      <c r="C3548" s="1" t="n">
        <v>45705</v>
      </c>
      <c r="D3548" t="inlineStr">
        <is>
          <t>UPPSALA LÄN</t>
        </is>
      </c>
      <c r="E3548" t="inlineStr">
        <is>
          <t>ÖSTHAMMAR</t>
        </is>
      </c>
      <c r="G3548" t="n">
        <v>5.5</v>
      </c>
      <c r="H3548" t="n">
        <v>0</v>
      </c>
      <c r="I3548" t="n">
        <v>0</v>
      </c>
      <c r="J3548" t="n">
        <v>0</v>
      </c>
      <c r="K3548" t="n">
        <v>0</v>
      </c>
      <c r="L3548" t="n">
        <v>0</v>
      </c>
      <c r="M3548" t="n">
        <v>0</v>
      </c>
      <c r="N3548" t="n">
        <v>0</v>
      </c>
      <c r="O3548" t="n">
        <v>0</v>
      </c>
      <c r="P3548" t="n">
        <v>0</v>
      </c>
      <c r="Q3548" t="n">
        <v>0</v>
      </c>
      <c r="R3548" s="2" t="inlineStr"/>
    </row>
    <row r="3549" ht="15" customHeight="1">
      <c r="A3549" t="inlineStr">
        <is>
          <t>A 13755-2023</t>
        </is>
      </c>
      <c r="B3549" s="1" t="n">
        <v>45007</v>
      </c>
      <c r="C3549" s="1" t="n">
        <v>45705</v>
      </c>
      <c r="D3549" t="inlineStr">
        <is>
          <t>UPPSALA LÄN</t>
        </is>
      </c>
      <c r="E3549" t="inlineStr">
        <is>
          <t>ÖSTHAMMAR</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13771-2023</t>
        </is>
      </c>
      <c r="B3550" s="1" t="n">
        <v>45007</v>
      </c>
      <c r="C3550" s="1" t="n">
        <v>45705</v>
      </c>
      <c r="D3550" t="inlineStr">
        <is>
          <t>UPPSALA LÄN</t>
        </is>
      </c>
      <c r="E3550" t="inlineStr">
        <is>
          <t>ÖSTHAMMAR</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13736-2023</t>
        </is>
      </c>
      <c r="B3551" s="1" t="n">
        <v>45007</v>
      </c>
      <c r="C3551" s="1" t="n">
        <v>45705</v>
      </c>
      <c r="D3551" t="inlineStr">
        <is>
          <t>UPPSALA LÄN</t>
        </is>
      </c>
      <c r="E3551" t="inlineStr">
        <is>
          <t>ÖSTHAMMAR</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13836-2023</t>
        </is>
      </c>
      <c r="B3552" s="1" t="n">
        <v>45007</v>
      </c>
      <c r="C3552" s="1" t="n">
        <v>45705</v>
      </c>
      <c r="D3552" t="inlineStr">
        <is>
          <t>UPPSALA LÄN</t>
        </is>
      </c>
      <c r="E3552" t="inlineStr">
        <is>
          <t>ENKÖPING</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13853-2023</t>
        </is>
      </c>
      <c r="B3553" s="1" t="n">
        <v>45007</v>
      </c>
      <c r="C3553" s="1" t="n">
        <v>45705</v>
      </c>
      <c r="D3553" t="inlineStr">
        <is>
          <t>UPPSALA LÄN</t>
        </is>
      </c>
      <c r="E3553" t="inlineStr">
        <is>
          <t>ENKÖPING</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13867-2023</t>
        </is>
      </c>
      <c r="B3554" s="1" t="n">
        <v>45007</v>
      </c>
      <c r="C3554" s="1" t="n">
        <v>45705</v>
      </c>
      <c r="D3554" t="inlineStr">
        <is>
          <t>UPPSALA LÄN</t>
        </is>
      </c>
      <c r="E3554" t="inlineStr">
        <is>
          <t>ENKÖPING</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13978-2023</t>
        </is>
      </c>
      <c r="B3555" s="1" t="n">
        <v>45008</v>
      </c>
      <c r="C3555" s="1" t="n">
        <v>45705</v>
      </c>
      <c r="D3555" t="inlineStr">
        <is>
          <t>UPPSALA LÄN</t>
        </is>
      </c>
      <c r="E3555" t="inlineStr">
        <is>
          <t>HEBY</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13976-2023</t>
        </is>
      </c>
      <c r="B3556" s="1" t="n">
        <v>45008</v>
      </c>
      <c r="C3556" s="1" t="n">
        <v>45705</v>
      </c>
      <c r="D3556" t="inlineStr">
        <is>
          <t>UPPSALA LÄN</t>
        </is>
      </c>
      <c r="E3556" t="inlineStr">
        <is>
          <t>HEBY</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14004-2023</t>
        </is>
      </c>
      <c r="B3557" s="1" t="n">
        <v>45008</v>
      </c>
      <c r="C3557" s="1" t="n">
        <v>45705</v>
      </c>
      <c r="D3557" t="inlineStr">
        <is>
          <t>UPPSALA LÄN</t>
        </is>
      </c>
      <c r="E3557" t="inlineStr">
        <is>
          <t>ENKÖPING</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14236-2023</t>
        </is>
      </c>
      <c r="B3558" s="1" t="n">
        <v>45009</v>
      </c>
      <c r="C3558" s="1" t="n">
        <v>45705</v>
      </c>
      <c r="D3558" t="inlineStr">
        <is>
          <t>UPPSALA LÄN</t>
        </is>
      </c>
      <c r="E3558" t="inlineStr">
        <is>
          <t>HEBY</t>
        </is>
      </c>
      <c r="G3558" t="n">
        <v>9.800000000000001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14181-2023</t>
        </is>
      </c>
      <c r="B3559" s="1" t="n">
        <v>45009</v>
      </c>
      <c r="C3559" s="1" t="n">
        <v>45705</v>
      </c>
      <c r="D3559" t="inlineStr">
        <is>
          <t>UPPSALA LÄN</t>
        </is>
      </c>
      <c r="E3559" t="inlineStr">
        <is>
          <t>TIERP</t>
        </is>
      </c>
      <c r="F3559" t="inlineStr">
        <is>
          <t>Bergvik skog väst AB</t>
        </is>
      </c>
      <c r="G3559" t="n">
        <v>9.699999999999999</v>
      </c>
      <c r="H3559" t="n">
        <v>0</v>
      </c>
      <c r="I3559" t="n">
        <v>0</v>
      </c>
      <c r="J3559" t="n">
        <v>0</v>
      </c>
      <c r="K3559" t="n">
        <v>0</v>
      </c>
      <c r="L3559" t="n">
        <v>0</v>
      </c>
      <c r="M3559" t="n">
        <v>0</v>
      </c>
      <c r="N3559" t="n">
        <v>0</v>
      </c>
      <c r="O3559" t="n">
        <v>0</v>
      </c>
      <c r="P3559" t="n">
        <v>0</v>
      </c>
      <c r="Q3559" t="n">
        <v>0</v>
      </c>
      <c r="R3559" s="2" t="inlineStr"/>
    </row>
    <row r="3560" ht="15" customHeight="1">
      <c r="A3560" t="inlineStr">
        <is>
          <t>A 14086-2023</t>
        </is>
      </c>
      <c r="B3560" s="1" t="n">
        <v>45009</v>
      </c>
      <c r="C3560" s="1" t="n">
        <v>45705</v>
      </c>
      <c r="D3560" t="inlineStr">
        <is>
          <t>UPPSALA LÄN</t>
        </is>
      </c>
      <c r="E3560" t="inlineStr">
        <is>
          <t>TIERP</t>
        </is>
      </c>
      <c r="F3560" t="inlineStr">
        <is>
          <t>Bergvik skog väst AB</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14249-2023</t>
        </is>
      </c>
      <c r="B3561" s="1" t="n">
        <v>45009</v>
      </c>
      <c r="C3561" s="1" t="n">
        <v>45705</v>
      </c>
      <c r="D3561" t="inlineStr">
        <is>
          <t>UPPSALA LÄN</t>
        </is>
      </c>
      <c r="E3561" t="inlineStr">
        <is>
          <t>HEBY</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14253-2023</t>
        </is>
      </c>
      <c r="B3562" s="1" t="n">
        <v>45009</v>
      </c>
      <c r="C3562" s="1" t="n">
        <v>45705</v>
      </c>
      <c r="D3562" t="inlineStr">
        <is>
          <t>UPPSALA LÄN</t>
        </is>
      </c>
      <c r="E3562" t="inlineStr">
        <is>
          <t>UPPSALA</t>
        </is>
      </c>
      <c r="F3562" t="inlineStr">
        <is>
          <t>Allmännings- och besparingsskogar</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14402-2023</t>
        </is>
      </c>
      <c r="B3563" s="1" t="n">
        <v>45012</v>
      </c>
      <c r="C3563" s="1" t="n">
        <v>45705</v>
      </c>
      <c r="D3563" t="inlineStr">
        <is>
          <t>UPPSALA LÄN</t>
        </is>
      </c>
      <c r="E3563" t="inlineStr">
        <is>
          <t>ENKÖPING</t>
        </is>
      </c>
      <c r="G3563" t="n">
        <v>9.5</v>
      </c>
      <c r="H3563" t="n">
        <v>0</v>
      </c>
      <c r="I3563" t="n">
        <v>0</v>
      </c>
      <c r="J3563" t="n">
        <v>0</v>
      </c>
      <c r="K3563" t="n">
        <v>0</v>
      </c>
      <c r="L3563" t="n">
        <v>0</v>
      </c>
      <c r="M3563" t="n">
        <v>0</v>
      </c>
      <c r="N3563" t="n">
        <v>0</v>
      </c>
      <c r="O3563" t="n">
        <v>0</v>
      </c>
      <c r="P3563" t="n">
        <v>0</v>
      </c>
      <c r="Q3563" t="n">
        <v>0</v>
      </c>
      <c r="R3563" s="2" t="inlineStr"/>
    </row>
    <row r="3564" ht="15" customHeight="1">
      <c r="A3564" t="inlineStr">
        <is>
          <t>A 14505-2023</t>
        </is>
      </c>
      <c r="B3564" s="1" t="n">
        <v>45012</v>
      </c>
      <c r="C3564" s="1" t="n">
        <v>45705</v>
      </c>
      <c r="D3564" t="inlineStr">
        <is>
          <t>UPPSALA LÄN</t>
        </is>
      </c>
      <c r="E3564" t="inlineStr">
        <is>
          <t>ÖSTHAMMAR</t>
        </is>
      </c>
      <c r="F3564" t="inlineStr">
        <is>
          <t>Bergvik skog öst AB</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14510-2023</t>
        </is>
      </c>
      <c r="B3565" s="1" t="n">
        <v>45012</v>
      </c>
      <c r="C3565" s="1" t="n">
        <v>45705</v>
      </c>
      <c r="D3565" t="inlineStr">
        <is>
          <t>UPPSALA LÄN</t>
        </is>
      </c>
      <c r="E3565" t="inlineStr">
        <is>
          <t>ÖSTHAMMAR</t>
        </is>
      </c>
      <c r="F3565" t="inlineStr">
        <is>
          <t>Bergvik skog öst AB</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14588-2023</t>
        </is>
      </c>
      <c r="B3566" s="1" t="n">
        <v>45013</v>
      </c>
      <c r="C3566" s="1" t="n">
        <v>45705</v>
      </c>
      <c r="D3566" t="inlineStr">
        <is>
          <t>UPPSALA LÄN</t>
        </is>
      </c>
      <c r="E3566" t="inlineStr">
        <is>
          <t>HEBY</t>
        </is>
      </c>
      <c r="G3566" t="n">
        <v>15.6</v>
      </c>
      <c r="H3566" t="n">
        <v>0</v>
      </c>
      <c r="I3566" t="n">
        <v>0</v>
      </c>
      <c r="J3566" t="n">
        <v>0</v>
      </c>
      <c r="K3566" t="n">
        <v>0</v>
      </c>
      <c r="L3566" t="n">
        <v>0</v>
      </c>
      <c r="M3566" t="n">
        <v>0</v>
      </c>
      <c r="N3566" t="n">
        <v>0</v>
      </c>
      <c r="O3566" t="n">
        <v>0</v>
      </c>
      <c r="P3566" t="n">
        <v>0</v>
      </c>
      <c r="Q3566" t="n">
        <v>0</v>
      </c>
      <c r="R3566" s="2" t="inlineStr"/>
    </row>
    <row r="3567" ht="15" customHeight="1">
      <c r="A3567" t="inlineStr">
        <is>
          <t>A 14585-2023</t>
        </is>
      </c>
      <c r="B3567" s="1" t="n">
        <v>45013</v>
      </c>
      <c r="C3567" s="1" t="n">
        <v>45705</v>
      </c>
      <c r="D3567" t="inlineStr">
        <is>
          <t>UPPSALA LÄN</t>
        </is>
      </c>
      <c r="E3567" t="inlineStr">
        <is>
          <t>HEBY</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14595-2023</t>
        </is>
      </c>
      <c r="B3568" s="1" t="n">
        <v>45013</v>
      </c>
      <c r="C3568" s="1" t="n">
        <v>45705</v>
      </c>
      <c r="D3568" t="inlineStr">
        <is>
          <t>UPPSALA LÄN</t>
        </is>
      </c>
      <c r="E3568" t="inlineStr">
        <is>
          <t>ÖSTHAMMAR</t>
        </is>
      </c>
      <c r="G3568" t="n">
        <v>5</v>
      </c>
      <c r="H3568" t="n">
        <v>0</v>
      </c>
      <c r="I3568" t="n">
        <v>0</v>
      </c>
      <c r="J3568" t="n">
        <v>0</v>
      </c>
      <c r="K3568" t="n">
        <v>0</v>
      </c>
      <c r="L3568" t="n">
        <v>0</v>
      </c>
      <c r="M3568" t="n">
        <v>0</v>
      </c>
      <c r="N3568" t="n">
        <v>0</v>
      </c>
      <c r="O3568" t="n">
        <v>0</v>
      </c>
      <c r="P3568" t="n">
        <v>0</v>
      </c>
      <c r="Q3568" t="n">
        <v>0</v>
      </c>
      <c r="R3568" s="2" t="inlineStr"/>
    </row>
    <row r="3569" ht="15" customHeight="1">
      <c r="A3569" t="inlineStr">
        <is>
          <t>A 14541-2023</t>
        </is>
      </c>
      <c r="B3569" s="1" t="n">
        <v>45013</v>
      </c>
      <c r="C3569" s="1" t="n">
        <v>45705</v>
      </c>
      <c r="D3569" t="inlineStr">
        <is>
          <t>UPPSALA LÄN</t>
        </is>
      </c>
      <c r="E3569" t="inlineStr">
        <is>
          <t>TIERP</t>
        </is>
      </c>
      <c r="F3569" t="inlineStr">
        <is>
          <t>Bergvik skog öst AB</t>
        </is>
      </c>
      <c r="G3569" t="n">
        <v>10.7</v>
      </c>
      <c r="H3569" t="n">
        <v>0</v>
      </c>
      <c r="I3569" t="n">
        <v>0</v>
      </c>
      <c r="J3569" t="n">
        <v>0</v>
      </c>
      <c r="K3569" t="n">
        <v>0</v>
      </c>
      <c r="L3569" t="n">
        <v>0</v>
      </c>
      <c r="M3569" t="n">
        <v>0</v>
      </c>
      <c r="N3569" t="n">
        <v>0</v>
      </c>
      <c r="O3569" t="n">
        <v>0</v>
      </c>
      <c r="P3569" t="n">
        <v>0</v>
      </c>
      <c r="Q3569" t="n">
        <v>0</v>
      </c>
      <c r="R3569" s="2" t="inlineStr"/>
    </row>
    <row r="3570" ht="15" customHeight="1">
      <c r="A3570" t="inlineStr">
        <is>
          <t>A 14553-2023</t>
        </is>
      </c>
      <c r="B3570" s="1" t="n">
        <v>45013</v>
      </c>
      <c r="C3570" s="1" t="n">
        <v>45705</v>
      </c>
      <c r="D3570" t="inlineStr">
        <is>
          <t>UPPSALA LÄN</t>
        </is>
      </c>
      <c r="E3570" t="inlineStr">
        <is>
          <t>TIERP</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14590-2023</t>
        </is>
      </c>
      <c r="B3571" s="1" t="n">
        <v>45013</v>
      </c>
      <c r="C3571" s="1" t="n">
        <v>45705</v>
      </c>
      <c r="D3571" t="inlineStr">
        <is>
          <t>UPPSALA LÄN</t>
        </is>
      </c>
      <c r="E3571" t="inlineStr">
        <is>
          <t>ÄLVKARLEBY</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14784-2023</t>
        </is>
      </c>
      <c r="B3572" s="1" t="n">
        <v>45014</v>
      </c>
      <c r="C3572" s="1" t="n">
        <v>45705</v>
      </c>
      <c r="D3572" t="inlineStr">
        <is>
          <t>UPPSALA LÄN</t>
        </is>
      </c>
      <c r="E3572" t="inlineStr">
        <is>
          <t>UPPSALA</t>
        </is>
      </c>
      <c r="G3572" t="n">
        <v>4.7</v>
      </c>
      <c r="H3572" t="n">
        <v>0</v>
      </c>
      <c r="I3572" t="n">
        <v>0</v>
      </c>
      <c r="J3572" t="n">
        <v>0</v>
      </c>
      <c r="K3572" t="n">
        <v>0</v>
      </c>
      <c r="L3572" t="n">
        <v>0</v>
      </c>
      <c r="M3572" t="n">
        <v>0</v>
      </c>
      <c r="N3572" t="n">
        <v>0</v>
      </c>
      <c r="O3572" t="n">
        <v>0</v>
      </c>
      <c r="P3572" t="n">
        <v>0</v>
      </c>
      <c r="Q3572" t="n">
        <v>0</v>
      </c>
      <c r="R3572" s="2" t="inlineStr"/>
    </row>
    <row r="3573" ht="15" customHeight="1">
      <c r="A3573" t="inlineStr">
        <is>
          <t>A 14822-2023</t>
        </is>
      </c>
      <c r="B3573" s="1" t="n">
        <v>45014</v>
      </c>
      <c r="C3573" s="1" t="n">
        <v>45705</v>
      </c>
      <c r="D3573" t="inlineStr">
        <is>
          <t>UPPSALA LÄN</t>
        </is>
      </c>
      <c r="E3573" t="inlineStr">
        <is>
          <t>ÖSTHAMMAR</t>
        </is>
      </c>
      <c r="G3573" t="n">
        <v>6.2</v>
      </c>
      <c r="H3573" t="n">
        <v>0</v>
      </c>
      <c r="I3573" t="n">
        <v>0</v>
      </c>
      <c r="J3573" t="n">
        <v>0</v>
      </c>
      <c r="K3573" t="n">
        <v>0</v>
      </c>
      <c r="L3573" t="n">
        <v>0</v>
      </c>
      <c r="M3573" t="n">
        <v>0</v>
      </c>
      <c r="N3573" t="n">
        <v>0</v>
      </c>
      <c r="O3573" t="n">
        <v>0</v>
      </c>
      <c r="P3573" t="n">
        <v>0</v>
      </c>
      <c r="Q3573" t="n">
        <v>0</v>
      </c>
      <c r="R3573" s="2" t="inlineStr"/>
    </row>
    <row r="3574" ht="15" customHeight="1">
      <c r="A3574" t="inlineStr">
        <is>
          <t>A 14835-2023</t>
        </is>
      </c>
      <c r="B3574" s="1" t="n">
        <v>45014</v>
      </c>
      <c r="C3574" s="1" t="n">
        <v>45705</v>
      </c>
      <c r="D3574" t="inlineStr">
        <is>
          <t>UPPSALA LÄN</t>
        </is>
      </c>
      <c r="E3574" t="inlineStr">
        <is>
          <t>ÖSTHAMMAR</t>
        </is>
      </c>
      <c r="G3574" t="n">
        <v>9.5</v>
      </c>
      <c r="H3574" t="n">
        <v>0</v>
      </c>
      <c r="I3574" t="n">
        <v>0</v>
      </c>
      <c r="J3574" t="n">
        <v>0</v>
      </c>
      <c r="K3574" t="n">
        <v>0</v>
      </c>
      <c r="L3574" t="n">
        <v>0</v>
      </c>
      <c r="M3574" t="n">
        <v>0</v>
      </c>
      <c r="N3574" t="n">
        <v>0</v>
      </c>
      <c r="O3574" t="n">
        <v>0</v>
      </c>
      <c r="P3574" t="n">
        <v>0</v>
      </c>
      <c r="Q3574" t="n">
        <v>0</v>
      </c>
      <c r="R3574" s="2" t="inlineStr"/>
    </row>
    <row r="3575" ht="15" customHeight="1">
      <c r="A3575" t="inlineStr">
        <is>
          <t>A 14889-2023</t>
        </is>
      </c>
      <c r="B3575" s="1" t="n">
        <v>45015</v>
      </c>
      <c r="C3575" s="1" t="n">
        <v>45705</v>
      </c>
      <c r="D3575" t="inlineStr">
        <is>
          <t>UPPSALA LÄN</t>
        </is>
      </c>
      <c r="E3575" t="inlineStr">
        <is>
          <t>ÖSTHAMMAR</t>
        </is>
      </c>
      <c r="F3575" t="inlineStr">
        <is>
          <t>Bergvik skog öst AB</t>
        </is>
      </c>
      <c r="G3575" t="n">
        <v>7.6</v>
      </c>
      <c r="H3575" t="n">
        <v>0</v>
      </c>
      <c r="I3575" t="n">
        <v>0</v>
      </c>
      <c r="J3575" t="n">
        <v>0</v>
      </c>
      <c r="K3575" t="n">
        <v>0</v>
      </c>
      <c r="L3575" t="n">
        <v>0</v>
      </c>
      <c r="M3575" t="n">
        <v>0</v>
      </c>
      <c r="N3575" t="n">
        <v>0</v>
      </c>
      <c r="O3575" t="n">
        <v>0</v>
      </c>
      <c r="P3575" t="n">
        <v>0</v>
      </c>
      <c r="Q3575" t="n">
        <v>0</v>
      </c>
      <c r="R3575" s="2" t="inlineStr"/>
    </row>
    <row r="3576" ht="15" customHeight="1">
      <c r="A3576" t="inlineStr">
        <is>
          <t>A 14888-2023</t>
        </is>
      </c>
      <c r="B3576" s="1" t="n">
        <v>45015</v>
      </c>
      <c r="C3576" s="1" t="n">
        <v>45705</v>
      </c>
      <c r="D3576" t="inlineStr">
        <is>
          <t>UPPSALA LÄN</t>
        </is>
      </c>
      <c r="E3576" t="inlineStr">
        <is>
          <t>ÖSTHAMMAR</t>
        </is>
      </c>
      <c r="F3576" t="inlineStr">
        <is>
          <t>Bergvik skog öst AB</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14988-2023</t>
        </is>
      </c>
      <c r="B3577" s="1" t="n">
        <v>45015</v>
      </c>
      <c r="C3577" s="1" t="n">
        <v>45705</v>
      </c>
      <c r="D3577" t="inlineStr">
        <is>
          <t>UPPSALA LÄN</t>
        </is>
      </c>
      <c r="E3577" t="inlineStr">
        <is>
          <t>UPPSALA</t>
        </is>
      </c>
      <c r="G3577" t="n">
        <v>4.2</v>
      </c>
      <c r="H3577" t="n">
        <v>0</v>
      </c>
      <c r="I3577" t="n">
        <v>0</v>
      </c>
      <c r="J3577" t="n">
        <v>0</v>
      </c>
      <c r="K3577" t="n">
        <v>0</v>
      </c>
      <c r="L3577" t="n">
        <v>0</v>
      </c>
      <c r="M3577" t="n">
        <v>0</v>
      </c>
      <c r="N3577" t="n">
        <v>0</v>
      </c>
      <c r="O3577" t="n">
        <v>0</v>
      </c>
      <c r="P3577" t="n">
        <v>0</v>
      </c>
      <c r="Q3577" t="n">
        <v>0</v>
      </c>
      <c r="R3577" s="2" t="inlineStr"/>
    </row>
    <row r="3578" ht="15" customHeight="1">
      <c r="A3578" t="inlineStr">
        <is>
          <t>A 14999-2023</t>
        </is>
      </c>
      <c r="B3578" s="1" t="n">
        <v>45015</v>
      </c>
      <c r="C3578" s="1" t="n">
        <v>45705</v>
      </c>
      <c r="D3578" t="inlineStr">
        <is>
          <t>UPPSALA LÄN</t>
        </is>
      </c>
      <c r="E3578" t="inlineStr">
        <is>
          <t>HEBY</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14976-2023</t>
        </is>
      </c>
      <c r="B3579" s="1" t="n">
        <v>45015</v>
      </c>
      <c r="C3579" s="1" t="n">
        <v>45705</v>
      </c>
      <c r="D3579" t="inlineStr">
        <is>
          <t>UPPSALA LÄN</t>
        </is>
      </c>
      <c r="E3579" t="inlineStr">
        <is>
          <t>ÖSTHAMMAR</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15441-2023</t>
        </is>
      </c>
      <c r="B3580" s="1" t="n">
        <v>45016</v>
      </c>
      <c r="C3580" s="1" t="n">
        <v>45705</v>
      </c>
      <c r="D3580" t="inlineStr">
        <is>
          <t>UPPSALA LÄN</t>
        </is>
      </c>
      <c r="E3580" t="inlineStr">
        <is>
          <t>KNIVSTA</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15299-2023</t>
        </is>
      </c>
      <c r="B3581" s="1" t="n">
        <v>45019</v>
      </c>
      <c r="C3581" s="1" t="n">
        <v>45705</v>
      </c>
      <c r="D3581" t="inlineStr">
        <is>
          <t>UPPSALA LÄN</t>
        </is>
      </c>
      <c r="E3581" t="inlineStr">
        <is>
          <t>HEBY</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15303-2023</t>
        </is>
      </c>
      <c r="B3582" s="1" t="n">
        <v>45019</v>
      </c>
      <c r="C3582" s="1" t="n">
        <v>45705</v>
      </c>
      <c r="D3582" t="inlineStr">
        <is>
          <t>UPPSALA LÄN</t>
        </is>
      </c>
      <c r="E3582" t="inlineStr">
        <is>
          <t>HEBY</t>
        </is>
      </c>
      <c r="G3582" t="n">
        <v>5.2</v>
      </c>
      <c r="H3582" t="n">
        <v>0</v>
      </c>
      <c r="I3582" t="n">
        <v>0</v>
      </c>
      <c r="J3582" t="n">
        <v>0</v>
      </c>
      <c r="K3582" t="n">
        <v>0</v>
      </c>
      <c r="L3582" t="n">
        <v>0</v>
      </c>
      <c r="M3582" t="n">
        <v>0</v>
      </c>
      <c r="N3582" t="n">
        <v>0</v>
      </c>
      <c r="O3582" t="n">
        <v>0</v>
      </c>
      <c r="P3582" t="n">
        <v>0</v>
      </c>
      <c r="Q3582" t="n">
        <v>0</v>
      </c>
      <c r="R3582" s="2" t="inlineStr"/>
    </row>
    <row r="3583" ht="15" customHeight="1">
      <c r="A3583" t="inlineStr">
        <is>
          <t>A 15263-2023</t>
        </is>
      </c>
      <c r="B3583" s="1" t="n">
        <v>45019</v>
      </c>
      <c r="C3583" s="1" t="n">
        <v>45705</v>
      </c>
      <c r="D3583" t="inlineStr">
        <is>
          <t>UPPSALA LÄN</t>
        </is>
      </c>
      <c r="E3583" t="inlineStr">
        <is>
          <t>HEBY</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15269-2023</t>
        </is>
      </c>
      <c r="B3584" s="1" t="n">
        <v>45019</v>
      </c>
      <c r="C3584" s="1" t="n">
        <v>45705</v>
      </c>
      <c r="D3584" t="inlineStr">
        <is>
          <t>UPPSALA LÄN</t>
        </is>
      </c>
      <c r="E3584" t="inlineStr">
        <is>
          <t>HEBY</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15554-2023</t>
        </is>
      </c>
      <c r="B3585" s="1" t="n">
        <v>45019</v>
      </c>
      <c r="C3585" s="1" t="n">
        <v>45705</v>
      </c>
      <c r="D3585" t="inlineStr">
        <is>
          <t>UPPSALA LÄN</t>
        </is>
      </c>
      <c r="E3585" t="inlineStr">
        <is>
          <t>ÖSTHAMMAR</t>
        </is>
      </c>
      <c r="G3585" t="n">
        <v>5.3</v>
      </c>
      <c r="H3585" t="n">
        <v>0</v>
      </c>
      <c r="I3585" t="n">
        <v>0</v>
      </c>
      <c r="J3585" t="n">
        <v>0</v>
      </c>
      <c r="K3585" t="n">
        <v>0</v>
      </c>
      <c r="L3585" t="n">
        <v>0</v>
      </c>
      <c r="M3585" t="n">
        <v>0</v>
      </c>
      <c r="N3585" t="n">
        <v>0</v>
      </c>
      <c r="O3585" t="n">
        <v>0</v>
      </c>
      <c r="P3585" t="n">
        <v>0</v>
      </c>
      <c r="Q3585" t="n">
        <v>0</v>
      </c>
      <c r="R3585" s="2" t="inlineStr"/>
    </row>
    <row r="3586" ht="15" customHeight="1">
      <c r="A3586" t="inlineStr">
        <is>
          <t>A 15320-2023</t>
        </is>
      </c>
      <c r="B3586" s="1" t="n">
        <v>45019</v>
      </c>
      <c r="C3586" s="1" t="n">
        <v>45705</v>
      </c>
      <c r="D3586" t="inlineStr">
        <is>
          <t>UPPSALA LÄN</t>
        </is>
      </c>
      <c r="E3586" t="inlineStr">
        <is>
          <t>ENKÖPING</t>
        </is>
      </c>
      <c r="G3586" t="n">
        <v>8</v>
      </c>
      <c r="H3586" t="n">
        <v>0</v>
      </c>
      <c r="I3586" t="n">
        <v>0</v>
      </c>
      <c r="J3586" t="n">
        <v>0</v>
      </c>
      <c r="K3586" t="n">
        <v>0</v>
      </c>
      <c r="L3586" t="n">
        <v>0</v>
      </c>
      <c r="M3586" t="n">
        <v>0</v>
      </c>
      <c r="N3586" t="n">
        <v>0</v>
      </c>
      <c r="O3586" t="n">
        <v>0</v>
      </c>
      <c r="P3586" t="n">
        <v>0</v>
      </c>
      <c r="Q3586" t="n">
        <v>0</v>
      </c>
      <c r="R3586" s="2" t="inlineStr"/>
    </row>
    <row r="3587" ht="15" customHeight="1">
      <c r="A3587" t="inlineStr">
        <is>
          <t>A 15578-2023</t>
        </is>
      </c>
      <c r="B3587" s="1" t="n">
        <v>45020</v>
      </c>
      <c r="C3587" s="1" t="n">
        <v>45705</v>
      </c>
      <c r="D3587" t="inlineStr">
        <is>
          <t>UPPSALA LÄN</t>
        </is>
      </c>
      <c r="E3587" t="inlineStr">
        <is>
          <t>TIERP</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15607-2023</t>
        </is>
      </c>
      <c r="B3588" s="1" t="n">
        <v>45020</v>
      </c>
      <c r="C3588" s="1" t="n">
        <v>45705</v>
      </c>
      <c r="D3588" t="inlineStr">
        <is>
          <t>UPPSALA LÄN</t>
        </is>
      </c>
      <c r="E3588" t="inlineStr">
        <is>
          <t>HEBY</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15609-2023</t>
        </is>
      </c>
      <c r="B3589" s="1" t="n">
        <v>45020</v>
      </c>
      <c r="C3589" s="1" t="n">
        <v>45705</v>
      </c>
      <c r="D3589" t="inlineStr">
        <is>
          <t>UPPSALA LÄN</t>
        </is>
      </c>
      <c r="E3589" t="inlineStr">
        <is>
          <t>HEBY</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15547-2023</t>
        </is>
      </c>
      <c r="B3590" s="1" t="n">
        <v>45020</v>
      </c>
      <c r="C3590" s="1" t="n">
        <v>45705</v>
      </c>
      <c r="D3590" t="inlineStr">
        <is>
          <t>UPPSALA LÄN</t>
        </is>
      </c>
      <c r="E3590" t="inlineStr">
        <is>
          <t>UPPSALA</t>
        </is>
      </c>
      <c r="G3590" t="n">
        <v>8.699999999999999</v>
      </c>
      <c r="H3590" t="n">
        <v>0</v>
      </c>
      <c r="I3590" t="n">
        <v>0</v>
      </c>
      <c r="J3590" t="n">
        <v>0</v>
      </c>
      <c r="K3590" t="n">
        <v>0</v>
      </c>
      <c r="L3590" t="n">
        <v>0</v>
      </c>
      <c r="M3590" t="n">
        <v>0</v>
      </c>
      <c r="N3590" t="n">
        <v>0</v>
      </c>
      <c r="O3590" t="n">
        <v>0</v>
      </c>
      <c r="P3590" t="n">
        <v>0</v>
      </c>
      <c r="Q3590" t="n">
        <v>0</v>
      </c>
      <c r="R3590" s="2" t="inlineStr"/>
    </row>
    <row r="3591" ht="15" customHeight="1">
      <c r="A3591" t="inlineStr">
        <is>
          <t>A 15551-2023</t>
        </is>
      </c>
      <c r="B3591" s="1" t="n">
        <v>45020</v>
      </c>
      <c r="C3591" s="1" t="n">
        <v>45705</v>
      </c>
      <c r="D3591" t="inlineStr">
        <is>
          <t>UPPSALA LÄN</t>
        </is>
      </c>
      <c r="E3591" t="inlineStr">
        <is>
          <t>UPPSALA</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15629-2023</t>
        </is>
      </c>
      <c r="B3592" s="1" t="n">
        <v>45021</v>
      </c>
      <c r="C3592" s="1" t="n">
        <v>45705</v>
      </c>
      <c r="D3592" t="inlineStr">
        <is>
          <t>UPPSALA LÄN</t>
        </is>
      </c>
      <c r="E3592" t="inlineStr">
        <is>
          <t>UPPSALA</t>
        </is>
      </c>
      <c r="F3592" t="inlineStr">
        <is>
          <t>Övriga Aktiebolag</t>
        </is>
      </c>
      <c r="G3592" t="n">
        <v>7</v>
      </c>
      <c r="H3592" t="n">
        <v>0</v>
      </c>
      <c r="I3592" t="n">
        <v>0</v>
      </c>
      <c r="J3592" t="n">
        <v>0</v>
      </c>
      <c r="K3592" t="n">
        <v>0</v>
      </c>
      <c r="L3592" t="n">
        <v>0</v>
      </c>
      <c r="M3592" t="n">
        <v>0</v>
      </c>
      <c r="N3592" t="n">
        <v>0</v>
      </c>
      <c r="O3592" t="n">
        <v>0</v>
      </c>
      <c r="P3592" t="n">
        <v>0</v>
      </c>
      <c r="Q3592" t="n">
        <v>0</v>
      </c>
      <c r="R3592" s="2" t="inlineStr"/>
    </row>
    <row r="3593" ht="15" customHeight="1">
      <c r="A3593" t="inlineStr">
        <is>
          <t>A 15757-2023</t>
        </is>
      </c>
      <c r="B3593" s="1" t="n">
        <v>45021</v>
      </c>
      <c r="C3593" s="1" t="n">
        <v>45705</v>
      </c>
      <c r="D3593" t="inlineStr">
        <is>
          <t>UPPSALA LÄN</t>
        </is>
      </c>
      <c r="E3593" t="inlineStr">
        <is>
          <t>ENKÖPING</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15763-2023</t>
        </is>
      </c>
      <c r="B3594" s="1" t="n">
        <v>45021</v>
      </c>
      <c r="C3594" s="1" t="n">
        <v>45705</v>
      </c>
      <c r="D3594" t="inlineStr">
        <is>
          <t>UPPSALA LÄN</t>
        </is>
      </c>
      <c r="E3594" t="inlineStr">
        <is>
          <t>TIERP</t>
        </is>
      </c>
      <c r="F3594" t="inlineStr">
        <is>
          <t>Bergvik skog väst AB</t>
        </is>
      </c>
      <c r="G3594" t="n">
        <v>7.6</v>
      </c>
      <c r="H3594" t="n">
        <v>0</v>
      </c>
      <c r="I3594" t="n">
        <v>0</v>
      </c>
      <c r="J3594" t="n">
        <v>0</v>
      </c>
      <c r="K3594" t="n">
        <v>0</v>
      </c>
      <c r="L3594" t="n">
        <v>0</v>
      </c>
      <c r="M3594" t="n">
        <v>0</v>
      </c>
      <c r="N3594" t="n">
        <v>0</v>
      </c>
      <c r="O3594" t="n">
        <v>0</v>
      </c>
      <c r="P3594" t="n">
        <v>0</v>
      </c>
      <c r="Q3594" t="n">
        <v>0</v>
      </c>
      <c r="R3594" s="2" t="inlineStr"/>
    </row>
    <row r="3595" ht="15" customHeight="1">
      <c r="A3595" t="inlineStr">
        <is>
          <t>A 15842-2023</t>
        </is>
      </c>
      <c r="B3595" s="1" t="n">
        <v>45022</v>
      </c>
      <c r="C3595" s="1" t="n">
        <v>45705</v>
      </c>
      <c r="D3595" t="inlineStr">
        <is>
          <t>UPPSALA LÄN</t>
        </is>
      </c>
      <c r="E3595" t="inlineStr">
        <is>
          <t>TIERP</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15832-2023</t>
        </is>
      </c>
      <c r="B3596" s="1" t="n">
        <v>45022</v>
      </c>
      <c r="C3596" s="1" t="n">
        <v>45705</v>
      </c>
      <c r="D3596" t="inlineStr">
        <is>
          <t>UPPSALA LÄN</t>
        </is>
      </c>
      <c r="E3596" t="inlineStr">
        <is>
          <t>TIERP</t>
        </is>
      </c>
      <c r="F3596" t="inlineStr">
        <is>
          <t>Bergvik skog väst AB</t>
        </is>
      </c>
      <c r="G3596" t="n">
        <v>8.5</v>
      </c>
      <c r="H3596" t="n">
        <v>0</v>
      </c>
      <c r="I3596" t="n">
        <v>0</v>
      </c>
      <c r="J3596" t="n">
        <v>0</v>
      </c>
      <c r="K3596" t="n">
        <v>0</v>
      </c>
      <c r="L3596" t="n">
        <v>0</v>
      </c>
      <c r="M3596" t="n">
        <v>0</v>
      </c>
      <c r="N3596" t="n">
        <v>0</v>
      </c>
      <c r="O3596" t="n">
        <v>0</v>
      </c>
      <c r="P3596" t="n">
        <v>0</v>
      </c>
      <c r="Q3596" t="n">
        <v>0</v>
      </c>
      <c r="R3596" s="2" t="inlineStr"/>
    </row>
    <row r="3597" ht="15" customHeight="1">
      <c r="A3597" t="inlineStr">
        <is>
          <t>A 15851-2023</t>
        </is>
      </c>
      <c r="B3597" s="1" t="n">
        <v>45022</v>
      </c>
      <c r="C3597" s="1" t="n">
        <v>45705</v>
      </c>
      <c r="D3597" t="inlineStr">
        <is>
          <t>UPPSALA LÄN</t>
        </is>
      </c>
      <c r="E3597" t="inlineStr">
        <is>
          <t>TIERP</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16256-2023</t>
        </is>
      </c>
      <c r="B3598" s="1" t="n">
        <v>45022</v>
      </c>
      <c r="C3598" s="1" t="n">
        <v>45705</v>
      </c>
      <c r="D3598" t="inlineStr">
        <is>
          <t>UPPSALA LÄN</t>
        </is>
      </c>
      <c r="E3598" t="inlineStr">
        <is>
          <t>HEBY</t>
        </is>
      </c>
      <c r="F3598" t="inlineStr">
        <is>
          <t>Bergvik skog väst AB</t>
        </is>
      </c>
      <c r="G3598" t="n">
        <v>24.1</v>
      </c>
      <c r="H3598" t="n">
        <v>0</v>
      </c>
      <c r="I3598" t="n">
        <v>0</v>
      </c>
      <c r="J3598" t="n">
        <v>0</v>
      </c>
      <c r="K3598" t="n">
        <v>0</v>
      </c>
      <c r="L3598" t="n">
        <v>0</v>
      </c>
      <c r="M3598" t="n">
        <v>0</v>
      </c>
      <c r="N3598" t="n">
        <v>0</v>
      </c>
      <c r="O3598" t="n">
        <v>0</v>
      </c>
      <c r="P3598" t="n">
        <v>0</v>
      </c>
      <c r="Q3598" t="n">
        <v>0</v>
      </c>
      <c r="R3598" s="2" t="inlineStr"/>
    </row>
    <row r="3599" ht="15" customHeight="1">
      <c r="A3599" t="inlineStr">
        <is>
          <t>A 16263-2023</t>
        </is>
      </c>
      <c r="B3599" s="1" t="n">
        <v>45022</v>
      </c>
      <c r="C3599" s="1" t="n">
        <v>45705</v>
      </c>
      <c r="D3599" t="inlineStr">
        <is>
          <t>UPPSALA LÄN</t>
        </is>
      </c>
      <c r="E3599" t="inlineStr">
        <is>
          <t>HEBY</t>
        </is>
      </c>
      <c r="F3599" t="inlineStr">
        <is>
          <t>Bergvik skog väst AB</t>
        </is>
      </c>
      <c r="G3599" t="n">
        <v>4.4</v>
      </c>
      <c r="H3599" t="n">
        <v>0</v>
      </c>
      <c r="I3599" t="n">
        <v>0</v>
      </c>
      <c r="J3599" t="n">
        <v>0</v>
      </c>
      <c r="K3599" t="n">
        <v>0</v>
      </c>
      <c r="L3599" t="n">
        <v>0</v>
      </c>
      <c r="M3599" t="n">
        <v>0</v>
      </c>
      <c r="N3599" t="n">
        <v>0</v>
      </c>
      <c r="O3599" t="n">
        <v>0</v>
      </c>
      <c r="P3599" t="n">
        <v>0</v>
      </c>
      <c r="Q3599" t="n">
        <v>0</v>
      </c>
      <c r="R3599" s="2" t="inlineStr"/>
    </row>
    <row r="3600" ht="15" customHeight="1">
      <c r="A3600" t="inlineStr">
        <is>
          <t>A 16110-2023</t>
        </is>
      </c>
      <c r="B3600" s="1" t="n">
        <v>45027</v>
      </c>
      <c r="C3600" s="1" t="n">
        <v>45705</v>
      </c>
      <c r="D3600" t="inlineStr">
        <is>
          <t>UPPSALA LÄN</t>
        </is>
      </c>
      <c r="E3600" t="inlineStr">
        <is>
          <t>HEBY</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16058-2023</t>
        </is>
      </c>
      <c r="B3601" s="1" t="n">
        <v>45027</v>
      </c>
      <c r="C3601" s="1" t="n">
        <v>45705</v>
      </c>
      <c r="D3601" t="inlineStr">
        <is>
          <t>UPPSALA LÄN</t>
        </is>
      </c>
      <c r="E3601" t="inlineStr">
        <is>
          <t>TIERP</t>
        </is>
      </c>
      <c r="F3601" t="inlineStr">
        <is>
          <t>Kyrkan</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16054-2023</t>
        </is>
      </c>
      <c r="B3602" s="1" t="n">
        <v>45027</v>
      </c>
      <c r="C3602" s="1" t="n">
        <v>45705</v>
      </c>
      <c r="D3602" t="inlineStr">
        <is>
          <t>UPPSALA LÄN</t>
        </is>
      </c>
      <c r="E3602" t="inlineStr">
        <is>
          <t>TIERP</t>
        </is>
      </c>
      <c r="F3602" t="inlineStr">
        <is>
          <t>Kyrkan</t>
        </is>
      </c>
      <c r="G3602" t="n">
        <v>5.2</v>
      </c>
      <c r="H3602" t="n">
        <v>0</v>
      </c>
      <c r="I3602" t="n">
        <v>0</v>
      </c>
      <c r="J3602" t="n">
        <v>0</v>
      </c>
      <c r="K3602" t="n">
        <v>0</v>
      </c>
      <c r="L3602" t="n">
        <v>0</v>
      </c>
      <c r="M3602" t="n">
        <v>0</v>
      </c>
      <c r="N3602" t="n">
        <v>0</v>
      </c>
      <c r="O3602" t="n">
        <v>0</v>
      </c>
      <c r="P3602" t="n">
        <v>0</v>
      </c>
      <c r="Q3602" t="n">
        <v>0</v>
      </c>
      <c r="R3602" s="2" t="inlineStr"/>
    </row>
    <row r="3603" ht="15" customHeight="1">
      <c r="A3603" t="inlineStr">
        <is>
          <t>A 16112-2023</t>
        </is>
      </c>
      <c r="B3603" s="1" t="n">
        <v>45027</v>
      </c>
      <c r="C3603" s="1" t="n">
        <v>45705</v>
      </c>
      <c r="D3603" t="inlineStr">
        <is>
          <t>UPPSALA LÄN</t>
        </is>
      </c>
      <c r="E3603" t="inlineStr">
        <is>
          <t>ÖSTHAMMAR</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16346-2023</t>
        </is>
      </c>
      <c r="B3604" s="1" t="n">
        <v>45028</v>
      </c>
      <c r="C3604" s="1" t="n">
        <v>45705</v>
      </c>
      <c r="D3604" t="inlineStr">
        <is>
          <t>UPPSALA LÄN</t>
        </is>
      </c>
      <c r="E3604" t="inlineStr">
        <is>
          <t>UPPSALA</t>
        </is>
      </c>
      <c r="F3604" t="inlineStr">
        <is>
          <t>Övriga Aktiebolag</t>
        </is>
      </c>
      <c r="G3604" t="n">
        <v>5.7</v>
      </c>
      <c r="H3604" t="n">
        <v>0</v>
      </c>
      <c r="I3604" t="n">
        <v>0</v>
      </c>
      <c r="J3604" t="n">
        <v>0</v>
      </c>
      <c r="K3604" t="n">
        <v>0</v>
      </c>
      <c r="L3604" t="n">
        <v>0</v>
      </c>
      <c r="M3604" t="n">
        <v>0</v>
      </c>
      <c r="N3604" t="n">
        <v>0</v>
      </c>
      <c r="O3604" t="n">
        <v>0</v>
      </c>
      <c r="P3604" t="n">
        <v>0</v>
      </c>
      <c r="Q3604" t="n">
        <v>0</v>
      </c>
      <c r="R3604" s="2" t="inlineStr"/>
    </row>
    <row r="3605" ht="15" customHeight="1">
      <c r="A3605" t="inlineStr">
        <is>
          <t>A 16295-2023</t>
        </is>
      </c>
      <c r="B3605" s="1" t="n">
        <v>45028</v>
      </c>
      <c r="C3605" s="1" t="n">
        <v>45705</v>
      </c>
      <c r="D3605" t="inlineStr">
        <is>
          <t>UPPSALA LÄN</t>
        </is>
      </c>
      <c r="E3605" t="inlineStr">
        <is>
          <t>TIERP</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16300-2023</t>
        </is>
      </c>
      <c r="B3606" s="1" t="n">
        <v>45028</v>
      </c>
      <c r="C3606" s="1" t="n">
        <v>45705</v>
      </c>
      <c r="D3606" t="inlineStr">
        <is>
          <t>UPPSALA LÄN</t>
        </is>
      </c>
      <c r="E3606" t="inlineStr">
        <is>
          <t>KNIVSTA</t>
        </is>
      </c>
      <c r="G3606" t="n">
        <v>4</v>
      </c>
      <c r="H3606" t="n">
        <v>0</v>
      </c>
      <c r="I3606" t="n">
        <v>0</v>
      </c>
      <c r="J3606" t="n">
        <v>0</v>
      </c>
      <c r="K3606" t="n">
        <v>0</v>
      </c>
      <c r="L3606" t="n">
        <v>0</v>
      </c>
      <c r="M3606" t="n">
        <v>0</v>
      </c>
      <c r="N3606" t="n">
        <v>0</v>
      </c>
      <c r="O3606" t="n">
        <v>0</v>
      </c>
      <c r="P3606" t="n">
        <v>0</v>
      </c>
      <c r="Q3606" t="n">
        <v>0</v>
      </c>
      <c r="R3606" s="2" t="inlineStr"/>
    </row>
    <row r="3607" ht="15" customHeight="1">
      <c r="A3607" t="inlineStr">
        <is>
          <t>A 16310-2023</t>
        </is>
      </c>
      <c r="B3607" s="1" t="n">
        <v>45028</v>
      </c>
      <c r="C3607" s="1" t="n">
        <v>45705</v>
      </c>
      <c r="D3607" t="inlineStr">
        <is>
          <t>UPPSALA LÄN</t>
        </is>
      </c>
      <c r="E3607" t="inlineStr">
        <is>
          <t>KNIVSTA</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16320-2023</t>
        </is>
      </c>
      <c r="B3608" s="1" t="n">
        <v>45028</v>
      </c>
      <c r="C3608" s="1" t="n">
        <v>45705</v>
      </c>
      <c r="D3608" t="inlineStr">
        <is>
          <t>UPPSALA LÄN</t>
        </is>
      </c>
      <c r="E3608" t="inlineStr">
        <is>
          <t>ENKÖPING</t>
        </is>
      </c>
      <c r="G3608" t="n">
        <v>5.2</v>
      </c>
      <c r="H3608" t="n">
        <v>0</v>
      </c>
      <c r="I3608" t="n">
        <v>0</v>
      </c>
      <c r="J3608" t="n">
        <v>0</v>
      </c>
      <c r="K3608" t="n">
        <v>0</v>
      </c>
      <c r="L3608" t="n">
        <v>0</v>
      </c>
      <c r="M3608" t="n">
        <v>0</v>
      </c>
      <c r="N3608" t="n">
        <v>0</v>
      </c>
      <c r="O3608" t="n">
        <v>0</v>
      </c>
      <c r="P3608" t="n">
        <v>0</v>
      </c>
      <c r="Q3608" t="n">
        <v>0</v>
      </c>
      <c r="R3608" s="2" t="inlineStr"/>
    </row>
    <row r="3609" ht="15" customHeight="1">
      <c r="A3609" t="inlineStr">
        <is>
          <t>A 16299-2023</t>
        </is>
      </c>
      <c r="B3609" s="1" t="n">
        <v>45028</v>
      </c>
      <c r="C3609" s="1" t="n">
        <v>45705</v>
      </c>
      <c r="D3609" t="inlineStr">
        <is>
          <t>UPPSALA LÄN</t>
        </is>
      </c>
      <c r="E3609" t="inlineStr">
        <is>
          <t>HÅBO</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16305-2023</t>
        </is>
      </c>
      <c r="B3610" s="1" t="n">
        <v>45028</v>
      </c>
      <c r="C3610" s="1" t="n">
        <v>45705</v>
      </c>
      <c r="D3610" t="inlineStr">
        <is>
          <t>UPPSALA LÄN</t>
        </is>
      </c>
      <c r="E3610" t="inlineStr">
        <is>
          <t>KNIVSTA</t>
        </is>
      </c>
      <c r="G3610" t="n">
        <v>7.2</v>
      </c>
      <c r="H3610" t="n">
        <v>0</v>
      </c>
      <c r="I3610" t="n">
        <v>0</v>
      </c>
      <c r="J3610" t="n">
        <v>0</v>
      </c>
      <c r="K3610" t="n">
        <v>0</v>
      </c>
      <c r="L3610" t="n">
        <v>0</v>
      </c>
      <c r="M3610" t="n">
        <v>0</v>
      </c>
      <c r="N3610" t="n">
        <v>0</v>
      </c>
      <c r="O3610" t="n">
        <v>0</v>
      </c>
      <c r="P3610" t="n">
        <v>0</v>
      </c>
      <c r="Q3610" t="n">
        <v>0</v>
      </c>
      <c r="R3610" s="2" t="inlineStr"/>
    </row>
    <row r="3611" ht="15" customHeight="1">
      <c r="A3611" t="inlineStr">
        <is>
          <t>A 16345-2023</t>
        </is>
      </c>
      <c r="B3611" s="1" t="n">
        <v>45028</v>
      </c>
      <c r="C3611" s="1" t="n">
        <v>45705</v>
      </c>
      <c r="D3611" t="inlineStr">
        <is>
          <t>UPPSALA LÄN</t>
        </is>
      </c>
      <c r="E3611" t="inlineStr">
        <is>
          <t>ÖSTHAMMAR</t>
        </is>
      </c>
      <c r="F3611" t="inlineStr">
        <is>
          <t>Övriga Aktiebolag</t>
        </is>
      </c>
      <c r="G3611" t="n">
        <v>10.1</v>
      </c>
      <c r="H3611" t="n">
        <v>0</v>
      </c>
      <c r="I3611" t="n">
        <v>0</v>
      </c>
      <c r="J3611" t="n">
        <v>0</v>
      </c>
      <c r="K3611" t="n">
        <v>0</v>
      </c>
      <c r="L3611" t="n">
        <v>0</v>
      </c>
      <c r="M3611" t="n">
        <v>0</v>
      </c>
      <c r="N3611" t="n">
        <v>0</v>
      </c>
      <c r="O3611" t="n">
        <v>0</v>
      </c>
      <c r="P3611" t="n">
        <v>0</v>
      </c>
      <c r="Q3611" t="n">
        <v>0</v>
      </c>
      <c r="R3611" s="2" t="inlineStr"/>
    </row>
    <row r="3612" ht="15" customHeight="1">
      <c r="A3612" t="inlineStr">
        <is>
          <t>A 16405-2023</t>
        </is>
      </c>
      <c r="B3612" s="1" t="n">
        <v>45029</v>
      </c>
      <c r="C3612" s="1" t="n">
        <v>45705</v>
      </c>
      <c r="D3612" t="inlineStr">
        <is>
          <t>UPPSALA LÄN</t>
        </is>
      </c>
      <c r="E3612" t="inlineStr">
        <is>
          <t>TIERP</t>
        </is>
      </c>
      <c r="F3612" t="inlineStr">
        <is>
          <t>Bergvik skog väst AB</t>
        </is>
      </c>
      <c r="G3612" t="n">
        <v>5.8</v>
      </c>
      <c r="H3612" t="n">
        <v>0</v>
      </c>
      <c r="I3612" t="n">
        <v>0</v>
      </c>
      <c r="J3612" t="n">
        <v>0</v>
      </c>
      <c r="K3612" t="n">
        <v>0</v>
      </c>
      <c r="L3612" t="n">
        <v>0</v>
      </c>
      <c r="M3612" t="n">
        <v>0</v>
      </c>
      <c r="N3612" t="n">
        <v>0</v>
      </c>
      <c r="O3612" t="n">
        <v>0</v>
      </c>
      <c r="P3612" t="n">
        <v>0</v>
      </c>
      <c r="Q3612" t="n">
        <v>0</v>
      </c>
      <c r="R3612" s="2" t="inlineStr"/>
    </row>
    <row r="3613" ht="15" customHeight="1">
      <c r="A3613" t="inlineStr">
        <is>
          <t>A 16404-2023</t>
        </is>
      </c>
      <c r="B3613" s="1" t="n">
        <v>45029</v>
      </c>
      <c r="C3613" s="1" t="n">
        <v>45705</v>
      </c>
      <c r="D3613" t="inlineStr">
        <is>
          <t>UPPSALA LÄN</t>
        </is>
      </c>
      <c r="E3613" t="inlineStr">
        <is>
          <t>HEBY</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16660-2023</t>
        </is>
      </c>
      <c r="B3614" s="1" t="n">
        <v>45030</v>
      </c>
      <c r="C3614" s="1" t="n">
        <v>45705</v>
      </c>
      <c r="D3614" t="inlineStr">
        <is>
          <t>UPPSALA LÄN</t>
        </is>
      </c>
      <c r="E3614" t="inlineStr">
        <is>
          <t>HEBY</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16587-2023</t>
        </is>
      </c>
      <c r="B3615" s="1" t="n">
        <v>45030</v>
      </c>
      <c r="C3615" s="1" t="n">
        <v>45705</v>
      </c>
      <c r="D3615" t="inlineStr">
        <is>
          <t>UPPSALA LÄN</t>
        </is>
      </c>
      <c r="E3615" t="inlineStr">
        <is>
          <t>TIERP</t>
        </is>
      </c>
      <c r="G3615" t="n">
        <v>5.2</v>
      </c>
      <c r="H3615" t="n">
        <v>0</v>
      </c>
      <c r="I3615" t="n">
        <v>0</v>
      </c>
      <c r="J3615" t="n">
        <v>0</v>
      </c>
      <c r="K3615" t="n">
        <v>0</v>
      </c>
      <c r="L3615" t="n">
        <v>0</v>
      </c>
      <c r="M3615" t="n">
        <v>0</v>
      </c>
      <c r="N3615" t="n">
        <v>0</v>
      </c>
      <c r="O3615" t="n">
        <v>0</v>
      </c>
      <c r="P3615" t="n">
        <v>0</v>
      </c>
      <c r="Q3615" t="n">
        <v>0</v>
      </c>
      <c r="R3615" s="2" t="inlineStr"/>
    </row>
    <row r="3616" ht="15" customHeight="1">
      <c r="A3616" t="inlineStr">
        <is>
          <t>A 16631-2023</t>
        </is>
      </c>
      <c r="B3616" s="1" t="n">
        <v>45030</v>
      </c>
      <c r="C3616" s="1" t="n">
        <v>45705</v>
      </c>
      <c r="D3616" t="inlineStr">
        <is>
          <t>UPPSALA LÄN</t>
        </is>
      </c>
      <c r="E3616" t="inlineStr">
        <is>
          <t>TIERP</t>
        </is>
      </c>
      <c r="F3616" t="inlineStr">
        <is>
          <t>Bergvik skog väst AB</t>
        </is>
      </c>
      <c r="G3616" t="n">
        <v>0.3</v>
      </c>
      <c r="H3616" t="n">
        <v>0</v>
      </c>
      <c r="I3616" t="n">
        <v>0</v>
      </c>
      <c r="J3616" t="n">
        <v>0</v>
      </c>
      <c r="K3616" t="n">
        <v>0</v>
      </c>
      <c r="L3616" t="n">
        <v>0</v>
      </c>
      <c r="M3616" t="n">
        <v>0</v>
      </c>
      <c r="N3616" t="n">
        <v>0</v>
      </c>
      <c r="O3616" t="n">
        <v>0</v>
      </c>
      <c r="P3616" t="n">
        <v>0</v>
      </c>
      <c r="Q3616" t="n">
        <v>0</v>
      </c>
      <c r="R3616" s="2" t="inlineStr"/>
    </row>
    <row r="3617" ht="15" customHeight="1">
      <c r="A3617" t="inlineStr">
        <is>
          <t>A 16639-2023</t>
        </is>
      </c>
      <c r="B3617" s="1" t="n">
        <v>45030</v>
      </c>
      <c r="C3617" s="1" t="n">
        <v>45705</v>
      </c>
      <c r="D3617" t="inlineStr">
        <is>
          <t>UPPSALA LÄN</t>
        </is>
      </c>
      <c r="E3617" t="inlineStr">
        <is>
          <t>KNIVSTA</t>
        </is>
      </c>
      <c r="G3617" t="n">
        <v>7</v>
      </c>
      <c r="H3617" t="n">
        <v>0</v>
      </c>
      <c r="I3617" t="n">
        <v>0</v>
      </c>
      <c r="J3617" t="n">
        <v>0</v>
      </c>
      <c r="K3617" t="n">
        <v>0</v>
      </c>
      <c r="L3617" t="n">
        <v>0</v>
      </c>
      <c r="M3617" t="n">
        <v>0</v>
      </c>
      <c r="N3617" t="n">
        <v>0</v>
      </c>
      <c r="O3617" t="n">
        <v>0</v>
      </c>
      <c r="P3617" t="n">
        <v>0</v>
      </c>
      <c r="Q3617" t="n">
        <v>0</v>
      </c>
      <c r="R3617" s="2" t="inlineStr"/>
    </row>
    <row r="3618" ht="15" customHeight="1">
      <c r="A3618" t="inlineStr">
        <is>
          <t>A 16701-2023</t>
        </is>
      </c>
      <c r="B3618" s="1" t="n">
        <v>45030</v>
      </c>
      <c r="C3618" s="1" t="n">
        <v>45705</v>
      </c>
      <c r="D3618" t="inlineStr">
        <is>
          <t>UPPSALA LÄN</t>
        </is>
      </c>
      <c r="E3618" t="inlineStr">
        <is>
          <t>ÖSTHAMMAR</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16699-2023</t>
        </is>
      </c>
      <c r="B3619" s="1" t="n">
        <v>45030</v>
      </c>
      <c r="C3619" s="1" t="n">
        <v>45705</v>
      </c>
      <c r="D3619" t="inlineStr">
        <is>
          <t>UPPSALA LÄN</t>
        </is>
      </c>
      <c r="E3619" t="inlineStr">
        <is>
          <t>HEBY</t>
        </is>
      </c>
      <c r="G3619" t="n">
        <v>5.6</v>
      </c>
      <c r="H3619" t="n">
        <v>0</v>
      </c>
      <c r="I3619" t="n">
        <v>0</v>
      </c>
      <c r="J3619" t="n">
        <v>0</v>
      </c>
      <c r="K3619" t="n">
        <v>0</v>
      </c>
      <c r="L3619" t="n">
        <v>0</v>
      </c>
      <c r="M3619" t="n">
        <v>0</v>
      </c>
      <c r="N3619" t="n">
        <v>0</v>
      </c>
      <c r="O3619" t="n">
        <v>0</v>
      </c>
      <c r="P3619" t="n">
        <v>0</v>
      </c>
      <c r="Q3619" t="n">
        <v>0</v>
      </c>
      <c r="R3619" s="2" t="inlineStr"/>
    </row>
    <row r="3620" ht="15" customHeight="1">
      <c r="A3620" t="inlineStr">
        <is>
          <t>A 16791-2023</t>
        </is>
      </c>
      <c r="B3620" s="1" t="n">
        <v>45033</v>
      </c>
      <c r="C3620" s="1" t="n">
        <v>45705</v>
      </c>
      <c r="D3620" t="inlineStr">
        <is>
          <t>UPPSALA LÄN</t>
        </is>
      </c>
      <c r="E3620" t="inlineStr">
        <is>
          <t>TIERP</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16905-2023</t>
        </is>
      </c>
      <c r="B3621" s="1" t="n">
        <v>45033</v>
      </c>
      <c r="C3621" s="1" t="n">
        <v>45705</v>
      </c>
      <c r="D3621" t="inlineStr">
        <is>
          <t>UPPSALA LÄN</t>
        </is>
      </c>
      <c r="E3621" t="inlineStr">
        <is>
          <t>ENKÖPING</t>
        </is>
      </c>
      <c r="G3621" t="n">
        <v>3.6</v>
      </c>
      <c r="H3621" t="n">
        <v>0</v>
      </c>
      <c r="I3621" t="n">
        <v>0</v>
      </c>
      <c r="J3621" t="n">
        <v>0</v>
      </c>
      <c r="K3621" t="n">
        <v>0</v>
      </c>
      <c r="L3621" t="n">
        <v>0</v>
      </c>
      <c r="M3621" t="n">
        <v>0</v>
      </c>
      <c r="N3621" t="n">
        <v>0</v>
      </c>
      <c r="O3621" t="n">
        <v>0</v>
      </c>
      <c r="P3621" t="n">
        <v>0</v>
      </c>
      <c r="Q3621" t="n">
        <v>0</v>
      </c>
      <c r="R3621" s="2" t="inlineStr"/>
    </row>
    <row r="3622" ht="15" customHeight="1">
      <c r="A3622" t="inlineStr">
        <is>
          <t>A 16811-2023</t>
        </is>
      </c>
      <c r="B3622" s="1" t="n">
        <v>45033</v>
      </c>
      <c r="C3622" s="1" t="n">
        <v>45705</v>
      </c>
      <c r="D3622" t="inlineStr">
        <is>
          <t>UPPSALA LÄN</t>
        </is>
      </c>
      <c r="E3622" t="inlineStr">
        <is>
          <t>UPPSALA</t>
        </is>
      </c>
      <c r="G3622" t="n">
        <v>10.1</v>
      </c>
      <c r="H3622" t="n">
        <v>0</v>
      </c>
      <c r="I3622" t="n">
        <v>0</v>
      </c>
      <c r="J3622" t="n">
        <v>0</v>
      </c>
      <c r="K3622" t="n">
        <v>0</v>
      </c>
      <c r="L3622" t="n">
        <v>0</v>
      </c>
      <c r="M3622" t="n">
        <v>0</v>
      </c>
      <c r="N3622" t="n">
        <v>0</v>
      </c>
      <c r="O3622" t="n">
        <v>0</v>
      </c>
      <c r="P3622" t="n">
        <v>0</v>
      </c>
      <c r="Q3622" t="n">
        <v>0</v>
      </c>
      <c r="R3622" s="2" t="inlineStr"/>
    </row>
    <row r="3623" ht="15" customHeight="1">
      <c r="A3623" t="inlineStr">
        <is>
          <t>A 16954-2023</t>
        </is>
      </c>
      <c r="B3623" s="1" t="n">
        <v>45033</v>
      </c>
      <c r="C3623" s="1" t="n">
        <v>45705</v>
      </c>
      <c r="D3623" t="inlineStr">
        <is>
          <t>UPPSALA LÄN</t>
        </is>
      </c>
      <c r="E3623" t="inlineStr">
        <is>
          <t>ÖSTHAMMAR</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16916-2023</t>
        </is>
      </c>
      <c r="B3624" s="1" t="n">
        <v>45033</v>
      </c>
      <c r="C3624" s="1" t="n">
        <v>45705</v>
      </c>
      <c r="D3624" t="inlineStr">
        <is>
          <t>UPPSALA LÄN</t>
        </is>
      </c>
      <c r="E3624" t="inlineStr">
        <is>
          <t>ENKÖPING</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16920-2023</t>
        </is>
      </c>
      <c r="B3625" s="1" t="n">
        <v>45033</v>
      </c>
      <c r="C3625" s="1" t="n">
        <v>45705</v>
      </c>
      <c r="D3625" t="inlineStr">
        <is>
          <t>UPPSALA LÄN</t>
        </is>
      </c>
      <c r="E3625" t="inlineStr">
        <is>
          <t>ENKÖPING</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16948-2023</t>
        </is>
      </c>
      <c r="B3626" s="1" t="n">
        <v>45033</v>
      </c>
      <c r="C3626" s="1" t="n">
        <v>45705</v>
      </c>
      <c r="D3626" t="inlineStr">
        <is>
          <t>UPPSALA LÄN</t>
        </is>
      </c>
      <c r="E3626" t="inlineStr">
        <is>
          <t>ÖSTHAMMAR</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16966-2023</t>
        </is>
      </c>
      <c r="B3627" s="1" t="n">
        <v>45033</v>
      </c>
      <c r="C3627" s="1" t="n">
        <v>45705</v>
      </c>
      <c r="D3627" t="inlineStr">
        <is>
          <t>UPPSALA LÄN</t>
        </is>
      </c>
      <c r="E3627" t="inlineStr">
        <is>
          <t>ÖSTHAMMAR</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17091-2023</t>
        </is>
      </c>
      <c r="B3628" s="1" t="n">
        <v>45034</v>
      </c>
      <c r="C3628" s="1" t="n">
        <v>45705</v>
      </c>
      <c r="D3628" t="inlineStr">
        <is>
          <t>UPPSALA LÄN</t>
        </is>
      </c>
      <c r="E3628" t="inlineStr">
        <is>
          <t>KNIVSTA</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17094-2023</t>
        </is>
      </c>
      <c r="B3629" s="1" t="n">
        <v>45034</v>
      </c>
      <c r="C3629" s="1" t="n">
        <v>45705</v>
      </c>
      <c r="D3629" t="inlineStr">
        <is>
          <t>UPPSALA LÄN</t>
        </is>
      </c>
      <c r="E3629" t="inlineStr">
        <is>
          <t>KNIVSTA</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17101-2023</t>
        </is>
      </c>
      <c r="B3630" s="1" t="n">
        <v>45034</v>
      </c>
      <c r="C3630" s="1" t="n">
        <v>45705</v>
      </c>
      <c r="D3630" t="inlineStr">
        <is>
          <t>UPPSALA LÄN</t>
        </is>
      </c>
      <c r="E3630" t="inlineStr">
        <is>
          <t>KNIVSTA</t>
        </is>
      </c>
      <c r="G3630" t="n">
        <v>4.2</v>
      </c>
      <c r="H3630" t="n">
        <v>0</v>
      </c>
      <c r="I3630" t="n">
        <v>0</v>
      </c>
      <c r="J3630" t="n">
        <v>0</v>
      </c>
      <c r="K3630" t="n">
        <v>0</v>
      </c>
      <c r="L3630" t="n">
        <v>0</v>
      </c>
      <c r="M3630" t="n">
        <v>0</v>
      </c>
      <c r="N3630" t="n">
        <v>0</v>
      </c>
      <c r="O3630" t="n">
        <v>0</v>
      </c>
      <c r="P3630" t="n">
        <v>0</v>
      </c>
      <c r="Q3630" t="n">
        <v>0</v>
      </c>
      <c r="R3630" s="2" t="inlineStr"/>
    </row>
    <row r="3631" ht="15" customHeight="1">
      <c r="A3631" t="inlineStr">
        <is>
          <t>A 17028-2023</t>
        </is>
      </c>
      <c r="B3631" s="1" t="n">
        <v>45034</v>
      </c>
      <c r="C3631" s="1" t="n">
        <v>45705</v>
      </c>
      <c r="D3631" t="inlineStr">
        <is>
          <t>UPPSALA LÄN</t>
        </is>
      </c>
      <c r="E3631" t="inlineStr">
        <is>
          <t>ÖSTHAMMAR</t>
        </is>
      </c>
      <c r="F3631" t="inlineStr">
        <is>
          <t>Bergvik skog öst AB</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17254-2023</t>
        </is>
      </c>
      <c r="B3632" s="1" t="n">
        <v>45034</v>
      </c>
      <c r="C3632" s="1" t="n">
        <v>45705</v>
      </c>
      <c r="D3632" t="inlineStr">
        <is>
          <t>UPPSALA LÄN</t>
        </is>
      </c>
      <c r="E3632" t="inlineStr">
        <is>
          <t>ENKÖPING</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17511-2023</t>
        </is>
      </c>
      <c r="B3633" s="1" t="n">
        <v>45034</v>
      </c>
      <c r="C3633" s="1" t="n">
        <v>45705</v>
      </c>
      <c r="D3633" t="inlineStr">
        <is>
          <t>UPPSALA LÄN</t>
        </is>
      </c>
      <c r="E3633" t="inlineStr">
        <is>
          <t>ENKÖPING</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17229-2023</t>
        </is>
      </c>
      <c r="B3634" s="1" t="n">
        <v>45035</v>
      </c>
      <c r="C3634" s="1" t="n">
        <v>45705</v>
      </c>
      <c r="D3634" t="inlineStr">
        <is>
          <t>UPPSALA LÄN</t>
        </is>
      </c>
      <c r="E3634" t="inlineStr">
        <is>
          <t>UPPSALA</t>
        </is>
      </c>
      <c r="F3634" t="inlineStr">
        <is>
          <t>Övriga Aktiebolag</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17288-2023</t>
        </is>
      </c>
      <c r="B3635" s="1" t="n">
        <v>45035</v>
      </c>
      <c r="C3635" s="1" t="n">
        <v>45705</v>
      </c>
      <c r="D3635" t="inlineStr">
        <is>
          <t>UPPSALA LÄN</t>
        </is>
      </c>
      <c r="E3635" t="inlineStr">
        <is>
          <t>HEBY</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17369-2023</t>
        </is>
      </c>
      <c r="B3636" s="1" t="n">
        <v>45035</v>
      </c>
      <c r="C3636" s="1" t="n">
        <v>45705</v>
      </c>
      <c r="D3636" t="inlineStr">
        <is>
          <t>UPPSALA LÄN</t>
        </is>
      </c>
      <c r="E3636" t="inlineStr">
        <is>
          <t>HEBY</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17371-2023</t>
        </is>
      </c>
      <c r="B3637" s="1" t="n">
        <v>45035</v>
      </c>
      <c r="C3637" s="1" t="n">
        <v>45705</v>
      </c>
      <c r="D3637" t="inlineStr">
        <is>
          <t>UPPSALA LÄN</t>
        </is>
      </c>
      <c r="E3637" t="inlineStr">
        <is>
          <t>HEBY</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17280-2023</t>
        </is>
      </c>
      <c r="B3638" s="1" t="n">
        <v>45035</v>
      </c>
      <c r="C3638" s="1" t="n">
        <v>45705</v>
      </c>
      <c r="D3638" t="inlineStr">
        <is>
          <t>UPPSALA LÄN</t>
        </is>
      </c>
      <c r="E3638" t="inlineStr">
        <is>
          <t>UPPSALA</t>
        </is>
      </c>
      <c r="G3638" t="n">
        <v>5.6</v>
      </c>
      <c r="H3638" t="n">
        <v>0</v>
      </c>
      <c r="I3638" t="n">
        <v>0</v>
      </c>
      <c r="J3638" t="n">
        <v>0</v>
      </c>
      <c r="K3638" t="n">
        <v>0</v>
      </c>
      <c r="L3638" t="n">
        <v>0</v>
      </c>
      <c r="M3638" t="n">
        <v>0</v>
      </c>
      <c r="N3638" t="n">
        <v>0</v>
      </c>
      <c r="O3638" t="n">
        <v>0</v>
      </c>
      <c r="P3638" t="n">
        <v>0</v>
      </c>
      <c r="Q3638" t="n">
        <v>0</v>
      </c>
      <c r="R3638" s="2" t="inlineStr"/>
    </row>
    <row r="3639" ht="15" customHeight="1">
      <c r="A3639" t="inlineStr">
        <is>
          <t>A 17407-2023</t>
        </is>
      </c>
      <c r="B3639" s="1" t="n">
        <v>45035</v>
      </c>
      <c r="C3639" s="1" t="n">
        <v>45705</v>
      </c>
      <c r="D3639" t="inlineStr">
        <is>
          <t>UPPSALA LÄN</t>
        </is>
      </c>
      <c r="E3639" t="inlineStr">
        <is>
          <t>HEBY</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17373-2023</t>
        </is>
      </c>
      <c r="B3640" s="1" t="n">
        <v>45035</v>
      </c>
      <c r="C3640" s="1" t="n">
        <v>45705</v>
      </c>
      <c r="D3640" t="inlineStr">
        <is>
          <t>UPPSALA LÄN</t>
        </is>
      </c>
      <c r="E3640" t="inlineStr">
        <is>
          <t>ENKÖPING</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17481-2023</t>
        </is>
      </c>
      <c r="B3641" s="1" t="n">
        <v>45036</v>
      </c>
      <c r="C3641" s="1" t="n">
        <v>45705</v>
      </c>
      <c r="D3641" t="inlineStr">
        <is>
          <t>UPPSALA LÄN</t>
        </is>
      </c>
      <c r="E3641" t="inlineStr">
        <is>
          <t>UPPSALA</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17631-2023</t>
        </is>
      </c>
      <c r="B3642" s="1" t="n">
        <v>45036</v>
      </c>
      <c r="C3642" s="1" t="n">
        <v>45705</v>
      </c>
      <c r="D3642" t="inlineStr">
        <is>
          <t>UPPSALA LÄN</t>
        </is>
      </c>
      <c r="E3642" t="inlineStr">
        <is>
          <t>ÖSTHAMMAR</t>
        </is>
      </c>
      <c r="G3642" t="n">
        <v>5.1</v>
      </c>
      <c r="H3642" t="n">
        <v>0</v>
      </c>
      <c r="I3642" t="n">
        <v>0</v>
      </c>
      <c r="J3642" t="n">
        <v>0</v>
      </c>
      <c r="K3642" t="n">
        <v>0</v>
      </c>
      <c r="L3642" t="n">
        <v>0</v>
      </c>
      <c r="M3642" t="n">
        <v>0</v>
      </c>
      <c r="N3642" t="n">
        <v>0</v>
      </c>
      <c r="O3642" t="n">
        <v>0</v>
      </c>
      <c r="P3642" t="n">
        <v>0</v>
      </c>
      <c r="Q3642" t="n">
        <v>0</v>
      </c>
      <c r="R3642" s="2" t="inlineStr"/>
    </row>
    <row r="3643" ht="15" customHeight="1">
      <c r="A3643" t="inlineStr">
        <is>
          <t>A 17657-2023</t>
        </is>
      </c>
      <c r="B3643" s="1" t="n">
        <v>45036</v>
      </c>
      <c r="C3643" s="1" t="n">
        <v>45705</v>
      </c>
      <c r="D3643" t="inlineStr">
        <is>
          <t>UPPSALA LÄN</t>
        </is>
      </c>
      <c r="E3643" t="inlineStr">
        <is>
          <t>HEBY</t>
        </is>
      </c>
      <c r="G3643" t="n">
        <v>5.5</v>
      </c>
      <c r="H3643" t="n">
        <v>0</v>
      </c>
      <c r="I3643" t="n">
        <v>0</v>
      </c>
      <c r="J3643" t="n">
        <v>0</v>
      </c>
      <c r="K3643" t="n">
        <v>0</v>
      </c>
      <c r="L3643" t="n">
        <v>0</v>
      </c>
      <c r="M3643" t="n">
        <v>0</v>
      </c>
      <c r="N3643" t="n">
        <v>0</v>
      </c>
      <c r="O3643" t="n">
        <v>0</v>
      </c>
      <c r="P3643" t="n">
        <v>0</v>
      </c>
      <c r="Q3643" t="n">
        <v>0</v>
      </c>
      <c r="R3643" s="2" t="inlineStr"/>
    </row>
    <row r="3644" ht="15" customHeight="1">
      <c r="A3644" t="inlineStr">
        <is>
          <t>A 17729-2023</t>
        </is>
      </c>
      <c r="B3644" s="1" t="n">
        <v>45037</v>
      </c>
      <c r="C3644" s="1" t="n">
        <v>45705</v>
      </c>
      <c r="D3644" t="inlineStr">
        <is>
          <t>UPPSALA LÄN</t>
        </is>
      </c>
      <c r="E3644" t="inlineStr">
        <is>
          <t>ENKÖPING</t>
        </is>
      </c>
      <c r="G3644" t="n">
        <v>10.2</v>
      </c>
      <c r="H3644" t="n">
        <v>0</v>
      </c>
      <c r="I3644" t="n">
        <v>0</v>
      </c>
      <c r="J3644" t="n">
        <v>0</v>
      </c>
      <c r="K3644" t="n">
        <v>0</v>
      </c>
      <c r="L3644" t="n">
        <v>0</v>
      </c>
      <c r="M3644" t="n">
        <v>0</v>
      </c>
      <c r="N3644" t="n">
        <v>0</v>
      </c>
      <c r="O3644" t="n">
        <v>0</v>
      </c>
      <c r="P3644" t="n">
        <v>0</v>
      </c>
      <c r="Q3644" t="n">
        <v>0</v>
      </c>
      <c r="R3644" s="2" t="inlineStr"/>
    </row>
    <row r="3645" ht="15" customHeight="1">
      <c r="A3645" t="inlineStr">
        <is>
          <t>A 17813-2023</t>
        </is>
      </c>
      <c r="B3645" s="1" t="n">
        <v>45037</v>
      </c>
      <c r="C3645" s="1" t="n">
        <v>45705</v>
      </c>
      <c r="D3645" t="inlineStr">
        <is>
          <t>UPPSALA LÄN</t>
        </is>
      </c>
      <c r="E3645" t="inlineStr">
        <is>
          <t>ENKÖPING</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17850-2023</t>
        </is>
      </c>
      <c r="B3646" s="1" t="n">
        <v>45037</v>
      </c>
      <c r="C3646" s="1" t="n">
        <v>45705</v>
      </c>
      <c r="D3646" t="inlineStr">
        <is>
          <t>UPPSALA LÄN</t>
        </is>
      </c>
      <c r="E3646" t="inlineStr">
        <is>
          <t>ÖSTHAMMAR</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17851-2023</t>
        </is>
      </c>
      <c r="B3647" s="1" t="n">
        <v>45037</v>
      </c>
      <c r="C3647" s="1" t="n">
        <v>45705</v>
      </c>
      <c r="D3647" t="inlineStr">
        <is>
          <t>UPPSALA LÄN</t>
        </is>
      </c>
      <c r="E3647" t="inlineStr">
        <is>
          <t>ÖSTHAMMAR</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17788-2023</t>
        </is>
      </c>
      <c r="B3648" s="1" t="n">
        <v>45037</v>
      </c>
      <c r="C3648" s="1" t="n">
        <v>45705</v>
      </c>
      <c r="D3648" t="inlineStr">
        <is>
          <t>UPPSALA LÄN</t>
        </is>
      </c>
      <c r="E3648" t="inlineStr">
        <is>
          <t>UPPSALA</t>
        </is>
      </c>
      <c r="F3648" t="inlineStr">
        <is>
          <t>Övriga Aktiebolag</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17854-2023</t>
        </is>
      </c>
      <c r="B3649" s="1" t="n">
        <v>45037</v>
      </c>
      <c r="C3649" s="1" t="n">
        <v>45705</v>
      </c>
      <c r="D3649" t="inlineStr">
        <is>
          <t>UPPSALA LÄN</t>
        </is>
      </c>
      <c r="E3649" t="inlineStr">
        <is>
          <t>ÖSTHAMMAR</t>
        </is>
      </c>
      <c r="G3649" t="n">
        <v>5.6</v>
      </c>
      <c r="H3649" t="n">
        <v>0</v>
      </c>
      <c r="I3649" t="n">
        <v>0</v>
      </c>
      <c r="J3649" t="n">
        <v>0</v>
      </c>
      <c r="K3649" t="n">
        <v>0</v>
      </c>
      <c r="L3649" t="n">
        <v>0</v>
      </c>
      <c r="M3649" t="n">
        <v>0</v>
      </c>
      <c r="N3649" t="n">
        <v>0</v>
      </c>
      <c r="O3649" t="n">
        <v>0</v>
      </c>
      <c r="P3649" t="n">
        <v>0</v>
      </c>
      <c r="Q3649" t="n">
        <v>0</v>
      </c>
      <c r="R3649" s="2" t="inlineStr"/>
    </row>
    <row r="3650" ht="15" customHeight="1">
      <c r="A3650" t="inlineStr">
        <is>
          <t>A 18091-2023</t>
        </is>
      </c>
      <c r="B3650" s="1" t="n">
        <v>45040</v>
      </c>
      <c r="C3650" s="1" t="n">
        <v>45705</v>
      </c>
      <c r="D3650" t="inlineStr">
        <is>
          <t>UPPSALA LÄN</t>
        </is>
      </c>
      <c r="E3650" t="inlineStr">
        <is>
          <t>ÖSTHAMMAR</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17938-2023</t>
        </is>
      </c>
      <c r="B3651" s="1" t="n">
        <v>45040</v>
      </c>
      <c r="C3651" s="1" t="n">
        <v>45705</v>
      </c>
      <c r="D3651" t="inlineStr">
        <is>
          <t>UPPSALA LÄN</t>
        </is>
      </c>
      <c r="E3651" t="inlineStr">
        <is>
          <t>UPPSALA</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17970-2023</t>
        </is>
      </c>
      <c r="B3652" s="1" t="n">
        <v>45040</v>
      </c>
      <c r="C3652" s="1" t="n">
        <v>45705</v>
      </c>
      <c r="D3652" t="inlineStr">
        <is>
          <t>UPPSALA LÄN</t>
        </is>
      </c>
      <c r="E3652" t="inlineStr">
        <is>
          <t>ÖSTHAMMAR</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17979-2023</t>
        </is>
      </c>
      <c r="B3653" s="1" t="n">
        <v>45040</v>
      </c>
      <c r="C3653" s="1" t="n">
        <v>45705</v>
      </c>
      <c r="D3653" t="inlineStr">
        <is>
          <t>UPPSALA LÄN</t>
        </is>
      </c>
      <c r="E3653" t="inlineStr">
        <is>
          <t>TIERP</t>
        </is>
      </c>
      <c r="F3653" t="inlineStr">
        <is>
          <t>Bergvik skog öst AB</t>
        </is>
      </c>
      <c r="G3653" t="n">
        <v>11.4</v>
      </c>
      <c r="H3653" t="n">
        <v>0</v>
      </c>
      <c r="I3653" t="n">
        <v>0</v>
      </c>
      <c r="J3653" t="n">
        <v>0</v>
      </c>
      <c r="K3653" t="n">
        <v>0</v>
      </c>
      <c r="L3653" t="n">
        <v>0</v>
      </c>
      <c r="M3653" t="n">
        <v>0</v>
      </c>
      <c r="N3653" t="n">
        <v>0</v>
      </c>
      <c r="O3653" t="n">
        <v>0</v>
      </c>
      <c r="P3653" t="n">
        <v>0</v>
      </c>
      <c r="Q3653" t="n">
        <v>0</v>
      </c>
      <c r="R3653" s="2" t="inlineStr"/>
    </row>
    <row r="3654" ht="15" customHeight="1">
      <c r="A3654" t="inlineStr">
        <is>
          <t>A 17950-2023</t>
        </is>
      </c>
      <c r="B3654" s="1" t="n">
        <v>45040</v>
      </c>
      <c r="C3654" s="1" t="n">
        <v>45705</v>
      </c>
      <c r="D3654" t="inlineStr">
        <is>
          <t>UPPSALA LÄN</t>
        </is>
      </c>
      <c r="E3654" t="inlineStr">
        <is>
          <t>TIERP</t>
        </is>
      </c>
      <c r="F3654" t="inlineStr">
        <is>
          <t>Bergvik skog väst AB</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18074-2023</t>
        </is>
      </c>
      <c r="B3655" s="1" t="n">
        <v>45040</v>
      </c>
      <c r="C3655" s="1" t="n">
        <v>45705</v>
      </c>
      <c r="D3655" t="inlineStr">
        <is>
          <t>UPPSALA LÄN</t>
        </is>
      </c>
      <c r="E3655" t="inlineStr">
        <is>
          <t>ÖSTHAMMAR</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18030-2023</t>
        </is>
      </c>
      <c r="B3656" s="1" t="n">
        <v>45040</v>
      </c>
      <c r="C3656" s="1" t="n">
        <v>45705</v>
      </c>
      <c r="D3656" t="inlineStr">
        <is>
          <t>UPPSALA LÄN</t>
        </is>
      </c>
      <c r="E3656" t="inlineStr">
        <is>
          <t>ENKÖPING</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18038-2023</t>
        </is>
      </c>
      <c r="B3657" s="1" t="n">
        <v>45040</v>
      </c>
      <c r="C3657" s="1" t="n">
        <v>45705</v>
      </c>
      <c r="D3657" t="inlineStr">
        <is>
          <t>UPPSALA LÄN</t>
        </is>
      </c>
      <c r="E3657" t="inlineStr">
        <is>
          <t>TIERP</t>
        </is>
      </c>
      <c r="F3657" t="inlineStr">
        <is>
          <t>Kyrkan</t>
        </is>
      </c>
      <c r="G3657" t="n">
        <v>5.8</v>
      </c>
      <c r="H3657" t="n">
        <v>0</v>
      </c>
      <c r="I3657" t="n">
        <v>0</v>
      </c>
      <c r="J3657" t="n">
        <v>0</v>
      </c>
      <c r="K3657" t="n">
        <v>0</v>
      </c>
      <c r="L3657" t="n">
        <v>0</v>
      </c>
      <c r="M3657" t="n">
        <v>0</v>
      </c>
      <c r="N3657" t="n">
        <v>0</v>
      </c>
      <c r="O3657" t="n">
        <v>0</v>
      </c>
      <c r="P3657" t="n">
        <v>0</v>
      </c>
      <c r="Q3657" t="n">
        <v>0</v>
      </c>
      <c r="R3657" s="2" t="inlineStr"/>
    </row>
    <row r="3658" ht="15" customHeight="1">
      <c r="A3658" t="inlineStr">
        <is>
          <t>A 18113-2023</t>
        </is>
      </c>
      <c r="B3658" s="1" t="n">
        <v>45040</v>
      </c>
      <c r="C3658" s="1" t="n">
        <v>45705</v>
      </c>
      <c r="D3658" t="inlineStr">
        <is>
          <t>UPPSALA LÄN</t>
        </is>
      </c>
      <c r="E3658" t="inlineStr">
        <is>
          <t>ÖSTHAMMAR</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17944-2023</t>
        </is>
      </c>
      <c r="B3659" s="1" t="n">
        <v>45040</v>
      </c>
      <c r="C3659" s="1" t="n">
        <v>45705</v>
      </c>
      <c r="D3659" t="inlineStr">
        <is>
          <t>UPPSALA LÄN</t>
        </is>
      </c>
      <c r="E3659" t="inlineStr">
        <is>
          <t>TIERP</t>
        </is>
      </c>
      <c r="F3659" t="inlineStr">
        <is>
          <t>Bergvik skog väst AB</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17958-2023</t>
        </is>
      </c>
      <c r="B3660" s="1" t="n">
        <v>45040</v>
      </c>
      <c r="C3660" s="1" t="n">
        <v>45705</v>
      </c>
      <c r="D3660" t="inlineStr">
        <is>
          <t>UPPSALA LÄN</t>
        </is>
      </c>
      <c r="E3660" t="inlineStr">
        <is>
          <t>TIERP</t>
        </is>
      </c>
      <c r="G3660" t="n">
        <v>3.8</v>
      </c>
      <c r="H3660" t="n">
        <v>0</v>
      </c>
      <c r="I3660" t="n">
        <v>0</v>
      </c>
      <c r="J3660" t="n">
        <v>0</v>
      </c>
      <c r="K3660" t="n">
        <v>0</v>
      </c>
      <c r="L3660" t="n">
        <v>0</v>
      </c>
      <c r="M3660" t="n">
        <v>0</v>
      </c>
      <c r="N3660" t="n">
        <v>0</v>
      </c>
      <c r="O3660" t="n">
        <v>0</v>
      </c>
      <c r="P3660" t="n">
        <v>0</v>
      </c>
      <c r="Q3660" t="n">
        <v>0</v>
      </c>
      <c r="R3660" s="2" t="inlineStr"/>
    </row>
    <row r="3661" ht="15" customHeight="1">
      <c r="A3661" t="inlineStr">
        <is>
          <t>A 17969-2023</t>
        </is>
      </c>
      <c r="B3661" s="1" t="n">
        <v>45040</v>
      </c>
      <c r="C3661" s="1" t="n">
        <v>45705</v>
      </c>
      <c r="D3661" t="inlineStr">
        <is>
          <t>UPPSALA LÄN</t>
        </is>
      </c>
      <c r="E3661" t="inlineStr">
        <is>
          <t>ÖSTHAMMAR</t>
        </is>
      </c>
      <c r="G3661" t="n">
        <v>5.4</v>
      </c>
      <c r="H3661" t="n">
        <v>0</v>
      </c>
      <c r="I3661" t="n">
        <v>0</v>
      </c>
      <c r="J3661" t="n">
        <v>0</v>
      </c>
      <c r="K3661" t="n">
        <v>0</v>
      </c>
      <c r="L3661" t="n">
        <v>0</v>
      </c>
      <c r="M3661" t="n">
        <v>0</v>
      </c>
      <c r="N3661" t="n">
        <v>0</v>
      </c>
      <c r="O3661" t="n">
        <v>0</v>
      </c>
      <c r="P3661" t="n">
        <v>0</v>
      </c>
      <c r="Q3661" t="n">
        <v>0</v>
      </c>
      <c r="R3661" s="2" t="inlineStr"/>
    </row>
    <row r="3662" ht="15" customHeight="1">
      <c r="A3662" t="inlineStr">
        <is>
          <t>A 18014-2023</t>
        </is>
      </c>
      <c r="B3662" s="1" t="n">
        <v>45040</v>
      </c>
      <c r="C3662" s="1" t="n">
        <v>45705</v>
      </c>
      <c r="D3662" t="inlineStr">
        <is>
          <t>UPPSALA LÄN</t>
        </is>
      </c>
      <c r="E3662" t="inlineStr">
        <is>
          <t>TIERP</t>
        </is>
      </c>
      <c r="F3662" t="inlineStr">
        <is>
          <t>Bergvik skog väst AB</t>
        </is>
      </c>
      <c r="G3662" t="n">
        <v>17.3</v>
      </c>
      <c r="H3662" t="n">
        <v>0</v>
      </c>
      <c r="I3662" t="n">
        <v>0</v>
      </c>
      <c r="J3662" t="n">
        <v>0</v>
      </c>
      <c r="K3662" t="n">
        <v>0</v>
      </c>
      <c r="L3662" t="n">
        <v>0</v>
      </c>
      <c r="M3662" t="n">
        <v>0</v>
      </c>
      <c r="N3662" t="n">
        <v>0</v>
      </c>
      <c r="O3662" t="n">
        <v>0</v>
      </c>
      <c r="P3662" t="n">
        <v>0</v>
      </c>
      <c r="Q3662" t="n">
        <v>0</v>
      </c>
      <c r="R3662" s="2" t="inlineStr"/>
    </row>
    <row r="3663" ht="15" customHeight="1">
      <c r="A3663" t="inlineStr">
        <is>
          <t>A 18190-2023</t>
        </is>
      </c>
      <c r="B3663" s="1" t="n">
        <v>45041</v>
      </c>
      <c r="C3663" s="1" t="n">
        <v>45705</v>
      </c>
      <c r="D3663" t="inlineStr">
        <is>
          <t>UPPSALA LÄN</t>
        </is>
      </c>
      <c r="E3663" t="inlineStr">
        <is>
          <t>TIERP</t>
        </is>
      </c>
      <c r="F3663" t="inlineStr">
        <is>
          <t>Kyrkan</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18277-2023</t>
        </is>
      </c>
      <c r="B3664" s="1" t="n">
        <v>45041</v>
      </c>
      <c r="C3664" s="1" t="n">
        <v>45705</v>
      </c>
      <c r="D3664" t="inlineStr">
        <is>
          <t>UPPSALA LÄN</t>
        </is>
      </c>
      <c r="E3664" t="inlineStr">
        <is>
          <t>UPPSALA</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18219-2023</t>
        </is>
      </c>
      <c r="B3665" s="1" t="n">
        <v>45041</v>
      </c>
      <c r="C3665" s="1" t="n">
        <v>45705</v>
      </c>
      <c r="D3665" t="inlineStr">
        <is>
          <t>UPPSALA LÄN</t>
        </is>
      </c>
      <c r="E3665" t="inlineStr">
        <is>
          <t>ÖSTHAMMAR</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18275-2023</t>
        </is>
      </c>
      <c r="B3666" s="1" t="n">
        <v>45041</v>
      </c>
      <c r="C3666" s="1" t="n">
        <v>45705</v>
      </c>
      <c r="D3666" t="inlineStr">
        <is>
          <t>UPPSALA LÄN</t>
        </is>
      </c>
      <c r="E3666" t="inlineStr">
        <is>
          <t>UPPSALA</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18278-2023</t>
        </is>
      </c>
      <c r="B3667" s="1" t="n">
        <v>45041</v>
      </c>
      <c r="C3667" s="1" t="n">
        <v>45705</v>
      </c>
      <c r="D3667" t="inlineStr">
        <is>
          <t>UPPSALA LÄN</t>
        </is>
      </c>
      <c r="E3667" t="inlineStr">
        <is>
          <t>UPPSALA</t>
        </is>
      </c>
      <c r="G3667" t="n">
        <v>8.199999999999999</v>
      </c>
      <c r="H3667" t="n">
        <v>0</v>
      </c>
      <c r="I3667" t="n">
        <v>0</v>
      </c>
      <c r="J3667" t="n">
        <v>0</v>
      </c>
      <c r="K3667" t="n">
        <v>0</v>
      </c>
      <c r="L3667" t="n">
        <v>0</v>
      </c>
      <c r="M3667" t="n">
        <v>0</v>
      </c>
      <c r="N3667" t="n">
        <v>0</v>
      </c>
      <c r="O3667" t="n">
        <v>0</v>
      </c>
      <c r="P3667" t="n">
        <v>0</v>
      </c>
      <c r="Q3667" t="n">
        <v>0</v>
      </c>
      <c r="R3667" s="2" t="inlineStr"/>
    </row>
    <row r="3668" ht="15" customHeight="1">
      <c r="A3668" t="inlineStr">
        <is>
          <t>A 18276-2023</t>
        </is>
      </c>
      <c r="B3668" s="1" t="n">
        <v>45041</v>
      </c>
      <c r="C3668" s="1" t="n">
        <v>45705</v>
      </c>
      <c r="D3668" t="inlineStr">
        <is>
          <t>UPPSALA LÄN</t>
        </is>
      </c>
      <c r="E3668" t="inlineStr">
        <is>
          <t>UPPSALA</t>
        </is>
      </c>
      <c r="G3668" t="n">
        <v>6.6</v>
      </c>
      <c r="H3668" t="n">
        <v>0</v>
      </c>
      <c r="I3668" t="n">
        <v>0</v>
      </c>
      <c r="J3668" t="n">
        <v>0</v>
      </c>
      <c r="K3668" t="n">
        <v>0</v>
      </c>
      <c r="L3668" t="n">
        <v>0</v>
      </c>
      <c r="M3668" t="n">
        <v>0</v>
      </c>
      <c r="N3668" t="n">
        <v>0</v>
      </c>
      <c r="O3668" t="n">
        <v>0</v>
      </c>
      <c r="P3668" t="n">
        <v>0</v>
      </c>
      <c r="Q3668" t="n">
        <v>0</v>
      </c>
      <c r="R3668" s="2" t="inlineStr"/>
    </row>
    <row r="3669" ht="15" customHeight="1">
      <c r="A3669" t="inlineStr">
        <is>
          <t>A 18536-2023</t>
        </is>
      </c>
      <c r="B3669" s="1" t="n">
        <v>45042</v>
      </c>
      <c r="C3669" s="1" t="n">
        <v>45705</v>
      </c>
      <c r="D3669" t="inlineStr">
        <is>
          <t>UPPSALA LÄN</t>
        </is>
      </c>
      <c r="E3669" t="inlineStr">
        <is>
          <t>ÖSTHAMMAR</t>
        </is>
      </c>
      <c r="F3669" t="inlineStr">
        <is>
          <t>Bergvik skog öst AB</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18386-2023</t>
        </is>
      </c>
      <c r="B3670" s="1" t="n">
        <v>45042</v>
      </c>
      <c r="C3670" s="1" t="n">
        <v>45705</v>
      </c>
      <c r="D3670" t="inlineStr">
        <is>
          <t>UPPSALA LÄN</t>
        </is>
      </c>
      <c r="E3670" t="inlineStr">
        <is>
          <t>ÖSTHAMMAR</t>
        </is>
      </c>
      <c r="F3670" t="inlineStr">
        <is>
          <t>Bergvik skog öst AB</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18443-2023</t>
        </is>
      </c>
      <c r="B3671" s="1" t="n">
        <v>45042</v>
      </c>
      <c r="C3671" s="1" t="n">
        <v>45705</v>
      </c>
      <c r="D3671" t="inlineStr">
        <is>
          <t>UPPSALA LÄN</t>
        </is>
      </c>
      <c r="E3671" t="inlineStr">
        <is>
          <t>UPPSALA</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18496-2023</t>
        </is>
      </c>
      <c r="B3672" s="1" t="n">
        <v>45042</v>
      </c>
      <c r="C3672" s="1" t="n">
        <v>45705</v>
      </c>
      <c r="D3672" t="inlineStr">
        <is>
          <t>UPPSALA LÄN</t>
        </is>
      </c>
      <c r="E3672" t="inlineStr">
        <is>
          <t>UPPSALA</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18535-2023</t>
        </is>
      </c>
      <c r="B3673" s="1" t="n">
        <v>45042</v>
      </c>
      <c r="C3673" s="1" t="n">
        <v>45705</v>
      </c>
      <c r="D3673" t="inlineStr">
        <is>
          <t>UPPSALA LÄN</t>
        </is>
      </c>
      <c r="E3673" t="inlineStr">
        <is>
          <t>ÖSTHAMMAR</t>
        </is>
      </c>
      <c r="F3673" t="inlineStr">
        <is>
          <t>Bergvik skog öst AB</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18507-2023</t>
        </is>
      </c>
      <c r="B3674" s="1" t="n">
        <v>45042</v>
      </c>
      <c r="C3674" s="1" t="n">
        <v>45705</v>
      </c>
      <c r="D3674" t="inlineStr">
        <is>
          <t>UPPSALA LÄN</t>
        </is>
      </c>
      <c r="E3674" t="inlineStr">
        <is>
          <t>UPPSALA</t>
        </is>
      </c>
      <c r="F3674" t="inlineStr">
        <is>
          <t>Övriga Aktiebolag</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18534-2023</t>
        </is>
      </c>
      <c r="B3675" s="1" t="n">
        <v>45042</v>
      </c>
      <c r="C3675" s="1" t="n">
        <v>45705</v>
      </c>
      <c r="D3675" t="inlineStr">
        <is>
          <t>UPPSALA LÄN</t>
        </is>
      </c>
      <c r="E3675" t="inlineStr">
        <is>
          <t>ÖSTHAMMAR</t>
        </is>
      </c>
      <c r="F3675" t="inlineStr">
        <is>
          <t>Bergvik skog öst AB</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18422-2023</t>
        </is>
      </c>
      <c r="B3676" s="1" t="n">
        <v>45042</v>
      </c>
      <c r="C3676" s="1" t="n">
        <v>45705</v>
      </c>
      <c r="D3676" t="inlineStr">
        <is>
          <t>UPPSALA LÄN</t>
        </is>
      </c>
      <c r="E3676" t="inlineStr">
        <is>
          <t>HEBY</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18472-2023</t>
        </is>
      </c>
      <c r="B3677" s="1" t="n">
        <v>45042</v>
      </c>
      <c r="C3677" s="1" t="n">
        <v>45705</v>
      </c>
      <c r="D3677" t="inlineStr">
        <is>
          <t>UPPSALA LÄN</t>
        </is>
      </c>
      <c r="E3677" t="inlineStr">
        <is>
          <t>UPPSALA</t>
        </is>
      </c>
      <c r="F3677" t="inlineStr">
        <is>
          <t>Övriga Aktiebolag</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18538-2023</t>
        </is>
      </c>
      <c r="B3678" s="1" t="n">
        <v>45042</v>
      </c>
      <c r="C3678" s="1" t="n">
        <v>45705</v>
      </c>
      <c r="D3678" t="inlineStr">
        <is>
          <t>UPPSALA LÄN</t>
        </is>
      </c>
      <c r="E3678" t="inlineStr">
        <is>
          <t>ÖSTHAMMAR</t>
        </is>
      </c>
      <c r="F3678" t="inlineStr">
        <is>
          <t>Bergvik skog öst AB</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18652-2023</t>
        </is>
      </c>
      <c r="B3679" s="1" t="n">
        <v>45043</v>
      </c>
      <c r="C3679" s="1" t="n">
        <v>45705</v>
      </c>
      <c r="D3679" t="inlineStr">
        <is>
          <t>UPPSALA LÄN</t>
        </is>
      </c>
      <c r="E3679" t="inlineStr">
        <is>
          <t>HEBY</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18726-2023</t>
        </is>
      </c>
      <c r="B3680" s="1" t="n">
        <v>45043</v>
      </c>
      <c r="C3680" s="1" t="n">
        <v>45705</v>
      </c>
      <c r="D3680" t="inlineStr">
        <is>
          <t>UPPSALA LÄN</t>
        </is>
      </c>
      <c r="E3680" t="inlineStr">
        <is>
          <t>HEBY</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18641-2023</t>
        </is>
      </c>
      <c r="B3681" s="1" t="n">
        <v>45043</v>
      </c>
      <c r="C3681" s="1" t="n">
        <v>45705</v>
      </c>
      <c r="D3681" t="inlineStr">
        <is>
          <t>UPPSALA LÄN</t>
        </is>
      </c>
      <c r="E3681" t="inlineStr">
        <is>
          <t>TIERP</t>
        </is>
      </c>
      <c r="F3681" t="inlineStr">
        <is>
          <t>Bergvik skog öst AB</t>
        </is>
      </c>
      <c r="G3681" t="n">
        <v>6.1</v>
      </c>
      <c r="H3681" t="n">
        <v>0</v>
      </c>
      <c r="I3681" t="n">
        <v>0</v>
      </c>
      <c r="J3681" t="n">
        <v>0</v>
      </c>
      <c r="K3681" t="n">
        <v>0</v>
      </c>
      <c r="L3681" t="n">
        <v>0</v>
      </c>
      <c r="M3681" t="n">
        <v>0</v>
      </c>
      <c r="N3681" t="n">
        <v>0</v>
      </c>
      <c r="O3681" t="n">
        <v>0</v>
      </c>
      <c r="P3681" t="n">
        <v>0</v>
      </c>
      <c r="Q3681" t="n">
        <v>0</v>
      </c>
      <c r="R3681" s="2" t="inlineStr"/>
    </row>
    <row r="3682" ht="15" customHeight="1">
      <c r="A3682" t="inlineStr">
        <is>
          <t>A 18696-2023</t>
        </is>
      </c>
      <c r="B3682" s="1" t="n">
        <v>45043</v>
      </c>
      <c r="C3682" s="1" t="n">
        <v>45705</v>
      </c>
      <c r="D3682" t="inlineStr">
        <is>
          <t>UPPSALA LÄN</t>
        </is>
      </c>
      <c r="E3682" t="inlineStr">
        <is>
          <t>ENKÖPING</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18710-2023</t>
        </is>
      </c>
      <c r="B3683" s="1" t="n">
        <v>45043</v>
      </c>
      <c r="C3683" s="1" t="n">
        <v>45705</v>
      </c>
      <c r="D3683" t="inlineStr">
        <is>
          <t>UPPSALA LÄN</t>
        </is>
      </c>
      <c r="E3683" t="inlineStr">
        <is>
          <t>UPPSALA</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18743-2023</t>
        </is>
      </c>
      <c r="B3684" s="1" t="n">
        <v>45043</v>
      </c>
      <c r="C3684" s="1" t="n">
        <v>45705</v>
      </c>
      <c r="D3684" t="inlineStr">
        <is>
          <t>UPPSALA LÄN</t>
        </is>
      </c>
      <c r="E3684" t="inlineStr">
        <is>
          <t>HEBY</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18838-2023</t>
        </is>
      </c>
      <c r="B3685" s="1" t="n">
        <v>45044</v>
      </c>
      <c r="C3685" s="1" t="n">
        <v>45705</v>
      </c>
      <c r="D3685" t="inlineStr">
        <is>
          <t>UPPSALA LÄN</t>
        </is>
      </c>
      <c r="E3685" t="inlineStr">
        <is>
          <t>ÖSTHAMMAR</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18798-2023</t>
        </is>
      </c>
      <c r="B3686" s="1" t="n">
        <v>45044</v>
      </c>
      <c r="C3686" s="1" t="n">
        <v>45705</v>
      </c>
      <c r="D3686" t="inlineStr">
        <is>
          <t>UPPSALA LÄN</t>
        </is>
      </c>
      <c r="E3686" t="inlineStr">
        <is>
          <t>HEBY</t>
        </is>
      </c>
      <c r="G3686" t="n">
        <v>5.3</v>
      </c>
      <c r="H3686" t="n">
        <v>0</v>
      </c>
      <c r="I3686" t="n">
        <v>0</v>
      </c>
      <c r="J3686" t="n">
        <v>0</v>
      </c>
      <c r="K3686" t="n">
        <v>0</v>
      </c>
      <c r="L3686" t="n">
        <v>0</v>
      </c>
      <c r="M3686" t="n">
        <v>0</v>
      </c>
      <c r="N3686" t="n">
        <v>0</v>
      </c>
      <c r="O3686" t="n">
        <v>0</v>
      </c>
      <c r="P3686" t="n">
        <v>0</v>
      </c>
      <c r="Q3686" t="n">
        <v>0</v>
      </c>
      <c r="R3686" s="2" t="inlineStr"/>
    </row>
    <row r="3687" ht="15" customHeight="1">
      <c r="A3687" t="inlineStr">
        <is>
          <t>A 18839-2023</t>
        </is>
      </c>
      <c r="B3687" s="1" t="n">
        <v>45044</v>
      </c>
      <c r="C3687" s="1" t="n">
        <v>45705</v>
      </c>
      <c r="D3687" t="inlineStr">
        <is>
          <t>UPPSALA LÄN</t>
        </is>
      </c>
      <c r="E3687" t="inlineStr">
        <is>
          <t>ÖSTHAMMAR</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18841-2023</t>
        </is>
      </c>
      <c r="B3688" s="1" t="n">
        <v>45044</v>
      </c>
      <c r="C3688" s="1" t="n">
        <v>45705</v>
      </c>
      <c r="D3688" t="inlineStr">
        <is>
          <t>UPPSALA LÄN</t>
        </is>
      </c>
      <c r="E3688" t="inlineStr">
        <is>
          <t>ÖSTHAMMAR</t>
        </is>
      </c>
      <c r="G3688" t="n">
        <v>3.9</v>
      </c>
      <c r="H3688" t="n">
        <v>0</v>
      </c>
      <c r="I3688" t="n">
        <v>0</v>
      </c>
      <c r="J3688" t="n">
        <v>0</v>
      </c>
      <c r="K3688" t="n">
        <v>0</v>
      </c>
      <c r="L3688" t="n">
        <v>0</v>
      </c>
      <c r="M3688" t="n">
        <v>0</v>
      </c>
      <c r="N3688" t="n">
        <v>0</v>
      </c>
      <c r="O3688" t="n">
        <v>0</v>
      </c>
      <c r="P3688" t="n">
        <v>0</v>
      </c>
      <c r="Q3688" t="n">
        <v>0</v>
      </c>
      <c r="R3688" s="2" t="inlineStr"/>
    </row>
    <row r="3689" ht="15" customHeight="1">
      <c r="A3689" t="inlineStr">
        <is>
          <t>A 18945-2023</t>
        </is>
      </c>
      <c r="B3689" s="1" t="n">
        <v>45044</v>
      </c>
      <c r="C3689" s="1" t="n">
        <v>45705</v>
      </c>
      <c r="D3689" t="inlineStr">
        <is>
          <t>UPPSALA LÄN</t>
        </is>
      </c>
      <c r="E3689" t="inlineStr">
        <is>
          <t>ÖSTHAMMAR</t>
        </is>
      </c>
      <c r="G3689" t="n">
        <v>3.7</v>
      </c>
      <c r="H3689" t="n">
        <v>0</v>
      </c>
      <c r="I3689" t="n">
        <v>0</v>
      </c>
      <c r="J3689" t="n">
        <v>0</v>
      </c>
      <c r="K3689" t="n">
        <v>0</v>
      </c>
      <c r="L3689" t="n">
        <v>0</v>
      </c>
      <c r="M3689" t="n">
        <v>0</v>
      </c>
      <c r="N3689" t="n">
        <v>0</v>
      </c>
      <c r="O3689" t="n">
        <v>0</v>
      </c>
      <c r="P3689" t="n">
        <v>0</v>
      </c>
      <c r="Q3689" t="n">
        <v>0</v>
      </c>
      <c r="R3689" s="2" t="inlineStr"/>
    </row>
    <row r="3690" ht="15" customHeight="1">
      <c r="A3690" t="inlineStr">
        <is>
          <t>A 18946-2023</t>
        </is>
      </c>
      <c r="B3690" s="1" t="n">
        <v>45044</v>
      </c>
      <c r="C3690" s="1" t="n">
        <v>45705</v>
      </c>
      <c r="D3690" t="inlineStr">
        <is>
          <t>UPPSALA LÄN</t>
        </is>
      </c>
      <c r="E3690" t="inlineStr">
        <is>
          <t>ÖSTHAMMAR</t>
        </is>
      </c>
      <c r="G3690" t="n">
        <v>4.9</v>
      </c>
      <c r="H3690" t="n">
        <v>0</v>
      </c>
      <c r="I3690" t="n">
        <v>0</v>
      </c>
      <c r="J3690" t="n">
        <v>0</v>
      </c>
      <c r="K3690" t="n">
        <v>0</v>
      </c>
      <c r="L3690" t="n">
        <v>0</v>
      </c>
      <c r="M3690" t="n">
        <v>0</v>
      </c>
      <c r="N3690" t="n">
        <v>0</v>
      </c>
      <c r="O3690" t="n">
        <v>0</v>
      </c>
      <c r="P3690" t="n">
        <v>0</v>
      </c>
      <c r="Q3690" t="n">
        <v>0</v>
      </c>
      <c r="R3690" s="2" t="inlineStr"/>
    </row>
    <row r="3691" ht="15" customHeight="1">
      <c r="A3691" t="inlineStr">
        <is>
          <t>A 18821-2023</t>
        </is>
      </c>
      <c r="B3691" s="1" t="n">
        <v>45044</v>
      </c>
      <c r="C3691" s="1" t="n">
        <v>45705</v>
      </c>
      <c r="D3691" t="inlineStr">
        <is>
          <t>UPPSALA LÄN</t>
        </is>
      </c>
      <c r="E3691" t="inlineStr">
        <is>
          <t>ENKÖPING</t>
        </is>
      </c>
      <c r="G3691" t="n">
        <v>6</v>
      </c>
      <c r="H3691" t="n">
        <v>0</v>
      </c>
      <c r="I3691" t="n">
        <v>0</v>
      </c>
      <c r="J3691" t="n">
        <v>0</v>
      </c>
      <c r="K3691" t="n">
        <v>0</v>
      </c>
      <c r="L3691" t="n">
        <v>0</v>
      </c>
      <c r="M3691" t="n">
        <v>0</v>
      </c>
      <c r="N3691" t="n">
        <v>0</v>
      </c>
      <c r="O3691" t="n">
        <v>0</v>
      </c>
      <c r="P3691" t="n">
        <v>0</v>
      </c>
      <c r="Q3691" t="n">
        <v>0</v>
      </c>
      <c r="R3691" s="2" t="inlineStr"/>
    </row>
    <row r="3692" ht="15" customHeight="1">
      <c r="A3692" t="inlineStr">
        <is>
          <t>A 18831-2023</t>
        </is>
      </c>
      <c r="B3692" s="1" t="n">
        <v>45044</v>
      </c>
      <c r="C3692" s="1" t="n">
        <v>45705</v>
      </c>
      <c r="D3692" t="inlineStr">
        <is>
          <t>UPPSALA LÄN</t>
        </is>
      </c>
      <c r="E3692" t="inlineStr">
        <is>
          <t>ENKÖPING</t>
        </is>
      </c>
      <c r="G3692" t="n">
        <v>4.3</v>
      </c>
      <c r="H3692" t="n">
        <v>0</v>
      </c>
      <c r="I3692" t="n">
        <v>0</v>
      </c>
      <c r="J3692" t="n">
        <v>0</v>
      </c>
      <c r="K3692" t="n">
        <v>0</v>
      </c>
      <c r="L3692" t="n">
        <v>0</v>
      </c>
      <c r="M3692" t="n">
        <v>0</v>
      </c>
      <c r="N3692" t="n">
        <v>0</v>
      </c>
      <c r="O3692" t="n">
        <v>0</v>
      </c>
      <c r="P3692" t="n">
        <v>0</v>
      </c>
      <c r="Q3692" t="n">
        <v>0</v>
      </c>
      <c r="R3692" s="2" t="inlineStr"/>
    </row>
    <row r="3693" ht="15" customHeight="1">
      <c r="A3693" t="inlineStr">
        <is>
          <t>A 19012-2023</t>
        </is>
      </c>
      <c r="B3693" s="1" t="n">
        <v>45045</v>
      </c>
      <c r="C3693" s="1" t="n">
        <v>45705</v>
      </c>
      <c r="D3693" t="inlineStr">
        <is>
          <t>UPPSALA LÄN</t>
        </is>
      </c>
      <c r="E3693" t="inlineStr">
        <is>
          <t>ÖSTHAMMAR</t>
        </is>
      </c>
      <c r="F3693" t="inlineStr">
        <is>
          <t>Bergvik skog öst AB</t>
        </is>
      </c>
      <c r="G3693" t="n">
        <v>5.7</v>
      </c>
      <c r="H3693" t="n">
        <v>0</v>
      </c>
      <c r="I3693" t="n">
        <v>0</v>
      </c>
      <c r="J3693" t="n">
        <v>0</v>
      </c>
      <c r="K3693" t="n">
        <v>0</v>
      </c>
      <c r="L3693" t="n">
        <v>0</v>
      </c>
      <c r="M3693" t="n">
        <v>0</v>
      </c>
      <c r="N3693" t="n">
        <v>0</v>
      </c>
      <c r="O3693" t="n">
        <v>0</v>
      </c>
      <c r="P3693" t="n">
        <v>0</v>
      </c>
      <c r="Q3693" t="n">
        <v>0</v>
      </c>
      <c r="R3693" s="2" t="inlineStr"/>
    </row>
    <row r="3694" ht="15" customHeight="1">
      <c r="A3694" t="inlineStr">
        <is>
          <t>A 19015-2023</t>
        </is>
      </c>
      <c r="B3694" s="1" t="n">
        <v>45045</v>
      </c>
      <c r="C3694" s="1" t="n">
        <v>45705</v>
      </c>
      <c r="D3694" t="inlineStr">
        <is>
          <t>UPPSALA LÄN</t>
        </is>
      </c>
      <c r="E3694" t="inlineStr">
        <is>
          <t>ÖSTHAMMAR</t>
        </is>
      </c>
      <c r="F3694" t="inlineStr">
        <is>
          <t>Bergvik skog öst AB</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19010-2023</t>
        </is>
      </c>
      <c r="B3695" s="1" t="n">
        <v>45045</v>
      </c>
      <c r="C3695" s="1" t="n">
        <v>45705</v>
      </c>
      <c r="D3695" t="inlineStr">
        <is>
          <t>UPPSALA LÄN</t>
        </is>
      </c>
      <c r="E3695" t="inlineStr">
        <is>
          <t>ÖSTHAMMAR</t>
        </is>
      </c>
      <c r="F3695" t="inlineStr">
        <is>
          <t>Bergvik skog öst AB</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19014-2023</t>
        </is>
      </c>
      <c r="B3696" s="1" t="n">
        <v>45045</v>
      </c>
      <c r="C3696" s="1" t="n">
        <v>45705</v>
      </c>
      <c r="D3696" t="inlineStr">
        <is>
          <t>UPPSALA LÄN</t>
        </is>
      </c>
      <c r="E3696" t="inlineStr">
        <is>
          <t>ÖSTHAMMAR</t>
        </is>
      </c>
      <c r="F3696" t="inlineStr">
        <is>
          <t>Bergvik skog öst AB</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19009-2023</t>
        </is>
      </c>
      <c r="B3697" s="1" t="n">
        <v>45045</v>
      </c>
      <c r="C3697" s="1" t="n">
        <v>45705</v>
      </c>
      <c r="D3697" t="inlineStr">
        <is>
          <t>UPPSALA LÄN</t>
        </is>
      </c>
      <c r="E3697" t="inlineStr">
        <is>
          <t>ÖSTHAMMAR</t>
        </is>
      </c>
      <c r="F3697" t="inlineStr">
        <is>
          <t>Bergvik skog öst AB</t>
        </is>
      </c>
      <c r="G3697" t="n">
        <v>0.2</v>
      </c>
      <c r="H3697" t="n">
        <v>0</v>
      </c>
      <c r="I3697" t="n">
        <v>0</v>
      </c>
      <c r="J3697" t="n">
        <v>0</v>
      </c>
      <c r="K3697" t="n">
        <v>0</v>
      </c>
      <c r="L3697" t="n">
        <v>0</v>
      </c>
      <c r="M3697" t="n">
        <v>0</v>
      </c>
      <c r="N3697" t="n">
        <v>0</v>
      </c>
      <c r="O3697" t="n">
        <v>0</v>
      </c>
      <c r="P3697" t="n">
        <v>0</v>
      </c>
      <c r="Q3697" t="n">
        <v>0</v>
      </c>
      <c r="R3697" s="2" t="inlineStr"/>
    </row>
    <row r="3698" ht="15" customHeight="1">
      <c r="A3698" t="inlineStr">
        <is>
          <t>A 19172-2023</t>
        </is>
      </c>
      <c r="B3698" s="1" t="n">
        <v>45046</v>
      </c>
      <c r="C3698" s="1" t="n">
        <v>45705</v>
      </c>
      <c r="D3698" t="inlineStr">
        <is>
          <t>UPPSALA LÄN</t>
        </is>
      </c>
      <c r="E3698" t="inlineStr">
        <is>
          <t>TIERP</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19174-2023</t>
        </is>
      </c>
      <c r="B3699" s="1" t="n">
        <v>45046</v>
      </c>
      <c r="C3699" s="1" t="n">
        <v>45705</v>
      </c>
      <c r="D3699" t="inlineStr">
        <is>
          <t>UPPSALA LÄN</t>
        </is>
      </c>
      <c r="E3699" t="inlineStr">
        <is>
          <t>TIERP</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19175-2023</t>
        </is>
      </c>
      <c r="B3700" s="1" t="n">
        <v>45046</v>
      </c>
      <c r="C3700" s="1" t="n">
        <v>45705</v>
      </c>
      <c r="D3700" t="inlineStr">
        <is>
          <t>UPPSALA LÄN</t>
        </is>
      </c>
      <c r="E3700" t="inlineStr">
        <is>
          <t>TIERP</t>
        </is>
      </c>
      <c r="G3700" t="n">
        <v>5.6</v>
      </c>
      <c r="H3700" t="n">
        <v>0</v>
      </c>
      <c r="I3700" t="n">
        <v>0</v>
      </c>
      <c r="J3700" t="n">
        <v>0</v>
      </c>
      <c r="K3700" t="n">
        <v>0</v>
      </c>
      <c r="L3700" t="n">
        <v>0</v>
      </c>
      <c r="M3700" t="n">
        <v>0</v>
      </c>
      <c r="N3700" t="n">
        <v>0</v>
      </c>
      <c r="O3700" t="n">
        <v>0</v>
      </c>
      <c r="P3700" t="n">
        <v>0</v>
      </c>
      <c r="Q3700" t="n">
        <v>0</v>
      </c>
      <c r="R3700" s="2" t="inlineStr"/>
    </row>
    <row r="3701" ht="15" customHeight="1">
      <c r="A3701" t="inlineStr">
        <is>
          <t>A 19041-2023</t>
        </is>
      </c>
      <c r="B3701" s="1" t="n">
        <v>45047</v>
      </c>
      <c r="C3701" s="1" t="n">
        <v>45705</v>
      </c>
      <c r="D3701" t="inlineStr">
        <is>
          <t>UPPSALA LÄN</t>
        </is>
      </c>
      <c r="E3701" t="inlineStr">
        <is>
          <t>ÖSTHAMMAR</t>
        </is>
      </c>
      <c r="F3701" t="inlineStr">
        <is>
          <t>Bergvik skog öst AB</t>
        </is>
      </c>
      <c r="G3701" t="n">
        <v>3.9</v>
      </c>
      <c r="H3701" t="n">
        <v>0</v>
      </c>
      <c r="I3701" t="n">
        <v>0</v>
      </c>
      <c r="J3701" t="n">
        <v>0</v>
      </c>
      <c r="K3701" t="n">
        <v>0</v>
      </c>
      <c r="L3701" t="n">
        <v>0</v>
      </c>
      <c r="M3701" t="n">
        <v>0</v>
      </c>
      <c r="N3701" t="n">
        <v>0</v>
      </c>
      <c r="O3701" t="n">
        <v>0</v>
      </c>
      <c r="P3701" t="n">
        <v>0</v>
      </c>
      <c r="Q3701" t="n">
        <v>0</v>
      </c>
      <c r="R3701" s="2" t="inlineStr"/>
    </row>
    <row r="3702" ht="15" customHeight="1">
      <c r="A3702" t="inlineStr">
        <is>
          <t>A 19017-2023</t>
        </is>
      </c>
      <c r="B3702" s="1" t="n">
        <v>45047</v>
      </c>
      <c r="C3702" s="1" t="n">
        <v>45705</v>
      </c>
      <c r="D3702" t="inlineStr">
        <is>
          <t>UPPSALA LÄN</t>
        </is>
      </c>
      <c r="E3702" t="inlineStr">
        <is>
          <t>UPPSALA</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19040-2023</t>
        </is>
      </c>
      <c r="B3703" s="1" t="n">
        <v>45047</v>
      </c>
      <c r="C3703" s="1" t="n">
        <v>45705</v>
      </c>
      <c r="D3703" t="inlineStr">
        <is>
          <t>UPPSALA LÄN</t>
        </is>
      </c>
      <c r="E3703" t="inlineStr">
        <is>
          <t>ÖSTHAMMAR</t>
        </is>
      </c>
      <c r="F3703" t="inlineStr">
        <is>
          <t>Bergvik skog öst AB</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19102-2023</t>
        </is>
      </c>
      <c r="B3704" s="1" t="n">
        <v>45048</v>
      </c>
      <c r="C3704" s="1" t="n">
        <v>45705</v>
      </c>
      <c r="D3704" t="inlineStr">
        <is>
          <t>UPPSALA LÄN</t>
        </is>
      </c>
      <c r="E3704" t="inlineStr">
        <is>
          <t>ÖSTHAMMAR</t>
        </is>
      </c>
      <c r="F3704" t="inlineStr">
        <is>
          <t>Bergvik skog öst AB</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19099-2023</t>
        </is>
      </c>
      <c r="B3705" s="1" t="n">
        <v>45048</v>
      </c>
      <c r="C3705" s="1" t="n">
        <v>45705</v>
      </c>
      <c r="D3705" t="inlineStr">
        <is>
          <t>UPPSALA LÄN</t>
        </is>
      </c>
      <c r="E3705" t="inlineStr">
        <is>
          <t>ÖSTHAMMAR</t>
        </is>
      </c>
      <c r="F3705" t="inlineStr">
        <is>
          <t>Bergvik skog öst AB</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19097-2023</t>
        </is>
      </c>
      <c r="B3706" s="1" t="n">
        <v>45048</v>
      </c>
      <c r="C3706" s="1" t="n">
        <v>45705</v>
      </c>
      <c r="D3706" t="inlineStr">
        <is>
          <t>UPPSALA LÄN</t>
        </is>
      </c>
      <c r="E3706" t="inlineStr">
        <is>
          <t>ÖSTHAMMAR</t>
        </is>
      </c>
      <c r="F3706" t="inlineStr">
        <is>
          <t>Bergvik skog öst AB</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19129-2023</t>
        </is>
      </c>
      <c r="B3707" s="1" t="n">
        <v>45048</v>
      </c>
      <c r="C3707" s="1" t="n">
        <v>45705</v>
      </c>
      <c r="D3707" t="inlineStr">
        <is>
          <t>UPPSALA LÄN</t>
        </is>
      </c>
      <c r="E3707" t="inlineStr">
        <is>
          <t>TIERP</t>
        </is>
      </c>
      <c r="F3707" t="inlineStr">
        <is>
          <t>Bergvik skog väst AB</t>
        </is>
      </c>
      <c r="G3707" t="n">
        <v>6.4</v>
      </c>
      <c r="H3707" t="n">
        <v>0</v>
      </c>
      <c r="I3707" t="n">
        <v>0</v>
      </c>
      <c r="J3707" t="n">
        <v>0</v>
      </c>
      <c r="K3707" t="n">
        <v>0</v>
      </c>
      <c r="L3707" t="n">
        <v>0</v>
      </c>
      <c r="M3707" t="n">
        <v>0</v>
      </c>
      <c r="N3707" t="n">
        <v>0</v>
      </c>
      <c r="O3707" t="n">
        <v>0</v>
      </c>
      <c r="P3707" t="n">
        <v>0</v>
      </c>
      <c r="Q3707" t="n">
        <v>0</v>
      </c>
      <c r="R3707" s="2" t="inlineStr"/>
    </row>
    <row r="3708" ht="15" customHeight="1">
      <c r="A3708" t="inlineStr">
        <is>
          <t>A 19135-2023</t>
        </is>
      </c>
      <c r="B3708" s="1" t="n">
        <v>45048</v>
      </c>
      <c r="C3708" s="1" t="n">
        <v>45705</v>
      </c>
      <c r="D3708" t="inlineStr">
        <is>
          <t>UPPSALA LÄN</t>
        </is>
      </c>
      <c r="E3708" t="inlineStr">
        <is>
          <t>UPPSALA</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19127-2023</t>
        </is>
      </c>
      <c r="B3709" s="1" t="n">
        <v>45048</v>
      </c>
      <c r="C3709" s="1" t="n">
        <v>45705</v>
      </c>
      <c r="D3709" t="inlineStr">
        <is>
          <t>UPPSALA LÄN</t>
        </is>
      </c>
      <c r="E3709" t="inlineStr">
        <is>
          <t>TIERP</t>
        </is>
      </c>
      <c r="F3709" t="inlineStr">
        <is>
          <t>Bergvik skog väst AB</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19139-2023</t>
        </is>
      </c>
      <c r="B3710" s="1" t="n">
        <v>45048</v>
      </c>
      <c r="C3710" s="1" t="n">
        <v>45705</v>
      </c>
      <c r="D3710" t="inlineStr">
        <is>
          <t>UPPSALA LÄN</t>
        </is>
      </c>
      <c r="E3710" t="inlineStr">
        <is>
          <t>UPPSALA</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19298-2023</t>
        </is>
      </c>
      <c r="B3711" s="1" t="n">
        <v>45048</v>
      </c>
      <c r="C3711" s="1" t="n">
        <v>45705</v>
      </c>
      <c r="D3711" t="inlineStr">
        <is>
          <t>UPPSALA LÄN</t>
        </is>
      </c>
      <c r="E3711" t="inlineStr">
        <is>
          <t>ENKÖPING</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19215-2023</t>
        </is>
      </c>
      <c r="B3712" s="1" t="n">
        <v>45048</v>
      </c>
      <c r="C3712" s="1" t="n">
        <v>45705</v>
      </c>
      <c r="D3712" t="inlineStr">
        <is>
          <t>UPPSALA LÄN</t>
        </is>
      </c>
      <c r="E3712" t="inlineStr">
        <is>
          <t>ÖSTHAMMAR</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19301-2023</t>
        </is>
      </c>
      <c r="B3713" s="1" t="n">
        <v>45048</v>
      </c>
      <c r="C3713" s="1" t="n">
        <v>45705</v>
      </c>
      <c r="D3713" t="inlineStr">
        <is>
          <t>UPPSALA LÄN</t>
        </is>
      </c>
      <c r="E3713" t="inlineStr">
        <is>
          <t>ENKÖPING</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19216-2023</t>
        </is>
      </c>
      <c r="B3714" s="1" t="n">
        <v>45048</v>
      </c>
      <c r="C3714" s="1" t="n">
        <v>45705</v>
      </c>
      <c r="D3714" t="inlineStr">
        <is>
          <t>UPPSALA LÄN</t>
        </is>
      </c>
      <c r="E3714" t="inlineStr">
        <is>
          <t>ÖSTHAMMAR</t>
        </is>
      </c>
      <c r="G3714" t="n">
        <v>11.3</v>
      </c>
      <c r="H3714" t="n">
        <v>0</v>
      </c>
      <c r="I3714" t="n">
        <v>0</v>
      </c>
      <c r="J3714" t="n">
        <v>0</v>
      </c>
      <c r="K3714" t="n">
        <v>0</v>
      </c>
      <c r="L3714" t="n">
        <v>0</v>
      </c>
      <c r="M3714" t="n">
        <v>0</v>
      </c>
      <c r="N3714" t="n">
        <v>0</v>
      </c>
      <c r="O3714" t="n">
        <v>0</v>
      </c>
      <c r="P3714" t="n">
        <v>0</v>
      </c>
      <c r="Q3714" t="n">
        <v>0</v>
      </c>
      <c r="R3714" s="2" t="inlineStr"/>
    </row>
    <row r="3715" ht="15" customHeight="1">
      <c r="A3715" t="inlineStr">
        <is>
          <t>A 19279-2023</t>
        </is>
      </c>
      <c r="B3715" s="1" t="n">
        <v>45049</v>
      </c>
      <c r="C3715" s="1" t="n">
        <v>45705</v>
      </c>
      <c r="D3715" t="inlineStr">
        <is>
          <t>UPPSALA LÄN</t>
        </is>
      </c>
      <c r="E3715" t="inlineStr">
        <is>
          <t>UPPSALA</t>
        </is>
      </c>
      <c r="G3715" t="n">
        <v>5.8</v>
      </c>
      <c r="H3715" t="n">
        <v>0</v>
      </c>
      <c r="I3715" t="n">
        <v>0</v>
      </c>
      <c r="J3715" t="n">
        <v>0</v>
      </c>
      <c r="K3715" t="n">
        <v>0</v>
      </c>
      <c r="L3715" t="n">
        <v>0</v>
      </c>
      <c r="M3715" t="n">
        <v>0</v>
      </c>
      <c r="N3715" t="n">
        <v>0</v>
      </c>
      <c r="O3715" t="n">
        <v>0</v>
      </c>
      <c r="P3715" t="n">
        <v>0</v>
      </c>
      <c r="Q3715" t="n">
        <v>0</v>
      </c>
      <c r="R3715" s="2" t="inlineStr"/>
    </row>
    <row r="3716" ht="15" customHeight="1">
      <c r="A3716" t="inlineStr">
        <is>
          <t>A 19283-2023</t>
        </is>
      </c>
      <c r="B3716" s="1" t="n">
        <v>45049</v>
      </c>
      <c r="C3716" s="1" t="n">
        <v>45705</v>
      </c>
      <c r="D3716" t="inlineStr">
        <is>
          <t>UPPSALA LÄN</t>
        </is>
      </c>
      <c r="E3716" t="inlineStr">
        <is>
          <t>TIERP</t>
        </is>
      </c>
      <c r="G3716" t="n">
        <v>7.5</v>
      </c>
      <c r="H3716" t="n">
        <v>0</v>
      </c>
      <c r="I3716" t="n">
        <v>0</v>
      </c>
      <c r="J3716" t="n">
        <v>0</v>
      </c>
      <c r="K3716" t="n">
        <v>0</v>
      </c>
      <c r="L3716" t="n">
        <v>0</v>
      </c>
      <c r="M3716" t="n">
        <v>0</v>
      </c>
      <c r="N3716" t="n">
        <v>0</v>
      </c>
      <c r="O3716" t="n">
        <v>0</v>
      </c>
      <c r="P3716" t="n">
        <v>0</v>
      </c>
      <c r="Q3716" t="n">
        <v>0</v>
      </c>
      <c r="R3716" s="2" t="inlineStr"/>
    </row>
    <row r="3717" ht="15" customHeight="1">
      <c r="A3717" t="inlineStr">
        <is>
          <t>A 19269-2023</t>
        </is>
      </c>
      <c r="B3717" s="1" t="n">
        <v>45049</v>
      </c>
      <c r="C3717" s="1" t="n">
        <v>45705</v>
      </c>
      <c r="D3717" t="inlineStr">
        <is>
          <t>UPPSALA LÄN</t>
        </is>
      </c>
      <c r="E3717" t="inlineStr">
        <is>
          <t>UPPSALA</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19314-2023</t>
        </is>
      </c>
      <c r="B3718" s="1" t="n">
        <v>45049</v>
      </c>
      <c r="C3718" s="1" t="n">
        <v>45705</v>
      </c>
      <c r="D3718" t="inlineStr">
        <is>
          <t>UPPSALA LÄN</t>
        </is>
      </c>
      <c r="E3718" t="inlineStr">
        <is>
          <t>UPPSALA</t>
        </is>
      </c>
      <c r="G3718" t="n">
        <v>9</v>
      </c>
      <c r="H3718" t="n">
        <v>0</v>
      </c>
      <c r="I3718" t="n">
        <v>0</v>
      </c>
      <c r="J3718" t="n">
        <v>0</v>
      </c>
      <c r="K3718" t="n">
        <v>0</v>
      </c>
      <c r="L3718" t="n">
        <v>0</v>
      </c>
      <c r="M3718" t="n">
        <v>0</v>
      </c>
      <c r="N3718" t="n">
        <v>0</v>
      </c>
      <c r="O3718" t="n">
        <v>0</v>
      </c>
      <c r="P3718" t="n">
        <v>0</v>
      </c>
      <c r="Q3718" t="n">
        <v>0</v>
      </c>
      <c r="R3718" s="2" t="inlineStr"/>
    </row>
    <row r="3719" ht="15" customHeight="1">
      <c r="A3719" t="inlineStr">
        <is>
          <t>A 19320-2023</t>
        </is>
      </c>
      <c r="B3719" s="1" t="n">
        <v>45049</v>
      </c>
      <c r="C3719" s="1" t="n">
        <v>45705</v>
      </c>
      <c r="D3719" t="inlineStr">
        <is>
          <t>UPPSALA LÄN</t>
        </is>
      </c>
      <c r="E3719" t="inlineStr">
        <is>
          <t>UPPSALA</t>
        </is>
      </c>
      <c r="G3719" t="n">
        <v>17.5</v>
      </c>
      <c r="H3719" t="n">
        <v>0</v>
      </c>
      <c r="I3719" t="n">
        <v>0</v>
      </c>
      <c r="J3719" t="n">
        <v>0</v>
      </c>
      <c r="K3719" t="n">
        <v>0</v>
      </c>
      <c r="L3719" t="n">
        <v>0</v>
      </c>
      <c r="M3719" t="n">
        <v>0</v>
      </c>
      <c r="N3719" t="n">
        <v>0</v>
      </c>
      <c r="O3719" t="n">
        <v>0</v>
      </c>
      <c r="P3719" t="n">
        <v>0</v>
      </c>
      <c r="Q3719" t="n">
        <v>0</v>
      </c>
      <c r="R3719" s="2" t="inlineStr"/>
    </row>
    <row r="3720" ht="15" customHeight="1">
      <c r="A3720" t="inlineStr">
        <is>
          <t>A 19339-2023</t>
        </is>
      </c>
      <c r="B3720" s="1" t="n">
        <v>45049</v>
      </c>
      <c r="C3720" s="1" t="n">
        <v>45705</v>
      </c>
      <c r="D3720" t="inlineStr">
        <is>
          <t>UPPSALA LÄN</t>
        </is>
      </c>
      <c r="E3720" t="inlineStr">
        <is>
          <t>UPPSALA</t>
        </is>
      </c>
      <c r="G3720" t="n">
        <v>6.9</v>
      </c>
      <c r="H3720" t="n">
        <v>0</v>
      </c>
      <c r="I3720" t="n">
        <v>0</v>
      </c>
      <c r="J3720" t="n">
        <v>0</v>
      </c>
      <c r="K3720" t="n">
        <v>0</v>
      </c>
      <c r="L3720" t="n">
        <v>0</v>
      </c>
      <c r="M3720" t="n">
        <v>0</v>
      </c>
      <c r="N3720" t="n">
        <v>0</v>
      </c>
      <c r="O3720" t="n">
        <v>0</v>
      </c>
      <c r="P3720" t="n">
        <v>0</v>
      </c>
      <c r="Q3720" t="n">
        <v>0</v>
      </c>
      <c r="R3720" s="2" t="inlineStr"/>
    </row>
    <row r="3721" ht="15" customHeight="1">
      <c r="A3721" t="inlineStr">
        <is>
          <t>A 19380-2023</t>
        </is>
      </c>
      <c r="B3721" s="1" t="n">
        <v>45049</v>
      </c>
      <c r="C3721" s="1" t="n">
        <v>45705</v>
      </c>
      <c r="D3721" t="inlineStr">
        <is>
          <t>UPPSALA LÄN</t>
        </is>
      </c>
      <c r="E3721" t="inlineStr">
        <is>
          <t>UPPSALA</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19411-2023</t>
        </is>
      </c>
      <c r="B3722" s="1" t="n">
        <v>45049</v>
      </c>
      <c r="C3722" s="1" t="n">
        <v>45705</v>
      </c>
      <c r="D3722" t="inlineStr">
        <is>
          <t>UPPSALA LÄN</t>
        </is>
      </c>
      <c r="E3722" t="inlineStr">
        <is>
          <t>UPPSALA</t>
        </is>
      </c>
      <c r="G3722" t="n">
        <v>12.6</v>
      </c>
      <c r="H3722" t="n">
        <v>0</v>
      </c>
      <c r="I3722" t="n">
        <v>0</v>
      </c>
      <c r="J3722" t="n">
        <v>0</v>
      </c>
      <c r="K3722" t="n">
        <v>0</v>
      </c>
      <c r="L3722" t="n">
        <v>0</v>
      </c>
      <c r="M3722" t="n">
        <v>0</v>
      </c>
      <c r="N3722" t="n">
        <v>0</v>
      </c>
      <c r="O3722" t="n">
        <v>0</v>
      </c>
      <c r="P3722" t="n">
        <v>0</v>
      </c>
      <c r="Q3722" t="n">
        <v>0</v>
      </c>
      <c r="R3722" s="2" t="inlineStr"/>
    </row>
    <row r="3723" ht="15" customHeight="1">
      <c r="A3723" t="inlineStr">
        <is>
          <t>A 19272-2023</t>
        </is>
      </c>
      <c r="B3723" s="1" t="n">
        <v>45049</v>
      </c>
      <c r="C3723" s="1" t="n">
        <v>45705</v>
      </c>
      <c r="D3723" t="inlineStr">
        <is>
          <t>UPPSALA LÄN</t>
        </is>
      </c>
      <c r="E3723" t="inlineStr">
        <is>
          <t>UPPSALA</t>
        </is>
      </c>
      <c r="G3723" t="n">
        <v>4.9</v>
      </c>
      <c r="H3723" t="n">
        <v>0</v>
      </c>
      <c r="I3723" t="n">
        <v>0</v>
      </c>
      <c r="J3723" t="n">
        <v>0</v>
      </c>
      <c r="K3723" t="n">
        <v>0</v>
      </c>
      <c r="L3723" t="n">
        <v>0</v>
      </c>
      <c r="M3723" t="n">
        <v>0</v>
      </c>
      <c r="N3723" t="n">
        <v>0</v>
      </c>
      <c r="O3723" t="n">
        <v>0</v>
      </c>
      <c r="P3723" t="n">
        <v>0</v>
      </c>
      <c r="Q3723" t="n">
        <v>0</v>
      </c>
      <c r="R3723" s="2" t="inlineStr"/>
    </row>
    <row r="3724" ht="15" customHeight="1">
      <c r="A3724" t="inlineStr">
        <is>
          <t>A 19276-2023</t>
        </is>
      </c>
      <c r="B3724" s="1" t="n">
        <v>45049</v>
      </c>
      <c r="C3724" s="1" t="n">
        <v>45705</v>
      </c>
      <c r="D3724" t="inlineStr">
        <is>
          <t>UPPSALA LÄN</t>
        </is>
      </c>
      <c r="E3724" t="inlineStr">
        <is>
          <t>UPPSALA</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19317-2023</t>
        </is>
      </c>
      <c r="B3725" s="1" t="n">
        <v>45049</v>
      </c>
      <c r="C3725" s="1" t="n">
        <v>45705</v>
      </c>
      <c r="D3725" t="inlineStr">
        <is>
          <t>UPPSALA LÄN</t>
        </is>
      </c>
      <c r="E3725" t="inlineStr">
        <is>
          <t>UPPSALA</t>
        </is>
      </c>
      <c r="G3725" t="n">
        <v>15.4</v>
      </c>
      <c r="H3725" t="n">
        <v>0</v>
      </c>
      <c r="I3725" t="n">
        <v>0</v>
      </c>
      <c r="J3725" t="n">
        <v>0</v>
      </c>
      <c r="K3725" t="n">
        <v>0</v>
      </c>
      <c r="L3725" t="n">
        <v>0</v>
      </c>
      <c r="M3725" t="n">
        <v>0</v>
      </c>
      <c r="N3725" t="n">
        <v>0</v>
      </c>
      <c r="O3725" t="n">
        <v>0</v>
      </c>
      <c r="P3725" t="n">
        <v>0</v>
      </c>
      <c r="Q3725" t="n">
        <v>0</v>
      </c>
      <c r="R3725" s="2" t="inlineStr"/>
    </row>
    <row r="3726" ht="15" customHeight="1">
      <c r="A3726" t="inlineStr">
        <is>
          <t>A 19409-2023</t>
        </is>
      </c>
      <c r="B3726" s="1" t="n">
        <v>45049</v>
      </c>
      <c r="C3726" s="1" t="n">
        <v>45705</v>
      </c>
      <c r="D3726" t="inlineStr">
        <is>
          <t>UPPSALA LÄN</t>
        </is>
      </c>
      <c r="E3726" t="inlineStr">
        <is>
          <t>UPPSALA</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19415-2023</t>
        </is>
      </c>
      <c r="B3727" s="1" t="n">
        <v>45049</v>
      </c>
      <c r="C3727" s="1" t="n">
        <v>45705</v>
      </c>
      <c r="D3727" t="inlineStr">
        <is>
          <t>UPPSALA LÄN</t>
        </is>
      </c>
      <c r="E3727" t="inlineStr">
        <is>
          <t>ENKÖPING</t>
        </is>
      </c>
      <c r="G3727" t="n">
        <v>4.3</v>
      </c>
      <c r="H3727" t="n">
        <v>0</v>
      </c>
      <c r="I3727" t="n">
        <v>0</v>
      </c>
      <c r="J3727" t="n">
        <v>0</v>
      </c>
      <c r="K3727" t="n">
        <v>0</v>
      </c>
      <c r="L3727" t="n">
        <v>0</v>
      </c>
      <c r="M3727" t="n">
        <v>0</v>
      </c>
      <c r="N3727" t="n">
        <v>0</v>
      </c>
      <c r="O3727" t="n">
        <v>0</v>
      </c>
      <c r="P3727" t="n">
        <v>0</v>
      </c>
      <c r="Q3727" t="n">
        <v>0</v>
      </c>
      <c r="R3727" s="2" t="inlineStr"/>
    </row>
    <row r="3728" ht="15" customHeight="1">
      <c r="A3728" t="inlineStr">
        <is>
          <t>A 19455-2023</t>
        </is>
      </c>
      <c r="B3728" s="1" t="n">
        <v>45050</v>
      </c>
      <c r="C3728" s="1" t="n">
        <v>45705</v>
      </c>
      <c r="D3728" t="inlineStr">
        <is>
          <t>UPPSALA LÄN</t>
        </is>
      </c>
      <c r="E3728" t="inlineStr">
        <is>
          <t>UPPSALA</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19515-2023</t>
        </is>
      </c>
      <c r="B3729" s="1" t="n">
        <v>45050</v>
      </c>
      <c r="C3729" s="1" t="n">
        <v>45705</v>
      </c>
      <c r="D3729" t="inlineStr">
        <is>
          <t>UPPSALA LÄN</t>
        </is>
      </c>
      <c r="E3729" t="inlineStr">
        <is>
          <t>UPPSALA</t>
        </is>
      </c>
      <c r="G3729" t="n">
        <v>11.2</v>
      </c>
      <c r="H3729" t="n">
        <v>0</v>
      </c>
      <c r="I3729" t="n">
        <v>0</v>
      </c>
      <c r="J3729" t="n">
        <v>0</v>
      </c>
      <c r="K3729" t="n">
        <v>0</v>
      </c>
      <c r="L3729" t="n">
        <v>0</v>
      </c>
      <c r="M3729" t="n">
        <v>0</v>
      </c>
      <c r="N3729" t="n">
        <v>0</v>
      </c>
      <c r="O3729" t="n">
        <v>0</v>
      </c>
      <c r="P3729" t="n">
        <v>0</v>
      </c>
      <c r="Q3729" t="n">
        <v>0</v>
      </c>
      <c r="R3729" s="2" t="inlineStr"/>
    </row>
    <row r="3730" ht="15" customHeight="1">
      <c r="A3730" t="inlineStr">
        <is>
          <t>A 19447-2023</t>
        </is>
      </c>
      <c r="B3730" s="1" t="n">
        <v>45050</v>
      </c>
      <c r="C3730" s="1" t="n">
        <v>45705</v>
      </c>
      <c r="D3730" t="inlineStr">
        <is>
          <t>UPPSALA LÄN</t>
        </is>
      </c>
      <c r="E3730" t="inlineStr">
        <is>
          <t>UPPSALA</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19454-2023</t>
        </is>
      </c>
      <c r="B3731" s="1" t="n">
        <v>45050</v>
      </c>
      <c r="C3731" s="1" t="n">
        <v>45705</v>
      </c>
      <c r="D3731" t="inlineStr">
        <is>
          <t>UPPSALA LÄN</t>
        </is>
      </c>
      <c r="E3731" t="inlineStr">
        <is>
          <t>HEBY</t>
        </is>
      </c>
      <c r="F3731" t="inlineStr">
        <is>
          <t>Kyrkan</t>
        </is>
      </c>
      <c r="G3731" t="n">
        <v>4.7</v>
      </c>
      <c r="H3731" t="n">
        <v>0</v>
      </c>
      <c r="I3731" t="n">
        <v>0</v>
      </c>
      <c r="J3731" t="n">
        <v>0</v>
      </c>
      <c r="K3731" t="n">
        <v>0</v>
      </c>
      <c r="L3731" t="n">
        <v>0</v>
      </c>
      <c r="M3731" t="n">
        <v>0</v>
      </c>
      <c r="N3731" t="n">
        <v>0</v>
      </c>
      <c r="O3731" t="n">
        <v>0</v>
      </c>
      <c r="P3731" t="n">
        <v>0</v>
      </c>
      <c r="Q3731" t="n">
        <v>0</v>
      </c>
      <c r="R3731" s="2" t="inlineStr"/>
    </row>
    <row r="3732" ht="15" customHeight="1">
      <c r="A3732" t="inlineStr">
        <is>
          <t>A 19513-2023</t>
        </is>
      </c>
      <c r="B3732" s="1" t="n">
        <v>45050</v>
      </c>
      <c r="C3732" s="1" t="n">
        <v>45705</v>
      </c>
      <c r="D3732" t="inlineStr">
        <is>
          <t>UPPSALA LÄN</t>
        </is>
      </c>
      <c r="E3732" t="inlineStr">
        <is>
          <t>UPPSALA</t>
        </is>
      </c>
      <c r="G3732" t="n">
        <v>6.6</v>
      </c>
      <c r="H3732" t="n">
        <v>0</v>
      </c>
      <c r="I3732" t="n">
        <v>0</v>
      </c>
      <c r="J3732" t="n">
        <v>0</v>
      </c>
      <c r="K3732" t="n">
        <v>0</v>
      </c>
      <c r="L3732" t="n">
        <v>0</v>
      </c>
      <c r="M3732" t="n">
        <v>0</v>
      </c>
      <c r="N3732" t="n">
        <v>0</v>
      </c>
      <c r="O3732" t="n">
        <v>0</v>
      </c>
      <c r="P3732" t="n">
        <v>0</v>
      </c>
      <c r="Q3732" t="n">
        <v>0</v>
      </c>
      <c r="R3732" s="2" t="inlineStr"/>
    </row>
    <row r="3733" ht="15" customHeight="1">
      <c r="A3733" t="inlineStr">
        <is>
          <t>A 19516-2023</t>
        </is>
      </c>
      <c r="B3733" s="1" t="n">
        <v>45050</v>
      </c>
      <c r="C3733" s="1" t="n">
        <v>45705</v>
      </c>
      <c r="D3733" t="inlineStr">
        <is>
          <t>UPPSALA LÄN</t>
        </is>
      </c>
      <c r="E3733" t="inlineStr">
        <is>
          <t>UPPSALA</t>
        </is>
      </c>
      <c r="G3733" t="n">
        <v>4.5</v>
      </c>
      <c r="H3733" t="n">
        <v>0</v>
      </c>
      <c r="I3733" t="n">
        <v>0</v>
      </c>
      <c r="J3733" t="n">
        <v>0</v>
      </c>
      <c r="K3733" t="n">
        <v>0</v>
      </c>
      <c r="L3733" t="n">
        <v>0</v>
      </c>
      <c r="M3733" t="n">
        <v>0</v>
      </c>
      <c r="N3733" t="n">
        <v>0</v>
      </c>
      <c r="O3733" t="n">
        <v>0</v>
      </c>
      <c r="P3733" t="n">
        <v>0</v>
      </c>
      <c r="Q3733" t="n">
        <v>0</v>
      </c>
      <c r="R3733" s="2" t="inlineStr"/>
    </row>
    <row r="3734" ht="15" customHeight="1">
      <c r="A3734" t="inlineStr">
        <is>
          <t>A 19741-2023</t>
        </is>
      </c>
      <c r="B3734" s="1" t="n">
        <v>45050</v>
      </c>
      <c r="C3734" s="1" t="n">
        <v>45705</v>
      </c>
      <c r="D3734" t="inlineStr">
        <is>
          <t>UPPSALA LÄN</t>
        </is>
      </c>
      <c r="E3734" t="inlineStr">
        <is>
          <t>HEBY</t>
        </is>
      </c>
      <c r="F3734" t="inlineStr">
        <is>
          <t>Bergvik skog väst AB</t>
        </is>
      </c>
      <c r="G3734" t="n">
        <v>7.3</v>
      </c>
      <c r="H3734" t="n">
        <v>0</v>
      </c>
      <c r="I3734" t="n">
        <v>0</v>
      </c>
      <c r="J3734" t="n">
        <v>0</v>
      </c>
      <c r="K3734" t="n">
        <v>0</v>
      </c>
      <c r="L3734" t="n">
        <v>0</v>
      </c>
      <c r="M3734" t="n">
        <v>0</v>
      </c>
      <c r="N3734" t="n">
        <v>0</v>
      </c>
      <c r="O3734" t="n">
        <v>0</v>
      </c>
      <c r="P3734" t="n">
        <v>0</v>
      </c>
      <c r="Q3734" t="n">
        <v>0</v>
      </c>
      <c r="R3734" s="2" t="inlineStr"/>
    </row>
    <row r="3735" ht="15" customHeight="1">
      <c r="A3735" t="inlineStr">
        <is>
          <t>A 19718-2023</t>
        </is>
      </c>
      <c r="B3735" s="1" t="n">
        <v>45050</v>
      </c>
      <c r="C3735" s="1" t="n">
        <v>45705</v>
      </c>
      <c r="D3735" t="inlineStr">
        <is>
          <t>UPPSALA LÄN</t>
        </is>
      </c>
      <c r="E3735" t="inlineStr">
        <is>
          <t>HEBY</t>
        </is>
      </c>
      <c r="F3735" t="inlineStr">
        <is>
          <t>Bergvik skog väst AB</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19751-2023</t>
        </is>
      </c>
      <c r="B3736" s="1" t="n">
        <v>45050</v>
      </c>
      <c r="C3736" s="1" t="n">
        <v>45705</v>
      </c>
      <c r="D3736" t="inlineStr">
        <is>
          <t>UPPSALA LÄN</t>
        </is>
      </c>
      <c r="E3736" t="inlineStr">
        <is>
          <t>HEBY</t>
        </is>
      </c>
      <c r="F3736" t="inlineStr">
        <is>
          <t>Bergvik skog väst AB</t>
        </is>
      </c>
      <c r="G3736" t="n">
        <v>2.3</v>
      </c>
      <c r="H3736" t="n">
        <v>0</v>
      </c>
      <c r="I3736" t="n">
        <v>0</v>
      </c>
      <c r="J3736" t="n">
        <v>0</v>
      </c>
      <c r="K3736" t="n">
        <v>0</v>
      </c>
      <c r="L3736" t="n">
        <v>0</v>
      </c>
      <c r="M3736" t="n">
        <v>0</v>
      </c>
      <c r="N3736" t="n">
        <v>0</v>
      </c>
      <c r="O3736" t="n">
        <v>0</v>
      </c>
      <c r="P3736" t="n">
        <v>0</v>
      </c>
      <c r="Q3736" t="n">
        <v>0</v>
      </c>
      <c r="R3736" s="2" t="inlineStr"/>
      <c r="U3736">
        <f>HYPERLINK("https://klasma.github.io/Logging_0331/knärot/A 19751-2023 karta knärot.png", "A 19751-2023")</f>
        <v/>
      </c>
      <c r="V3736">
        <f>HYPERLINK("https://klasma.github.io/Logging_0331/klagomål/A 19751-2023 FSC-klagomål.docx", "A 19751-2023")</f>
        <v/>
      </c>
      <c r="W3736">
        <f>HYPERLINK("https://klasma.github.io/Logging_0331/klagomålsmail/A 19751-2023 FSC-klagomål mail.docx", "A 19751-2023")</f>
        <v/>
      </c>
      <c r="X3736">
        <f>HYPERLINK("https://klasma.github.io/Logging_0331/tillsyn/A 19751-2023 tillsynsbegäran.docx", "A 19751-2023")</f>
        <v/>
      </c>
      <c r="Y3736">
        <f>HYPERLINK("https://klasma.github.io/Logging_0331/tillsynsmail/A 19751-2023 tillsynsbegäran mail.docx", "A 19751-2023")</f>
        <v/>
      </c>
    </row>
    <row r="3737" ht="15" customHeight="1">
      <c r="A3737" t="inlineStr">
        <is>
          <t>A 19764-2023</t>
        </is>
      </c>
      <c r="B3737" s="1" t="n">
        <v>45050</v>
      </c>
      <c r="C3737" s="1" t="n">
        <v>45705</v>
      </c>
      <c r="D3737" t="inlineStr">
        <is>
          <t>UPPSALA LÄN</t>
        </is>
      </c>
      <c r="E3737" t="inlineStr">
        <is>
          <t>HEBY</t>
        </is>
      </c>
      <c r="F3737" t="inlineStr">
        <is>
          <t>Bergvik skog väst AB</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19754-2023</t>
        </is>
      </c>
      <c r="B3738" s="1" t="n">
        <v>45050</v>
      </c>
      <c r="C3738" s="1" t="n">
        <v>45705</v>
      </c>
      <c r="D3738" t="inlineStr">
        <is>
          <t>UPPSALA LÄN</t>
        </is>
      </c>
      <c r="E3738" t="inlineStr">
        <is>
          <t>HEBY</t>
        </is>
      </c>
      <c r="F3738" t="inlineStr">
        <is>
          <t>Bergvik skog väst AB</t>
        </is>
      </c>
      <c r="G3738" t="n">
        <v>10.4</v>
      </c>
      <c r="H3738" t="n">
        <v>0</v>
      </c>
      <c r="I3738" t="n">
        <v>0</v>
      </c>
      <c r="J3738" t="n">
        <v>0</v>
      </c>
      <c r="K3738" t="n">
        <v>0</v>
      </c>
      <c r="L3738" t="n">
        <v>0</v>
      </c>
      <c r="M3738" t="n">
        <v>0</v>
      </c>
      <c r="N3738" t="n">
        <v>0</v>
      </c>
      <c r="O3738" t="n">
        <v>0</v>
      </c>
      <c r="P3738" t="n">
        <v>0</v>
      </c>
      <c r="Q3738" t="n">
        <v>0</v>
      </c>
      <c r="R3738" s="2" t="inlineStr"/>
    </row>
    <row r="3739" ht="15" customHeight="1">
      <c r="A3739" t="inlineStr">
        <is>
          <t>A 19737-2023</t>
        </is>
      </c>
      <c r="B3739" s="1" t="n">
        <v>45050</v>
      </c>
      <c r="C3739" s="1" t="n">
        <v>45705</v>
      </c>
      <c r="D3739" t="inlineStr">
        <is>
          <t>UPPSALA LÄN</t>
        </is>
      </c>
      <c r="E3739" t="inlineStr">
        <is>
          <t>HEBY</t>
        </is>
      </c>
      <c r="F3739" t="inlineStr">
        <is>
          <t>Bergvik skog väst AB</t>
        </is>
      </c>
      <c r="G3739" t="n">
        <v>10.4</v>
      </c>
      <c r="H3739" t="n">
        <v>0</v>
      </c>
      <c r="I3739" t="n">
        <v>0</v>
      </c>
      <c r="J3739" t="n">
        <v>0</v>
      </c>
      <c r="K3739" t="n">
        <v>0</v>
      </c>
      <c r="L3739" t="n">
        <v>0</v>
      </c>
      <c r="M3739" t="n">
        <v>0</v>
      </c>
      <c r="N3739" t="n">
        <v>0</v>
      </c>
      <c r="O3739" t="n">
        <v>0</v>
      </c>
      <c r="P3739" t="n">
        <v>0</v>
      </c>
      <c r="Q3739" t="n">
        <v>0</v>
      </c>
      <c r="R3739" s="2" t="inlineStr"/>
    </row>
    <row r="3740" ht="15" customHeight="1">
      <c r="A3740" t="inlineStr">
        <is>
          <t>A 19791-2023</t>
        </is>
      </c>
      <c r="B3740" s="1" t="n">
        <v>45051</v>
      </c>
      <c r="C3740" s="1" t="n">
        <v>45705</v>
      </c>
      <c r="D3740" t="inlineStr">
        <is>
          <t>UPPSALA LÄN</t>
        </is>
      </c>
      <c r="E3740" t="inlineStr">
        <is>
          <t>TIERP</t>
        </is>
      </c>
      <c r="G3740" t="n">
        <v>8.1</v>
      </c>
      <c r="H3740" t="n">
        <v>0</v>
      </c>
      <c r="I3740" t="n">
        <v>0</v>
      </c>
      <c r="J3740" t="n">
        <v>0</v>
      </c>
      <c r="K3740" t="n">
        <v>0</v>
      </c>
      <c r="L3740" t="n">
        <v>0</v>
      </c>
      <c r="M3740" t="n">
        <v>0</v>
      </c>
      <c r="N3740" t="n">
        <v>0</v>
      </c>
      <c r="O3740" t="n">
        <v>0</v>
      </c>
      <c r="P3740" t="n">
        <v>0</v>
      </c>
      <c r="Q3740" t="n">
        <v>0</v>
      </c>
      <c r="R3740" s="2" t="inlineStr"/>
    </row>
    <row r="3741" ht="15" customHeight="1">
      <c r="A3741" t="inlineStr">
        <is>
          <t>A 19784-2023</t>
        </is>
      </c>
      <c r="B3741" s="1" t="n">
        <v>45051</v>
      </c>
      <c r="C3741" s="1" t="n">
        <v>45705</v>
      </c>
      <c r="D3741" t="inlineStr">
        <is>
          <t>UPPSALA LÄN</t>
        </is>
      </c>
      <c r="E3741" t="inlineStr">
        <is>
          <t>ÖSTHAMMAR</t>
        </is>
      </c>
      <c r="G3741" t="n">
        <v>4.2</v>
      </c>
      <c r="H3741" t="n">
        <v>0</v>
      </c>
      <c r="I3741" t="n">
        <v>0</v>
      </c>
      <c r="J3741" t="n">
        <v>0</v>
      </c>
      <c r="K3741" t="n">
        <v>0</v>
      </c>
      <c r="L3741" t="n">
        <v>0</v>
      </c>
      <c r="M3741" t="n">
        <v>0</v>
      </c>
      <c r="N3741" t="n">
        <v>0</v>
      </c>
      <c r="O3741" t="n">
        <v>0</v>
      </c>
      <c r="P3741" t="n">
        <v>0</v>
      </c>
      <c r="Q3741" t="n">
        <v>0</v>
      </c>
      <c r="R3741" s="2" t="inlineStr"/>
    </row>
    <row r="3742" ht="15" customHeight="1">
      <c r="A3742" t="inlineStr">
        <is>
          <t>A 19801-2023</t>
        </is>
      </c>
      <c r="B3742" s="1" t="n">
        <v>45051</v>
      </c>
      <c r="C3742" s="1" t="n">
        <v>45705</v>
      </c>
      <c r="D3742" t="inlineStr">
        <is>
          <t>UPPSALA LÄN</t>
        </is>
      </c>
      <c r="E3742" t="inlineStr">
        <is>
          <t>ÖSTHAMMAR</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19920-2023</t>
        </is>
      </c>
      <c r="B3743" s="1" t="n">
        <v>45054</v>
      </c>
      <c r="C3743" s="1" t="n">
        <v>45705</v>
      </c>
      <c r="D3743" t="inlineStr">
        <is>
          <t>UPPSALA LÄN</t>
        </is>
      </c>
      <c r="E3743" t="inlineStr">
        <is>
          <t>UPPSALA</t>
        </is>
      </c>
      <c r="G3743" t="n">
        <v>5.6</v>
      </c>
      <c r="H3743" t="n">
        <v>0</v>
      </c>
      <c r="I3743" t="n">
        <v>0</v>
      </c>
      <c r="J3743" t="n">
        <v>0</v>
      </c>
      <c r="K3743" t="n">
        <v>0</v>
      </c>
      <c r="L3743" t="n">
        <v>0</v>
      </c>
      <c r="M3743" t="n">
        <v>0</v>
      </c>
      <c r="N3743" t="n">
        <v>0</v>
      </c>
      <c r="O3743" t="n">
        <v>0</v>
      </c>
      <c r="P3743" t="n">
        <v>0</v>
      </c>
      <c r="Q3743" t="n">
        <v>0</v>
      </c>
      <c r="R3743" s="2" t="inlineStr"/>
    </row>
    <row r="3744" ht="15" customHeight="1">
      <c r="A3744" t="inlineStr">
        <is>
          <t>A 19968-2023</t>
        </is>
      </c>
      <c r="B3744" s="1" t="n">
        <v>45054</v>
      </c>
      <c r="C3744" s="1" t="n">
        <v>45705</v>
      </c>
      <c r="D3744" t="inlineStr">
        <is>
          <t>UPPSALA LÄN</t>
        </is>
      </c>
      <c r="E3744" t="inlineStr">
        <is>
          <t>ÖSTHAMMAR</t>
        </is>
      </c>
      <c r="G3744" t="n">
        <v>5.8</v>
      </c>
      <c r="H3744" t="n">
        <v>0</v>
      </c>
      <c r="I3744" t="n">
        <v>0</v>
      </c>
      <c r="J3744" t="n">
        <v>0</v>
      </c>
      <c r="K3744" t="n">
        <v>0</v>
      </c>
      <c r="L3744" t="n">
        <v>0</v>
      </c>
      <c r="M3744" t="n">
        <v>0</v>
      </c>
      <c r="N3744" t="n">
        <v>0</v>
      </c>
      <c r="O3744" t="n">
        <v>0</v>
      </c>
      <c r="P3744" t="n">
        <v>0</v>
      </c>
      <c r="Q3744" t="n">
        <v>0</v>
      </c>
      <c r="R3744" s="2" t="inlineStr"/>
    </row>
    <row r="3745" ht="15" customHeight="1">
      <c r="A3745" t="inlineStr">
        <is>
          <t>A 20038-2023</t>
        </is>
      </c>
      <c r="B3745" s="1" t="n">
        <v>45054</v>
      </c>
      <c r="C3745" s="1" t="n">
        <v>45705</v>
      </c>
      <c r="D3745" t="inlineStr">
        <is>
          <t>UPPSALA LÄN</t>
        </is>
      </c>
      <c r="E3745" t="inlineStr">
        <is>
          <t>ÖSTHAMMAR</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20046-2023</t>
        </is>
      </c>
      <c r="B3746" s="1" t="n">
        <v>45054</v>
      </c>
      <c r="C3746" s="1" t="n">
        <v>45705</v>
      </c>
      <c r="D3746" t="inlineStr">
        <is>
          <t>UPPSALA LÄN</t>
        </is>
      </c>
      <c r="E3746" t="inlineStr">
        <is>
          <t>ÖSTHAMMAR</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20087-2023</t>
        </is>
      </c>
      <c r="B3747" s="1" t="n">
        <v>45055</v>
      </c>
      <c r="C3747" s="1" t="n">
        <v>45705</v>
      </c>
      <c r="D3747" t="inlineStr">
        <is>
          <t>UPPSALA LÄN</t>
        </is>
      </c>
      <c r="E3747" t="inlineStr">
        <is>
          <t>UPPSALA</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20102-2023</t>
        </is>
      </c>
      <c r="B3748" s="1" t="n">
        <v>45055</v>
      </c>
      <c r="C3748" s="1" t="n">
        <v>45705</v>
      </c>
      <c r="D3748" t="inlineStr">
        <is>
          <t>UPPSALA LÄN</t>
        </is>
      </c>
      <c r="E3748" t="inlineStr">
        <is>
          <t>UPPSALA</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20029-2023</t>
        </is>
      </c>
      <c r="B3749" s="1" t="n">
        <v>45054</v>
      </c>
      <c r="C3749" s="1" t="n">
        <v>45705</v>
      </c>
      <c r="D3749" t="inlineStr">
        <is>
          <t>UPPSALA LÄN</t>
        </is>
      </c>
      <c r="E3749" t="inlineStr">
        <is>
          <t>ÖSTHAMMAR</t>
        </is>
      </c>
      <c r="G3749" t="n">
        <v>4.8</v>
      </c>
      <c r="H3749" t="n">
        <v>0</v>
      </c>
      <c r="I3749" t="n">
        <v>0</v>
      </c>
      <c r="J3749" t="n">
        <v>0</v>
      </c>
      <c r="K3749" t="n">
        <v>0</v>
      </c>
      <c r="L3749" t="n">
        <v>0</v>
      </c>
      <c r="M3749" t="n">
        <v>0</v>
      </c>
      <c r="N3749" t="n">
        <v>0</v>
      </c>
      <c r="O3749" t="n">
        <v>0</v>
      </c>
      <c r="P3749" t="n">
        <v>0</v>
      </c>
      <c r="Q3749" t="n">
        <v>0</v>
      </c>
      <c r="R3749" s="2" t="inlineStr"/>
    </row>
    <row r="3750" ht="15" customHeight="1">
      <c r="A3750" t="inlineStr">
        <is>
          <t>A 20431-2023</t>
        </is>
      </c>
      <c r="B3750" s="1" t="n">
        <v>45054</v>
      </c>
      <c r="C3750" s="1" t="n">
        <v>45705</v>
      </c>
      <c r="D3750" t="inlineStr">
        <is>
          <t>UPPSALA LÄN</t>
        </is>
      </c>
      <c r="E3750" t="inlineStr">
        <is>
          <t>ENKÖPING</t>
        </is>
      </c>
      <c r="F3750" t="inlineStr">
        <is>
          <t>Övriga statliga verk och myndigheter</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20105-2023</t>
        </is>
      </c>
      <c r="B3751" s="1" t="n">
        <v>45055</v>
      </c>
      <c r="C3751" s="1" t="n">
        <v>45705</v>
      </c>
      <c r="D3751" t="inlineStr">
        <is>
          <t>UPPSALA LÄN</t>
        </is>
      </c>
      <c r="E3751" t="inlineStr">
        <is>
          <t>UPPSALA</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20179-2023</t>
        </is>
      </c>
      <c r="B3752" s="1" t="n">
        <v>45055</v>
      </c>
      <c r="C3752" s="1" t="n">
        <v>45705</v>
      </c>
      <c r="D3752" t="inlineStr">
        <is>
          <t>UPPSALA LÄN</t>
        </is>
      </c>
      <c r="E3752" t="inlineStr">
        <is>
          <t>ENKÖPING</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20184-2023</t>
        </is>
      </c>
      <c r="B3753" s="1" t="n">
        <v>45055</v>
      </c>
      <c r="C3753" s="1" t="n">
        <v>45705</v>
      </c>
      <c r="D3753" t="inlineStr">
        <is>
          <t>UPPSALA LÄN</t>
        </is>
      </c>
      <c r="E3753" t="inlineStr">
        <is>
          <t>ENKÖPING</t>
        </is>
      </c>
      <c r="G3753" t="n">
        <v>3.2</v>
      </c>
      <c r="H3753" t="n">
        <v>0</v>
      </c>
      <c r="I3753" t="n">
        <v>0</v>
      </c>
      <c r="J3753" t="n">
        <v>0</v>
      </c>
      <c r="K3753" t="n">
        <v>0</v>
      </c>
      <c r="L3753" t="n">
        <v>0</v>
      </c>
      <c r="M3753" t="n">
        <v>0</v>
      </c>
      <c r="N3753" t="n">
        <v>0</v>
      </c>
      <c r="O3753" t="n">
        <v>0</v>
      </c>
      <c r="P3753" t="n">
        <v>0</v>
      </c>
      <c r="Q3753" t="n">
        <v>0</v>
      </c>
      <c r="R3753" s="2" t="inlineStr"/>
    </row>
    <row r="3754" ht="15" customHeight="1">
      <c r="A3754" t="inlineStr">
        <is>
          <t>A 20188-2023</t>
        </is>
      </c>
      <c r="B3754" s="1" t="n">
        <v>45055</v>
      </c>
      <c r="C3754" s="1" t="n">
        <v>45705</v>
      </c>
      <c r="D3754" t="inlineStr">
        <is>
          <t>UPPSALA LÄN</t>
        </is>
      </c>
      <c r="E3754" t="inlineStr">
        <is>
          <t>ENKÖPING</t>
        </is>
      </c>
      <c r="G3754" t="n">
        <v>4.9</v>
      </c>
      <c r="H3754" t="n">
        <v>0</v>
      </c>
      <c r="I3754" t="n">
        <v>0</v>
      </c>
      <c r="J3754" t="n">
        <v>0</v>
      </c>
      <c r="K3754" t="n">
        <v>0</v>
      </c>
      <c r="L3754" t="n">
        <v>0</v>
      </c>
      <c r="M3754" t="n">
        <v>0</v>
      </c>
      <c r="N3754" t="n">
        <v>0</v>
      </c>
      <c r="O3754" t="n">
        <v>0</v>
      </c>
      <c r="P3754" t="n">
        <v>0</v>
      </c>
      <c r="Q3754" t="n">
        <v>0</v>
      </c>
      <c r="R3754" s="2" t="inlineStr"/>
    </row>
    <row r="3755" ht="15" customHeight="1">
      <c r="A3755" t="inlineStr">
        <is>
          <t>A 20201-2023</t>
        </is>
      </c>
      <c r="B3755" s="1" t="n">
        <v>45055</v>
      </c>
      <c r="C3755" s="1" t="n">
        <v>45705</v>
      </c>
      <c r="D3755" t="inlineStr">
        <is>
          <t>UPPSALA LÄN</t>
        </is>
      </c>
      <c r="E3755" t="inlineStr">
        <is>
          <t>ENKÖPING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20206-2023</t>
        </is>
      </c>
      <c r="B3756" s="1" t="n">
        <v>45055</v>
      </c>
      <c r="C3756" s="1" t="n">
        <v>45705</v>
      </c>
      <c r="D3756" t="inlineStr">
        <is>
          <t>UPPSALA LÄN</t>
        </is>
      </c>
      <c r="E3756" t="inlineStr">
        <is>
          <t>UPPSALA</t>
        </is>
      </c>
      <c r="G3756" t="n">
        <v>5.7</v>
      </c>
      <c r="H3756" t="n">
        <v>0</v>
      </c>
      <c r="I3756" t="n">
        <v>0</v>
      </c>
      <c r="J3756" t="n">
        <v>0</v>
      </c>
      <c r="K3756" t="n">
        <v>0</v>
      </c>
      <c r="L3756" t="n">
        <v>0</v>
      </c>
      <c r="M3756" t="n">
        <v>0</v>
      </c>
      <c r="N3756" t="n">
        <v>0</v>
      </c>
      <c r="O3756" t="n">
        <v>0</v>
      </c>
      <c r="P3756" t="n">
        <v>0</v>
      </c>
      <c r="Q3756" t="n">
        <v>0</v>
      </c>
      <c r="R3756" s="2" t="inlineStr"/>
    </row>
    <row r="3757" ht="15" customHeight="1">
      <c r="A3757" t="inlineStr">
        <is>
          <t>A 20116-2023</t>
        </is>
      </c>
      <c r="B3757" s="1" t="n">
        <v>45055</v>
      </c>
      <c r="C3757" s="1" t="n">
        <v>45705</v>
      </c>
      <c r="D3757" t="inlineStr">
        <is>
          <t>UPPSALA LÄN</t>
        </is>
      </c>
      <c r="E3757" t="inlineStr">
        <is>
          <t>TIERP</t>
        </is>
      </c>
      <c r="G3757" t="n">
        <v>8.9</v>
      </c>
      <c r="H3757" t="n">
        <v>0</v>
      </c>
      <c r="I3757" t="n">
        <v>0</v>
      </c>
      <c r="J3757" t="n">
        <v>0</v>
      </c>
      <c r="K3757" t="n">
        <v>0</v>
      </c>
      <c r="L3757" t="n">
        <v>0</v>
      </c>
      <c r="M3757" t="n">
        <v>0</v>
      </c>
      <c r="N3757" t="n">
        <v>0</v>
      </c>
      <c r="O3757" t="n">
        <v>0</v>
      </c>
      <c r="P3757" t="n">
        <v>0</v>
      </c>
      <c r="Q3757" t="n">
        <v>0</v>
      </c>
      <c r="R3757" s="2" t="inlineStr"/>
    </row>
    <row r="3758" ht="15" customHeight="1">
      <c r="A3758" t="inlineStr">
        <is>
          <t>A 20181-2023</t>
        </is>
      </c>
      <c r="B3758" s="1" t="n">
        <v>45055</v>
      </c>
      <c r="C3758" s="1" t="n">
        <v>45705</v>
      </c>
      <c r="D3758" t="inlineStr">
        <is>
          <t>UPPSALA LÄN</t>
        </is>
      </c>
      <c r="E3758" t="inlineStr">
        <is>
          <t>ENKÖPING</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20186-2023</t>
        </is>
      </c>
      <c r="B3759" s="1" t="n">
        <v>45055</v>
      </c>
      <c r="C3759" s="1" t="n">
        <v>45705</v>
      </c>
      <c r="D3759" t="inlineStr">
        <is>
          <t>UPPSALA LÄN</t>
        </is>
      </c>
      <c r="E3759" t="inlineStr">
        <is>
          <t>ENKÖPING</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20199-2023</t>
        </is>
      </c>
      <c r="B3760" s="1" t="n">
        <v>45055</v>
      </c>
      <c r="C3760" s="1" t="n">
        <v>45705</v>
      </c>
      <c r="D3760" t="inlineStr">
        <is>
          <t>UPPSALA LÄN</t>
        </is>
      </c>
      <c r="E3760" t="inlineStr">
        <is>
          <t>ENKÖPING</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20261-2023</t>
        </is>
      </c>
      <c r="B3761" s="1" t="n">
        <v>45055</v>
      </c>
      <c r="C3761" s="1" t="n">
        <v>45705</v>
      </c>
      <c r="D3761" t="inlineStr">
        <is>
          <t>UPPSALA LÄN</t>
        </is>
      </c>
      <c r="E3761" t="inlineStr">
        <is>
          <t>ENKÖPING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20438-2023</t>
        </is>
      </c>
      <c r="B3762" s="1" t="n">
        <v>45056</v>
      </c>
      <c r="C3762" s="1" t="n">
        <v>45705</v>
      </c>
      <c r="D3762" t="inlineStr">
        <is>
          <t>UPPSALA LÄN</t>
        </is>
      </c>
      <c r="E3762" t="inlineStr">
        <is>
          <t>UPPSALA</t>
        </is>
      </c>
      <c r="F3762" t="inlineStr">
        <is>
          <t>Holmen skog AB</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20366-2023</t>
        </is>
      </c>
      <c r="B3763" s="1" t="n">
        <v>45056</v>
      </c>
      <c r="C3763" s="1" t="n">
        <v>45705</v>
      </c>
      <c r="D3763" t="inlineStr">
        <is>
          <t>UPPSALA LÄN</t>
        </is>
      </c>
      <c r="E3763" t="inlineStr">
        <is>
          <t>ÖSTHAMMAR</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20440-2023</t>
        </is>
      </c>
      <c r="B3764" s="1" t="n">
        <v>45056</v>
      </c>
      <c r="C3764" s="1" t="n">
        <v>45705</v>
      </c>
      <c r="D3764" t="inlineStr">
        <is>
          <t>UPPSALA LÄN</t>
        </is>
      </c>
      <c r="E3764" t="inlineStr">
        <is>
          <t>UPPSALA</t>
        </is>
      </c>
      <c r="F3764" t="inlineStr">
        <is>
          <t>Holmen skog AB</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20396-2023</t>
        </is>
      </c>
      <c r="B3765" s="1" t="n">
        <v>45056</v>
      </c>
      <c r="C3765" s="1" t="n">
        <v>45705</v>
      </c>
      <c r="D3765" t="inlineStr">
        <is>
          <t>UPPSALA LÄN</t>
        </is>
      </c>
      <c r="E3765" t="inlineStr">
        <is>
          <t>ENKÖPING</t>
        </is>
      </c>
      <c r="G3765" t="n">
        <v>3.2</v>
      </c>
      <c r="H3765" t="n">
        <v>0</v>
      </c>
      <c r="I3765" t="n">
        <v>0</v>
      </c>
      <c r="J3765" t="n">
        <v>0</v>
      </c>
      <c r="K3765" t="n">
        <v>0</v>
      </c>
      <c r="L3765" t="n">
        <v>0</v>
      </c>
      <c r="M3765" t="n">
        <v>0</v>
      </c>
      <c r="N3765" t="n">
        <v>0</v>
      </c>
      <c r="O3765" t="n">
        <v>0</v>
      </c>
      <c r="P3765" t="n">
        <v>0</v>
      </c>
      <c r="Q3765" t="n">
        <v>0</v>
      </c>
      <c r="R3765" s="2" t="inlineStr"/>
    </row>
    <row r="3766" ht="15" customHeight="1">
      <c r="A3766" t="inlineStr">
        <is>
          <t>A 20845-2023</t>
        </is>
      </c>
      <c r="B3766" s="1" t="n">
        <v>45056</v>
      </c>
      <c r="C3766" s="1" t="n">
        <v>45705</v>
      </c>
      <c r="D3766" t="inlineStr">
        <is>
          <t>UPPSALA LÄN</t>
        </is>
      </c>
      <c r="E3766" t="inlineStr">
        <is>
          <t>ENKÖPING</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20437-2023</t>
        </is>
      </c>
      <c r="B3767" s="1" t="n">
        <v>45056</v>
      </c>
      <c r="C3767" s="1" t="n">
        <v>45705</v>
      </c>
      <c r="D3767" t="inlineStr">
        <is>
          <t>UPPSALA LÄN</t>
        </is>
      </c>
      <c r="E3767" t="inlineStr">
        <is>
          <t>UPPSALA</t>
        </is>
      </c>
      <c r="F3767" t="inlineStr">
        <is>
          <t>Holmen skog AB</t>
        </is>
      </c>
      <c r="G3767" t="n">
        <v>20.1</v>
      </c>
      <c r="H3767" t="n">
        <v>0</v>
      </c>
      <c r="I3767" t="n">
        <v>0</v>
      </c>
      <c r="J3767" t="n">
        <v>0</v>
      </c>
      <c r="K3767" t="n">
        <v>0</v>
      </c>
      <c r="L3767" t="n">
        <v>0</v>
      </c>
      <c r="M3767" t="n">
        <v>0</v>
      </c>
      <c r="N3767" t="n">
        <v>0</v>
      </c>
      <c r="O3767" t="n">
        <v>0</v>
      </c>
      <c r="P3767" t="n">
        <v>0</v>
      </c>
      <c r="Q3767" t="n">
        <v>0</v>
      </c>
      <c r="R3767" s="2" t="inlineStr"/>
    </row>
    <row r="3768" ht="15" customHeight="1">
      <c r="A3768" t="inlineStr">
        <is>
          <t>A 20508-2023</t>
        </is>
      </c>
      <c r="B3768" s="1" t="n">
        <v>45057</v>
      </c>
      <c r="C3768" s="1" t="n">
        <v>45705</v>
      </c>
      <c r="D3768" t="inlineStr">
        <is>
          <t>UPPSALA LÄN</t>
        </is>
      </c>
      <c r="E3768" t="inlineStr">
        <is>
          <t>TIERP</t>
        </is>
      </c>
      <c r="F3768" t="inlineStr">
        <is>
          <t>Bergvik skog öst AB</t>
        </is>
      </c>
      <c r="G3768" t="n">
        <v>7.5</v>
      </c>
      <c r="H3768" t="n">
        <v>0</v>
      </c>
      <c r="I3768" t="n">
        <v>0</v>
      </c>
      <c r="J3768" t="n">
        <v>0</v>
      </c>
      <c r="K3768" t="n">
        <v>0</v>
      </c>
      <c r="L3768" t="n">
        <v>0</v>
      </c>
      <c r="M3768" t="n">
        <v>0</v>
      </c>
      <c r="N3768" t="n">
        <v>0</v>
      </c>
      <c r="O3768" t="n">
        <v>0</v>
      </c>
      <c r="P3768" t="n">
        <v>0</v>
      </c>
      <c r="Q3768" t="n">
        <v>0</v>
      </c>
      <c r="R3768" s="2" t="inlineStr"/>
    </row>
    <row r="3769" ht="15" customHeight="1">
      <c r="A3769" t="inlineStr">
        <is>
          <t>A 20572-2023</t>
        </is>
      </c>
      <c r="B3769" s="1" t="n">
        <v>45057</v>
      </c>
      <c r="C3769" s="1" t="n">
        <v>45705</v>
      </c>
      <c r="D3769" t="inlineStr">
        <is>
          <t>UPPSALA LÄN</t>
        </is>
      </c>
      <c r="E3769" t="inlineStr">
        <is>
          <t>ÖSTHAMMAR</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20495-2023</t>
        </is>
      </c>
      <c r="B3770" s="1" t="n">
        <v>45057</v>
      </c>
      <c r="C3770" s="1" t="n">
        <v>45705</v>
      </c>
      <c r="D3770" t="inlineStr">
        <is>
          <t>UPPSALA LÄN</t>
        </is>
      </c>
      <c r="E3770" t="inlineStr">
        <is>
          <t>TIERP</t>
        </is>
      </c>
      <c r="G3770" t="n">
        <v>4.9</v>
      </c>
      <c r="H3770" t="n">
        <v>0</v>
      </c>
      <c r="I3770" t="n">
        <v>0</v>
      </c>
      <c r="J3770" t="n">
        <v>0</v>
      </c>
      <c r="K3770" t="n">
        <v>0</v>
      </c>
      <c r="L3770" t="n">
        <v>0</v>
      </c>
      <c r="M3770" t="n">
        <v>0</v>
      </c>
      <c r="N3770" t="n">
        <v>0</v>
      </c>
      <c r="O3770" t="n">
        <v>0</v>
      </c>
      <c r="P3770" t="n">
        <v>0</v>
      </c>
      <c r="Q3770" t="n">
        <v>0</v>
      </c>
      <c r="R3770" s="2" t="inlineStr"/>
    </row>
    <row r="3771" ht="15" customHeight="1">
      <c r="A3771" t="inlineStr">
        <is>
          <t>A 20496-2023</t>
        </is>
      </c>
      <c r="B3771" s="1" t="n">
        <v>45057</v>
      </c>
      <c r="C3771" s="1" t="n">
        <v>45705</v>
      </c>
      <c r="D3771" t="inlineStr">
        <is>
          <t>UPPSALA LÄN</t>
        </is>
      </c>
      <c r="E3771" t="inlineStr">
        <is>
          <t>TIERP</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20550-2023</t>
        </is>
      </c>
      <c r="B3772" s="1" t="n">
        <v>45057</v>
      </c>
      <c r="C3772" s="1" t="n">
        <v>45705</v>
      </c>
      <c r="D3772" t="inlineStr">
        <is>
          <t>UPPSALA LÄN</t>
        </is>
      </c>
      <c r="E3772" t="inlineStr">
        <is>
          <t>UPPSALA</t>
        </is>
      </c>
      <c r="F3772" t="inlineStr">
        <is>
          <t>Övriga Aktiebolag</t>
        </is>
      </c>
      <c r="G3772" t="n">
        <v>12.2</v>
      </c>
      <c r="H3772" t="n">
        <v>0</v>
      </c>
      <c r="I3772" t="n">
        <v>0</v>
      </c>
      <c r="J3772" t="n">
        <v>0</v>
      </c>
      <c r="K3772" t="n">
        <v>0</v>
      </c>
      <c r="L3772" t="n">
        <v>0</v>
      </c>
      <c r="M3772" t="n">
        <v>0</v>
      </c>
      <c r="N3772" t="n">
        <v>0</v>
      </c>
      <c r="O3772" t="n">
        <v>0</v>
      </c>
      <c r="P3772" t="n">
        <v>0</v>
      </c>
      <c r="Q3772" t="n">
        <v>0</v>
      </c>
      <c r="R3772" s="2" t="inlineStr"/>
    </row>
    <row r="3773" ht="15" customHeight="1">
      <c r="A3773" t="inlineStr">
        <is>
          <t>A 20657-2023</t>
        </is>
      </c>
      <c r="B3773" s="1" t="n">
        <v>45058</v>
      </c>
      <c r="C3773" s="1" t="n">
        <v>45705</v>
      </c>
      <c r="D3773" t="inlineStr">
        <is>
          <t>UPPSALA LÄN</t>
        </is>
      </c>
      <c r="E3773" t="inlineStr">
        <is>
          <t>ÖSTHAMMAR</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20664-2023</t>
        </is>
      </c>
      <c r="B3774" s="1" t="n">
        <v>45058</v>
      </c>
      <c r="C3774" s="1" t="n">
        <v>45705</v>
      </c>
      <c r="D3774" t="inlineStr">
        <is>
          <t>UPPSALA LÄN</t>
        </is>
      </c>
      <c r="E3774" t="inlineStr">
        <is>
          <t>ÖSTHAMMAR</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20748-2023</t>
        </is>
      </c>
      <c r="B3775" s="1" t="n">
        <v>45058</v>
      </c>
      <c r="C3775" s="1" t="n">
        <v>45705</v>
      </c>
      <c r="D3775" t="inlineStr">
        <is>
          <t>UPPSALA LÄN</t>
        </is>
      </c>
      <c r="E3775" t="inlineStr">
        <is>
          <t>TIERP</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20670-2023</t>
        </is>
      </c>
      <c r="B3776" s="1" t="n">
        <v>45058</v>
      </c>
      <c r="C3776" s="1" t="n">
        <v>45705</v>
      </c>
      <c r="D3776" t="inlineStr">
        <is>
          <t>UPPSALA LÄN</t>
        </is>
      </c>
      <c r="E3776" t="inlineStr">
        <is>
          <t>UPPSALA</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20680-2023</t>
        </is>
      </c>
      <c r="B3777" s="1" t="n">
        <v>45058</v>
      </c>
      <c r="C3777" s="1" t="n">
        <v>45705</v>
      </c>
      <c r="D3777" t="inlineStr">
        <is>
          <t>UPPSALA LÄN</t>
        </is>
      </c>
      <c r="E3777" t="inlineStr">
        <is>
          <t>ÖSTHAMMAR</t>
        </is>
      </c>
      <c r="F3777" t="inlineStr">
        <is>
          <t>Bergvik skog öst AB</t>
        </is>
      </c>
      <c r="G3777" t="n">
        <v>10.5</v>
      </c>
      <c r="H3777" t="n">
        <v>0</v>
      </c>
      <c r="I3777" t="n">
        <v>0</v>
      </c>
      <c r="J3777" t="n">
        <v>0</v>
      </c>
      <c r="K3777" t="n">
        <v>0</v>
      </c>
      <c r="L3777" t="n">
        <v>0</v>
      </c>
      <c r="M3777" t="n">
        <v>0</v>
      </c>
      <c r="N3777" t="n">
        <v>0</v>
      </c>
      <c r="O3777" t="n">
        <v>0</v>
      </c>
      <c r="P3777" t="n">
        <v>0</v>
      </c>
      <c r="Q3777" t="n">
        <v>0</v>
      </c>
      <c r="R3777" s="2" t="inlineStr"/>
    </row>
    <row r="3778" ht="15" customHeight="1">
      <c r="A3778" t="inlineStr">
        <is>
          <t>A 20692-2023</t>
        </is>
      </c>
      <c r="B3778" s="1" t="n">
        <v>45058</v>
      </c>
      <c r="C3778" s="1" t="n">
        <v>45705</v>
      </c>
      <c r="D3778" t="inlineStr">
        <is>
          <t>UPPSALA LÄN</t>
        </is>
      </c>
      <c r="E3778" t="inlineStr">
        <is>
          <t>UPPSALA</t>
        </is>
      </c>
      <c r="G3778" t="n">
        <v>7.9</v>
      </c>
      <c r="H3778" t="n">
        <v>0</v>
      </c>
      <c r="I3778" t="n">
        <v>0</v>
      </c>
      <c r="J3778" t="n">
        <v>0</v>
      </c>
      <c r="K3778" t="n">
        <v>0</v>
      </c>
      <c r="L3778" t="n">
        <v>0</v>
      </c>
      <c r="M3778" t="n">
        <v>0</v>
      </c>
      <c r="N3778" t="n">
        <v>0</v>
      </c>
      <c r="O3778" t="n">
        <v>0</v>
      </c>
      <c r="P3778" t="n">
        <v>0</v>
      </c>
      <c r="Q3778" t="n">
        <v>0</v>
      </c>
      <c r="R3778" s="2" t="inlineStr"/>
    </row>
    <row r="3779" ht="15" customHeight="1">
      <c r="A3779" t="inlineStr">
        <is>
          <t>A 20667-2023</t>
        </is>
      </c>
      <c r="B3779" s="1" t="n">
        <v>45058</v>
      </c>
      <c r="C3779" s="1" t="n">
        <v>45705</v>
      </c>
      <c r="D3779" t="inlineStr">
        <is>
          <t>UPPSALA LÄN</t>
        </is>
      </c>
      <c r="E3779" t="inlineStr">
        <is>
          <t>UPPSALA</t>
        </is>
      </c>
      <c r="G3779" t="n">
        <v>6.8</v>
      </c>
      <c r="H3779" t="n">
        <v>0</v>
      </c>
      <c r="I3779" t="n">
        <v>0</v>
      </c>
      <c r="J3779" t="n">
        <v>0</v>
      </c>
      <c r="K3779" t="n">
        <v>0</v>
      </c>
      <c r="L3779" t="n">
        <v>0</v>
      </c>
      <c r="M3779" t="n">
        <v>0</v>
      </c>
      <c r="N3779" t="n">
        <v>0</v>
      </c>
      <c r="O3779" t="n">
        <v>0</v>
      </c>
      <c r="P3779" t="n">
        <v>0</v>
      </c>
      <c r="Q3779" t="n">
        <v>0</v>
      </c>
      <c r="R3779" s="2" t="inlineStr"/>
    </row>
    <row r="3780" ht="15" customHeight="1">
      <c r="A3780" t="inlineStr">
        <is>
          <t>A 20677-2023</t>
        </is>
      </c>
      <c r="B3780" s="1" t="n">
        <v>45058</v>
      </c>
      <c r="C3780" s="1" t="n">
        <v>45705</v>
      </c>
      <c r="D3780" t="inlineStr">
        <is>
          <t>UPPSALA LÄN</t>
        </is>
      </c>
      <c r="E3780" t="inlineStr">
        <is>
          <t>ÖSTHAMMAR</t>
        </is>
      </c>
      <c r="F3780" t="inlineStr">
        <is>
          <t>Bergvik skog öst AB</t>
        </is>
      </c>
      <c r="G3780" t="n">
        <v>4</v>
      </c>
      <c r="H3780" t="n">
        <v>0</v>
      </c>
      <c r="I3780" t="n">
        <v>0</v>
      </c>
      <c r="J3780" t="n">
        <v>0</v>
      </c>
      <c r="K3780" t="n">
        <v>0</v>
      </c>
      <c r="L3780" t="n">
        <v>0</v>
      </c>
      <c r="M3780" t="n">
        <v>0</v>
      </c>
      <c r="N3780" t="n">
        <v>0</v>
      </c>
      <c r="O3780" t="n">
        <v>0</v>
      </c>
      <c r="P3780" t="n">
        <v>0</v>
      </c>
      <c r="Q3780" t="n">
        <v>0</v>
      </c>
      <c r="R3780" s="2" t="inlineStr"/>
    </row>
    <row r="3781" ht="15" customHeight="1">
      <c r="A3781" t="inlineStr">
        <is>
          <t>A 20750-2023</t>
        </is>
      </c>
      <c r="B3781" s="1" t="n">
        <v>45058</v>
      </c>
      <c r="C3781" s="1" t="n">
        <v>45705</v>
      </c>
      <c r="D3781" t="inlineStr">
        <is>
          <t>UPPSALA LÄN</t>
        </is>
      </c>
      <c r="E3781" t="inlineStr">
        <is>
          <t>TIERP</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20708-2023</t>
        </is>
      </c>
      <c r="B3782" s="1" t="n">
        <v>45058</v>
      </c>
      <c r="C3782" s="1" t="n">
        <v>45705</v>
      </c>
      <c r="D3782" t="inlineStr">
        <is>
          <t>UPPSALA LÄN</t>
        </is>
      </c>
      <c r="E3782" t="inlineStr">
        <is>
          <t>UPPSALA</t>
        </is>
      </c>
      <c r="F3782" t="inlineStr">
        <is>
          <t>Holmen skog AB</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20767-2023</t>
        </is>
      </c>
      <c r="B3783" s="1" t="n">
        <v>45058</v>
      </c>
      <c r="C3783" s="1" t="n">
        <v>45705</v>
      </c>
      <c r="D3783" t="inlineStr">
        <is>
          <t>UPPSALA LÄN</t>
        </is>
      </c>
      <c r="E3783" t="inlineStr">
        <is>
          <t>TIERP</t>
        </is>
      </c>
      <c r="G3783" t="n">
        <v>4.2</v>
      </c>
      <c r="H3783" t="n">
        <v>0</v>
      </c>
      <c r="I3783" t="n">
        <v>0</v>
      </c>
      <c r="J3783" t="n">
        <v>0</v>
      </c>
      <c r="K3783" t="n">
        <v>0</v>
      </c>
      <c r="L3783" t="n">
        <v>0</v>
      </c>
      <c r="M3783" t="n">
        <v>0</v>
      </c>
      <c r="N3783" t="n">
        <v>0</v>
      </c>
      <c r="O3783" t="n">
        <v>0</v>
      </c>
      <c r="P3783" t="n">
        <v>0</v>
      </c>
      <c r="Q3783" t="n">
        <v>0</v>
      </c>
      <c r="R3783" s="2" t="inlineStr"/>
    </row>
    <row r="3784" ht="15" customHeight="1">
      <c r="A3784" t="inlineStr">
        <is>
          <t>A 20669-2023</t>
        </is>
      </c>
      <c r="B3784" s="1" t="n">
        <v>45058</v>
      </c>
      <c r="C3784" s="1" t="n">
        <v>45705</v>
      </c>
      <c r="D3784" t="inlineStr">
        <is>
          <t>UPPSALA LÄN</t>
        </is>
      </c>
      <c r="E3784" t="inlineStr">
        <is>
          <t>UPPSALA</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20786-2023</t>
        </is>
      </c>
      <c r="B3785" s="1" t="n">
        <v>45058</v>
      </c>
      <c r="C3785" s="1" t="n">
        <v>45705</v>
      </c>
      <c r="D3785" t="inlineStr">
        <is>
          <t>UPPSALA LÄN</t>
        </is>
      </c>
      <c r="E3785" t="inlineStr">
        <is>
          <t>UPPSALA</t>
        </is>
      </c>
      <c r="G3785" t="n">
        <v>4.1</v>
      </c>
      <c r="H3785" t="n">
        <v>0</v>
      </c>
      <c r="I3785" t="n">
        <v>0</v>
      </c>
      <c r="J3785" t="n">
        <v>0</v>
      </c>
      <c r="K3785" t="n">
        <v>0</v>
      </c>
      <c r="L3785" t="n">
        <v>0</v>
      </c>
      <c r="M3785" t="n">
        <v>0</v>
      </c>
      <c r="N3785" t="n">
        <v>0</v>
      </c>
      <c r="O3785" t="n">
        <v>0</v>
      </c>
      <c r="P3785" t="n">
        <v>0</v>
      </c>
      <c r="Q3785" t="n">
        <v>0</v>
      </c>
      <c r="R3785" s="2" t="inlineStr"/>
    </row>
    <row r="3786" ht="15" customHeight="1">
      <c r="A3786" t="inlineStr">
        <is>
          <t>A 21310-2023</t>
        </is>
      </c>
      <c r="B3786" s="1" t="n">
        <v>45058</v>
      </c>
      <c r="C3786" s="1" t="n">
        <v>45705</v>
      </c>
      <c r="D3786" t="inlineStr">
        <is>
          <t>UPPSALA LÄN</t>
        </is>
      </c>
      <c r="E3786" t="inlineStr">
        <is>
          <t>HEBY</t>
        </is>
      </c>
      <c r="F3786" t="inlineStr">
        <is>
          <t>Bergvik skog väst AB</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21313-2023</t>
        </is>
      </c>
      <c r="B3787" s="1" t="n">
        <v>45058</v>
      </c>
      <c r="C3787" s="1" t="n">
        <v>45705</v>
      </c>
      <c r="D3787" t="inlineStr">
        <is>
          <t>UPPSALA LÄN</t>
        </is>
      </c>
      <c r="E3787" t="inlineStr">
        <is>
          <t>HEBY</t>
        </is>
      </c>
      <c r="F3787" t="inlineStr">
        <is>
          <t>Bergvik skog väst AB</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21293-2023</t>
        </is>
      </c>
      <c r="B3788" s="1" t="n">
        <v>45058</v>
      </c>
      <c r="C3788" s="1" t="n">
        <v>45705</v>
      </c>
      <c r="D3788" t="inlineStr">
        <is>
          <t>UPPSALA LÄN</t>
        </is>
      </c>
      <c r="E3788" t="inlineStr">
        <is>
          <t>HEBY</t>
        </is>
      </c>
      <c r="F3788" t="inlineStr">
        <is>
          <t>Bergvik skog väst AB</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21302-2023</t>
        </is>
      </c>
      <c r="B3789" s="1" t="n">
        <v>45058</v>
      </c>
      <c r="C3789" s="1" t="n">
        <v>45705</v>
      </c>
      <c r="D3789" t="inlineStr">
        <is>
          <t>UPPSALA LÄN</t>
        </is>
      </c>
      <c r="E3789" t="inlineStr">
        <is>
          <t>HEBY</t>
        </is>
      </c>
      <c r="F3789" t="inlineStr">
        <is>
          <t>Bergvik skog väst AB</t>
        </is>
      </c>
      <c r="G3789" t="n">
        <v>6.2</v>
      </c>
      <c r="H3789" t="n">
        <v>0</v>
      </c>
      <c r="I3789" t="n">
        <v>0</v>
      </c>
      <c r="J3789" t="n">
        <v>0</v>
      </c>
      <c r="K3789" t="n">
        <v>0</v>
      </c>
      <c r="L3789" t="n">
        <v>0</v>
      </c>
      <c r="M3789" t="n">
        <v>0</v>
      </c>
      <c r="N3789" t="n">
        <v>0</v>
      </c>
      <c r="O3789" t="n">
        <v>0</v>
      </c>
      <c r="P3789" t="n">
        <v>0</v>
      </c>
      <c r="Q3789" t="n">
        <v>0</v>
      </c>
      <c r="R3789" s="2" t="inlineStr"/>
    </row>
    <row r="3790" ht="15" customHeight="1">
      <c r="A3790" t="inlineStr">
        <is>
          <t>A 20897-2023</t>
        </is>
      </c>
      <c r="B3790" s="1" t="n">
        <v>45059</v>
      </c>
      <c r="C3790" s="1" t="n">
        <v>45705</v>
      </c>
      <c r="D3790" t="inlineStr">
        <is>
          <t>UPPSALA LÄN</t>
        </is>
      </c>
      <c r="E3790" t="inlineStr">
        <is>
          <t>ENKÖPING</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20900-2023</t>
        </is>
      </c>
      <c r="B3791" s="1" t="n">
        <v>45060</v>
      </c>
      <c r="C3791" s="1" t="n">
        <v>45705</v>
      </c>
      <c r="D3791" t="inlineStr">
        <is>
          <t>UPPSALA LÄN</t>
        </is>
      </c>
      <c r="E3791" t="inlineStr">
        <is>
          <t>UPPSALA</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21020-2023</t>
        </is>
      </c>
      <c r="B3792" s="1" t="n">
        <v>45061</v>
      </c>
      <c r="C3792" s="1" t="n">
        <v>45705</v>
      </c>
      <c r="D3792" t="inlineStr">
        <is>
          <t>UPPSALA LÄN</t>
        </is>
      </c>
      <c r="E3792" t="inlineStr">
        <is>
          <t>ENKÖPING</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21051-2023</t>
        </is>
      </c>
      <c r="B3793" s="1" t="n">
        <v>45061</v>
      </c>
      <c r="C3793" s="1" t="n">
        <v>45705</v>
      </c>
      <c r="D3793" t="inlineStr">
        <is>
          <t>UPPSALA LÄN</t>
        </is>
      </c>
      <c r="E3793" t="inlineStr">
        <is>
          <t>TIERP</t>
        </is>
      </c>
      <c r="F3793" t="inlineStr">
        <is>
          <t>Bergvik skog öst AB</t>
        </is>
      </c>
      <c r="G3793" t="n">
        <v>40.2</v>
      </c>
      <c r="H3793" t="n">
        <v>0</v>
      </c>
      <c r="I3793" t="n">
        <v>0</v>
      </c>
      <c r="J3793" t="n">
        <v>0</v>
      </c>
      <c r="K3793" t="n">
        <v>0</v>
      </c>
      <c r="L3793" t="n">
        <v>0</v>
      </c>
      <c r="M3793" t="n">
        <v>0</v>
      </c>
      <c r="N3793" t="n">
        <v>0</v>
      </c>
      <c r="O3793" t="n">
        <v>0</v>
      </c>
      <c r="P3793" t="n">
        <v>0</v>
      </c>
      <c r="Q3793" t="n">
        <v>0</v>
      </c>
      <c r="R3793" s="2" t="inlineStr"/>
    </row>
    <row r="3794" ht="15" customHeight="1">
      <c r="A3794" t="inlineStr">
        <is>
          <t>A 21052-2023</t>
        </is>
      </c>
      <c r="B3794" s="1" t="n">
        <v>45061</v>
      </c>
      <c r="C3794" s="1" t="n">
        <v>45705</v>
      </c>
      <c r="D3794" t="inlineStr">
        <is>
          <t>UPPSALA LÄN</t>
        </is>
      </c>
      <c r="E3794" t="inlineStr">
        <is>
          <t>UPPSALA</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21017-2023</t>
        </is>
      </c>
      <c r="B3795" s="1" t="n">
        <v>45061</v>
      </c>
      <c r="C3795" s="1" t="n">
        <v>45705</v>
      </c>
      <c r="D3795" t="inlineStr">
        <is>
          <t>UPPSALA LÄN</t>
        </is>
      </c>
      <c r="E3795" t="inlineStr">
        <is>
          <t>ENKÖPING</t>
        </is>
      </c>
      <c r="G3795" t="n">
        <v>4.8</v>
      </c>
      <c r="H3795" t="n">
        <v>0</v>
      </c>
      <c r="I3795" t="n">
        <v>0</v>
      </c>
      <c r="J3795" t="n">
        <v>0</v>
      </c>
      <c r="K3795" t="n">
        <v>0</v>
      </c>
      <c r="L3795" t="n">
        <v>0</v>
      </c>
      <c r="M3795" t="n">
        <v>0</v>
      </c>
      <c r="N3795" t="n">
        <v>0</v>
      </c>
      <c r="O3795" t="n">
        <v>0</v>
      </c>
      <c r="P3795" t="n">
        <v>0</v>
      </c>
      <c r="Q3795" t="n">
        <v>0</v>
      </c>
      <c r="R3795" s="2" t="inlineStr"/>
    </row>
    <row r="3796" ht="15" customHeight="1">
      <c r="A3796" t="inlineStr">
        <is>
          <t>A 21053-2023</t>
        </is>
      </c>
      <c r="B3796" s="1" t="n">
        <v>45061</v>
      </c>
      <c r="C3796" s="1" t="n">
        <v>45705</v>
      </c>
      <c r="D3796" t="inlineStr">
        <is>
          <t>UPPSALA LÄN</t>
        </is>
      </c>
      <c r="E3796" t="inlineStr">
        <is>
          <t>TIERP</t>
        </is>
      </c>
      <c r="F3796" t="inlineStr">
        <is>
          <t>Bergvik skog öst AB</t>
        </is>
      </c>
      <c r="G3796" t="n">
        <v>13.4</v>
      </c>
      <c r="H3796" t="n">
        <v>0</v>
      </c>
      <c r="I3796" t="n">
        <v>0</v>
      </c>
      <c r="J3796" t="n">
        <v>0</v>
      </c>
      <c r="K3796" t="n">
        <v>0</v>
      </c>
      <c r="L3796" t="n">
        <v>0</v>
      </c>
      <c r="M3796" t="n">
        <v>0</v>
      </c>
      <c r="N3796" t="n">
        <v>0</v>
      </c>
      <c r="O3796" t="n">
        <v>0</v>
      </c>
      <c r="P3796" t="n">
        <v>0</v>
      </c>
      <c r="Q3796" t="n">
        <v>0</v>
      </c>
      <c r="R3796" s="2" t="inlineStr"/>
    </row>
    <row r="3797" ht="15" customHeight="1">
      <c r="A3797" t="inlineStr">
        <is>
          <t>A 21170-2023</t>
        </is>
      </c>
      <c r="B3797" s="1" t="n">
        <v>45062</v>
      </c>
      <c r="C3797" s="1" t="n">
        <v>45705</v>
      </c>
      <c r="D3797" t="inlineStr">
        <is>
          <t>UPPSALA LÄN</t>
        </is>
      </c>
      <c r="E3797" t="inlineStr">
        <is>
          <t>TIERP</t>
        </is>
      </c>
      <c r="F3797" t="inlineStr">
        <is>
          <t>Bergvik skog öst AB</t>
        </is>
      </c>
      <c r="G3797" t="n">
        <v>3.4</v>
      </c>
      <c r="H3797" t="n">
        <v>0</v>
      </c>
      <c r="I3797" t="n">
        <v>0</v>
      </c>
      <c r="J3797" t="n">
        <v>0</v>
      </c>
      <c r="K3797" t="n">
        <v>0</v>
      </c>
      <c r="L3797" t="n">
        <v>0</v>
      </c>
      <c r="M3797" t="n">
        <v>0</v>
      </c>
      <c r="N3797" t="n">
        <v>0</v>
      </c>
      <c r="O3797" t="n">
        <v>0</v>
      </c>
      <c r="P3797" t="n">
        <v>0</v>
      </c>
      <c r="Q3797" t="n">
        <v>0</v>
      </c>
      <c r="R3797" s="2" t="inlineStr"/>
    </row>
    <row r="3798" ht="15" customHeight="1">
      <c r="A3798" t="inlineStr">
        <is>
          <t>A 21193-2023</t>
        </is>
      </c>
      <c r="B3798" s="1" t="n">
        <v>45062</v>
      </c>
      <c r="C3798" s="1" t="n">
        <v>45705</v>
      </c>
      <c r="D3798" t="inlineStr">
        <is>
          <t>UPPSALA LÄN</t>
        </is>
      </c>
      <c r="E3798" t="inlineStr">
        <is>
          <t>HEBY</t>
        </is>
      </c>
      <c r="G3798" t="n">
        <v>10.6</v>
      </c>
      <c r="H3798" t="n">
        <v>0</v>
      </c>
      <c r="I3798" t="n">
        <v>0</v>
      </c>
      <c r="J3798" t="n">
        <v>0</v>
      </c>
      <c r="K3798" t="n">
        <v>0</v>
      </c>
      <c r="L3798" t="n">
        <v>0</v>
      </c>
      <c r="M3798" t="n">
        <v>0</v>
      </c>
      <c r="N3798" t="n">
        <v>0</v>
      </c>
      <c r="O3798" t="n">
        <v>0</v>
      </c>
      <c r="P3798" t="n">
        <v>0</v>
      </c>
      <c r="Q3798" t="n">
        <v>0</v>
      </c>
      <c r="R3798" s="2" t="inlineStr"/>
    </row>
    <row r="3799" ht="15" customHeight="1">
      <c r="A3799" t="inlineStr">
        <is>
          <t>A 21143-2023</t>
        </is>
      </c>
      <c r="B3799" s="1" t="n">
        <v>45062</v>
      </c>
      <c r="C3799" s="1" t="n">
        <v>45705</v>
      </c>
      <c r="D3799" t="inlineStr">
        <is>
          <t>UPPSALA LÄN</t>
        </is>
      </c>
      <c r="E3799" t="inlineStr">
        <is>
          <t>HEBY</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21520-2023</t>
        </is>
      </c>
      <c r="B3800" s="1" t="n">
        <v>45063</v>
      </c>
      <c r="C3800" s="1" t="n">
        <v>45705</v>
      </c>
      <c r="D3800" t="inlineStr">
        <is>
          <t>UPPSALA LÄN</t>
        </is>
      </c>
      <c r="E3800" t="inlineStr">
        <is>
          <t>ÄLVKARLEBY</t>
        </is>
      </c>
      <c r="F3800" t="inlineStr">
        <is>
          <t>Bergvik skog väst AB</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21416-2023</t>
        </is>
      </c>
      <c r="B3801" s="1" t="n">
        <v>45063</v>
      </c>
      <c r="C3801" s="1" t="n">
        <v>45705</v>
      </c>
      <c r="D3801" t="inlineStr">
        <is>
          <t>UPPSALA LÄN</t>
        </is>
      </c>
      <c r="E3801" t="inlineStr">
        <is>
          <t>UPPSALA</t>
        </is>
      </c>
      <c r="G3801" t="n">
        <v>13.9</v>
      </c>
      <c r="H3801" t="n">
        <v>0</v>
      </c>
      <c r="I3801" t="n">
        <v>0</v>
      </c>
      <c r="J3801" t="n">
        <v>0</v>
      </c>
      <c r="K3801" t="n">
        <v>0</v>
      </c>
      <c r="L3801" t="n">
        <v>0</v>
      </c>
      <c r="M3801" t="n">
        <v>0</v>
      </c>
      <c r="N3801" t="n">
        <v>0</v>
      </c>
      <c r="O3801" t="n">
        <v>0</v>
      </c>
      <c r="P3801" t="n">
        <v>0</v>
      </c>
      <c r="Q3801" t="n">
        <v>0</v>
      </c>
      <c r="R3801" s="2" t="inlineStr"/>
    </row>
    <row r="3802" ht="15" customHeight="1">
      <c r="A3802" t="inlineStr">
        <is>
          <t>A 21478-2023</t>
        </is>
      </c>
      <c r="B3802" s="1" t="n">
        <v>45063</v>
      </c>
      <c r="C3802" s="1" t="n">
        <v>45705</v>
      </c>
      <c r="D3802" t="inlineStr">
        <is>
          <t>UPPSALA LÄN</t>
        </is>
      </c>
      <c r="E3802" t="inlineStr">
        <is>
          <t>ÖSTHAMMAR</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21424-2023</t>
        </is>
      </c>
      <c r="B3803" s="1" t="n">
        <v>45063</v>
      </c>
      <c r="C3803" s="1" t="n">
        <v>45705</v>
      </c>
      <c r="D3803" t="inlineStr">
        <is>
          <t>UPPSALA LÄN</t>
        </is>
      </c>
      <c r="E3803" t="inlineStr">
        <is>
          <t>UPPSALA</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21547-2023</t>
        </is>
      </c>
      <c r="B3804" s="1" t="n">
        <v>45063</v>
      </c>
      <c r="C3804" s="1" t="n">
        <v>45705</v>
      </c>
      <c r="D3804" t="inlineStr">
        <is>
          <t>UPPSALA LÄN</t>
        </is>
      </c>
      <c r="E3804" t="inlineStr">
        <is>
          <t>TIERP</t>
        </is>
      </c>
      <c r="G3804" t="n">
        <v>4.9</v>
      </c>
      <c r="H3804" t="n">
        <v>0</v>
      </c>
      <c r="I3804" t="n">
        <v>0</v>
      </c>
      <c r="J3804" t="n">
        <v>0</v>
      </c>
      <c r="K3804" t="n">
        <v>0</v>
      </c>
      <c r="L3804" t="n">
        <v>0</v>
      </c>
      <c r="M3804" t="n">
        <v>0</v>
      </c>
      <c r="N3804" t="n">
        <v>0</v>
      </c>
      <c r="O3804" t="n">
        <v>0</v>
      </c>
      <c r="P3804" t="n">
        <v>0</v>
      </c>
      <c r="Q3804" t="n">
        <v>0</v>
      </c>
      <c r="R3804" s="2" t="inlineStr"/>
    </row>
    <row r="3805" ht="15" customHeight="1">
      <c r="A3805" t="inlineStr">
        <is>
          <t>A 21550-2023</t>
        </is>
      </c>
      <c r="B3805" s="1" t="n">
        <v>45063</v>
      </c>
      <c r="C3805" s="1" t="n">
        <v>45705</v>
      </c>
      <c r="D3805" t="inlineStr">
        <is>
          <t>UPPSALA LÄN</t>
        </is>
      </c>
      <c r="E3805" t="inlineStr">
        <is>
          <t>TIERP</t>
        </is>
      </c>
      <c r="F3805" t="inlineStr">
        <is>
          <t>Bergvik skog väst AB</t>
        </is>
      </c>
      <c r="G3805" t="n">
        <v>6.9</v>
      </c>
      <c r="H3805" t="n">
        <v>0</v>
      </c>
      <c r="I3805" t="n">
        <v>0</v>
      </c>
      <c r="J3805" t="n">
        <v>0</v>
      </c>
      <c r="K3805" t="n">
        <v>0</v>
      </c>
      <c r="L3805" t="n">
        <v>0</v>
      </c>
      <c r="M3805" t="n">
        <v>0</v>
      </c>
      <c r="N3805" t="n">
        <v>0</v>
      </c>
      <c r="O3805" t="n">
        <v>0</v>
      </c>
      <c r="P3805" t="n">
        <v>0</v>
      </c>
      <c r="Q3805" t="n">
        <v>0</v>
      </c>
      <c r="R3805" s="2" t="inlineStr"/>
    </row>
    <row r="3806" ht="15" customHeight="1">
      <c r="A3806" t="inlineStr">
        <is>
          <t>A 21615-2023</t>
        </is>
      </c>
      <c r="B3806" s="1" t="n">
        <v>45063</v>
      </c>
      <c r="C3806" s="1" t="n">
        <v>45705</v>
      </c>
      <c r="D3806" t="inlineStr">
        <is>
          <t>UPPSALA LÄN</t>
        </is>
      </c>
      <c r="E3806" t="inlineStr">
        <is>
          <t>ÖSTHAMMAR</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21620-2023</t>
        </is>
      </c>
      <c r="B3807" s="1" t="n">
        <v>45063</v>
      </c>
      <c r="C3807" s="1" t="n">
        <v>45705</v>
      </c>
      <c r="D3807" t="inlineStr">
        <is>
          <t>UPPSALA LÄN</t>
        </is>
      </c>
      <c r="E3807" t="inlineStr">
        <is>
          <t>ENKÖPING</t>
        </is>
      </c>
      <c r="F3807" t="inlineStr">
        <is>
          <t>Allmännings- och besparingsskogar</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21612-2023</t>
        </is>
      </c>
      <c r="B3808" s="1" t="n">
        <v>45063</v>
      </c>
      <c r="C3808" s="1" t="n">
        <v>45705</v>
      </c>
      <c r="D3808" t="inlineStr">
        <is>
          <t>UPPSALA LÄN</t>
        </is>
      </c>
      <c r="E3808" t="inlineStr">
        <is>
          <t>ENKÖPING</t>
        </is>
      </c>
      <c r="F3808" t="inlineStr">
        <is>
          <t>Allmännings- och besparingsskogar</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21624-2023</t>
        </is>
      </c>
      <c r="B3809" s="1" t="n">
        <v>45063</v>
      </c>
      <c r="C3809" s="1" t="n">
        <v>45705</v>
      </c>
      <c r="D3809" t="inlineStr">
        <is>
          <t>UPPSALA LÄN</t>
        </is>
      </c>
      <c r="E3809" t="inlineStr">
        <is>
          <t>ÖSTHAMMAR</t>
        </is>
      </c>
      <c r="F3809" t="inlineStr">
        <is>
          <t>Sveaskog</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21727-2023</t>
        </is>
      </c>
      <c r="B3810" s="1" t="n">
        <v>45065</v>
      </c>
      <c r="C3810" s="1" t="n">
        <v>45705</v>
      </c>
      <c r="D3810" t="inlineStr">
        <is>
          <t>UPPSALA LÄN</t>
        </is>
      </c>
      <c r="E3810" t="inlineStr">
        <is>
          <t>UPPSALA</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22090-2023</t>
        </is>
      </c>
      <c r="B3811" s="1" t="n">
        <v>45065</v>
      </c>
      <c r="C3811" s="1" t="n">
        <v>45705</v>
      </c>
      <c r="D3811" t="inlineStr">
        <is>
          <t>UPPSALA LÄN</t>
        </is>
      </c>
      <c r="E3811" t="inlineStr">
        <is>
          <t>HEBY</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21935-2023</t>
        </is>
      </c>
      <c r="B3812" s="1" t="n">
        <v>45068</v>
      </c>
      <c r="C3812" s="1" t="n">
        <v>45705</v>
      </c>
      <c r="D3812" t="inlineStr">
        <is>
          <t>UPPSALA LÄN</t>
        </is>
      </c>
      <c r="E3812" t="inlineStr">
        <is>
          <t>UPPSALA</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21882-2023</t>
        </is>
      </c>
      <c r="B3813" s="1" t="n">
        <v>45068</v>
      </c>
      <c r="C3813" s="1" t="n">
        <v>45705</v>
      </c>
      <c r="D3813" t="inlineStr">
        <is>
          <t>UPPSALA LÄN</t>
        </is>
      </c>
      <c r="E3813" t="inlineStr">
        <is>
          <t>HEBY</t>
        </is>
      </c>
      <c r="G3813" t="n">
        <v>5.6</v>
      </c>
      <c r="H3813" t="n">
        <v>0</v>
      </c>
      <c r="I3813" t="n">
        <v>0</v>
      </c>
      <c r="J3813" t="n">
        <v>0</v>
      </c>
      <c r="K3813" t="n">
        <v>0</v>
      </c>
      <c r="L3813" t="n">
        <v>0</v>
      </c>
      <c r="M3813" t="n">
        <v>0</v>
      </c>
      <c r="N3813" t="n">
        <v>0</v>
      </c>
      <c r="O3813" t="n">
        <v>0</v>
      </c>
      <c r="P3813" t="n">
        <v>0</v>
      </c>
      <c r="Q3813" t="n">
        <v>0</v>
      </c>
      <c r="R3813" s="2" t="inlineStr"/>
    </row>
    <row r="3814" ht="15" customHeight="1">
      <c r="A3814" t="inlineStr">
        <is>
          <t>A 21862-2023</t>
        </is>
      </c>
      <c r="B3814" s="1" t="n">
        <v>45068</v>
      </c>
      <c r="C3814" s="1" t="n">
        <v>45705</v>
      </c>
      <c r="D3814" t="inlineStr">
        <is>
          <t>UPPSALA LÄN</t>
        </is>
      </c>
      <c r="E3814" t="inlineStr">
        <is>
          <t>ÖSTHAMMAR</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22166-2023</t>
        </is>
      </c>
      <c r="B3815" s="1" t="n">
        <v>45068</v>
      </c>
      <c r="C3815" s="1" t="n">
        <v>45705</v>
      </c>
      <c r="D3815" t="inlineStr">
        <is>
          <t>UPPSALA LÄN</t>
        </is>
      </c>
      <c r="E3815" t="inlineStr">
        <is>
          <t>HEBY</t>
        </is>
      </c>
      <c r="F3815" t="inlineStr">
        <is>
          <t>Bergvik skog väst AB</t>
        </is>
      </c>
      <c r="G3815" t="n">
        <v>5.7</v>
      </c>
      <c r="H3815" t="n">
        <v>0</v>
      </c>
      <c r="I3815" t="n">
        <v>0</v>
      </c>
      <c r="J3815" t="n">
        <v>0</v>
      </c>
      <c r="K3815" t="n">
        <v>0</v>
      </c>
      <c r="L3815" t="n">
        <v>0</v>
      </c>
      <c r="M3815" t="n">
        <v>0</v>
      </c>
      <c r="N3815" t="n">
        <v>0</v>
      </c>
      <c r="O3815" t="n">
        <v>0</v>
      </c>
      <c r="P3815" t="n">
        <v>0</v>
      </c>
      <c r="Q3815" t="n">
        <v>0</v>
      </c>
      <c r="R3815" s="2" t="inlineStr"/>
    </row>
    <row r="3816" ht="15" customHeight="1">
      <c r="A3816" t="inlineStr">
        <is>
          <t>A 22094-2023</t>
        </is>
      </c>
      <c r="B3816" s="1" t="n">
        <v>45069</v>
      </c>
      <c r="C3816" s="1" t="n">
        <v>45705</v>
      </c>
      <c r="D3816" t="inlineStr">
        <is>
          <t>UPPSALA LÄN</t>
        </is>
      </c>
      <c r="E3816" t="inlineStr">
        <is>
          <t>ENKÖPING</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22321-2023</t>
        </is>
      </c>
      <c r="B3817" s="1" t="n">
        <v>45070</v>
      </c>
      <c r="C3817" s="1" t="n">
        <v>45705</v>
      </c>
      <c r="D3817" t="inlineStr">
        <is>
          <t>UPPSALA LÄN</t>
        </is>
      </c>
      <c r="E3817" t="inlineStr">
        <is>
          <t>TIERP</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22405-2023</t>
        </is>
      </c>
      <c r="B3818" s="1" t="n">
        <v>45070</v>
      </c>
      <c r="C3818" s="1" t="n">
        <v>45705</v>
      </c>
      <c r="D3818" t="inlineStr">
        <is>
          <t>UPPSALA LÄN</t>
        </is>
      </c>
      <c r="E3818" t="inlineStr">
        <is>
          <t>ÖSTHAMMAR</t>
        </is>
      </c>
      <c r="F3818" t="inlineStr">
        <is>
          <t>Bergvik skog öst AB</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22450-2023</t>
        </is>
      </c>
      <c r="B3819" s="1" t="n">
        <v>45070</v>
      </c>
      <c r="C3819" s="1" t="n">
        <v>45705</v>
      </c>
      <c r="D3819" t="inlineStr">
        <is>
          <t>UPPSALA LÄN</t>
        </is>
      </c>
      <c r="E3819" t="inlineStr">
        <is>
          <t>UPPSALA</t>
        </is>
      </c>
      <c r="F3819" t="inlineStr">
        <is>
          <t>Allmännings- och besparingsskogar</t>
        </is>
      </c>
      <c r="G3819" t="n">
        <v>10</v>
      </c>
      <c r="H3819" t="n">
        <v>0</v>
      </c>
      <c r="I3819" t="n">
        <v>0</v>
      </c>
      <c r="J3819" t="n">
        <v>0</v>
      </c>
      <c r="K3819" t="n">
        <v>0</v>
      </c>
      <c r="L3819" t="n">
        <v>0</v>
      </c>
      <c r="M3819" t="n">
        <v>0</v>
      </c>
      <c r="N3819" t="n">
        <v>0</v>
      </c>
      <c r="O3819" t="n">
        <v>0</v>
      </c>
      <c r="P3819" t="n">
        <v>0</v>
      </c>
      <c r="Q3819" t="n">
        <v>0</v>
      </c>
      <c r="R3819" s="2" t="inlineStr"/>
    </row>
    <row r="3820" ht="15" customHeight="1">
      <c r="A3820" t="inlineStr">
        <is>
          <t>A 22413-2023</t>
        </is>
      </c>
      <c r="B3820" s="1" t="n">
        <v>45070</v>
      </c>
      <c r="C3820" s="1" t="n">
        <v>45705</v>
      </c>
      <c r="D3820" t="inlineStr">
        <is>
          <t>UPPSALA LÄN</t>
        </is>
      </c>
      <c r="E3820" t="inlineStr">
        <is>
          <t>ÖSTHAMMAR</t>
        </is>
      </c>
      <c r="F3820" t="inlineStr">
        <is>
          <t>Bergvik skog öst AB</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22322-2023</t>
        </is>
      </c>
      <c r="B3821" s="1" t="n">
        <v>45070</v>
      </c>
      <c r="C3821" s="1" t="n">
        <v>45705</v>
      </c>
      <c r="D3821" t="inlineStr">
        <is>
          <t>UPPSALA LÄN</t>
        </is>
      </c>
      <c r="E3821" t="inlineStr">
        <is>
          <t>ÖSTHAMMAR</t>
        </is>
      </c>
      <c r="F3821" t="inlineStr">
        <is>
          <t>Bergvik skog öst AB</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22486-2023</t>
        </is>
      </c>
      <c r="B3822" s="1" t="n">
        <v>45071</v>
      </c>
      <c r="C3822" s="1" t="n">
        <v>45705</v>
      </c>
      <c r="D3822" t="inlineStr">
        <is>
          <t>UPPSALA LÄN</t>
        </is>
      </c>
      <c r="E3822" t="inlineStr">
        <is>
          <t>HEBY</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22519-2023</t>
        </is>
      </c>
      <c r="B3823" s="1" t="n">
        <v>45071</v>
      </c>
      <c r="C3823" s="1" t="n">
        <v>45705</v>
      </c>
      <c r="D3823" t="inlineStr">
        <is>
          <t>UPPSALA LÄN</t>
        </is>
      </c>
      <c r="E3823" t="inlineStr">
        <is>
          <t>HEBY</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22549-2023</t>
        </is>
      </c>
      <c r="B3824" s="1" t="n">
        <v>45071</v>
      </c>
      <c r="C3824" s="1" t="n">
        <v>45705</v>
      </c>
      <c r="D3824" t="inlineStr">
        <is>
          <t>UPPSALA LÄN</t>
        </is>
      </c>
      <c r="E3824" t="inlineStr">
        <is>
          <t>HEBY</t>
        </is>
      </c>
      <c r="G3824" t="n">
        <v>4.1</v>
      </c>
      <c r="H3824" t="n">
        <v>0</v>
      </c>
      <c r="I3824" t="n">
        <v>0</v>
      </c>
      <c r="J3824" t="n">
        <v>0</v>
      </c>
      <c r="K3824" t="n">
        <v>0</v>
      </c>
      <c r="L3824" t="n">
        <v>0</v>
      </c>
      <c r="M3824" t="n">
        <v>0</v>
      </c>
      <c r="N3824" t="n">
        <v>0</v>
      </c>
      <c r="O3824" t="n">
        <v>0</v>
      </c>
      <c r="P3824" t="n">
        <v>0</v>
      </c>
      <c r="Q3824" t="n">
        <v>0</v>
      </c>
      <c r="R3824" s="2" t="inlineStr"/>
    </row>
    <row r="3825" ht="15" customHeight="1">
      <c r="A3825" t="inlineStr">
        <is>
          <t>A 22545-2023</t>
        </is>
      </c>
      <c r="B3825" s="1" t="n">
        <v>45071</v>
      </c>
      <c r="C3825" s="1" t="n">
        <v>45705</v>
      </c>
      <c r="D3825" t="inlineStr">
        <is>
          <t>UPPSALA LÄN</t>
        </is>
      </c>
      <c r="E3825" t="inlineStr">
        <is>
          <t>HEBY</t>
        </is>
      </c>
      <c r="G3825" t="n">
        <v>19.3</v>
      </c>
      <c r="H3825" t="n">
        <v>0</v>
      </c>
      <c r="I3825" t="n">
        <v>0</v>
      </c>
      <c r="J3825" t="n">
        <v>0</v>
      </c>
      <c r="K3825" t="n">
        <v>0</v>
      </c>
      <c r="L3825" t="n">
        <v>0</v>
      </c>
      <c r="M3825" t="n">
        <v>0</v>
      </c>
      <c r="N3825" t="n">
        <v>0</v>
      </c>
      <c r="O3825" t="n">
        <v>0</v>
      </c>
      <c r="P3825" t="n">
        <v>0</v>
      </c>
      <c r="Q3825" t="n">
        <v>0</v>
      </c>
      <c r="R3825" s="2" t="inlineStr"/>
    </row>
    <row r="3826" ht="15" customHeight="1">
      <c r="A3826" t="inlineStr">
        <is>
          <t>A 22672-2023</t>
        </is>
      </c>
      <c r="B3826" s="1" t="n">
        <v>45071</v>
      </c>
      <c r="C3826" s="1" t="n">
        <v>45705</v>
      </c>
      <c r="D3826" t="inlineStr">
        <is>
          <t>UPPSALA LÄN</t>
        </is>
      </c>
      <c r="E3826" t="inlineStr">
        <is>
          <t>TIERP</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22701-2023</t>
        </is>
      </c>
      <c r="B3827" s="1" t="n">
        <v>45071</v>
      </c>
      <c r="C3827" s="1" t="n">
        <v>45705</v>
      </c>
      <c r="D3827" t="inlineStr">
        <is>
          <t>UPPSALA LÄN</t>
        </is>
      </c>
      <c r="E3827" t="inlineStr">
        <is>
          <t>ÖSTHAMMAR</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22794-2023</t>
        </is>
      </c>
      <c r="B3828" s="1" t="n">
        <v>45072</v>
      </c>
      <c r="C3828" s="1" t="n">
        <v>45705</v>
      </c>
      <c r="D3828" t="inlineStr">
        <is>
          <t>UPPSALA LÄN</t>
        </is>
      </c>
      <c r="E3828" t="inlineStr">
        <is>
          <t>ÖSTHAMMAR</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22798-2023</t>
        </is>
      </c>
      <c r="B3829" s="1" t="n">
        <v>45072</v>
      </c>
      <c r="C3829" s="1" t="n">
        <v>45705</v>
      </c>
      <c r="D3829" t="inlineStr">
        <is>
          <t>UPPSALA LÄN</t>
        </is>
      </c>
      <c r="E3829" t="inlineStr">
        <is>
          <t>ÖSTHAMMAR</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22796-2023</t>
        </is>
      </c>
      <c r="B3830" s="1" t="n">
        <v>45072</v>
      </c>
      <c r="C3830" s="1" t="n">
        <v>45705</v>
      </c>
      <c r="D3830" t="inlineStr">
        <is>
          <t>UPPSALA LÄN</t>
        </is>
      </c>
      <c r="E3830" t="inlineStr">
        <is>
          <t>ÖSTHAMMAR</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22901-2023</t>
        </is>
      </c>
      <c r="B3831" s="1" t="n">
        <v>45072</v>
      </c>
      <c r="C3831" s="1" t="n">
        <v>45705</v>
      </c>
      <c r="D3831" t="inlineStr">
        <is>
          <t>UPPSALA LÄN</t>
        </is>
      </c>
      <c r="E3831" t="inlineStr">
        <is>
          <t>TIERP</t>
        </is>
      </c>
      <c r="G3831" t="n">
        <v>0.2</v>
      </c>
      <c r="H3831" t="n">
        <v>0</v>
      </c>
      <c r="I3831" t="n">
        <v>0</v>
      </c>
      <c r="J3831" t="n">
        <v>0</v>
      </c>
      <c r="K3831" t="n">
        <v>0</v>
      </c>
      <c r="L3831" t="n">
        <v>0</v>
      </c>
      <c r="M3831" t="n">
        <v>0</v>
      </c>
      <c r="N3831" t="n">
        <v>0</v>
      </c>
      <c r="O3831" t="n">
        <v>0</v>
      </c>
      <c r="P3831" t="n">
        <v>0</v>
      </c>
      <c r="Q3831" t="n">
        <v>0</v>
      </c>
      <c r="R3831" s="2" t="inlineStr"/>
    </row>
    <row r="3832" ht="15" customHeight="1">
      <c r="A3832" t="inlineStr">
        <is>
          <t>A 23065-2023</t>
        </is>
      </c>
      <c r="B3832" s="1" t="n">
        <v>45075</v>
      </c>
      <c r="C3832" s="1" t="n">
        <v>45705</v>
      </c>
      <c r="D3832" t="inlineStr">
        <is>
          <t>UPPSALA LÄN</t>
        </is>
      </c>
      <c r="E3832" t="inlineStr">
        <is>
          <t>HEBY</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23083-2023</t>
        </is>
      </c>
      <c r="B3833" s="1" t="n">
        <v>45075</v>
      </c>
      <c r="C3833" s="1" t="n">
        <v>45705</v>
      </c>
      <c r="D3833" t="inlineStr">
        <is>
          <t>UPPSALA LÄN</t>
        </is>
      </c>
      <c r="E3833" t="inlineStr">
        <is>
          <t>ÖSTHAMMAR</t>
        </is>
      </c>
      <c r="F3833" t="inlineStr">
        <is>
          <t>Sveaskog</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23064-2023</t>
        </is>
      </c>
      <c r="B3834" s="1" t="n">
        <v>45075</v>
      </c>
      <c r="C3834" s="1" t="n">
        <v>45705</v>
      </c>
      <c r="D3834" t="inlineStr">
        <is>
          <t>UPPSALA LÄN</t>
        </is>
      </c>
      <c r="E3834" t="inlineStr">
        <is>
          <t>ÖSTHAMMAR</t>
        </is>
      </c>
      <c r="F3834" t="inlineStr">
        <is>
          <t>Kyrkan</t>
        </is>
      </c>
      <c r="G3834" t="n">
        <v>16.6</v>
      </c>
      <c r="H3834" t="n">
        <v>0</v>
      </c>
      <c r="I3834" t="n">
        <v>0</v>
      </c>
      <c r="J3834" t="n">
        <v>0</v>
      </c>
      <c r="K3834" t="n">
        <v>0</v>
      </c>
      <c r="L3834" t="n">
        <v>0</v>
      </c>
      <c r="M3834" t="n">
        <v>0</v>
      </c>
      <c r="N3834" t="n">
        <v>0</v>
      </c>
      <c r="O3834" t="n">
        <v>0</v>
      </c>
      <c r="P3834" t="n">
        <v>0</v>
      </c>
      <c r="Q3834" t="n">
        <v>0</v>
      </c>
      <c r="R3834" s="2" t="inlineStr"/>
    </row>
    <row r="3835" ht="15" customHeight="1">
      <c r="A3835" t="inlineStr">
        <is>
          <t>A 23042-2023</t>
        </is>
      </c>
      <c r="B3835" s="1" t="n">
        <v>45075</v>
      </c>
      <c r="C3835" s="1" t="n">
        <v>45705</v>
      </c>
      <c r="D3835" t="inlineStr">
        <is>
          <t>UPPSALA LÄN</t>
        </is>
      </c>
      <c r="E3835" t="inlineStr">
        <is>
          <t>KNIVSTA</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23164-2023</t>
        </is>
      </c>
      <c r="B3836" s="1" t="n">
        <v>45075</v>
      </c>
      <c r="C3836" s="1" t="n">
        <v>45705</v>
      </c>
      <c r="D3836" t="inlineStr">
        <is>
          <t>UPPSALA LÄN</t>
        </is>
      </c>
      <c r="E3836" t="inlineStr">
        <is>
          <t>TIERP</t>
        </is>
      </c>
      <c r="F3836" t="inlineStr">
        <is>
          <t>Bergvik skog öst AB</t>
        </is>
      </c>
      <c r="G3836" t="n">
        <v>16.5</v>
      </c>
      <c r="H3836" t="n">
        <v>0</v>
      </c>
      <c r="I3836" t="n">
        <v>0</v>
      </c>
      <c r="J3836" t="n">
        <v>0</v>
      </c>
      <c r="K3836" t="n">
        <v>0</v>
      </c>
      <c r="L3836" t="n">
        <v>0</v>
      </c>
      <c r="M3836" t="n">
        <v>0</v>
      </c>
      <c r="N3836" t="n">
        <v>0</v>
      </c>
      <c r="O3836" t="n">
        <v>0</v>
      </c>
      <c r="P3836" t="n">
        <v>0</v>
      </c>
      <c r="Q3836" t="n">
        <v>0</v>
      </c>
      <c r="R3836" s="2" t="inlineStr"/>
    </row>
    <row r="3837" ht="15" customHeight="1">
      <c r="A3837" t="inlineStr">
        <is>
          <t>A 23197-2023</t>
        </is>
      </c>
      <c r="B3837" s="1" t="n">
        <v>45075</v>
      </c>
      <c r="C3837" s="1" t="n">
        <v>45705</v>
      </c>
      <c r="D3837" t="inlineStr">
        <is>
          <t>UPPSALA LÄN</t>
        </is>
      </c>
      <c r="E3837" t="inlineStr">
        <is>
          <t>ÖSTHAMMAR</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23142-2023</t>
        </is>
      </c>
      <c r="B3838" s="1" t="n">
        <v>45075</v>
      </c>
      <c r="C3838" s="1" t="n">
        <v>45705</v>
      </c>
      <c r="D3838" t="inlineStr">
        <is>
          <t>UPPSALA LÄN</t>
        </is>
      </c>
      <c r="E3838" t="inlineStr">
        <is>
          <t>ÖSTHAMMAR</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23154-2023</t>
        </is>
      </c>
      <c r="B3839" s="1" t="n">
        <v>45075</v>
      </c>
      <c r="C3839" s="1" t="n">
        <v>45705</v>
      </c>
      <c r="D3839" t="inlineStr">
        <is>
          <t>UPPSALA LÄN</t>
        </is>
      </c>
      <c r="E3839" t="inlineStr">
        <is>
          <t>TIERP</t>
        </is>
      </c>
      <c r="F3839" t="inlineStr">
        <is>
          <t>Kyrkan</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23059-2023</t>
        </is>
      </c>
      <c r="B3840" s="1" t="n">
        <v>45075</v>
      </c>
      <c r="C3840" s="1" t="n">
        <v>45705</v>
      </c>
      <c r="D3840" t="inlineStr">
        <is>
          <t>UPPSALA LÄN</t>
        </is>
      </c>
      <c r="E3840" t="inlineStr">
        <is>
          <t>ÖSTHAMMAR</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23159-2023</t>
        </is>
      </c>
      <c r="B3841" s="1" t="n">
        <v>45075</v>
      </c>
      <c r="C3841" s="1" t="n">
        <v>45705</v>
      </c>
      <c r="D3841" t="inlineStr">
        <is>
          <t>UPPSALA LÄN</t>
        </is>
      </c>
      <c r="E3841" t="inlineStr">
        <is>
          <t>UPPSALA</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23239-2023</t>
        </is>
      </c>
      <c r="B3842" s="1" t="n">
        <v>45075</v>
      </c>
      <c r="C3842" s="1" t="n">
        <v>45705</v>
      </c>
      <c r="D3842" t="inlineStr">
        <is>
          <t>UPPSALA LÄN</t>
        </is>
      </c>
      <c r="E3842" t="inlineStr">
        <is>
          <t>KNIVSTA</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23157-2023</t>
        </is>
      </c>
      <c r="B3843" s="1" t="n">
        <v>45075</v>
      </c>
      <c r="C3843" s="1" t="n">
        <v>45705</v>
      </c>
      <c r="D3843" t="inlineStr">
        <is>
          <t>UPPSALA LÄN</t>
        </is>
      </c>
      <c r="E3843" t="inlineStr">
        <is>
          <t>UPPSALA</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23363-2023</t>
        </is>
      </c>
      <c r="B3844" s="1" t="n">
        <v>45076</v>
      </c>
      <c r="C3844" s="1" t="n">
        <v>45705</v>
      </c>
      <c r="D3844" t="inlineStr">
        <is>
          <t>UPPSALA LÄN</t>
        </is>
      </c>
      <c r="E3844" t="inlineStr">
        <is>
          <t>ÖSTHAMMAR</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23466-2023</t>
        </is>
      </c>
      <c r="B3845" s="1" t="n">
        <v>45076</v>
      </c>
      <c r="C3845" s="1" t="n">
        <v>45705</v>
      </c>
      <c r="D3845" t="inlineStr">
        <is>
          <t>UPPSALA LÄN</t>
        </is>
      </c>
      <c r="E3845" t="inlineStr">
        <is>
          <t>KNIVSTA</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23495-2023</t>
        </is>
      </c>
      <c r="B3846" s="1" t="n">
        <v>45076</v>
      </c>
      <c r="C3846" s="1" t="n">
        <v>45705</v>
      </c>
      <c r="D3846" t="inlineStr">
        <is>
          <t>UPPSALA LÄN</t>
        </is>
      </c>
      <c r="E3846" t="inlineStr">
        <is>
          <t>ÖSTHAMMAR</t>
        </is>
      </c>
      <c r="F3846" t="inlineStr">
        <is>
          <t>Sveaskog</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23929-2023</t>
        </is>
      </c>
      <c r="B3847" s="1" t="n">
        <v>45078</v>
      </c>
      <c r="C3847" s="1" t="n">
        <v>45705</v>
      </c>
      <c r="D3847" t="inlineStr">
        <is>
          <t>UPPSALA LÄN</t>
        </is>
      </c>
      <c r="E3847" t="inlineStr">
        <is>
          <t>UPPSALA</t>
        </is>
      </c>
      <c r="G3847" t="n">
        <v>12.7</v>
      </c>
      <c r="H3847" t="n">
        <v>0</v>
      </c>
      <c r="I3847" t="n">
        <v>0</v>
      </c>
      <c r="J3847" t="n">
        <v>0</v>
      </c>
      <c r="K3847" t="n">
        <v>0</v>
      </c>
      <c r="L3847" t="n">
        <v>0</v>
      </c>
      <c r="M3847" t="n">
        <v>0</v>
      </c>
      <c r="N3847" t="n">
        <v>0</v>
      </c>
      <c r="O3847" t="n">
        <v>0</v>
      </c>
      <c r="P3847" t="n">
        <v>0</v>
      </c>
      <c r="Q3847" t="n">
        <v>0</v>
      </c>
      <c r="R3847" s="2" t="inlineStr"/>
    </row>
    <row r="3848" ht="15" customHeight="1">
      <c r="A3848" t="inlineStr">
        <is>
          <t>A 24012-2023</t>
        </is>
      </c>
      <c r="B3848" s="1" t="n">
        <v>45078</v>
      </c>
      <c r="C3848" s="1" t="n">
        <v>45705</v>
      </c>
      <c r="D3848" t="inlineStr">
        <is>
          <t>UPPSALA LÄN</t>
        </is>
      </c>
      <c r="E3848" t="inlineStr">
        <is>
          <t>UPPSALA</t>
        </is>
      </c>
      <c r="F3848" t="inlineStr">
        <is>
          <t>Kyrkan</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24016-2023</t>
        </is>
      </c>
      <c r="B3849" s="1" t="n">
        <v>45078</v>
      </c>
      <c r="C3849" s="1" t="n">
        <v>45705</v>
      </c>
      <c r="D3849" t="inlineStr">
        <is>
          <t>UPPSALA LÄN</t>
        </is>
      </c>
      <c r="E3849" t="inlineStr">
        <is>
          <t>UPPSALA</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24033-2023</t>
        </is>
      </c>
      <c r="B3850" s="1" t="n">
        <v>45078</v>
      </c>
      <c r="C3850" s="1" t="n">
        <v>45705</v>
      </c>
      <c r="D3850" t="inlineStr">
        <is>
          <t>UPPSALA LÄN</t>
        </is>
      </c>
      <c r="E3850" t="inlineStr">
        <is>
          <t>ÖSTHAMMAR</t>
        </is>
      </c>
      <c r="F3850" t="inlineStr">
        <is>
          <t>Bergvik skog öst AB</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24009-2023</t>
        </is>
      </c>
      <c r="B3851" s="1" t="n">
        <v>45078</v>
      </c>
      <c r="C3851" s="1" t="n">
        <v>45705</v>
      </c>
      <c r="D3851" t="inlineStr">
        <is>
          <t>UPPSALA LÄN</t>
        </is>
      </c>
      <c r="E3851" t="inlineStr">
        <is>
          <t>UPPSALA</t>
        </is>
      </c>
      <c r="G3851" t="n">
        <v>9.199999999999999</v>
      </c>
      <c r="H3851" t="n">
        <v>0</v>
      </c>
      <c r="I3851" t="n">
        <v>0</v>
      </c>
      <c r="J3851" t="n">
        <v>0</v>
      </c>
      <c r="K3851" t="n">
        <v>0</v>
      </c>
      <c r="L3851" t="n">
        <v>0</v>
      </c>
      <c r="M3851" t="n">
        <v>0</v>
      </c>
      <c r="N3851" t="n">
        <v>0</v>
      </c>
      <c r="O3851" t="n">
        <v>0</v>
      </c>
      <c r="P3851" t="n">
        <v>0</v>
      </c>
      <c r="Q3851" t="n">
        <v>0</v>
      </c>
      <c r="R3851" s="2" t="inlineStr"/>
    </row>
    <row r="3852" ht="15" customHeight="1">
      <c r="A3852" t="inlineStr">
        <is>
          <t>A 24110-2023</t>
        </is>
      </c>
      <c r="B3852" s="1" t="n">
        <v>45079</v>
      </c>
      <c r="C3852" s="1" t="n">
        <v>45705</v>
      </c>
      <c r="D3852" t="inlineStr">
        <is>
          <t>UPPSALA LÄN</t>
        </is>
      </c>
      <c r="E3852" t="inlineStr">
        <is>
          <t>TIERP</t>
        </is>
      </c>
      <c r="F3852" t="inlineStr">
        <is>
          <t>Kyrkan</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24128-2023</t>
        </is>
      </c>
      <c r="B3853" s="1" t="n">
        <v>45079</v>
      </c>
      <c r="C3853" s="1" t="n">
        <v>45705</v>
      </c>
      <c r="D3853" t="inlineStr">
        <is>
          <t>UPPSALA LÄN</t>
        </is>
      </c>
      <c r="E3853" t="inlineStr">
        <is>
          <t>ÖSTHAMMAR</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24174-2023</t>
        </is>
      </c>
      <c r="B3854" s="1" t="n">
        <v>45079</v>
      </c>
      <c r="C3854" s="1" t="n">
        <v>45705</v>
      </c>
      <c r="D3854" t="inlineStr">
        <is>
          <t>UPPSALA LÄN</t>
        </is>
      </c>
      <c r="E3854" t="inlineStr">
        <is>
          <t>UPPSALA</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24325-2023</t>
        </is>
      </c>
      <c r="B3855" s="1" t="n">
        <v>45080</v>
      </c>
      <c r="C3855" s="1" t="n">
        <v>45705</v>
      </c>
      <c r="D3855" t="inlineStr">
        <is>
          <t>UPPSALA LÄN</t>
        </is>
      </c>
      <c r="E3855" t="inlineStr">
        <is>
          <t>ÖSTHAMMAR</t>
        </is>
      </c>
      <c r="F3855" t="inlineStr">
        <is>
          <t>Bergvik skog öst AB</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24324-2023</t>
        </is>
      </c>
      <c r="B3856" s="1" t="n">
        <v>45080</v>
      </c>
      <c r="C3856" s="1" t="n">
        <v>45705</v>
      </c>
      <c r="D3856" t="inlineStr">
        <is>
          <t>UPPSALA LÄN</t>
        </is>
      </c>
      <c r="E3856" t="inlineStr">
        <is>
          <t>ÖSTHAMMAR</t>
        </is>
      </c>
      <c r="F3856" t="inlineStr">
        <is>
          <t>Bergvik skog öst AB</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25408-2023</t>
        </is>
      </c>
      <c r="B3857" s="1" t="n">
        <v>45080</v>
      </c>
      <c r="C3857" s="1" t="n">
        <v>45705</v>
      </c>
      <c r="D3857" t="inlineStr">
        <is>
          <t>UPPSALA LÄN</t>
        </is>
      </c>
      <c r="E3857" t="inlineStr">
        <is>
          <t>TIERP</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24421-2023</t>
        </is>
      </c>
      <c r="B3858" s="1" t="n">
        <v>45082</v>
      </c>
      <c r="C3858" s="1" t="n">
        <v>45705</v>
      </c>
      <c r="D3858" t="inlineStr">
        <is>
          <t>UPPSALA LÄN</t>
        </is>
      </c>
      <c r="E3858" t="inlineStr">
        <is>
          <t>HEBY</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24408-2023</t>
        </is>
      </c>
      <c r="B3859" s="1" t="n">
        <v>45082</v>
      </c>
      <c r="C3859" s="1" t="n">
        <v>45705</v>
      </c>
      <c r="D3859" t="inlineStr">
        <is>
          <t>UPPSALA LÄN</t>
        </is>
      </c>
      <c r="E3859" t="inlineStr">
        <is>
          <t>HEBY</t>
        </is>
      </c>
      <c r="G3859" t="n">
        <v>6.7</v>
      </c>
      <c r="H3859" t="n">
        <v>0</v>
      </c>
      <c r="I3859" t="n">
        <v>0</v>
      </c>
      <c r="J3859" t="n">
        <v>0</v>
      </c>
      <c r="K3859" t="n">
        <v>0</v>
      </c>
      <c r="L3859" t="n">
        <v>0</v>
      </c>
      <c r="M3859" t="n">
        <v>0</v>
      </c>
      <c r="N3859" t="n">
        <v>0</v>
      </c>
      <c r="O3859" t="n">
        <v>0</v>
      </c>
      <c r="P3859" t="n">
        <v>0</v>
      </c>
      <c r="Q3859" t="n">
        <v>0</v>
      </c>
      <c r="R3859" s="2" t="inlineStr"/>
    </row>
    <row r="3860" ht="15" customHeight="1">
      <c r="A3860" t="inlineStr">
        <is>
          <t>A 24419-2023</t>
        </is>
      </c>
      <c r="B3860" s="1" t="n">
        <v>45082</v>
      </c>
      <c r="C3860" s="1" t="n">
        <v>45705</v>
      </c>
      <c r="D3860" t="inlineStr">
        <is>
          <t>UPPSALA LÄN</t>
        </is>
      </c>
      <c r="E3860" t="inlineStr">
        <is>
          <t>HEBY</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24428-2023</t>
        </is>
      </c>
      <c r="B3861" s="1" t="n">
        <v>45082</v>
      </c>
      <c r="C3861" s="1" t="n">
        <v>45705</v>
      </c>
      <c r="D3861" t="inlineStr">
        <is>
          <t>UPPSALA LÄN</t>
        </is>
      </c>
      <c r="E3861" t="inlineStr">
        <is>
          <t>ÖSTHAMMAR</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24493-2023</t>
        </is>
      </c>
      <c r="B3862" s="1" t="n">
        <v>45082</v>
      </c>
      <c r="C3862" s="1" t="n">
        <v>45705</v>
      </c>
      <c r="D3862" t="inlineStr">
        <is>
          <t>UPPSALA LÄN</t>
        </is>
      </c>
      <c r="E3862" t="inlineStr">
        <is>
          <t>ÖSTHAMMAR</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24491-2023</t>
        </is>
      </c>
      <c r="B3863" s="1" t="n">
        <v>45082</v>
      </c>
      <c r="C3863" s="1" t="n">
        <v>45705</v>
      </c>
      <c r="D3863" t="inlineStr">
        <is>
          <t>UPPSALA LÄN</t>
        </is>
      </c>
      <c r="E3863" t="inlineStr">
        <is>
          <t>ÖSTHAMMAR</t>
        </is>
      </c>
      <c r="G3863" t="n">
        <v>5.3</v>
      </c>
      <c r="H3863" t="n">
        <v>0</v>
      </c>
      <c r="I3863" t="n">
        <v>0</v>
      </c>
      <c r="J3863" t="n">
        <v>0</v>
      </c>
      <c r="K3863" t="n">
        <v>0</v>
      </c>
      <c r="L3863" t="n">
        <v>0</v>
      </c>
      <c r="M3863" t="n">
        <v>0</v>
      </c>
      <c r="N3863" t="n">
        <v>0</v>
      </c>
      <c r="O3863" t="n">
        <v>0</v>
      </c>
      <c r="P3863" t="n">
        <v>0</v>
      </c>
      <c r="Q3863" t="n">
        <v>0</v>
      </c>
      <c r="R3863" s="2" t="inlineStr"/>
    </row>
    <row r="3864" ht="15" customHeight="1">
      <c r="A3864" t="inlineStr">
        <is>
          <t>A 24559-2023</t>
        </is>
      </c>
      <c r="B3864" s="1" t="n">
        <v>45083</v>
      </c>
      <c r="C3864" s="1" t="n">
        <v>45705</v>
      </c>
      <c r="D3864" t="inlineStr">
        <is>
          <t>UPPSALA LÄN</t>
        </is>
      </c>
      <c r="E3864" t="inlineStr">
        <is>
          <t>HEBY</t>
        </is>
      </c>
      <c r="G3864" t="n">
        <v>6.6</v>
      </c>
      <c r="H3864" t="n">
        <v>0</v>
      </c>
      <c r="I3864" t="n">
        <v>0</v>
      </c>
      <c r="J3864" t="n">
        <v>0</v>
      </c>
      <c r="K3864" t="n">
        <v>0</v>
      </c>
      <c r="L3864" t="n">
        <v>0</v>
      </c>
      <c r="M3864" t="n">
        <v>0</v>
      </c>
      <c r="N3864" t="n">
        <v>0</v>
      </c>
      <c r="O3864" t="n">
        <v>0</v>
      </c>
      <c r="P3864" t="n">
        <v>0</v>
      </c>
      <c r="Q3864" t="n">
        <v>0</v>
      </c>
      <c r="R3864" s="2" t="inlineStr"/>
    </row>
    <row r="3865" ht="15" customHeight="1">
      <c r="A3865" t="inlineStr">
        <is>
          <t>A 24558-2023</t>
        </is>
      </c>
      <c r="B3865" s="1" t="n">
        <v>45083</v>
      </c>
      <c r="C3865" s="1" t="n">
        <v>45705</v>
      </c>
      <c r="D3865" t="inlineStr">
        <is>
          <t>UPPSALA LÄN</t>
        </is>
      </c>
      <c r="E3865" t="inlineStr">
        <is>
          <t>HEBY</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24562-2023</t>
        </is>
      </c>
      <c r="B3866" s="1" t="n">
        <v>45083</v>
      </c>
      <c r="C3866" s="1" t="n">
        <v>45705</v>
      </c>
      <c r="D3866" t="inlineStr">
        <is>
          <t>UPPSALA LÄN</t>
        </is>
      </c>
      <c r="E3866" t="inlineStr">
        <is>
          <t>HEBY</t>
        </is>
      </c>
      <c r="G3866" t="n">
        <v>5.5</v>
      </c>
      <c r="H3866" t="n">
        <v>0</v>
      </c>
      <c r="I3866" t="n">
        <v>0</v>
      </c>
      <c r="J3866" t="n">
        <v>0</v>
      </c>
      <c r="K3866" t="n">
        <v>0</v>
      </c>
      <c r="L3866" t="n">
        <v>0</v>
      </c>
      <c r="M3866" t="n">
        <v>0</v>
      </c>
      <c r="N3866" t="n">
        <v>0</v>
      </c>
      <c r="O3866" t="n">
        <v>0</v>
      </c>
      <c r="P3866" t="n">
        <v>0</v>
      </c>
      <c r="Q3866" t="n">
        <v>0</v>
      </c>
      <c r="R3866" s="2" t="inlineStr"/>
    </row>
    <row r="3867" ht="15" customHeight="1">
      <c r="A3867" t="inlineStr">
        <is>
          <t>A 24587-2023</t>
        </is>
      </c>
      <c r="B3867" s="1" t="n">
        <v>45083</v>
      </c>
      <c r="C3867" s="1" t="n">
        <v>45705</v>
      </c>
      <c r="D3867" t="inlineStr">
        <is>
          <t>UPPSALA LÄN</t>
        </is>
      </c>
      <c r="E3867" t="inlineStr">
        <is>
          <t>ÖSTHAMMAR</t>
        </is>
      </c>
      <c r="F3867" t="inlineStr">
        <is>
          <t>Bergvik skog öst AB</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24560-2023</t>
        </is>
      </c>
      <c r="B3868" s="1" t="n">
        <v>45083</v>
      </c>
      <c r="C3868" s="1" t="n">
        <v>45705</v>
      </c>
      <c r="D3868" t="inlineStr">
        <is>
          <t>UPPSALA LÄN</t>
        </is>
      </c>
      <c r="E3868" t="inlineStr">
        <is>
          <t>HEBY</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25333-2023</t>
        </is>
      </c>
      <c r="B3869" s="1" t="n">
        <v>45083</v>
      </c>
      <c r="C3869" s="1" t="n">
        <v>45705</v>
      </c>
      <c r="D3869" t="inlineStr">
        <is>
          <t>UPPSALA LÄN</t>
        </is>
      </c>
      <c r="E3869" t="inlineStr">
        <is>
          <t>ENKÖPING</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25334-2023</t>
        </is>
      </c>
      <c r="B3870" s="1" t="n">
        <v>45083</v>
      </c>
      <c r="C3870" s="1" t="n">
        <v>45705</v>
      </c>
      <c r="D3870" t="inlineStr">
        <is>
          <t>UPPSALA LÄN</t>
        </is>
      </c>
      <c r="E3870" t="inlineStr">
        <is>
          <t>ENKÖPING</t>
        </is>
      </c>
      <c r="G3870" t="n">
        <v>0.2</v>
      </c>
      <c r="H3870" t="n">
        <v>0</v>
      </c>
      <c r="I3870" t="n">
        <v>0</v>
      </c>
      <c r="J3870" t="n">
        <v>0</v>
      </c>
      <c r="K3870" t="n">
        <v>0</v>
      </c>
      <c r="L3870" t="n">
        <v>0</v>
      </c>
      <c r="M3870" t="n">
        <v>0</v>
      </c>
      <c r="N3870" t="n">
        <v>0</v>
      </c>
      <c r="O3870" t="n">
        <v>0</v>
      </c>
      <c r="P3870" t="n">
        <v>0</v>
      </c>
      <c r="Q3870" t="n">
        <v>0</v>
      </c>
      <c r="R3870" s="2" t="inlineStr"/>
    </row>
    <row r="3871" ht="15" customHeight="1">
      <c r="A3871" t="inlineStr">
        <is>
          <t>A 24642-2023</t>
        </is>
      </c>
      <c r="B3871" s="1" t="n">
        <v>45084</v>
      </c>
      <c r="C3871" s="1" t="n">
        <v>45705</v>
      </c>
      <c r="D3871" t="inlineStr">
        <is>
          <t>UPPSALA LÄN</t>
        </is>
      </c>
      <c r="E3871" t="inlineStr">
        <is>
          <t>ÖSTHAMMAR</t>
        </is>
      </c>
      <c r="F3871" t="inlineStr">
        <is>
          <t>Bergvik skog öst AB</t>
        </is>
      </c>
      <c r="G3871" t="n">
        <v>7.2</v>
      </c>
      <c r="H3871" t="n">
        <v>0</v>
      </c>
      <c r="I3871" t="n">
        <v>0</v>
      </c>
      <c r="J3871" t="n">
        <v>0</v>
      </c>
      <c r="K3871" t="n">
        <v>0</v>
      </c>
      <c r="L3871" t="n">
        <v>0</v>
      </c>
      <c r="M3871" t="n">
        <v>0</v>
      </c>
      <c r="N3871" t="n">
        <v>0</v>
      </c>
      <c r="O3871" t="n">
        <v>0</v>
      </c>
      <c r="P3871" t="n">
        <v>0</v>
      </c>
      <c r="Q3871" t="n">
        <v>0</v>
      </c>
      <c r="R3871" s="2" t="inlineStr"/>
    </row>
    <row r="3872" ht="15" customHeight="1">
      <c r="A3872" t="inlineStr">
        <is>
          <t>A 24648-2023</t>
        </is>
      </c>
      <c r="B3872" s="1" t="n">
        <v>45084</v>
      </c>
      <c r="C3872" s="1" t="n">
        <v>45705</v>
      </c>
      <c r="D3872" t="inlineStr">
        <is>
          <t>UPPSALA LÄN</t>
        </is>
      </c>
      <c r="E3872" t="inlineStr">
        <is>
          <t>ÖSTHAMMAR</t>
        </is>
      </c>
      <c r="F3872" t="inlineStr">
        <is>
          <t>Bergvik skog öst AB</t>
        </is>
      </c>
      <c r="G3872" t="n">
        <v>12.5</v>
      </c>
      <c r="H3872" t="n">
        <v>0</v>
      </c>
      <c r="I3872" t="n">
        <v>0</v>
      </c>
      <c r="J3872" t="n">
        <v>0</v>
      </c>
      <c r="K3872" t="n">
        <v>0</v>
      </c>
      <c r="L3872" t="n">
        <v>0</v>
      </c>
      <c r="M3872" t="n">
        <v>0</v>
      </c>
      <c r="N3872" t="n">
        <v>0</v>
      </c>
      <c r="O3872" t="n">
        <v>0</v>
      </c>
      <c r="P3872" t="n">
        <v>0</v>
      </c>
      <c r="Q3872" t="n">
        <v>0</v>
      </c>
      <c r="R3872" s="2" t="inlineStr"/>
    </row>
    <row r="3873" ht="15" customHeight="1">
      <c r="A3873" t="inlineStr">
        <is>
          <t>A 24670-2023</t>
        </is>
      </c>
      <c r="B3873" s="1" t="n">
        <v>45084</v>
      </c>
      <c r="C3873" s="1" t="n">
        <v>45705</v>
      </c>
      <c r="D3873" t="inlineStr">
        <is>
          <t>UPPSALA LÄN</t>
        </is>
      </c>
      <c r="E3873" t="inlineStr">
        <is>
          <t>UPPSALA</t>
        </is>
      </c>
      <c r="F3873" t="inlineStr">
        <is>
          <t>Holmen skog AB</t>
        </is>
      </c>
      <c r="G3873" t="n">
        <v>4</v>
      </c>
      <c r="H3873" t="n">
        <v>0</v>
      </c>
      <c r="I3873" t="n">
        <v>0</v>
      </c>
      <c r="J3873" t="n">
        <v>0</v>
      </c>
      <c r="K3873" t="n">
        <v>0</v>
      </c>
      <c r="L3873" t="n">
        <v>0</v>
      </c>
      <c r="M3873" t="n">
        <v>0</v>
      </c>
      <c r="N3873" t="n">
        <v>0</v>
      </c>
      <c r="O3873" t="n">
        <v>0</v>
      </c>
      <c r="P3873" t="n">
        <v>0</v>
      </c>
      <c r="Q3873" t="n">
        <v>0</v>
      </c>
      <c r="R3873" s="2" t="inlineStr"/>
    </row>
    <row r="3874" ht="15" customHeight="1">
      <c r="A3874" t="inlineStr">
        <is>
          <t>A 24751-2023</t>
        </is>
      </c>
      <c r="B3874" s="1" t="n">
        <v>45084</v>
      </c>
      <c r="C3874" s="1" t="n">
        <v>45705</v>
      </c>
      <c r="D3874" t="inlineStr">
        <is>
          <t>UPPSALA LÄN</t>
        </is>
      </c>
      <c r="E3874" t="inlineStr">
        <is>
          <t>ÖSTHAMMAR</t>
        </is>
      </c>
      <c r="F3874" t="inlineStr">
        <is>
          <t>Bergvik skog öst AB</t>
        </is>
      </c>
      <c r="G3874" t="n">
        <v>6.2</v>
      </c>
      <c r="H3874" t="n">
        <v>0</v>
      </c>
      <c r="I3874" t="n">
        <v>0</v>
      </c>
      <c r="J3874" t="n">
        <v>0</v>
      </c>
      <c r="K3874" t="n">
        <v>0</v>
      </c>
      <c r="L3874" t="n">
        <v>0</v>
      </c>
      <c r="M3874" t="n">
        <v>0</v>
      </c>
      <c r="N3874" t="n">
        <v>0</v>
      </c>
      <c r="O3874" t="n">
        <v>0</v>
      </c>
      <c r="P3874" t="n">
        <v>0</v>
      </c>
      <c r="Q3874" t="n">
        <v>0</v>
      </c>
      <c r="R3874" s="2" t="inlineStr"/>
    </row>
    <row r="3875" ht="15" customHeight="1">
      <c r="A3875" t="inlineStr">
        <is>
          <t>A 24962-2023</t>
        </is>
      </c>
      <c r="B3875" s="1" t="n">
        <v>45085</v>
      </c>
      <c r="C3875" s="1" t="n">
        <v>45705</v>
      </c>
      <c r="D3875" t="inlineStr">
        <is>
          <t>UPPSALA LÄN</t>
        </is>
      </c>
      <c r="E3875" t="inlineStr">
        <is>
          <t>ENKÖPING</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24960-2023</t>
        </is>
      </c>
      <c r="B3876" s="1" t="n">
        <v>45085</v>
      </c>
      <c r="C3876" s="1" t="n">
        <v>45705</v>
      </c>
      <c r="D3876" t="inlineStr">
        <is>
          <t>UPPSALA LÄN</t>
        </is>
      </c>
      <c r="E3876" t="inlineStr">
        <is>
          <t>ENKÖPING</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24974-2023</t>
        </is>
      </c>
      <c r="B3877" s="1" t="n">
        <v>45085</v>
      </c>
      <c r="C3877" s="1" t="n">
        <v>45705</v>
      </c>
      <c r="D3877" t="inlineStr">
        <is>
          <t>UPPSALA LÄN</t>
        </is>
      </c>
      <c r="E3877" t="inlineStr">
        <is>
          <t>ENKÖPING</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24978-2023</t>
        </is>
      </c>
      <c r="B3878" s="1" t="n">
        <v>45085</v>
      </c>
      <c r="C3878" s="1" t="n">
        <v>45705</v>
      </c>
      <c r="D3878" t="inlineStr">
        <is>
          <t>UPPSALA LÄN</t>
        </is>
      </c>
      <c r="E3878" t="inlineStr">
        <is>
          <t>ENKÖPING</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25235-2023</t>
        </is>
      </c>
      <c r="B3879" s="1" t="n">
        <v>45086</v>
      </c>
      <c r="C3879" s="1" t="n">
        <v>45705</v>
      </c>
      <c r="D3879" t="inlineStr">
        <is>
          <t>UPPSALA LÄN</t>
        </is>
      </c>
      <c r="E3879" t="inlineStr">
        <is>
          <t>HEBY</t>
        </is>
      </c>
      <c r="G3879" t="n">
        <v>7.7</v>
      </c>
      <c r="H3879" t="n">
        <v>0</v>
      </c>
      <c r="I3879" t="n">
        <v>0</v>
      </c>
      <c r="J3879" t="n">
        <v>0</v>
      </c>
      <c r="K3879" t="n">
        <v>0</v>
      </c>
      <c r="L3879" t="n">
        <v>0</v>
      </c>
      <c r="M3879" t="n">
        <v>0</v>
      </c>
      <c r="N3879" t="n">
        <v>0</v>
      </c>
      <c r="O3879" t="n">
        <v>0</v>
      </c>
      <c r="P3879" t="n">
        <v>0</v>
      </c>
      <c r="Q3879" t="n">
        <v>0</v>
      </c>
      <c r="R3879" s="2" t="inlineStr"/>
    </row>
    <row r="3880" ht="15" customHeight="1">
      <c r="A3880" t="inlineStr">
        <is>
          <t>A 25194-2023</t>
        </is>
      </c>
      <c r="B3880" s="1" t="n">
        <v>45086</v>
      </c>
      <c r="C3880" s="1" t="n">
        <v>45705</v>
      </c>
      <c r="D3880" t="inlineStr">
        <is>
          <t>UPPSALA LÄN</t>
        </is>
      </c>
      <c r="E3880" t="inlineStr">
        <is>
          <t>ÖSTHAMMAR</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25264-2023</t>
        </is>
      </c>
      <c r="B3881" s="1" t="n">
        <v>45086</v>
      </c>
      <c r="C3881" s="1" t="n">
        <v>45705</v>
      </c>
      <c r="D3881" t="inlineStr">
        <is>
          <t>UPPSALA LÄN</t>
        </is>
      </c>
      <c r="E3881" t="inlineStr">
        <is>
          <t>UPPSALA</t>
        </is>
      </c>
      <c r="F3881" t="inlineStr">
        <is>
          <t>Holmen skog AB</t>
        </is>
      </c>
      <c r="G3881" t="n">
        <v>5.9</v>
      </c>
      <c r="H3881" t="n">
        <v>0</v>
      </c>
      <c r="I3881" t="n">
        <v>0</v>
      </c>
      <c r="J3881" t="n">
        <v>0</v>
      </c>
      <c r="K3881" t="n">
        <v>0</v>
      </c>
      <c r="L3881" t="n">
        <v>0</v>
      </c>
      <c r="M3881" t="n">
        <v>0</v>
      </c>
      <c r="N3881" t="n">
        <v>0</v>
      </c>
      <c r="O3881" t="n">
        <v>0</v>
      </c>
      <c r="P3881" t="n">
        <v>0</v>
      </c>
      <c r="Q3881" t="n">
        <v>0</v>
      </c>
      <c r="R3881" s="2" t="inlineStr"/>
    </row>
    <row r="3882" ht="15" customHeight="1">
      <c r="A3882" t="inlineStr">
        <is>
          <t>A 25280-2023</t>
        </is>
      </c>
      <c r="B3882" s="1" t="n">
        <v>45086</v>
      </c>
      <c r="C3882" s="1" t="n">
        <v>45705</v>
      </c>
      <c r="D3882" t="inlineStr">
        <is>
          <t>UPPSALA LÄN</t>
        </is>
      </c>
      <c r="E3882" t="inlineStr">
        <is>
          <t>UPPSALA</t>
        </is>
      </c>
      <c r="F3882" t="inlineStr">
        <is>
          <t>Holmen skog AB</t>
        </is>
      </c>
      <c r="G3882" t="n">
        <v>3.2</v>
      </c>
      <c r="H3882" t="n">
        <v>0</v>
      </c>
      <c r="I3882" t="n">
        <v>0</v>
      </c>
      <c r="J3882" t="n">
        <v>0</v>
      </c>
      <c r="K3882" t="n">
        <v>0</v>
      </c>
      <c r="L3882" t="n">
        <v>0</v>
      </c>
      <c r="M3882" t="n">
        <v>0</v>
      </c>
      <c r="N3882" t="n">
        <v>0</v>
      </c>
      <c r="O3882" t="n">
        <v>0</v>
      </c>
      <c r="P3882" t="n">
        <v>0</v>
      </c>
      <c r="Q3882" t="n">
        <v>0</v>
      </c>
      <c r="R3882" s="2" t="inlineStr"/>
    </row>
    <row r="3883" ht="15" customHeight="1">
      <c r="A3883" t="inlineStr">
        <is>
          <t>A 25249-2023</t>
        </is>
      </c>
      <c r="B3883" s="1" t="n">
        <v>45086</v>
      </c>
      <c r="C3883" s="1" t="n">
        <v>45705</v>
      </c>
      <c r="D3883" t="inlineStr">
        <is>
          <t>UPPSALA LÄN</t>
        </is>
      </c>
      <c r="E3883" t="inlineStr">
        <is>
          <t>HEBY</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25380-2023</t>
        </is>
      </c>
      <c r="B3884" s="1" t="n">
        <v>45089</v>
      </c>
      <c r="C3884" s="1" t="n">
        <v>45705</v>
      </c>
      <c r="D3884" t="inlineStr">
        <is>
          <t>UPPSALA LÄN</t>
        </is>
      </c>
      <c r="E3884" t="inlineStr">
        <is>
          <t>UPPSALA</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25529-2023</t>
        </is>
      </c>
      <c r="B3885" s="1" t="n">
        <v>45089</v>
      </c>
      <c r="C3885" s="1" t="n">
        <v>45705</v>
      </c>
      <c r="D3885" t="inlineStr">
        <is>
          <t>UPPSALA LÄN</t>
        </is>
      </c>
      <c r="E3885" t="inlineStr">
        <is>
          <t>HEBY</t>
        </is>
      </c>
      <c r="G3885" t="n">
        <v>3.1</v>
      </c>
      <c r="H3885" t="n">
        <v>0</v>
      </c>
      <c r="I3885" t="n">
        <v>0</v>
      </c>
      <c r="J3885" t="n">
        <v>0</v>
      </c>
      <c r="K3885" t="n">
        <v>0</v>
      </c>
      <c r="L3885" t="n">
        <v>0</v>
      </c>
      <c r="M3885" t="n">
        <v>0</v>
      </c>
      <c r="N3885" t="n">
        <v>0</v>
      </c>
      <c r="O3885" t="n">
        <v>0</v>
      </c>
      <c r="P3885" t="n">
        <v>0</v>
      </c>
      <c r="Q3885" t="n">
        <v>0</v>
      </c>
      <c r="R3885" s="2" t="inlineStr"/>
    </row>
    <row r="3886" ht="15" customHeight="1">
      <c r="A3886" t="inlineStr">
        <is>
          <t>A 25381-2023</t>
        </is>
      </c>
      <c r="B3886" s="1" t="n">
        <v>45089</v>
      </c>
      <c r="C3886" s="1" t="n">
        <v>45705</v>
      </c>
      <c r="D3886" t="inlineStr">
        <is>
          <t>UPPSALA LÄN</t>
        </is>
      </c>
      <c r="E3886" t="inlineStr">
        <is>
          <t>UPPSALA</t>
        </is>
      </c>
      <c r="G3886" t="n">
        <v>3.9</v>
      </c>
      <c r="H3886" t="n">
        <v>0</v>
      </c>
      <c r="I3886" t="n">
        <v>0</v>
      </c>
      <c r="J3886" t="n">
        <v>0</v>
      </c>
      <c r="K3886" t="n">
        <v>0</v>
      </c>
      <c r="L3886" t="n">
        <v>0</v>
      </c>
      <c r="M3886" t="n">
        <v>0</v>
      </c>
      <c r="N3886" t="n">
        <v>0</v>
      </c>
      <c r="O3886" t="n">
        <v>0</v>
      </c>
      <c r="P3886" t="n">
        <v>0</v>
      </c>
      <c r="Q3886" t="n">
        <v>0</v>
      </c>
      <c r="R3886" s="2" t="inlineStr"/>
    </row>
    <row r="3887" ht="15" customHeight="1">
      <c r="A3887" t="inlineStr">
        <is>
          <t>A 25446-2023</t>
        </is>
      </c>
      <c r="B3887" s="1" t="n">
        <v>45089</v>
      </c>
      <c r="C3887" s="1" t="n">
        <v>45705</v>
      </c>
      <c r="D3887" t="inlineStr">
        <is>
          <t>UPPSALA LÄN</t>
        </is>
      </c>
      <c r="E3887" t="inlineStr">
        <is>
          <t>UPPSALA</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25525-2023</t>
        </is>
      </c>
      <c r="B3888" s="1" t="n">
        <v>45089</v>
      </c>
      <c r="C3888" s="1" t="n">
        <v>45705</v>
      </c>
      <c r="D3888" t="inlineStr">
        <is>
          <t>UPPSALA LÄN</t>
        </is>
      </c>
      <c r="E3888" t="inlineStr">
        <is>
          <t>HEBY</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25462-2023</t>
        </is>
      </c>
      <c r="B3889" s="1" t="n">
        <v>45089</v>
      </c>
      <c r="C3889" s="1" t="n">
        <v>45705</v>
      </c>
      <c r="D3889" t="inlineStr">
        <is>
          <t>UPPSALA LÄN</t>
        </is>
      </c>
      <c r="E3889" t="inlineStr">
        <is>
          <t>UPPSALA</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26612-2023</t>
        </is>
      </c>
      <c r="B3890" s="1" t="n">
        <v>45089</v>
      </c>
      <c r="C3890" s="1" t="n">
        <v>45705</v>
      </c>
      <c r="D3890" t="inlineStr">
        <is>
          <t>UPPSALA LÄN</t>
        </is>
      </c>
      <c r="E3890" t="inlineStr">
        <is>
          <t>ÖSTHAMMAR</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26610-2023</t>
        </is>
      </c>
      <c r="B3891" s="1" t="n">
        <v>45089</v>
      </c>
      <c r="C3891" s="1" t="n">
        <v>45705</v>
      </c>
      <c r="D3891" t="inlineStr">
        <is>
          <t>UPPSALA LÄN</t>
        </is>
      </c>
      <c r="E3891" t="inlineStr">
        <is>
          <t>ÖSTHAMMAR</t>
        </is>
      </c>
      <c r="G3891" t="n">
        <v>4.1</v>
      </c>
      <c r="H3891" t="n">
        <v>0</v>
      </c>
      <c r="I3891" t="n">
        <v>0</v>
      </c>
      <c r="J3891" t="n">
        <v>0</v>
      </c>
      <c r="K3891" t="n">
        <v>0</v>
      </c>
      <c r="L3891" t="n">
        <v>0</v>
      </c>
      <c r="M3891" t="n">
        <v>0</v>
      </c>
      <c r="N3891" t="n">
        <v>0</v>
      </c>
      <c r="O3891" t="n">
        <v>0</v>
      </c>
      <c r="P3891" t="n">
        <v>0</v>
      </c>
      <c r="Q3891" t="n">
        <v>0</v>
      </c>
      <c r="R3891" s="2" t="inlineStr"/>
    </row>
    <row r="3892" ht="15" customHeight="1">
      <c r="A3892" t="inlineStr">
        <is>
          <t>A 25784-2023</t>
        </is>
      </c>
      <c r="B3892" s="1" t="n">
        <v>45090</v>
      </c>
      <c r="C3892" s="1" t="n">
        <v>45705</v>
      </c>
      <c r="D3892" t="inlineStr">
        <is>
          <t>UPPSALA LÄN</t>
        </is>
      </c>
      <c r="E3892" t="inlineStr">
        <is>
          <t>TIERP</t>
        </is>
      </c>
      <c r="F3892" t="inlineStr">
        <is>
          <t>Bergvik skog väst AB</t>
        </is>
      </c>
      <c r="G3892" t="n">
        <v>6.9</v>
      </c>
      <c r="H3892" t="n">
        <v>0</v>
      </c>
      <c r="I3892" t="n">
        <v>0</v>
      </c>
      <c r="J3892" t="n">
        <v>0</v>
      </c>
      <c r="K3892" t="n">
        <v>0</v>
      </c>
      <c r="L3892" t="n">
        <v>0</v>
      </c>
      <c r="M3892" t="n">
        <v>0</v>
      </c>
      <c r="N3892" t="n">
        <v>0</v>
      </c>
      <c r="O3892" t="n">
        <v>0</v>
      </c>
      <c r="P3892" t="n">
        <v>0</v>
      </c>
      <c r="Q3892" t="n">
        <v>0</v>
      </c>
      <c r="R3892" s="2" t="inlineStr"/>
    </row>
    <row r="3893" ht="15" customHeight="1">
      <c r="A3893" t="inlineStr">
        <is>
          <t>A 25897-2023</t>
        </is>
      </c>
      <c r="B3893" s="1" t="n">
        <v>45090</v>
      </c>
      <c r="C3893" s="1" t="n">
        <v>45705</v>
      </c>
      <c r="D3893" t="inlineStr">
        <is>
          <t>UPPSALA LÄN</t>
        </is>
      </c>
      <c r="E3893" t="inlineStr">
        <is>
          <t>ÖSTHAMMAR</t>
        </is>
      </c>
      <c r="F3893" t="inlineStr">
        <is>
          <t>Bergvik skog öst AB</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25939-2023</t>
        </is>
      </c>
      <c r="B3894" s="1" t="n">
        <v>45090</v>
      </c>
      <c r="C3894" s="1" t="n">
        <v>45705</v>
      </c>
      <c r="D3894" t="inlineStr">
        <is>
          <t>UPPSALA LÄN</t>
        </is>
      </c>
      <c r="E3894" t="inlineStr">
        <is>
          <t>UPPSALA</t>
        </is>
      </c>
      <c r="F3894" t="inlineStr">
        <is>
          <t>Holmen skog AB</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25903-2023</t>
        </is>
      </c>
      <c r="B3895" s="1" t="n">
        <v>45090</v>
      </c>
      <c r="C3895" s="1" t="n">
        <v>45705</v>
      </c>
      <c r="D3895" t="inlineStr">
        <is>
          <t>UPPSALA LÄN</t>
        </is>
      </c>
      <c r="E3895" t="inlineStr">
        <is>
          <t>ÖSTHAMMAR</t>
        </is>
      </c>
      <c r="F3895" t="inlineStr">
        <is>
          <t>Bergvik skog öst AB</t>
        </is>
      </c>
      <c r="G3895" t="n">
        <v>29.2</v>
      </c>
      <c r="H3895" t="n">
        <v>0</v>
      </c>
      <c r="I3895" t="n">
        <v>0</v>
      </c>
      <c r="J3895" t="n">
        <v>0</v>
      </c>
      <c r="K3895" t="n">
        <v>0</v>
      </c>
      <c r="L3895" t="n">
        <v>0</v>
      </c>
      <c r="M3895" t="n">
        <v>0</v>
      </c>
      <c r="N3895" t="n">
        <v>0</v>
      </c>
      <c r="O3895" t="n">
        <v>0</v>
      </c>
      <c r="P3895" t="n">
        <v>0</v>
      </c>
      <c r="Q3895" t="n">
        <v>0</v>
      </c>
      <c r="R3895" s="2" t="inlineStr"/>
    </row>
    <row r="3896" ht="15" customHeight="1">
      <c r="A3896" t="inlineStr">
        <is>
          <t>A 25970-2023</t>
        </is>
      </c>
      <c r="B3896" s="1" t="n">
        <v>45090</v>
      </c>
      <c r="C3896" s="1" t="n">
        <v>45705</v>
      </c>
      <c r="D3896" t="inlineStr">
        <is>
          <t>UPPSALA LÄN</t>
        </is>
      </c>
      <c r="E3896" t="inlineStr">
        <is>
          <t>ÖSTHAMMAR</t>
        </is>
      </c>
      <c r="F3896" t="inlineStr">
        <is>
          <t>Sveaskog</t>
        </is>
      </c>
      <c r="G3896" t="n">
        <v>5.2</v>
      </c>
      <c r="H3896" t="n">
        <v>0</v>
      </c>
      <c r="I3896" t="n">
        <v>0</v>
      </c>
      <c r="J3896" t="n">
        <v>0</v>
      </c>
      <c r="K3896" t="n">
        <v>0</v>
      </c>
      <c r="L3896" t="n">
        <v>0</v>
      </c>
      <c r="M3896" t="n">
        <v>0</v>
      </c>
      <c r="N3896" t="n">
        <v>0</v>
      </c>
      <c r="O3896" t="n">
        <v>0</v>
      </c>
      <c r="P3896" t="n">
        <v>0</v>
      </c>
      <c r="Q3896" t="n">
        <v>0</v>
      </c>
      <c r="R3896" s="2" t="inlineStr"/>
    </row>
    <row r="3897" ht="15" customHeight="1">
      <c r="A3897" t="inlineStr">
        <is>
          <t>A 25971-2023</t>
        </is>
      </c>
      <c r="B3897" s="1" t="n">
        <v>45090</v>
      </c>
      <c r="C3897" s="1" t="n">
        <v>45705</v>
      </c>
      <c r="D3897" t="inlineStr">
        <is>
          <t>UPPSALA LÄN</t>
        </is>
      </c>
      <c r="E3897" t="inlineStr">
        <is>
          <t>HEBY</t>
        </is>
      </c>
      <c r="F3897" t="inlineStr">
        <is>
          <t>Övriga Aktiebolag</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25968-2023</t>
        </is>
      </c>
      <c r="B3898" s="1" t="n">
        <v>45090</v>
      </c>
      <c r="C3898" s="1" t="n">
        <v>45705</v>
      </c>
      <c r="D3898" t="inlineStr">
        <is>
          <t>UPPSALA LÄN</t>
        </is>
      </c>
      <c r="E3898" t="inlineStr">
        <is>
          <t>ÖSTHAMMAR</t>
        </is>
      </c>
      <c r="F3898" t="inlineStr">
        <is>
          <t>Sveaskog</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25969-2023</t>
        </is>
      </c>
      <c r="B3899" s="1" t="n">
        <v>45090</v>
      </c>
      <c r="C3899" s="1" t="n">
        <v>45705</v>
      </c>
      <c r="D3899" t="inlineStr">
        <is>
          <t>UPPSALA LÄN</t>
        </is>
      </c>
      <c r="E3899" t="inlineStr">
        <is>
          <t>ÖSTHAMMAR</t>
        </is>
      </c>
      <c r="F3899" t="inlineStr">
        <is>
          <t>Sveaskog</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25972-2023</t>
        </is>
      </c>
      <c r="B3900" s="1" t="n">
        <v>45090</v>
      </c>
      <c r="C3900" s="1" t="n">
        <v>45705</v>
      </c>
      <c r="D3900" t="inlineStr">
        <is>
          <t>UPPSALA LÄN</t>
        </is>
      </c>
      <c r="E3900" t="inlineStr">
        <is>
          <t>HEBY</t>
        </is>
      </c>
      <c r="F3900" t="inlineStr">
        <is>
          <t>Övriga Aktiebolag</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26332-2023</t>
        </is>
      </c>
      <c r="B3901" s="1" t="n">
        <v>45091</v>
      </c>
      <c r="C3901" s="1" t="n">
        <v>45705</v>
      </c>
      <c r="D3901" t="inlineStr">
        <is>
          <t>UPPSALA LÄN</t>
        </is>
      </c>
      <c r="E3901" t="inlineStr">
        <is>
          <t>HEBY</t>
        </is>
      </c>
      <c r="F3901" t="inlineStr">
        <is>
          <t>Övriga Aktiebolag</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26208-2023</t>
        </is>
      </c>
      <c r="B3902" s="1" t="n">
        <v>45091</v>
      </c>
      <c r="C3902" s="1" t="n">
        <v>45705</v>
      </c>
      <c r="D3902" t="inlineStr">
        <is>
          <t>UPPSALA LÄN</t>
        </is>
      </c>
      <c r="E3902" t="inlineStr">
        <is>
          <t>UPPSALA</t>
        </is>
      </c>
      <c r="F3902" t="inlineStr">
        <is>
          <t>Holmen skog AB</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26275-2023</t>
        </is>
      </c>
      <c r="B3903" s="1" t="n">
        <v>45091</v>
      </c>
      <c r="C3903" s="1" t="n">
        <v>45705</v>
      </c>
      <c r="D3903" t="inlineStr">
        <is>
          <t>UPPSALA LÄN</t>
        </is>
      </c>
      <c r="E3903" t="inlineStr">
        <is>
          <t>TIERP</t>
        </is>
      </c>
      <c r="F3903" t="inlineStr">
        <is>
          <t>Bergvik skog väst AB</t>
        </is>
      </c>
      <c r="G3903" t="n">
        <v>4.4</v>
      </c>
      <c r="H3903" t="n">
        <v>0</v>
      </c>
      <c r="I3903" t="n">
        <v>0</v>
      </c>
      <c r="J3903" t="n">
        <v>0</v>
      </c>
      <c r="K3903" t="n">
        <v>0</v>
      </c>
      <c r="L3903" t="n">
        <v>0</v>
      </c>
      <c r="M3903" t="n">
        <v>0</v>
      </c>
      <c r="N3903" t="n">
        <v>0</v>
      </c>
      <c r="O3903" t="n">
        <v>0</v>
      </c>
      <c r="P3903" t="n">
        <v>0</v>
      </c>
      <c r="Q3903" t="n">
        <v>0</v>
      </c>
      <c r="R3903" s="2" t="inlineStr"/>
    </row>
    <row r="3904" ht="15" customHeight="1">
      <c r="A3904" t="inlineStr">
        <is>
          <t>A 26298-2023</t>
        </is>
      </c>
      <c r="B3904" s="1" t="n">
        <v>45091</v>
      </c>
      <c r="C3904" s="1" t="n">
        <v>45705</v>
      </c>
      <c r="D3904" t="inlineStr">
        <is>
          <t>UPPSALA LÄN</t>
        </is>
      </c>
      <c r="E3904" t="inlineStr">
        <is>
          <t>UPPSALA</t>
        </is>
      </c>
      <c r="G3904" t="n">
        <v>10.8</v>
      </c>
      <c r="H3904" t="n">
        <v>0</v>
      </c>
      <c r="I3904" t="n">
        <v>0</v>
      </c>
      <c r="J3904" t="n">
        <v>0</v>
      </c>
      <c r="K3904" t="n">
        <v>0</v>
      </c>
      <c r="L3904" t="n">
        <v>0</v>
      </c>
      <c r="M3904" t="n">
        <v>0</v>
      </c>
      <c r="N3904" t="n">
        <v>0</v>
      </c>
      <c r="O3904" t="n">
        <v>0</v>
      </c>
      <c r="P3904" t="n">
        <v>0</v>
      </c>
      <c r="Q3904" t="n">
        <v>0</v>
      </c>
      <c r="R3904" s="2" t="inlineStr"/>
    </row>
    <row r="3905" ht="15" customHeight="1">
      <c r="A3905" t="inlineStr">
        <is>
          <t>A 26331-2023</t>
        </is>
      </c>
      <c r="B3905" s="1" t="n">
        <v>45091</v>
      </c>
      <c r="C3905" s="1" t="n">
        <v>45705</v>
      </c>
      <c r="D3905" t="inlineStr">
        <is>
          <t>UPPSALA LÄN</t>
        </is>
      </c>
      <c r="E3905" t="inlineStr">
        <is>
          <t>HEBY</t>
        </is>
      </c>
      <c r="F3905" t="inlineStr">
        <is>
          <t>Övriga Aktiebolag</t>
        </is>
      </c>
      <c r="G3905" t="n">
        <v>5.1</v>
      </c>
      <c r="H3905" t="n">
        <v>0</v>
      </c>
      <c r="I3905" t="n">
        <v>0</v>
      </c>
      <c r="J3905" t="n">
        <v>0</v>
      </c>
      <c r="K3905" t="n">
        <v>0</v>
      </c>
      <c r="L3905" t="n">
        <v>0</v>
      </c>
      <c r="M3905" t="n">
        <v>0</v>
      </c>
      <c r="N3905" t="n">
        <v>0</v>
      </c>
      <c r="O3905" t="n">
        <v>0</v>
      </c>
      <c r="P3905" t="n">
        <v>0</v>
      </c>
      <c r="Q3905" t="n">
        <v>0</v>
      </c>
      <c r="R3905" s="2" t="inlineStr"/>
    </row>
    <row r="3906" ht="15" customHeight="1">
      <c r="A3906" t="inlineStr">
        <is>
          <t>A 26323-2023</t>
        </is>
      </c>
      <c r="B3906" s="1" t="n">
        <v>45091</v>
      </c>
      <c r="C3906" s="1" t="n">
        <v>45705</v>
      </c>
      <c r="D3906" t="inlineStr">
        <is>
          <t>UPPSALA LÄN</t>
        </is>
      </c>
      <c r="E3906" t="inlineStr">
        <is>
          <t>UPPSALA</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26333-2023</t>
        </is>
      </c>
      <c r="B3907" s="1" t="n">
        <v>45091</v>
      </c>
      <c r="C3907" s="1" t="n">
        <v>45705</v>
      </c>
      <c r="D3907" t="inlineStr">
        <is>
          <t>UPPSALA LÄN</t>
        </is>
      </c>
      <c r="E3907" t="inlineStr">
        <is>
          <t>HEBY</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26081-2023</t>
        </is>
      </c>
      <c r="B3908" s="1" t="n">
        <v>45091</v>
      </c>
      <c r="C3908" s="1" t="n">
        <v>45705</v>
      </c>
      <c r="D3908" t="inlineStr">
        <is>
          <t>UPPSALA LÄN</t>
        </is>
      </c>
      <c r="E3908" t="inlineStr">
        <is>
          <t>UPPSALA</t>
        </is>
      </c>
      <c r="F3908" t="inlineStr">
        <is>
          <t>Holmen skog AB</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26143-2023</t>
        </is>
      </c>
      <c r="B3909" s="1" t="n">
        <v>45091</v>
      </c>
      <c r="C3909" s="1" t="n">
        <v>45705</v>
      </c>
      <c r="D3909" t="inlineStr">
        <is>
          <t>UPPSALA LÄN</t>
        </is>
      </c>
      <c r="E3909" t="inlineStr">
        <is>
          <t>UPPSALA</t>
        </is>
      </c>
      <c r="F3909" t="inlineStr">
        <is>
          <t>Holmen skog AB</t>
        </is>
      </c>
      <c r="G3909" t="n">
        <v>4.7</v>
      </c>
      <c r="H3909" t="n">
        <v>0</v>
      </c>
      <c r="I3909" t="n">
        <v>0</v>
      </c>
      <c r="J3909" t="n">
        <v>0</v>
      </c>
      <c r="K3909" t="n">
        <v>0</v>
      </c>
      <c r="L3909" t="n">
        <v>0</v>
      </c>
      <c r="M3909" t="n">
        <v>0</v>
      </c>
      <c r="N3909" t="n">
        <v>0</v>
      </c>
      <c r="O3909" t="n">
        <v>0</v>
      </c>
      <c r="P3909" t="n">
        <v>0</v>
      </c>
      <c r="Q3909" t="n">
        <v>0</v>
      </c>
      <c r="R3909" s="2" t="inlineStr"/>
    </row>
    <row r="3910" ht="15" customHeight="1">
      <c r="A3910" t="inlineStr">
        <is>
          <t>A 26134-2023</t>
        </is>
      </c>
      <c r="B3910" s="1" t="n">
        <v>45091</v>
      </c>
      <c r="C3910" s="1" t="n">
        <v>45705</v>
      </c>
      <c r="D3910" t="inlineStr">
        <is>
          <t>UPPSALA LÄN</t>
        </is>
      </c>
      <c r="E3910" t="inlineStr">
        <is>
          <t>UPPSALA</t>
        </is>
      </c>
      <c r="G3910" t="n">
        <v>4.4</v>
      </c>
      <c r="H3910" t="n">
        <v>0</v>
      </c>
      <c r="I3910" t="n">
        <v>0</v>
      </c>
      <c r="J3910" t="n">
        <v>0</v>
      </c>
      <c r="K3910" t="n">
        <v>0</v>
      </c>
      <c r="L3910" t="n">
        <v>0</v>
      </c>
      <c r="M3910" t="n">
        <v>0</v>
      </c>
      <c r="N3910" t="n">
        <v>0</v>
      </c>
      <c r="O3910" t="n">
        <v>0</v>
      </c>
      <c r="P3910" t="n">
        <v>0</v>
      </c>
      <c r="Q3910" t="n">
        <v>0</v>
      </c>
      <c r="R3910" s="2" t="inlineStr"/>
    </row>
    <row r="3911" ht="15" customHeight="1">
      <c r="A3911" t="inlineStr">
        <is>
          <t>A 26380-2023</t>
        </is>
      </c>
      <c r="B3911" s="1" t="n">
        <v>45092</v>
      </c>
      <c r="C3911" s="1" t="n">
        <v>45705</v>
      </c>
      <c r="D3911" t="inlineStr">
        <is>
          <t>UPPSALA LÄN</t>
        </is>
      </c>
      <c r="E3911" t="inlineStr">
        <is>
          <t>TIERP</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26546-2023</t>
        </is>
      </c>
      <c r="B3912" s="1" t="n">
        <v>45092</v>
      </c>
      <c r="C3912" s="1" t="n">
        <v>45705</v>
      </c>
      <c r="D3912" t="inlineStr">
        <is>
          <t>UPPSALA LÄN</t>
        </is>
      </c>
      <c r="E3912" t="inlineStr">
        <is>
          <t>TIERP</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26421-2023</t>
        </is>
      </c>
      <c r="B3913" s="1" t="n">
        <v>45092</v>
      </c>
      <c r="C3913" s="1" t="n">
        <v>45705</v>
      </c>
      <c r="D3913" t="inlineStr">
        <is>
          <t>UPPSALA LÄN</t>
        </is>
      </c>
      <c r="E3913" t="inlineStr">
        <is>
          <t>HEBY</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26449-2023</t>
        </is>
      </c>
      <c r="B3914" s="1" t="n">
        <v>45092</v>
      </c>
      <c r="C3914" s="1" t="n">
        <v>45705</v>
      </c>
      <c r="D3914" t="inlineStr">
        <is>
          <t>UPPSALA LÄN</t>
        </is>
      </c>
      <c r="E3914" t="inlineStr">
        <is>
          <t>HEBY</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26511-2023</t>
        </is>
      </c>
      <c r="B3915" s="1" t="n">
        <v>45092</v>
      </c>
      <c r="C3915" s="1" t="n">
        <v>45705</v>
      </c>
      <c r="D3915" t="inlineStr">
        <is>
          <t>UPPSALA LÄN</t>
        </is>
      </c>
      <c r="E3915" t="inlineStr">
        <is>
          <t>HEBY</t>
        </is>
      </c>
      <c r="F3915" t="inlineStr">
        <is>
          <t>Sveaskog</t>
        </is>
      </c>
      <c r="G3915" t="n">
        <v>6.4</v>
      </c>
      <c r="H3915" t="n">
        <v>0</v>
      </c>
      <c r="I3915" t="n">
        <v>0</v>
      </c>
      <c r="J3915" t="n">
        <v>0</v>
      </c>
      <c r="K3915" t="n">
        <v>0</v>
      </c>
      <c r="L3915" t="n">
        <v>0</v>
      </c>
      <c r="M3915" t="n">
        <v>0</v>
      </c>
      <c r="N3915" t="n">
        <v>0</v>
      </c>
      <c r="O3915" t="n">
        <v>0</v>
      </c>
      <c r="P3915" t="n">
        <v>0</v>
      </c>
      <c r="Q3915" t="n">
        <v>0</v>
      </c>
      <c r="R3915" s="2" t="inlineStr"/>
    </row>
    <row r="3916" ht="15" customHeight="1">
      <c r="A3916" t="inlineStr">
        <is>
          <t>A 26541-2023</t>
        </is>
      </c>
      <c r="B3916" s="1" t="n">
        <v>45092</v>
      </c>
      <c r="C3916" s="1" t="n">
        <v>45705</v>
      </c>
      <c r="D3916" t="inlineStr">
        <is>
          <t>UPPSALA LÄN</t>
        </is>
      </c>
      <c r="E3916" t="inlineStr">
        <is>
          <t>TIERP</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26559-2023</t>
        </is>
      </c>
      <c r="B3917" s="1" t="n">
        <v>45092</v>
      </c>
      <c r="C3917" s="1" t="n">
        <v>45705</v>
      </c>
      <c r="D3917" t="inlineStr">
        <is>
          <t>UPPSALA LÄN</t>
        </is>
      </c>
      <c r="E3917" t="inlineStr">
        <is>
          <t>HEBY</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26550-2023</t>
        </is>
      </c>
      <c r="B3918" s="1" t="n">
        <v>45092</v>
      </c>
      <c r="C3918" s="1" t="n">
        <v>45705</v>
      </c>
      <c r="D3918" t="inlineStr">
        <is>
          <t>UPPSALA LÄN</t>
        </is>
      </c>
      <c r="E3918" t="inlineStr">
        <is>
          <t>HEBY</t>
        </is>
      </c>
      <c r="G3918" t="n">
        <v>10.4</v>
      </c>
      <c r="H3918" t="n">
        <v>0</v>
      </c>
      <c r="I3918" t="n">
        <v>0</v>
      </c>
      <c r="J3918" t="n">
        <v>0</v>
      </c>
      <c r="K3918" t="n">
        <v>0</v>
      </c>
      <c r="L3918" t="n">
        <v>0</v>
      </c>
      <c r="M3918" t="n">
        <v>0</v>
      </c>
      <c r="N3918" t="n">
        <v>0</v>
      </c>
      <c r="O3918" t="n">
        <v>0</v>
      </c>
      <c r="P3918" t="n">
        <v>0</v>
      </c>
      <c r="Q3918" t="n">
        <v>0</v>
      </c>
      <c r="R3918" s="2" t="inlineStr"/>
    </row>
    <row r="3919" ht="15" customHeight="1">
      <c r="A3919" t="inlineStr">
        <is>
          <t>A 26571-2023</t>
        </is>
      </c>
      <c r="B3919" s="1" t="n">
        <v>45092</v>
      </c>
      <c r="C3919" s="1" t="n">
        <v>45705</v>
      </c>
      <c r="D3919" t="inlineStr">
        <is>
          <t>UPPSALA LÄN</t>
        </is>
      </c>
      <c r="E3919" t="inlineStr">
        <is>
          <t>HEBY</t>
        </is>
      </c>
      <c r="G3919" t="n">
        <v>5.6</v>
      </c>
      <c r="H3919" t="n">
        <v>0</v>
      </c>
      <c r="I3919" t="n">
        <v>0</v>
      </c>
      <c r="J3919" t="n">
        <v>0</v>
      </c>
      <c r="K3919" t="n">
        <v>0</v>
      </c>
      <c r="L3919" t="n">
        <v>0</v>
      </c>
      <c r="M3919" t="n">
        <v>0</v>
      </c>
      <c r="N3919" t="n">
        <v>0</v>
      </c>
      <c r="O3919" t="n">
        <v>0</v>
      </c>
      <c r="P3919" t="n">
        <v>0</v>
      </c>
      <c r="Q3919" t="n">
        <v>0</v>
      </c>
      <c r="R3919" s="2" t="inlineStr"/>
    </row>
    <row r="3920" ht="15" customHeight="1">
      <c r="A3920" t="inlineStr">
        <is>
          <t>A 26577-2023</t>
        </is>
      </c>
      <c r="B3920" s="1" t="n">
        <v>45092</v>
      </c>
      <c r="C3920" s="1" t="n">
        <v>45705</v>
      </c>
      <c r="D3920" t="inlineStr">
        <is>
          <t>UPPSALA LÄN</t>
        </is>
      </c>
      <c r="E3920" t="inlineStr">
        <is>
          <t>ENKÖPING</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26759-2023</t>
        </is>
      </c>
      <c r="B3921" s="1" t="n">
        <v>45093</v>
      </c>
      <c r="C3921" s="1" t="n">
        <v>45705</v>
      </c>
      <c r="D3921" t="inlineStr">
        <is>
          <t>UPPSALA LÄN</t>
        </is>
      </c>
      <c r="E3921" t="inlineStr">
        <is>
          <t>UPPSALA</t>
        </is>
      </c>
      <c r="F3921" t="inlineStr">
        <is>
          <t>Sveaskog</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26774-2023</t>
        </is>
      </c>
      <c r="B3922" s="1" t="n">
        <v>45093</v>
      </c>
      <c r="C3922" s="1" t="n">
        <v>45705</v>
      </c>
      <c r="D3922" t="inlineStr">
        <is>
          <t>UPPSALA LÄN</t>
        </is>
      </c>
      <c r="E3922" t="inlineStr">
        <is>
          <t>ÖSTHAMMAR</t>
        </is>
      </c>
      <c r="F3922" t="inlineStr">
        <is>
          <t>Bergvik skog öst AB</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26762-2023</t>
        </is>
      </c>
      <c r="B3923" s="1" t="n">
        <v>45093</v>
      </c>
      <c r="C3923" s="1" t="n">
        <v>45705</v>
      </c>
      <c r="D3923" t="inlineStr">
        <is>
          <t>UPPSALA LÄN</t>
        </is>
      </c>
      <c r="E3923" t="inlineStr">
        <is>
          <t>UPPSALA</t>
        </is>
      </c>
      <c r="F3923" t="inlineStr">
        <is>
          <t>Sveaskog</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26734-2023</t>
        </is>
      </c>
      <c r="B3924" s="1" t="n">
        <v>45093</v>
      </c>
      <c r="C3924" s="1" t="n">
        <v>45705</v>
      </c>
      <c r="D3924" t="inlineStr">
        <is>
          <t>UPPSALA LÄN</t>
        </is>
      </c>
      <c r="E3924" t="inlineStr">
        <is>
          <t>ÖSTHAMMAR</t>
        </is>
      </c>
      <c r="F3924" t="inlineStr">
        <is>
          <t>Bergvik skog öst AB</t>
        </is>
      </c>
      <c r="G3924" t="n">
        <v>25.5</v>
      </c>
      <c r="H3924" t="n">
        <v>0</v>
      </c>
      <c r="I3924" t="n">
        <v>0</v>
      </c>
      <c r="J3924" t="n">
        <v>0</v>
      </c>
      <c r="K3924" t="n">
        <v>0</v>
      </c>
      <c r="L3924" t="n">
        <v>0</v>
      </c>
      <c r="M3924" t="n">
        <v>0</v>
      </c>
      <c r="N3924" t="n">
        <v>0</v>
      </c>
      <c r="O3924" t="n">
        <v>0</v>
      </c>
      <c r="P3924" t="n">
        <v>0</v>
      </c>
      <c r="Q3924" t="n">
        <v>0</v>
      </c>
      <c r="R3924" s="2" t="inlineStr"/>
    </row>
    <row r="3925" ht="15" customHeight="1">
      <c r="A3925" t="inlineStr">
        <is>
          <t>A 26983-2023</t>
        </is>
      </c>
      <c r="B3925" s="1" t="n">
        <v>45093</v>
      </c>
      <c r="C3925" s="1" t="n">
        <v>45705</v>
      </c>
      <c r="D3925" t="inlineStr">
        <is>
          <t>UPPSALA LÄN</t>
        </is>
      </c>
      <c r="E3925" t="inlineStr">
        <is>
          <t>ÄLVKARLEBY</t>
        </is>
      </c>
      <c r="F3925" t="inlineStr">
        <is>
          <t>Bergvik skog väst AB</t>
        </is>
      </c>
      <c r="G3925" t="n">
        <v>4.5</v>
      </c>
      <c r="H3925" t="n">
        <v>0</v>
      </c>
      <c r="I3925" t="n">
        <v>0</v>
      </c>
      <c r="J3925" t="n">
        <v>0</v>
      </c>
      <c r="K3925" t="n">
        <v>0</v>
      </c>
      <c r="L3925" t="n">
        <v>0</v>
      </c>
      <c r="M3925" t="n">
        <v>0</v>
      </c>
      <c r="N3925" t="n">
        <v>0</v>
      </c>
      <c r="O3925" t="n">
        <v>0</v>
      </c>
      <c r="P3925" t="n">
        <v>0</v>
      </c>
      <c r="Q3925" t="n">
        <v>0</v>
      </c>
      <c r="R3925" s="2" t="inlineStr"/>
    </row>
    <row r="3926" ht="15" customHeight="1">
      <c r="A3926" t="inlineStr">
        <is>
          <t>A 28170-2023</t>
        </is>
      </c>
      <c r="B3926" s="1" t="n">
        <v>45093</v>
      </c>
      <c r="C3926" s="1" t="n">
        <v>45705</v>
      </c>
      <c r="D3926" t="inlineStr">
        <is>
          <t>UPPSALA LÄN</t>
        </is>
      </c>
      <c r="E3926" t="inlineStr">
        <is>
          <t>ÖSTHAMMAR</t>
        </is>
      </c>
      <c r="G3926" t="n">
        <v>7.2</v>
      </c>
      <c r="H3926" t="n">
        <v>0</v>
      </c>
      <c r="I3926" t="n">
        <v>0</v>
      </c>
      <c r="J3926" t="n">
        <v>0</v>
      </c>
      <c r="K3926" t="n">
        <v>0</v>
      </c>
      <c r="L3926" t="n">
        <v>0</v>
      </c>
      <c r="M3926" t="n">
        <v>0</v>
      </c>
      <c r="N3926" t="n">
        <v>0</v>
      </c>
      <c r="O3926" t="n">
        <v>0</v>
      </c>
      <c r="P3926" t="n">
        <v>0</v>
      </c>
      <c r="Q3926" t="n">
        <v>0</v>
      </c>
      <c r="R3926" s="2" t="inlineStr"/>
    </row>
    <row r="3927" ht="15" customHeight="1">
      <c r="A3927" t="inlineStr">
        <is>
          <t>A 27128-2023</t>
        </is>
      </c>
      <c r="B3927" s="1" t="n">
        <v>45096</v>
      </c>
      <c r="C3927" s="1" t="n">
        <v>45705</v>
      </c>
      <c r="D3927" t="inlineStr">
        <is>
          <t>UPPSALA LÄN</t>
        </is>
      </c>
      <c r="E3927" t="inlineStr">
        <is>
          <t>UPPSALA</t>
        </is>
      </c>
      <c r="G3927" t="n">
        <v>3.8</v>
      </c>
      <c r="H3927" t="n">
        <v>0</v>
      </c>
      <c r="I3927" t="n">
        <v>0</v>
      </c>
      <c r="J3927" t="n">
        <v>0</v>
      </c>
      <c r="K3927" t="n">
        <v>0</v>
      </c>
      <c r="L3927" t="n">
        <v>0</v>
      </c>
      <c r="M3927" t="n">
        <v>0</v>
      </c>
      <c r="N3927" t="n">
        <v>0</v>
      </c>
      <c r="O3927" t="n">
        <v>0</v>
      </c>
      <c r="P3927" t="n">
        <v>0</v>
      </c>
      <c r="Q3927" t="n">
        <v>0</v>
      </c>
      <c r="R3927" s="2" t="inlineStr"/>
    </row>
    <row r="3928" ht="15" customHeight="1">
      <c r="A3928" t="inlineStr">
        <is>
          <t>A 27168-2023</t>
        </is>
      </c>
      <c r="B3928" s="1" t="n">
        <v>45096</v>
      </c>
      <c r="C3928" s="1" t="n">
        <v>45705</v>
      </c>
      <c r="D3928" t="inlineStr">
        <is>
          <t>UPPSALA LÄN</t>
        </is>
      </c>
      <c r="E3928" t="inlineStr">
        <is>
          <t>TIERP</t>
        </is>
      </c>
      <c r="F3928" t="inlineStr">
        <is>
          <t>Bergvik skog öst AB</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27068-2023</t>
        </is>
      </c>
      <c r="B3929" s="1" t="n">
        <v>45096</v>
      </c>
      <c r="C3929" s="1" t="n">
        <v>45705</v>
      </c>
      <c r="D3929" t="inlineStr">
        <is>
          <t>UPPSALA LÄN</t>
        </is>
      </c>
      <c r="E3929" t="inlineStr">
        <is>
          <t>UPPSALA</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27074-2023</t>
        </is>
      </c>
      <c r="B3930" s="1" t="n">
        <v>45096</v>
      </c>
      <c r="C3930" s="1" t="n">
        <v>45705</v>
      </c>
      <c r="D3930" t="inlineStr">
        <is>
          <t>UPPSALA LÄN</t>
        </is>
      </c>
      <c r="E3930" t="inlineStr">
        <is>
          <t>TIERP</t>
        </is>
      </c>
      <c r="G3930" t="n">
        <v>7.7</v>
      </c>
      <c r="H3930" t="n">
        <v>0</v>
      </c>
      <c r="I3930" t="n">
        <v>0</v>
      </c>
      <c r="J3930" t="n">
        <v>0</v>
      </c>
      <c r="K3930" t="n">
        <v>0</v>
      </c>
      <c r="L3930" t="n">
        <v>0</v>
      </c>
      <c r="M3930" t="n">
        <v>0</v>
      </c>
      <c r="N3930" t="n">
        <v>0</v>
      </c>
      <c r="O3930" t="n">
        <v>0</v>
      </c>
      <c r="P3930" t="n">
        <v>0</v>
      </c>
      <c r="Q3930" t="n">
        <v>0</v>
      </c>
      <c r="R3930" s="2" t="inlineStr"/>
    </row>
    <row r="3931" ht="15" customHeight="1">
      <c r="A3931" t="inlineStr">
        <is>
          <t>A 27119-2023</t>
        </is>
      </c>
      <c r="B3931" s="1" t="n">
        <v>45096</v>
      </c>
      <c r="C3931" s="1" t="n">
        <v>45705</v>
      </c>
      <c r="D3931" t="inlineStr">
        <is>
          <t>UPPSALA LÄN</t>
        </is>
      </c>
      <c r="E3931" t="inlineStr">
        <is>
          <t>UPPSALA</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27123-2023</t>
        </is>
      </c>
      <c r="B3932" s="1" t="n">
        <v>45096</v>
      </c>
      <c r="C3932" s="1" t="n">
        <v>45705</v>
      </c>
      <c r="D3932" t="inlineStr">
        <is>
          <t>UPPSALA LÄN</t>
        </is>
      </c>
      <c r="E3932" t="inlineStr">
        <is>
          <t>UPPSALA</t>
        </is>
      </c>
      <c r="G3932" t="n">
        <v>5.7</v>
      </c>
      <c r="H3932" t="n">
        <v>0</v>
      </c>
      <c r="I3932" t="n">
        <v>0</v>
      </c>
      <c r="J3932" t="n">
        <v>0</v>
      </c>
      <c r="K3932" t="n">
        <v>0</v>
      </c>
      <c r="L3932" t="n">
        <v>0</v>
      </c>
      <c r="M3932" t="n">
        <v>0</v>
      </c>
      <c r="N3932" t="n">
        <v>0</v>
      </c>
      <c r="O3932" t="n">
        <v>0</v>
      </c>
      <c r="P3932" t="n">
        <v>0</v>
      </c>
      <c r="Q3932" t="n">
        <v>0</v>
      </c>
      <c r="R3932" s="2" t="inlineStr"/>
    </row>
    <row r="3933" ht="15" customHeight="1">
      <c r="A3933" t="inlineStr">
        <is>
          <t>A 27126-2023</t>
        </is>
      </c>
      <c r="B3933" s="1" t="n">
        <v>45096</v>
      </c>
      <c r="C3933" s="1" t="n">
        <v>45705</v>
      </c>
      <c r="D3933" t="inlineStr">
        <is>
          <t>UPPSALA LÄN</t>
        </is>
      </c>
      <c r="E3933" t="inlineStr">
        <is>
          <t>UPPSALA</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27150-2023</t>
        </is>
      </c>
      <c r="B3934" s="1" t="n">
        <v>45096</v>
      </c>
      <c r="C3934" s="1" t="n">
        <v>45705</v>
      </c>
      <c r="D3934" t="inlineStr">
        <is>
          <t>UPPSALA LÄN</t>
        </is>
      </c>
      <c r="E3934" t="inlineStr">
        <is>
          <t>ÖSTHAMMAR</t>
        </is>
      </c>
      <c r="F3934" t="inlineStr">
        <is>
          <t>Bergvik skog öst AB</t>
        </is>
      </c>
      <c r="G3934" t="n">
        <v>5</v>
      </c>
      <c r="H3934" t="n">
        <v>0</v>
      </c>
      <c r="I3934" t="n">
        <v>0</v>
      </c>
      <c r="J3934" t="n">
        <v>0</v>
      </c>
      <c r="K3934" t="n">
        <v>0</v>
      </c>
      <c r="L3934" t="n">
        <v>0</v>
      </c>
      <c r="M3934" t="n">
        <v>0</v>
      </c>
      <c r="N3934" t="n">
        <v>0</v>
      </c>
      <c r="O3934" t="n">
        <v>0</v>
      </c>
      <c r="P3934" t="n">
        <v>0</v>
      </c>
      <c r="Q3934" t="n">
        <v>0</v>
      </c>
      <c r="R3934" s="2" t="inlineStr"/>
    </row>
    <row r="3935" ht="15" customHeight="1">
      <c r="A3935" t="inlineStr">
        <is>
          <t>A 27154-2023</t>
        </is>
      </c>
      <c r="B3935" s="1" t="n">
        <v>45096</v>
      </c>
      <c r="C3935" s="1" t="n">
        <v>45705</v>
      </c>
      <c r="D3935" t="inlineStr">
        <is>
          <t>UPPSALA LÄN</t>
        </is>
      </c>
      <c r="E3935" t="inlineStr">
        <is>
          <t>ÖSTHAMMAR</t>
        </is>
      </c>
      <c r="F3935" t="inlineStr">
        <is>
          <t>Bergvik skog öst AB</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27212-2023</t>
        </is>
      </c>
      <c r="B3936" s="1" t="n">
        <v>45096</v>
      </c>
      <c r="C3936" s="1" t="n">
        <v>45705</v>
      </c>
      <c r="D3936" t="inlineStr">
        <is>
          <t>UPPSALA LÄN</t>
        </is>
      </c>
      <c r="E3936" t="inlineStr">
        <is>
          <t>HEBY</t>
        </is>
      </c>
      <c r="G3936" t="n">
        <v>3.7</v>
      </c>
      <c r="H3936" t="n">
        <v>0</v>
      </c>
      <c r="I3936" t="n">
        <v>0</v>
      </c>
      <c r="J3936" t="n">
        <v>0</v>
      </c>
      <c r="K3936" t="n">
        <v>0</v>
      </c>
      <c r="L3936" t="n">
        <v>0</v>
      </c>
      <c r="M3936" t="n">
        <v>0</v>
      </c>
      <c r="N3936" t="n">
        <v>0</v>
      </c>
      <c r="O3936" t="n">
        <v>0</v>
      </c>
      <c r="P3936" t="n">
        <v>0</v>
      </c>
      <c r="Q3936" t="n">
        <v>0</v>
      </c>
      <c r="R3936" s="2" t="inlineStr"/>
    </row>
    <row r="3937" ht="15" customHeight="1">
      <c r="A3937" t="inlineStr">
        <is>
          <t>A 27178-2023</t>
        </is>
      </c>
      <c r="B3937" s="1" t="n">
        <v>45096</v>
      </c>
      <c r="C3937" s="1" t="n">
        <v>45705</v>
      </c>
      <c r="D3937" t="inlineStr">
        <is>
          <t>UPPSALA LÄN</t>
        </is>
      </c>
      <c r="E3937" t="inlineStr">
        <is>
          <t>ENKÖPING</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27266-2023</t>
        </is>
      </c>
      <c r="B3938" s="1" t="n">
        <v>45096</v>
      </c>
      <c r="C3938" s="1" t="n">
        <v>45705</v>
      </c>
      <c r="D3938" t="inlineStr">
        <is>
          <t>UPPSALA LÄN</t>
        </is>
      </c>
      <c r="E3938" t="inlineStr">
        <is>
          <t>TIERP</t>
        </is>
      </c>
      <c r="F3938" t="inlineStr">
        <is>
          <t>Bergvik skog öst AB</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27104-2023</t>
        </is>
      </c>
      <c r="B3939" s="1" t="n">
        <v>45096</v>
      </c>
      <c r="C3939" s="1" t="n">
        <v>45705</v>
      </c>
      <c r="D3939" t="inlineStr">
        <is>
          <t>UPPSALA LÄN</t>
        </is>
      </c>
      <c r="E3939" t="inlineStr">
        <is>
          <t>UPPSALA</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27121-2023</t>
        </is>
      </c>
      <c r="B3940" s="1" t="n">
        <v>45096</v>
      </c>
      <c r="C3940" s="1" t="n">
        <v>45705</v>
      </c>
      <c r="D3940" t="inlineStr">
        <is>
          <t>UPPSALA LÄN</t>
        </is>
      </c>
      <c r="E3940" t="inlineStr">
        <is>
          <t>UPPSALA</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27125-2023</t>
        </is>
      </c>
      <c r="B3941" s="1" t="n">
        <v>45096</v>
      </c>
      <c r="C3941" s="1" t="n">
        <v>45705</v>
      </c>
      <c r="D3941" t="inlineStr">
        <is>
          <t>UPPSALA LÄN</t>
        </is>
      </c>
      <c r="E3941" t="inlineStr">
        <is>
          <t>UPPSALA</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27254-2023</t>
        </is>
      </c>
      <c r="B3942" s="1" t="n">
        <v>45096</v>
      </c>
      <c r="C3942" s="1" t="n">
        <v>45705</v>
      </c>
      <c r="D3942" t="inlineStr">
        <is>
          <t>UPPSALA LÄN</t>
        </is>
      </c>
      <c r="E3942" t="inlineStr">
        <is>
          <t>UPPSALA</t>
        </is>
      </c>
      <c r="G3942" t="n">
        <v>6.1</v>
      </c>
      <c r="H3942" t="n">
        <v>0</v>
      </c>
      <c r="I3942" t="n">
        <v>0</v>
      </c>
      <c r="J3942" t="n">
        <v>0</v>
      </c>
      <c r="K3942" t="n">
        <v>0</v>
      </c>
      <c r="L3942" t="n">
        <v>0</v>
      </c>
      <c r="M3942" t="n">
        <v>0</v>
      </c>
      <c r="N3942" t="n">
        <v>0</v>
      </c>
      <c r="O3942" t="n">
        <v>0</v>
      </c>
      <c r="P3942" t="n">
        <v>0</v>
      </c>
      <c r="Q3942" t="n">
        <v>0</v>
      </c>
      <c r="R3942" s="2" t="inlineStr"/>
    </row>
    <row r="3943" ht="15" customHeight="1">
      <c r="A3943" t="inlineStr">
        <is>
          <t>A 27308-2023</t>
        </is>
      </c>
      <c r="B3943" s="1" t="n">
        <v>45096</v>
      </c>
      <c r="C3943" s="1" t="n">
        <v>45705</v>
      </c>
      <c r="D3943" t="inlineStr">
        <is>
          <t>UPPSALA LÄN</t>
        </is>
      </c>
      <c r="E3943" t="inlineStr">
        <is>
          <t>ÖSTHAMMAR</t>
        </is>
      </c>
      <c r="F3943" t="inlineStr">
        <is>
          <t>Bergvik skog öst AB</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27467-2023</t>
        </is>
      </c>
      <c r="B3944" s="1" t="n">
        <v>45097</v>
      </c>
      <c r="C3944" s="1" t="n">
        <v>45705</v>
      </c>
      <c r="D3944" t="inlineStr">
        <is>
          <t>UPPSALA LÄN</t>
        </is>
      </c>
      <c r="E3944" t="inlineStr">
        <is>
          <t>UPPSALA</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27617-2023</t>
        </is>
      </c>
      <c r="B3945" s="1" t="n">
        <v>45097</v>
      </c>
      <c r="C3945" s="1" t="n">
        <v>45705</v>
      </c>
      <c r="D3945" t="inlineStr">
        <is>
          <t>UPPSALA LÄN</t>
        </is>
      </c>
      <c r="E3945" t="inlineStr">
        <is>
          <t>UPPSALA</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27622-2023</t>
        </is>
      </c>
      <c r="B3946" s="1" t="n">
        <v>45097</v>
      </c>
      <c r="C3946" s="1" t="n">
        <v>45705</v>
      </c>
      <c r="D3946" t="inlineStr">
        <is>
          <t>UPPSALA LÄN</t>
        </is>
      </c>
      <c r="E3946" t="inlineStr">
        <is>
          <t>UPPSALA</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27538-2023</t>
        </is>
      </c>
      <c r="B3947" s="1" t="n">
        <v>45097</v>
      </c>
      <c r="C3947" s="1" t="n">
        <v>45705</v>
      </c>
      <c r="D3947" t="inlineStr">
        <is>
          <t>UPPSALA LÄN</t>
        </is>
      </c>
      <c r="E3947" t="inlineStr">
        <is>
          <t>ENKÖPING</t>
        </is>
      </c>
      <c r="G3947" t="n">
        <v>5.8</v>
      </c>
      <c r="H3947" t="n">
        <v>0</v>
      </c>
      <c r="I3947" t="n">
        <v>0</v>
      </c>
      <c r="J3947" t="n">
        <v>0</v>
      </c>
      <c r="K3947" t="n">
        <v>0</v>
      </c>
      <c r="L3947" t="n">
        <v>0</v>
      </c>
      <c r="M3947" t="n">
        <v>0</v>
      </c>
      <c r="N3947" t="n">
        <v>0</v>
      </c>
      <c r="O3947" t="n">
        <v>0</v>
      </c>
      <c r="P3947" t="n">
        <v>0</v>
      </c>
      <c r="Q3947" t="n">
        <v>0</v>
      </c>
      <c r="R3947" s="2" t="inlineStr"/>
    </row>
    <row r="3948" ht="15" customHeight="1">
      <c r="A3948" t="inlineStr">
        <is>
          <t>A 27599-2023</t>
        </is>
      </c>
      <c r="B3948" s="1" t="n">
        <v>45097</v>
      </c>
      <c r="C3948" s="1" t="n">
        <v>45705</v>
      </c>
      <c r="D3948" t="inlineStr">
        <is>
          <t>UPPSALA LÄN</t>
        </is>
      </c>
      <c r="E3948" t="inlineStr">
        <is>
          <t>UPPSALA</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27620-2023</t>
        </is>
      </c>
      <c r="B3949" s="1" t="n">
        <v>45097</v>
      </c>
      <c r="C3949" s="1" t="n">
        <v>45705</v>
      </c>
      <c r="D3949" t="inlineStr">
        <is>
          <t>UPPSALA LÄN</t>
        </is>
      </c>
      <c r="E3949" t="inlineStr">
        <is>
          <t>UPPSALA</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27660-2023</t>
        </is>
      </c>
      <c r="B3950" s="1" t="n">
        <v>45097</v>
      </c>
      <c r="C3950" s="1" t="n">
        <v>45705</v>
      </c>
      <c r="D3950" t="inlineStr">
        <is>
          <t>UPPSALA LÄN</t>
        </is>
      </c>
      <c r="E3950" t="inlineStr">
        <is>
          <t>ÖSTHAMMAR</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27659-2023</t>
        </is>
      </c>
      <c r="B3951" s="1" t="n">
        <v>45097</v>
      </c>
      <c r="C3951" s="1" t="n">
        <v>45705</v>
      </c>
      <c r="D3951" t="inlineStr">
        <is>
          <t>UPPSALA LÄN</t>
        </is>
      </c>
      <c r="E3951" t="inlineStr">
        <is>
          <t>ÖSTHAMMAR</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27730-2023</t>
        </is>
      </c>
      <c r="B3952" s="1" t="n">
        <v>45097</v>
      </c>
      <c r="C3952" s="1" t="n">
        <v>45705</v>
      </c>
      <c r="D3952" t="inlineStr">
        <is>
          <t>UPPSALA LÄN</t>
        </is>
      </c>
      <c r="E3952" t="inlineStr">
        <is>
          <t>ENKÖPING</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29220-2023</t>
        </is>
      </c>
      <c r="B3953" s="1" t="n">
        <v>45097</v>
      </c>
      <c r="C3953" s="1" t="n">
        <v>45705</v>
      </c>
      <c r="D3953" t="inlineStr">
        <is>
          <t>UPPSALA LÄN</t>
        </is>
      </c>
      <c r="E3953" t="inlineStr">
        <is>
          <t>KNIVSTA</t>
        </is>
      </c>
      <c r="G3953" t="n">
        <v>21.3</v>
      </c>
      <c r="H3953" t="n">
        <v>0</v>
      </c>
      <c r="I3953" t="n">
        <v>0</v>
      </c>
      <c r="J3953" t="n">
        <v>0</v>
      </c>
      <c r="K3953" t="n">
        <v>0</v>
      </c>
      <c r="L3953" t="n">
        <v>0</v>
      </c>
      <c r="M3953" t="n">
        <v>0</v>
      </c>
      <c r="N3953" t="n">
        <v>0</v>
      </c>
      <c r="O3953" t="n">
        <v>0</v>
      </c>
      <c r="P3953" t="n">
        <v>0</v>
      </c>
      <c r="Q3953" t="n">
        <v>0</v>
      </c>
      <c r="R3953" s="2" t="inlineStr"/>
    </row>
    <row r="3954" ht="15" customHeight="1">
      <c r="A3954" t="inlineStr">
        <is>
          <t>A 27801-2023</t>
        </is>
      </c>
      <c r="B3954" s="1" t="n">
        <v>45098</v>
      </c>
      <c r="C3954" s="1" t="n">
        <v>45705</v>
      </c>
      <c r="D3954" t="inlineStr">
        <is>
          <t>UPPSALA LÄN</t>
        </is>
      </c>
      <c r="E3954" t="inlineStr">
        <is>
          <t>ÖSTHAMMAR</t>
        </is>
      </c>
      <c r="F3954" t="inlineStr">
        <is>
          <t>Kyrkan</t>
        </is>
      </c>
      <c r="G3954" t="n">
        <v>8.199999999999999</v>
      </c>
      <c r="H3954" t="n">
        <v>0</v>
      </c>
      <c r="I3954" t="n">
        <v>0</v>
      </c>
      <c r="J3954" t="n">
        <v>0</v>
      </c>
      <c r="K3954" t="n">
        <v>0</v>
      </c>
      <c r="L3954" t="n">
        <v>0</v>
      </c>
      <c r="M3954" t="n">
        <v>0</v>
      </c>
      <c r="N3954" t="n">
        <v>0</v>
      </c>
      <c r="O3954" t="n">
        <v>0</v>
      </c>
      <c r="P3954" t="n">
        <v>0</v>
      </c>
      <c r="Q3954" t="n">
        <v>0</v>
      </c>
      <c r="R3954" s="2" t="inlineStr"/>
    </row>
    <row r="3955" ht="15" customHeight="1">
      <c r="A3955" t="inlineStr">
        <is>
          <t>A 27805-2023</t>
        </is>
      </c>
      <c r="B3955" s="1" t="n">
        <v>45098</v>
      </c>
      <c r="C3955" s="1" t="n">
        <v>45705</v>
      </c>
      <c r="D3955" t="inlineStr">
        <is>
          <t>UPPSALA LÄN</t>
        </is>
      </c>
      <c r="E3955" t="inlineStr">
        <is>
          <t>ENKÖPING</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27840-2023</t>
        </is>
      </c>
      <c r="B3956" s="1" t="n">
        <v>45098</v>
      </c>
      <c r="C3956" s="1" t="n">
        <v>45705</v>
      </c>
      <c r="D3956" t="inlineStr">
        <is>
          <t>UPPSALA LÄN</t>
        </is>
      </c>
      <c r="E3956" t="inlineStr">
        <is>
          <t>HEBY</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27839-2023</t>
        </is>
      </c>
      <c r="B3957" s="1" t="n">
        <v>45098</v>
      </c>
      <c r="C3957" s="1" t="n">
        <v>45705</v>
      </c>
      <c r="D3957" t="inlineStr">
        <is>
          <t>UPPSALA LÄN</t>
        </is>
      </c>
      <c r="E3957" t="inlineStr">
        <is>
          <t>ENKÖPING</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27856-2023</t>
        </is>
      </c>
      <c r="B3958" s="1" t="n">
        <v>45098</v>
      </c>
      <c r="C3958" s="1" t="n">
        <v>45705</v>
      </c>
      <c r="D3958" t="inlineStr">
        <is>
          <t>UPPSALA LÄN</t>
        </is>
      </c>
      <c r="E3958" t="inlineStr">
        <is>
          <t>TIERP</t>
        </is>
      </c>
      <c r="F3958" t="inlineStr">
        <is>
          <t>Bergvik skog öst AB</t>
        </is>
      </c>
      <c r="G3958" t="n">
        <v>7.2</v>
      </c>
      <c r="H3958" t="n">
        <v>0</v>
      </c>
      <c r="I3958" t="n">
        <v>0</v>
      </c>
      <c r="J3958" t="n">
        <v>0</v>
      </c>
      <c r="K3958" t="n">
        <v>0</v>
      </c>
      <c r="L3958" t="n">
        <v>0</v>
      </c>
      <c r="M3958" t="n">
        <v>0</v>
      </c>
      <c r="N3958" t="n">
        <v>0</v>
      </c>
      <c r="O3958" t="n">
        <v>0</v>
      </c>
      <c r="P3958" t="n">
        <v>0</v>
      </c>
      <c r="Q3958" t="n">
        <v>0</v>
      </c>
      <c r="R3958" s="2" t="inlineStr"/>
    </row>
    <row r="3959" ht="15" customHeight="1">
      <c r="A3959" t="inlineStr">
        <is>
          <t>A 27912-2023</t>
        </is>
      </c>
      <c r="B3959" s="1" t="n">
        <v>45098</v>
      </c>
      <c r="C3959" s="1" t="n">
        <v>45705</v>
      </c>
      <c r="D3959" t="inlineStr">
        <is>
          <t>UPPSALA LÄN</t>
        </is>
      </c>
      <c r="E3959" t="inlineStr">
        <is>
          <t>UPPSALA</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27903-2023</t>
        </is>
      </c>
      <c r="B3960" s="1" t="n">
        <v>45098</v>
      </c>
      <c r="C3960" s="1" t="n">
        <v>45705</v>
      </c>
      <c r="D3960" t="inlineStr">
        <is>
          <t>UPPSALA LÄN</t>
        </is>
      </c>
      <c r="E3960" t="inlineStr">
        <is>
          <t>UPPSALA</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27786-2023</t>
        </is>
      </c>
      <c r="B3961" s="1" t="n">
        <v>45098</v>
      </c>
      <c r="C3961" s="1" t="n">
        <v>45705</v>
      </c>
      <c r="D3961" t="inlineStr">
        <is>
          <t>UPPSALA LÄN</t>
        </is>
      </c>
      <c r="E3961" t="inlineStr">
        <is>
          <t>ENKÖPING</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27855-2023</t>
        </is>
      </c>
      <c r="B3962" s="1" t="n">
        <v>45098</v>
      </c>
      <c r="C3962" s="1" t="n">
        <v>45705</v>
      </c>
      <c r="D3962" t="inlineStr">
        <is>
          <t>UPPSALA LÄN</t>
        </is>
      </c>
      <c r="E3962" t="inlineStr">
        <is>
          <t>ENKÖPING</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27879-2023</t>
        </is>
      </c>
      <c r="B3963" s="1" t="n">
        <v>45098</v>
      </c>
      <c r="C3963" s="1" t="n">
        <v>45705</v>
      </c>
      <c r="D3963" t="inlineStr">
        <is>
          <t>UPPSALA LÄN</t>
        </is>
      </c>
      <c r="E3963" t="inlineStr">
        <is>
          <t>HEBY</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27928-2023</t>
        </is>
      </c>
      <c r="B3964" s="1" t="n">
        <v>45098</v>
      </c>
      <c r="C3964" s="1" t="n">
        <v>45705</v>
      </c>
      <c r="D3964" t="inlineStr">
        <is>
          <t>UPPSALA LÄN</t>
        </is>
      </c>
      <c r="E3964" t="inlineStr">
        <is>
          <t>ENKÖPING</t>
        </is>
      </c>
      <c r="G3964" t="n">
        <v>11.5</v>
      </c>
      <c r="H3964" t="n">
        <v>0</v>
      </c>
      <c r="I3964" t="n">
        <v>0</v>
      </c>
      <c r="J3964" t="n">
        <v>0</v>
      </c>
      <c r="K3964" t="n">
        <v>0</v>
      </c>
      <c r="L3964" t="n">
        <v>0</v>
      </c>
      <c r="M3964" t="n">
        <v>0</v>
      </c>
      <c r="N3964" t="n">
        <v>0</v>
      </c>
      <c r="O3964" t="n">
        <v>0</v>
      </c>
      <c r="P3964" t="n">
        <v>0</v>
      </c>
      <c r="Q3964" t="n">
        <v>0</v>
      </c>
      <c r="R3964" s="2" t="inlineStr"/>
    </row>
    <row r="3965" ht="15" customHeight="1">
      <c r="A3965" t="inlineStr">
        <is>
          <t>A 27930-2023</t>
        </is>
      </c>
      <c r="B3965" s="1" t="n">
        <v>45098</v>
      </c>
      <c r="C3965" s="1" t="n">
        <v>45705</v>
      </c>
      <c r="D3965" t="inlineStr">
        <is>
          <t>UPPSALA LÄN</t>
        </is>
      </c>
      <c r="E3965" t="inlineStr">
        <is>
          <t>UPPSALA</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28207-2023</t>
        </is>
      </c>
      <c r="B3966" s="1" t="n">
        <v>45099</v>
      </c>
      <c r="C3966" s="1" t="n">
        <v>45705</v>
      </c>
      <c r="D3966" t="inlineStr">
        <is>
          <t>UPPSALA LÄN</t>
        </is>
      </c>
      <c r="E3966" t="inlineStr">
        <is>
          <t>HEBY</t>
        </is>
      </c>
      <c r="G3966" t="n">
        <v>6.5</v>
      </c>
      <c r="H3966" t="n">
        <v>0</v>
      </c>
      <c r="I3966" t="n">
        <v>0</v>
      </c>
      <c r="J3966" t="n">
        <v>0</v>
      </c>
      <c r="K3966" t="n">
        <v>0</v>
      </c>
      <c r="L3966" t="n">
        <v>0</v>
      </c>
      <c r="M3966" t="n">
        <v>0</v>
      </c>
      <c r="N3966" t="n">
        <v>0</v>
      </c>
      <c r="O3966" t="n">
        <v>0</v>
      </c>
      <c r="P3966" t="n">
        <v>0</v>
      </c>
      <c r="Q3966" t="n">
        <v>0</v>
      </c>
      <c r="R3966" s="2" t="inlineStr"/>
    </row>
    <row r="3967" ht="15" customHeight="1">
      <c r="A3967" t="inlineStr">
        <is>
          <t>A 28146-2023</t>
        </is>
      </c>
      <c r="B3967" s="1" t="n">
        <v>45099</v>
      </c>
      <c r="C3967" s="1" t="n">
        <v>45705</v>
      </c>
      <c r="D3967" t="inlineStr">
        <is>
          <t>UPPSALA LÄN</t>
        </is>
      </c>
      <c r="E3967" t="inlineStr">
        <is>
          <t>HEBY</t>
        </is>
      </c>
      <c r="G3967" t="n">
        <v>7</v>
      </c>
      <c r="H3967" t="n">
        <v>0</v>
      </c>
      <c r="I3967" t="n">
        <v>0</v>
      </c>
      <c r="J3967" t="n">
        <v>0</v>
      </c>
      <c r="K3967" t="n">
        <v>0</v>
      </c>
      <c r="L3967" t="n">
        <v>0</v>
      </c>
      <c r="M3967" t="n">
        <v>0</v>
      </c>
      <c r="N3967" t="n">
        <v>0</v>
      </c>
      <c r="O3967" t="n">
        <v>0</v>
      </c>
      <c r="P3967" t="n">
        <v>0</v>
      </c>
      <c r="Q3967" t="n">
        <v>0</v>
      </c>
      <c r="R3967" s="2" t="inlineStr"/>
    </row>
    <row r="3968" ht="15" customHeight="1">
      <c r="A3968" t="inlineStr">
        <is>
          <t>A 28186-2023</t>
        </is>
      </c>
      <c r="B3968" s="1" t="n">
        <v>45099</v>
      </c>
      <c r="C3968" s="1" t="n">
        <v>45705</v>
      </c>
      <c r="D3968" t="inlineStr">
        <is>
          <t>UPPSALA LÄN</t>
        </is>
      </c>
      <c r="E3968" t="inlineStr">
        <is>
          <t>UPPSALA</t>
        </is>
      </c>
      <c r="G3968" t="n">
        <v>7</v>
      </c>
      <c r="H3968" t="n">
        <v>0</v>
      </c>
      <c r="I3968" t="n">
        <v>0</v>
      </c>
      <c r="J3968" t="n">
        <v>0</v>
      </c>
      <c r="K3968" t="n">
        <v>0</v>
      </c>
      <c r="L3968" t="n">
        <v>0</v>
      </c>
      <c r="M3968" t="n">
        <v>0</v>
      </c>
      <c r="N3968" t="n">
        <v>0</v>
      </c>
      <c r="O3968" t="n">
        <v>0</v>
      </c>
      <c r="P3968" t="n">
        <v>0</v>
      </c>
      <c r="Q3968" t="n">
        <v>0</v>
      </c>
      <c r="R3968" s="2" t="inlineStr"/>
    </row>
    <row r="3969" ht="15" customHeight="1">
      <c r="A3969" t="inlineStr">
        <is>
          <t>A 28243-2023</t>
        </is>
      </c>
      <c r="B3969" s="1" t="n">
        <v>45099</v>
      </c>
      <c r="C3969" s="1" t="n">
        <v>45705</v>
      </c>
      <c r="D3969" t="inlineStr">
        <is>
          <t>UPPSALA LÄN</t>
        </is>
      </c>
      <c r="E3969" t="inlineStr">
        <is>
          <t>ENKÖPING</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28252-2023</t>
        </is>
      </c>
      <c r="B3970" s="1" t="n">
        <v>45099</v>
      </c>
      <c r="C3970" s="1" t="n">
        <v>45705</v>
      </c>
      <c r="D3970" t="inlineStr">
        <is>
          <t>UPPSALA LÄN</t>
        </is>
      </c>
      <c r="E3970" t="inlineStr">
        <is>
          <t>TIERP</t>
        </is>
      </c>
      <c r="F3970" t="inlineStr">
        <is>
          <t>Bergvik skog väst AB</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28226-2023</t>
        </is>
      </c>
      <c r="B3971" s="1" t="n">
        <v>45099</v>
      </c>
      <c r="C3971" s="1" t="n">
        <v>45705</v>
      </c>
      <c r="D3971" t="inlineStr">
        <is>
          <t>UPPSALA LÄN</t>
        </is>
      </c>
      <c r="E3971" t="inlineStr">
        <is>
          <t>HEBY</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29917-2023</t>
        </is>
      </c>
      <c r="B3972" s="1" t="n">
        <v>45099</v>
      </c>
      <c r="C3972" s="1" t="n">
        <v>45705</v>
      </c>
      <c r="D3972" t="inlineStr">
        <is>
          <t>UPPSALA LÄN</t>
        </is>
      </c>
      <c r="E3972" t="inlineStr">
        <is>
          <t>ENKÖPING</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29918-2023</t>
        </is>
      </c>
      <c r="B3973" s="1" t="n">
        <v>45099</v>
      </c>
      <c r="C3973" s="1" t="n">
        <v>45705</v>
      </c>
      <c r="D3973" t="inlineStr">
        <is>
          <t>UPPSALA LÄN</t>
        </is>
      </c>
      <c r="E3973" t="inlineStr">
        <is>
          <t>ENKÖPING</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28422-2023</t>
        </is>
      </c>
      <c r="B3974" s="1" t="n">
        <v>45102</v>
      </c>
      <c r="C3974" s="1" t="n">
        <v>45705</v>
      </c>
      <c r="D3974" t="inlineStr">
        <is>
          <t>UPPSALA LÄN</t>
        </is>
      </c>
      <c r="E3974" t="inlineStr">
        <is>
          <t>ÖSTHAMMAR</t>
        </is>
      </c>
      <c r="F3974" t="inlineStr">
        <is>
          <t>Bergvik skog öst AB</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28430-2023</t>
        </is>
      </c>
      <c r="B3975" s="1" t="n">
        <v>45102</v>
      </c>
      <c r="C3975" s="1" t="n">
        <v>45705</v>
      </c>
      <c r="D3975" t="inlineStr">
        <is>
          <t>UPPSALA LÄN</t>
        </is>
      </c>
      <c r="E3975" t="inlineStr">
        <is>
          <t>ÖSTHAMMAR</t>
        </is>
      </c>
      <c r="F3975" t="inlineStr">
        <is>
          <t>Bergvik skog öst AB</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28434-2023</t>
        </is>
      </c>
      <c r="B3976" s="1" t="n">
        <v>45102</v>
      </c>
      <c r="C3976" s="1" t="n">
        <v>45705</v>
      </c>
      <c r="D3976" t="inlineStr">
        <is>
          <t>UPPSALA LÄN</t>
        </is>
      </c>
      <c r="E3976" t="inlineStr">
        <is>
          <t>ÖSTHAMMAR</t>
        </is>
      </c>
      <c r="F3976" t="inlineStr">
        <is>
          <t>Bergvik skog öst AB</t>
        </is>
      </c>
      <c r="G3976" t="n">
        <v>8.9</v>
      </c>
      <c r="H3976" t="n">
        <v>0</v>
      </c>
      <c r="I3976" t="n">
        <v>0</v>
      </c>
      <c r="J3976" t="n">
        <v>0</v>
      </c>
      <c r="K3976" t="n">
        <v>0</v>
      </c>
      <c r="L3976" t="n">
        <v>0</v>
      </c>
      <c r="M3976" t="n">
        <v>0</v>
      </c>
      <c r="N3976" t="n">
        <v>0</v>
      </c>
      <c r="O3976" t="n">
        <v>0</v>
      </c>
      <c r="P3976" t="n">
        <v>0</v>
      </c>
      <c r="Q3976" t="n">
        <v>0</v>
      </c>
      <c r="R3976" s="2" t="inlineStr"/>
    </row>
    <row r="3977" ht="15" customHeight="1">
      <c r="A3977" t="inlineStr">
        <is>
          <t>A 28420-2023</t>
        </is>
      </c>
      <c r="B3977" s="1" t="n">
        <v>45102</v>
      </c>
      <c r="C3977" s="1" t="n">
        <v>45705</v>
      </c>
      <c r="D3977" t="inlineStr">
        <is>
          <t>UPPSALA LÄN</t>
        </is>
      </c>
      <c r="E3977" t="inlineStr">
        <is>
          <t>ÖSTHAMMAR</t>
        </is>
      </c>
      <c r="F3977" t="inlineStr">
        <is>
          <t>Bergvik skog öst AB</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28432-2023</t>
        </is>
      </c>
      <c r="B3978" s="1" t="n">
        <v>45102</v>
      </c>
      <c r="C3978" s="1" t="n">
        <v>45705</v>
      </c>
      <c r="D3978" t="inlineStr">
        <is>
          <t>UPPSALA LÄN</t>
        </is>
      </c>
      <c r="E3978" t="inlineStr">
        <is>
          <t>ÖSTHAMMAR</t>
        </is>
      </c>
      <c r="F3978" t="inlineStr">
        <is>
          <t>Bergvik skog öst AB</t>
        </is>
      </c>
      <c r="G3978" t="n">
        <v>3.9</v>
      </c>
      <c r="H3978" t="n">
        <v>0</v>
      </c>
      <c r="I3978" t="n">
        <v>0</v>
      </c>
      <c r="J3978" t="n">
        <v>0</v>
      </c>
      <c r="K3978" t="n">
        <v>0</v>
      </c>
      <c r="L3978" t="n">
        <v>0</v>
      </c>
      <c r="M3978" t="n">
        <v>0</v>
      </c>
      <c r="N3978" t="n">
        <v>0</v>
      </c>
      <c r="O3978" t="n">
        <v>0</v>
      </c>
      <c r="P3978" t="n">
        <v>0</v>
      </c>
      <c r="Q3978" t="n">
        <v>0</v>
      </c>
      <c r="R3978" s="2" t="inlineStr"/>
    </row>
    <row r="3979" ht="15" customHeight="1">
      <c r="A3979" t="inlineStr">
        <is>
          <t>A 28421-2023</t>
        </is>
      </c>
      <c r="B3979" s="1" t="n">
        <v>45102</v>
      </c>
      <c r="C3979" s="1" t="n">
        <v>45705</v>
      </c>
      <c r="D3979" t="inlineStr">
        <is>
          <t>UPPSALA LÄN</t>
        </is>
      </c>
      <c r="E3979" t="inlineStr">
        <is>
          <t>ÖSTHAMMAR</t>
        </is>
      </c>
      <c r="F3979" t="inlineStr">
        <is>
          <t>Bergvik skog öst AB</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28429-2023</t>
        </is>
      </c>
      <c r="B3980" s="1" t="n">
        <v>45102</v>
      </c>
      <c r="C3980" s="1" t="n">
        <v>45705</v>
      </c>
      <c r="D3980" t="inlineStr">
        <is>
          <t>UPPSALA LÄN</t>
        </is>
      </c>
      <c r="E3980" t="inlineStr">
        <is>
          <t>ÖSTHAMMAR</t>
        </is>
      </c>
      <c r="F3980" t="inlineStr">
        <is>
          <t>Bergvik skog öst AB</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28482-2023</t>
        </is>
      </c>
      <c r="B3981" s="1" t="n">
        <v>45103</v>
      </c>
      <c r="C3981" s="1" t="n">
        <v>45705</v>
      </c>
      <c r="D3981" t="inlineStr">
        <is>
          <t>UPPSALA LÄN</t>
        </is>
      </c>
      <c r="E3981" t="inlineStr">
        <is>
          <t>ÖSTHAMMAR</t>
        </is>
      </c>
      <c r="F3981" t="inlineStr">
        <is>
          <t>Naturvårdsverket</t>
        </is>
      </c>
      <c r="G3981" t="n">
        <v>8.9</v>
      </c>
      <c r="H3981" t="n">
        <v>0</v>
      </c>
      <c r="I3981" t="n">
        <v>0</v>
      </c>
      <c r="J3981" t="n">
        <v>0</v>
      </c>
      <c r="K3981" t="n">
        <v>0</v>
      </c>
      <c r="L3981" t="n">
        <v>0</v>
      </c>
      <c r="M3981" t="n">
        <v>0</v>
      </c>
      <c r="N3981" t="n">
        <v>0</v>
      </c>
      <c r="O3981" t="n">
        <v>0</v>
      </c>
      <c r="P3981" t="n">
        <v>0</v>
      </c>
      <c r="Q3981" t="n">
        <v>0</v>
      </c>
      <c r="R3981" s="2" t="inlineStr"/>
    </row>
    <row r="3982" ht="15" customHeight="1">
      <c r="A3982" t="inlineStr">
        <is>
          <t>A 28564-2023</t>
        </is>
      </c>
      <c r="B3982" s="1" t="n">
        <v>45103</v>
      </c>
      <c r="C3982" s="1" t="n">
        <v>45705</v>
      </c>
      <c r="D3982" t="inlineStr">
        <is>
          <t>UPPSALA LÄN</t>
        </is>
      </c>
      <c r="E3982" t="inlineStr">
        <is>
          <t>TIERP</t>
        </is>
      </c>
      <c r="G3982" t="n">
        <v>7.8</v>
      </c>
      <c r="H3982" t="n">
        <v>0</v>
      </c>
      <c r="I3982" t="n">
        <v>0</v>
      </c>
      <c r="J3982" t="n">
        <v>0</v>
      </c>
      <c r="K3982" t="n">
        <v>0</v>
      </c>
      <c r="L3982" t="n">
        <v>0</v>
      </c>
      <c r="M3982" t="n">
        <v>0</v>
      </c>
      <c r="N3982" t="n">
        <v>0</v>
      </c>
      <c r="O3982" t="n">
        <v>0</v>
      </c>
      <c r="P3982" t="n">
        <v>0</v>
      </c>
      <c r="Q3982" t="n">
        <v>0</v>
      </c>
      <c r="R3982" s="2" t="inlineStr"/>
    </row>
    <row r="3983" ht="15" customHeight="1">
      <c r="A3983" t="inlineStr">
        <is>
          <t>A 28577-2023</t>
        </is>
      </c>
      <c r="B3983" s="1" t="n">
        <v>45103</v>
      </c>
      <c r="C3983" s="1" t="n">
        <v>45705</v>
      </c>
      <c r="D3983" t="inlineStr">
        <is>
          <t>UPPSALA LÄN</t>
        </is>
      </c>
      <c r="E3983" t="inlineStr">
        <is>
          <t>UPPSALA</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28701-2023</t>
        </is>
      </c>
      <c r="B3984" s="1" t="n">
        <v>45103</v>
      </c>
      <c r="C3984" s="1" t="n">
        <v>45705</v>
      </c>
      <c r="D3984" t="inlineStr">
        <is>
          <t>UPPSALA LÄN</t>
        </is>
      </c>
      <c r="E3984" t="inlineStr">
        <is>
          <t>UPPSALA</t>
        </is>
      </c>
      <c r="G3984" t="n">
        <v>12.4</v>
      </c>
      <c r="H3984" t="n">
        <v>0</v>
      </c>
      <c r="I3984" t="n">
        <v>0</v>
      </c>
      <c r="J3984" t="n">
        <v>0</v>
      </c>
      <c r="K3984" t="n">
        <v>0</v>
      </c>
      <c r="L3984" t="n">
        <v>0</v>
      </c>
      <c r="M3984" t="n">
        <v>0</v>
      </c>
      <c r="N3984" t="n">
        <v>0</v>
      </c>
      <c r="O3984" t="n">
        <v>0</v>
      </c>
      <c r="P3984" t="n">
        <v>0</v>
      </c>
      <c r="Q3984" t="n">
        <v>0</v>
      </c>
      <c r="R3984" s="2" t="inlineStr"/>
    </row>
    <row r="3985" ht="15" customHeight="1">
      <c r="A3985" t="inlineStr">
        <is>
          <t>A 31131-2023</t>
        </is>
      </c>
      <c r="B3985" s="1" t="n">
        <v>45103</v>
      </c>
      <c r="C3985" s="1" t="n">
        <v>45705</v>
      </c>
      <c r="D3985" t="inlineStr">
        <is>
          <t>UPPSALA LÄN</t>
        </is>
      </c>
      <c r="E3985" t="inlineStr">
        <is>
          <t>HEBY</t>
        </is>
      </c>
      <c r="F3985" t="inlineStr">
        <is>
          <t>Bergvik skog väst AB</t>
        </is>
      </c>
      <c r="G3985" t="n">
        <v>3.8</v>
      </c>
      <c r="H3985" t="n">
        <v>0</v>
      </c>
      <c r="I3985" t="n">
        <v>0</v>
      </c>
      <c r="J3985" t="n">
        <v>0</v>
      </c>
      <c r="K3985" t="n">
        <v>0</v>
      </c>
      <c r="L3985" t="n">
        <v>0</v>
      </c>
      <c r="M3985" t="n">
        <v>0</v>
      </c>
      <c r="N3985" t="n">
        <v>0</v>
      </c>
      <c r="O3985" t="n">
        <v>0</v>
      </c>
      <c r="P3985" t="n">
        <v>0</v>
      </c>
      <c r="Q3985" t="n">
        <v>0</v>
      </c>
      <c r="R3985" s="2" t="inlineStr"/>
    </row>
    <row r="3986" ht="15" customHeight="1">
      <c r="A3986" t="inlineStr">
        <is>
          <t>A 31139-2023</t>
        </is>
      </c>
      <c r="B3986" s="1" t="n">
        <v>45103</v>
      </c>
      <c r="C3986" s="1" t="n">
        <v>45705</v>
      </c>
      <c r="D3986" t="inlineStr">
        <is>
          <t>UPPSALA LÄN</t>
        </is>
      </c>
      <c r="E3986" t="inlineStr">
        <is>
          <t>HEBY</t>
        </is>
      </c>
      <c r="G3986" t="n">
        <v>7.3</v>
      </c>
      <c r="H3986" t="n">
        <v>0</v>
      </c>
      <c r="I3986" t="n">
        <v>0</v>
      </c>
      <c r="J3986" t="n">
        <v>0</v>
      </c>
      <c r="K3986" t="n">
        <v>0</v>
      </c>
      <c r="L3986" t="n">
        <v>0</v>
      </c>
      <c r="M3986" t="n">
        <v>0</v>
      </c>
      <c r="N3986" t="n">
        <v>0</v>
      </c>
      <c r="O3986" t="n">
        <v>0</v>
      </c>
      <c r="P3986" t="n">
        <v>0</v>
      </c>
      <c r="Q3986" t="n">
        <v>0</v>
      </c>
      <c r="R3986" s="2" t="inlineStr"/>
    </row>
    <row r="3987" ht="15" customHeight="1">
      <c r="A3987" t="inlineStr">
        <is>
          <t>A 31143-2023</t>
        </is>
      </c>
      <c r="B3987" s="1" t="n">
        <v>45103</v>
      </c>
      <c r="C3987" s="1" t="n">
        <v>45705</v>
      </c>
      <c r="D3987" t="inlineStr">
        <is>
          <t>UPPSALA LÄN</t>
        </is>
      </c>
      <c r="E3987" t="inlineStr">
        <is>
          <t>HEBY</t>
        </is>
      </c>
      <c r="F3987" t="inlineStr">
        <is>
          <t>Bergvik skog väst AB</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28912-2023</t>
        </is>
      </c>
      <c r="B3988" s="1" t="n">
        <v>45104</v>
      </c>
      <c r="C3988" s="1" t="n">
        <v>45705</v>
      </c>
      <c r="D3988" t="inlineStr">
        <is>
          <t>UPPSALA LÄN</t>
        </is>
      </c>
      <c r="E3988" t="inlineStr">
        <is>
          <t>TIERP</t>
        </is>
      </c>
      <c r="F3988" t="inlineStr">
        <is>
          <t>Bergvik skog öst AB</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29019-2023</t>
        </is>
      </c>
      <c r="B3989" s="1" t="n">
        <v>45104</v>
      </c>
      <c r="C3989" s="1" t="n">
        <v>45705</v>
      </c>
      <c r="D3989" t="inlineStr">
        <is>
          <t>UPPSALA LÄN</t>
        </is>
      </c>
      <c r="E3989" t="inlineStr">
        <is>
          <t>UPPSALA</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28909-2023</t>
        </is>
      </c>
      <c r="B3990" s="1" t="n">
        <v>45104</v>
      </c>
      <c r="C3990" s="1" t="n">
        <v>45705</v>
      </c>
      <c r="D3990" t="inlineStr">
        <is>
          <t>UPPSALA LÄN</t>
        </is>
      </c>
      <c r="E3990" t="inlineStr">
        <is>
          <t>TIERP</t>
        </is>
      </c>
      <c r="F3990" t="inlineStr">
        <is>
          <t>Bergvik skog öst AB</t>
        </is>
      </c>
      <c r="G3990" t="n">
        <v>6.4</v>
      </c>
      <c r="H3990" t="n">
        <v>0</v>
      </c>
      <c r="I3990" t="n">
        <v>0</v>
      </c>
      <c r="J3990" t="n">
        <v>0</v>
      </c>
      <c r="K3990" t="n">
        <v>0</v>
      </c>
      <c r="L3990" t="n">
        <v>0</v>
      </c>
      <c r="M3990" t="n">
        <v>0</v>
      </c>
      <c r="N3990" t="n">
        <v>0</v>
      </c>
      <c r="O3990" t="n">
        <v>0</v>
      </c>
      <c r="P3990" t="n">
        <v>0</v>
      </c>
      <c r="Q3990" t="n">
        <v>0</v>
      </c>
      <c r="R3990" s="2" t="inlineStr"/>
    </row>
    <row r="3991" ht="15" customHeight="1">
      <c r="A3991" t="inlineStr">
        <is>
          <t>A 31573-2023</t>
        </is>
      </c>
      <c r="B3991" s="1" t="n">
        <v>45104</v>
      </c>
      <c r="C3991" s="1" t="n">
        <v>45705</v>
      </c>
      <c r="D3991" t="inlineStr">
        <is>
          <t>UPPSALA LÄN</t>
        </is>
      </c>
      <c r="E3991" t="inlineStr">
        <is>
          <t>ENKÖPING</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29109-2023</t>
        </is>
      </c>
      <c r="B3992" s="1" t="n">
        <v>45105</v>
      </c>
      <c r="C3992" s="1" t="n">
        <v>45705</v>
      </c>
      <c r="D3992" t="inlineStr">
        <is>
          <t>UPPSALA LÄN</t>
        </is>
      </c>
      <c r="E3992" t="inlineStr">
        <is>
          <t>TIERP</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29113-2023</t>
        </is>
      </c>
      <c r="B3993" s="1" t="n">
        <v>45105</v>
      </c>
      <c r="C3993" s="1" t="n">
        <v>45705</v>
      </c>
      <c r="D3993" t="inlineStr">
        <is>
          <t>UPPSALA LÄN</t>
        </is>
      </c>
      <c r="E3993" t="inlineStr">
        <is>
          <t>TIERP</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29110-2023</t>
        </is>
      </c>
      <c r="B3994" s="1" t="n">
        <v>45105</v>
      </c>
      <c r="C3994" s="1" t="n">
        <v>45705</v>
      </c>
      <c r="D3994" t="inlineStr">
        <is>
          <t>UPPSALA LÄN</t>
        </is>
      </c>
      <c r="E3994" t="inlineStr">
        <is>
          <t>TIERP</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29115-2023</t>
        </is>
      </c>
      <c r="B3995" s="1" t="n">
        <v>45105</v>
      </c>
      <c r="C3995" s="1" t="n">
        <v>45705</v>
      </c>
      <c r="D3995" t="inlineStr">
        <is>
          <t>UPPSALA LÄN</t>
        </is>
      </c>
      <c r="E3995" t="inlineStr">
        <is>
          <t>TIERP</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29085-2023</t>
        </is>
      </c>
      <c r="B3996" s="1" t="n">
        <v>45105</v>
      </c>
      <c r="C3996" s="1" t="n">
        <v>45705</v>
      </c>
      <c r="D3996" t="inlineStr">
        <is>
          <t>UPPSALA LÄN</t>
        </is>
      </c>
      <c r="E3996" t="inlineStr">
        <is>
          <t>HEBY</t>
        </is>
      </c>
      <c r="G3996" t="n">
        <v>14.6</v>
      </c>
      <c r="H3996" t="n">
        <v>0</v>
      </c>
      <c r="I3996" t="n">
        <v>0</v>
      </c>
      <c r="J3996" t="n">
        <v>0</v>
      </c>
      <c r="K3996" t="n">
        <v>0</v>
      </c>
      <c r="L3996" t="n">
        <v>0</v>
      </c>
      <c r="M3996" t="n">
        <v>0</v>
      </c>
      <c r="N3996" t="n">
        <v>0</v>
      </c>
      <c r="O3996" t="n">
        <v>0</v>
      </c>
      <c r="P3996" t="n">
        <v>0</v>
      </c>
      <c r="Q3996" t="n">
        <v>0</v>
      </c>
      <c r="R3996" s="2" t="inlineStr"/>
    </row>
    <row r="3997" ht="15" customHeight="1">
      <c r="A3997" t="inlineStr">
        <is>
          <t>A 29099-2023</t>
        </is>
      </c>
      <c r="B3997" s="1" t="n">
        <v>45105</v>
      </c>
      <c r="C3997" s="1" t="n">
        <v>45705</v>
      </c>
      <c r="D3997" t="inlineStr">
        <is>
          <t>UPPSALA LÄN</t>
        </is>
      </c>
      <c r="E3997" t="inlineStr">
        <is>
          <t>TIERP</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31599-2023</t>
        </is>
      </c>
      <c r="B3998" s="1" t="n">
        <v>45105</v>
      </c>
      <c r="C3998" s="1" t="n">
        <v>45705</v>
      </c>
      <c r="D3998" t="inlineStr">
        <is>
          <t>UPPSALA LÄN</t>
        </is>
      </c>
      <c r="E3998" t="inlineStr">
        <is>
          <t>UPPSALA</t>
        </is>
      </c>
      <c r="G3998" t="n">
        <v>4.6</v>
      </c>
      <c r="H3998" t="n">
        <v>0</v>
      </c>
      <c r="I3998" t="n">
        <v>0</v>
      </c>
      <c r="J3998" t="n">
        <v>0</v>
      </c>
      <c r="K3998" t="n">
        <v>0</v>
      </c>
      <c r="L3998" t="n">
        <v>0</v>
      </c>
      <c r="M3998" t="n">
        <v>0</v>
      </c>
      <c r="N3998" t="n">
        <v>0</v>
      </c>
      <c r="O3998" t="n">
        <v>0</v>
      </c>
      <c r="P3998" t="n">
        <v>0</v>
      </c>
      <c r="Q3998" t="n">
        <v>0</v>
      </c>
      <c r="R3998" s="2" t="inlineStr"/>
    </row>
    <row r="3999" ht="15" customHeight="1">
      <c r="A3999" t="inlineStr">
        <is>
          <t>A 29282-2023</t>
        </is>
      </c>
      <c r="B3999" s="1" t="n">
        <v>45105</v>
      </c>
      <c r="C3999" s="1" t="n">
        <v>45705</v>
      </c>
      <c r="D3999" t="inlineStr">
        <is>
          <t>UPPSALA LÄN</t>
        </is>
      </c>
      <c r="E3999" t="inlineStr">
        <is>
          <t>UPPSALA</t>
        </is>
      </c>
      <c r="G3999" t="n">
        <v>4.4</v>
      </c>
      <c r="H3999" t="n">
        <v>0</v>
      </c>
      <c r="I3999" t="n">
        <v>0</v>
      </c>
      <c r="J3999" t="n">
        <v>0</v>
      </c>
      <c r="K3999" t="n">
        <v>0</v>
      </c>
      <c r="L3999" t="n">
        <v>0</v>
      </c>
      <c r="M3999" t="n">
        <v>0</v>
      </c>
      <c r="N3999" t="n">
        <v>0</v>
      </c>
      <c r="O3999" t="n">
        <v>0</v>
      </c>
      <c r="P3999" t="n">
        <v>0</v>
      </c>
      <c r="Q3999" t="n">
        <v>0</v>
      </c>
      <c r="R3999" s="2" t="inlineStr"/>
    </row>
    <row r="4000" ht="15" customHeight="1">
      <c r="A4000" t="inlineStr">
        <is>
          <t>A 29098-2023</t>
        </is>
      </c>
      <c r="B4000" s="1" t="n">
        <v>45105</v>
      </c>
      <c r="C4000" s="1" t="n">
        <v>45705</v>
      </c>
      <c r="D4000" t="inlineStr">
        <is>
          <t>UPPSALA LÄN</t>
        </is>
      </c>
      <c r="E4000" t="inlineStr">
        <is>
          <t>TIERP</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29107-2023</t>
        </is>
      </c>
      <c r="B4001" s="1" t="n">
        <v>45105</v>
      </c>
      <c r="C4001" s="1" t="n">
        <v>45705</v>
      </c>
      <c r="D4001" t="inlineStr">
        <is>
          <t>UPPSALA LÄN</t>
        </is>
      </c>
      <c r="E4001" t="inlineStr">
        <is>
          <t>TIERP</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31630-2023</t>
        </is>
      </c>
      <c r="B4002" s="1" t="n">
        <v>45105</v>
      </c>
      <c r="C4002" s="1" t="n">
        <v>45705</v>
      </c>
      <c r="D4002" t="inlineStr">
        <is>
          <t>UPPSALA LÄN</t>
        </is>
      </c>
      <c r="E4002" t="inlineStr">
        <is>
          <t>UPPSALA</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29536-2023</t>
        </is>
      </c>
      <c r="B4003" s="1" t="n">
        <v>45106</v>
      </c>
      <c r="C4003" s="1" t="n">
        <v>45705</v>
      </c>
      <c r="D4003" t="inlineStr">
        <is>
          <t>UPPSALA LÄN</t>
        </is>
      </c>
      <c r="E4003" t="inlineStr">
        <is>
          <t>HEBY</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29480-2023</t>
        </is>
      </c>
      <c r="B4004" s="1" t="n">
        <v>45106</v>
      </c>
      <c r="C4004" s="1" t="n">
        <v>45705</v>
      </c>
      <c r="D4004" t="inlineStr">
        <is>
          <t>UPPSALA LÄN</t>
        </is>
      </c>
      <c r="E4004" t="inlineStr">
        <is>
          <t>TIERP</t>
        </is>
      </c>
      <c r="G4004" t="n">
        <v>10.3</v>
      </c>
      <c r="H4004" t="n">
        <v>0</v>
      </c>
      <c r="I4004" t="n">
        <v>0</v>
      </c>
      <c r="J4004" t="n">
        <v>0</v>
      </c>
      <c r="K4004" t="n">
        <v>0</v>
      </c>
      <c r="L4004" t="n">
        <v>0</v>
      </c>
      <c r="M4004" t="n">
        <v>0</v>
      </c>
      <c r="N4004" t="n">
        <v>0</v>
      </c>
      <c r="O4004" t="n">
        <v>0</v>
      </c>
      <c r="P4004" t="n">
        <v>0</v>
      </c>
      <c r="Q4004" t="n">
        <v>0</v>
      </c>
      <c r="R4004" s="2" t="inlineStr"/>
    </row>
    <row r="4005" ht="15" customHeight="1">
      <c r="A4005" t="inlineStr">
        <is>
          <t>A 29529-2023</t>
        </is>
      </c>
      <c r="B4005" s="1" t="n">
        <v>45106</v>
      </c>
      <c r="C4005" s="1" t="n">
        <v>45705</v>
      </c>
      <c r="D4005" t="inlineStr">
        <is>
          <t>UPPSALA LÄN</t>
        </is>
      </c>
      <c r="E4005" t="inlineStr">
        <is>
          <t>HEBY</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29579-2023</t>
        </is>
      </c>
      <c r="B4006" s="1" t="n">
        <v>45106</v>
      </c>
      <c r="C4006" s="1" t="n">
        <v>45705</v>
      </c>
      <c r="D4006" t="inlineStr">
        <is>
          <t>UPPSALA LÄN</t>
        </is>
      </c>
      <c r="E4006" t="inlineStr">
        <is>
          <t>UPPSALA</t>
        </is>
      </c>
      <c r="F4006" t="inlineStr">
        <is>
          <t>Kyrkan</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29591-2023</t>
        </is>
      </c>
      <c r="B4007" s="1" t="n">
        <v>45106</v>
      </c>
      <c r="C4007" s="1" t="n">
        <v>45705</v>
      </c>
      <c r="D4007" t="inlineStr">
        <is>
          <t>UPPSALA LÄN</t>
        </is>
      </c>
      <c r="E4007" t="inlineStr">
        <is>
          <t>HEBY</t>
        </is>
      </c>
      <c r="F4007" t="inlineStr">
        <is>
          <t>Bergvik skog öst AB</t>
        </is>
      </c>
      <c r="G4007" t="n">
        <v>6.6</v>
      </c>
      <c r="H4007" t="n">
        <v>0</v>
      </c>
      <c r="I4007" t="n">
        <v>0</v>
      </c>
      <c r="J4007" t="n">
        <v>0</v>
      </c>
      <c r="K4007" t="n">
        <v>0</v>
      </c>
      <c r="L4007" t="n">
        <v>0</v>
      </c>
      <c r="M4007" t="n">
        <v>0</v>
      </c>
      <c r="N4007" t="n">
        <v>0</v>
      </c>
      <c r="O4007" t="n">
        <v>0</v>
      </c>
      <c r="P4007" t="n">
        <v>0</v>
      </c>
      <c r="Q4007" t="n">
        <v>0</v>
      </c>
      <c r="R4007" s="2" t="inlineStr"/>
    </row>
    <row r="4008" ht="15" customHeight="1">
      <c r="A4008" t="inlineStr">
        <is>
          <t>A 29533-2023</t>
        </is>
      </c>
      <c r="B4008" s="1" t="n">
        <v>45106</v>
      </c>
      <c r="C4008" s="1" t="n">
        <v>45705</v>
      </c>
      <c r="D4008" t="inlineStr">
        <is>
          <t>UPPSALA LÄN</t>
        </is>
      </c>
      <c r="E4008" t="inlineStr">
        <is>
          <t>HEBY</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29564-2023</t>
        </is>
      </c>
      <c r="B4009" s="1" t="n">
        <v>45106</v>
      </c>
      <c r="C4009" s="1" t="n">
        <v>45705</v>
      </c>
      <c r="D4009" t="inlineStr">
        <is>
          <t>UPPSALA LÄN</t>
        </is>
      </c>
      <c r="E4009" t="inlineStr">
        <is>
          <t>ÖSTHAMMAR</t>
        </is>
      </c>
      <c r="F4009" t="inlineStr">
        <is>
          <t>Naturvårdsverket</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29815-2023</t>
        </is>
      </c>
      <c r="B4010" s="1" t="n">
        <v>45107</v>
      </c>
      <c r="C4010" s="1" t="n">
        <v>45705</v>
      </c>
      <c r="D4010" t="inlineStr">
        <is>
          <t>UPPSALA LÄN</t>
        </is>
      </c>
      <c r="E4010" t="inlineStr">
        <is>
          <t>UPPSALA</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29873-2023</t>
        </is>
      </c>
      <c r="B4011" s="1" t="n">
        <v>45107</v>
      </c>
      <c r="C4011" s="1" t="n">
        <v>45705</v>
      </c>
      <c r="D4011" t="inlineStr">
        <is>
          <t>UPPSALA LÄN</t>
        </is>
      </c>
      <c r="E4011" t="inlineStr">
        <is>
          <t>ÖSTHAMMAR</t>
        </is>
      </c>
      <c r="F4011" t="inlineStr">
        <is>
          <t>Naturvårdsverket</t>
        </is>
      </c>
      <c r="G4011" t="n">
        <v>7.8</v>
      </c>
      <c r="H4011" t="n">
        <v>0</v>
      </c>
      <c r="I4011" t="n">
        <v>0</v>
      </c>
      <c r="J4011" t="n">
        <v>0</v>
      </c>
      <c r="K4011" t="n">
        <v>0</v>
      </c>
      <c r="L4011" t="n">
        <v>0</v>
      </c>
      <c r="M4011" t="n">
        <v>0</v>
      </c>
      <c r="N4011" t="n">
        <v>0</v>
      </c>
      <c r="O4011" t="n">
        <v>0</v>
      </c>
      <c r="P4011" t="n">
        <v>0</v>
      </c>
      <c r="Q4011" t="n">
        <v>0</v>
      </c>
      <c r="R4011" s="2" t="inlineStr"/>
    </row>
    <row r="4012" ht="15" customHeight="1">
      <c r="A4012" t="inlineStr">
        <is>
          <t>A 29901-2023</t>
        </is>
      </c>
      <c r="B4012" s="1" t="n">
        <v>45107</v>
      </c>
      <c r="C4012" s="1" t="n">
        <v>45705</v>
      </c>
      <c r="D4012" t="inlineStr">
        <is>
          <t>UPPSALA LÄN</t>
        </is>
      </c>
      <c r="E4012" t="inlineStr">
        <is>
          <t>UPPSALA</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29868-2023</t>
        </is>
      </c>
      <c r="B4013" s="1" t="n">
        <v>45107</v>
      </c>
      <c r="C4013" s="1" t="n">
        <v>45705</v>
      </c>
      <c r="D4013" t="inlineStr">
        <is>
          <t>UPPSALA LÄN</t>
        </is>
      </c>
      <c r="E4013" t="inlineStr">
        <is>
          <t>UPPSALA</t>
        </is>
      </c>
      <c r="G4013" t="n">
        <v>8.699999999999999</v>
      </c>
      <c r="H4013" t="n">
        <v>0</v>
      </c>
      <c r="I4013" t="n">
        <v>0</v>
      </c>
      <c r="J4013" t="n">
        <v>0</v>
      </c>
      <c r="K4013" t="n">
        <v>0</v>
      </c>
      <c r="L4013" t="n">
        <v>0</v>
      </c>
      <c r="M4013" t="n">
        <v>0</v>
      </c>
      <c r="N4013" t="n">
        <v>0</v>
      </c>
      <c r="O4013" t="n">
        <v>0</v>
      </c>
      <c r="P4013" t="n">
        <v>0</v>
      </c>
      <c r="Q4013" t="n">
        <v>0</v>
      </c>
      <c r="R4013" s="2" t="inlineStr"/>
    </row>
    <row r="4014" ht="15" customHeight="1">
      <c r="A4014" t="inlineStr">
        <is>
          <t>A 29799-2023</t>
        </is>
      </c>
      <c r="B4014" s="1" t="n">
        <v>45107</v>
      </c>
      <c r="C4014" s="1" t="n">
        <v>45705</v>
      </c>
      <c r="D4014" t="inlineStr">
        <is>
          <t>UPPSALA LÄN</t>
        </is>
      </c>
      <c r="E4014" t="inlineStr">
        <is>
          <t>UPPSALA</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29808-2023</t>
        </is>
      </c>
      <c r="B4015" s="1" t="n">
        <v>45107</v>
      </c>
      <c r="C4015" s="1" t="n">
        <v>45705</v>
      </c>
      <c r="D4015" t="inlineStr">
        <is>
          <t>UPPSALA LÄN</t>
        </is>
      </c>
      <c r="E4015" t="inlineStr">
        <is>
          <t>UPPSALA</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29824-2023</t>
        </is>
      </c>
      <c r="B4016" s="1" t="n">
        <v>45107</v>
      </c>
      <c r="C4016" s="1" t="n">
        <v>45705</v>
      </c>
      <c r="D4016" t="inlineStr">
        <is>
          <t>UPPSALA LÄN</t>
        </is>
      </c>
      <c r="E4016" t="inlineStr">
        <is>
          <t>ÖSTHAMMAR</t>
        </is>
      </c>
      <c r="F4016" t="inlineStr">
        <is>
          <t>Naturvårdsverket</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29902-2023</t>
        </is>
      </c>
      <c r="B4017" s="1" t="n">
        <v>45107</v>
      </c>
      <c r="C4017" s="1" t="n">
        <v>45705</v>
      </c>
      <c r="D4017" t="inlineStr">
        <is>
          <t>UPPSALA LÄN</t>
        </is>
      </c>
      <c r="E4017" t="inlineStr">
        <is>
          <t>UPPSALA</t>
        </is>
      </c>
      <c r="F4017" t="inlineStr">
        <is>
          <t>Kyrkan</t>
        </is>
      </c>
      <c r="G4017" t="n">
        <v>10.6</v>
      </c>
      <c r="H4017" t="n">
        <v>0</v>
      </c>
      <c r="I4017" t="n">
        <v>0</v>
      </c>
      <c r="J4017" t="n">
        <v>0</v>
      </c>
      <c r="K4017" t="n">
        <v>0</v>
      </c>
      <c r="L4017" t="n">
        <v>0</v>
      </c>
      <c r="M4017" t="n">
        <v>0</v>
      </c>
      <c r="N4017" t="n">
        <v>0</v>
      </c>
      <c r="O4017" t="n">
        <v>0</v>
      </c>
      <c r="P4017" t="n">
        <v>0</v>
      </c>
      <c r="Q4017" t="n">
        <v>0</v>
      </c>
      <c r="R4017" s="2" t="inlineStr"/>
    </row>
    <row r="4018" ht="15" customHeight="1">
      <c r="A4018" t="inlineStr">
        <is>
          <t>A 29926-2023</t>
        </is>
      </c>
      <c r="B4018" s="1" t="n">
        <v>45107</v>
      </c>
      <c r="C4018" s="1" t="n">
        <v>45705</v>
      </c>
      <c r="D4018" t="inlineStr">
        <is>
          <t>UPPSALA LÄN</t>
        </is>
      </c>
      <c r="E4018" t="inlineStr">
        <is>
          <t>UPPSALA</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29927-2023</t>
        </is>
      </c>
      <c r="B4019" s="1" t="n">
        <v>45107</v>
      </c>
      <c r="C4019" s="1" t="n">
        <v>45705</v>
      </c>
      <c r="D4019" t="inlineStr">
        <is>
          <t>UPPSALA LÄN</t>
        </is>
      </c>
      <c r="E4019" t="inlineStr">
        <is>
          <t>UPPSALA</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30058-2023</t>
        </is>
      </c>
      <c r="B4020" s="1" t="n">
        <v>45110</v>
      </c>
      <c r="C4020" s="1" t="n">
        <v>45705</v>
      </c>
      <c r="D4020" t="inlineStr">
        <is>
          <t>UPPSALA LÄN</t>
        </is>
      </c>
      <c r="E4020" t="inlineStr">
        <is>
          <t>HEBY</t>
        </is>
      </c>
      <c r="G4020" t="n">
        <v>6.4</v>
      </c>
      <c r="H4020" t="n">
        <v>0</v>
      </c>
      <c r="I4020" t="n">
        <v>0</v>
      </c>
      <c r="J4020" t="n">
        <v>0</v>
      </c>
      <c r="K4020" t="n">
        <v>0</v>
      </c>
      <c r="L4020" t="n">
        <v>0</v>
      </c>
      <c r="M4020" t="n">
        <v>0</v>
      </c>
      <c r="N4020" t="n">
        <v>0</v>
      </c>
      <c r="O4020" t="n">
        <v>0</v>
      </c>
      <c r="P4020" t="n">
        <v>0</v>
      </c>
      <c r="Q4020" t="n">
        <v>0</v>
      </c>
      <c r="R4020" s="2" t="inlineStr"/>
    </row>
    <row r="4021" ht="15" customHeight="1">
      <c r="A4021" t="inlineStr">
        <is>
          <t>A 30086-2023</t>
        </is>
      </c>
      <c r="B4021" s="1" t="n">
        <v>45110</v>
      </c>
      <c r="C4021" s="1" t="n">
        <v>45705</v>
      </c>
      <c r="D4021" t="inlineStr">
        <is>
          <t>UPPSALA LÄN</t>
        </is>
      </c>
      <c r="E4021" t="inlineStr">
        <is>
          <t>ÖSTHAMMAR</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30111-2023</t>
        </is>
      </c>
      <c r="B4022" s="1" t="n">
        <v>45110</v>
      </c>
      <c r="C4022" s="1" t="n">
        <v>45705</v>
      </c>
      <c r="D4022" t="inlineStr">
        <is>
          <t>UPPSALA LÄN</t>
        </is>
      </c>
      <c r="E4022" t="inlineStr">
        <is>
          <t>KNIVSTA</t>
        </is>
      </c>
      <c r="F4022" t="inlineStr">
        <is>
          <t>Holmen skog AB</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30128-2023</t>
        </is>
      </c>
      <c r="B4023" s="1" t="n">
        <v>45110</v>
      </c>
      <c r="C4023" s="1" t="n">
        <v>45705</v>
      </c>
      <c r="D4023" t="inlineStr">
        <is>
          <t>UPPSALA LÄN</t>
        </is>
      </c>
      <c r="E4023" t="inlineStr">
        <is>
          <t>KNIVSTA</t>
        </is>
      </c>
      <c r="F4023" t="inlineStr">
        <is>
          <t>Holmen skog AB</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30167-2023</t>
        </is>
      </c>
      <c r="B4024" s="1" t="n">
        <v>45110</v>
      </c>
      <c r="C4024" s="1" t="n">
        <v>45705</v>
      </c>
      <c r="D4024" t="inlineStr">
        <is>
          <t>UPPSALA LÄN</t>
        </is>
      </c>
      <c r="E4024" t="inlineStr">
        <is>
          <t>KNIVSTA</t>
        </is>
      </c>
      <c r="F4024" t="inlineStr">
        <is>
          <t>Holmen skog AB</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30178-2023</t>
        </is>
      </c>
      <c r="B4025" s="1" t="n">
        <v>45110</v>
      </c>
      <c r="C4025" s="1" t="n">
        <v>45705</v>
      </c>
      <c r="D4025" t="inlineStr">
        <is>
          <t>UPPSALA LÄN</t>
        </is>
      </c>
      <c r="E4025" t="inlineStr">
        <is>
          <t>KNIVSTA</t>
        </is>
      </c>
      <c r="F4025" t="inlineStr">
        <is>
          <t>Holmen skog AB</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32428-2023</t>
        </is>
      </c>
      <c r="B4026" s="1" t="n">
        <v>45110</v>
      </c>
      <c r="C4026" s="1" t="n">
        <v>45705</v>
      </c>
      <c r="D4026" t="inlineStr">
        <is>
          <t>UPPSALA LÄN</t>
        </is>
      </c>
      <c r="E4026" t="inlineStr">
        <is>
          <t>UPPSALA</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30470-2023</t>
        </is>
      </c>
      <c r="B4027" s="1" t="n">
        <v>45111</v>
      </c>
      <c r="C4027" s="1" t="n">
        <v>45705</v>
      </c>
      <c r="D4027" t="inlineStr">
        <is>
          <t>UPPSALA LÄN</t>
        </is>
      </c>
      <c r="E4027" t="inlineStr">
        <is>
          <t>ÖSTHAMMAR</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30498-2023</t>
        </is>
      </c>
      <c r="B4028" s="1" t="n">
        <v>45111</v>
      </c>
      <c r="C4028" s="1" t="n">
        <v>45705</v>
      </c>
      <c r="D4028" t="inlineStr">
        <is>
          <t>UPPSALA LÄN</t>
        </is>
      </c>
      <c r="E4028" t="inlineStr">
        <is>
          <t>ÖSTHAMMAR</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30433-2023</t>
        </is>
      </c>
      <c r="B4029" s="1" t="n">
        <v>45111</v>
      </c>
      <c r="C4029" s="1" t="n">
        <v>45705</v>
      </c>
      <c r="D4029" t="inlineStr">
        <is>
          <t>UPPSALA LÄN</t>
        </is>
      </c>
      <c r="E4029" t="inlineStr">
        <is>
          <t>HEBY</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30693-2023</t>
        </is>
      </c>
      <c r="B4030" s="1" t="n">
        <v>45112</v>
      </c>
      <c r="C4030" s="1" t="n">
        <v>45705</v>
      </c>
      <c r="D4030" t="inlineStr">
        <is>
          <t>UPPSALA LÄN</t>
        </is>
      </c>
      <c r="E4030" t="inlineStr">
        <is>
          <t>KNIVSTA</t>
        </is>
      </c>
      <c r="F4030" t="inlineStr">
        <is>
          <t>Holmen skog AB</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30719-2023</t>
        </is>
      </c>
      <c r="B4031" s="1" t="n">
        <v>45112</v>
      </c>
      <c r="C4031" s="1" t="n">
        <v>45705</v>
      </c>
      <c r="D4031" t="inlineStr">
        <is>
          <t>UPPSALA LÄN</t>
        </is>
      </c>
      <c r="E4031" t="inlineStr">
        <is>
          <t>KNIVSTA</t>
        </is>
      </c>
      <c r="F4031" t="inlineStr">
        <is>
          <t>Holmen skog AB</t>
        </is>
      </c>
      <c r="G4031" t="n">
        <v>4.9</v>
      </c>
      <c r="H4031" t="n">
        <v>0</v>
      </c>
      <c r="I4031" t="n">
        <v>0</v>
      </c>
      <c r="J4031" t="n">
        <v>0</v>
      </c>
      <c r="K4031" t="n">
        <v>0</v>
      </c>
      <c r="L4031" t="n">
        <v>0</v>
      </c>
      <c r="M4031" t="n">
        <v>0</v>
      </c>
      <c r="N4031" t="n">
        <v>0</v>
      </c>
      <c r="O4031" t="n">
        <v>0</v>
      </c>
      <c r="P4031" t="n">
        <v>0</v>
      </c>
      <c r="Q4031" t="n">
        <v>0</v>
      </c>
      <c r="R4031" s="2" t="inlineStr"/>
    </row>
    <row r="4032" ht="15" customHeight="1">
      <c r="A4032" t="inlineStr">
        <is>
          <t>A 30629-2023</t>
        </is>
      </c>
      <c r="B4032" s="1" t="n">
        <v>45112</v>
      </c>
      <c r="C4032" s="1" t="n">
        <v>45705</v>
      </c>
      <c r="D4032" t="inlineStr">
        <is>
          <t>UPPSALA LÄN</t>
        </is>
      </c>
      <c r="E4032" t="inlineStr">
        <is>
          <t>UPPSALA</t>
        </is>
      </c>
      <c r="G4032" t="n">
        <v>6</v>
      </c>
      <c r="H4032" t="n">
        <v>0</v>
      </c>
      <c r="I4032" t="n">
        <v>0</v>
      </c>
      <c r="J4032" t="n">
        <v>0</v>
      </c>
      <c r="K4032" t="n">
        <v>0</v>
      </c>
      <c r="L4032" t="n">
        <v>0</v>
      </c>
      <c r="M4032" t="n">
        <v>0</v>
      </c>
      <c r="N4032" t="n">
        <v>0</v>
      </c>
      <c r="O4032" t="n">
        <v>0</v>
      </c>
      <c r="P4032" t="n">
        <v>0</v>
      </c>
      <c r="Q4032" t="n">
        <v>0</v>
      </c>
      <c r="R4032" s="2" t="inlineStr"/>
    </row>
    <row r="4033" ht="15" customHeight="1">
      <c r="A4033" t="inlineStr">
        <is>
          <t>A 30809-2023</t>
        </is>
      </c>
      <c r="B4033" s="1" t="n">
        <v>45112</v>
      </c>
      <c r="C4033" s="1" t="n">
        <v>45705</v>
      </c>
      <c r="D4033" t="inlineStr">
        <is>
          <t>UPPSALA LÄN</t>
        </is>
      </c>
      <c r="E4033" t="inlineStr">
        <is>
          <t>ÖSTHAMMAR</t>
        </is>
      </c>
      <c r="F4033" t="inlineStr">
        <is>
          <t>Bergvik skog öst AB</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30808-2023</t>
        </is>
      </c>
      <c r="B4034" s="1" t="n">
        <v>45112</v>
      </c>
      <c r="C4034" s="1" t="n">
        <v>45705</v>
      </c>
      <c r="D4034" t="inlineStr">
        <is>
          <t>UPPSALA LÄN</t>
        </is>
      </c>
      <c r="E4034" t="inlineStr">
        <is>
          <t>ÖSTHAMMAR</t>
        </is>
      </c>
      <c r="F4034" t="inlineStr">
        <is>
          <t>Bergvik skog öst AB</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30812-2023</t>
        </is>
      </c>
      <c r="B4035" s="1" t="n">
        <v>45112</v>
      </c>
      <c r="C4035" s="1" t="n">
        <v>45705</v>
      </c>
      <c r="D4035" t="inlineStr">
        <is>
          <t>UPPSALA LÄN</t>
        </is>
      </c>
      <c r="E4035" t="inlineStr">
        <is>
          <t>ÖSTHAMMAR</t>
        </is>
      </c>
      <c r="F4035" t="inlineStr">
        <is>
          <t>Bergvik skog öst AB</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30627-2023</t>
        </is>
      </c>
      <c r="B4036" s="1" t="n">
        <v>45112</v>
      </c>
      <c r="C4036" s="1" t="n">
        <v>45705</v>
      </c>
      <c r="D4036" t="inlineStr">
        <is>
          <t>UPPSALA LÄN</t>
        </is>
      </c>
      <c r="E4036" t="inlineStr">
        <is>
          <t>KNIVSTA</t>
        </is>
      </c>
      <c r="F4036" t="inlineStr">
        <is>
          <t>Holmen skog AB</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30764-2023</t>
        </is>
      </c>
      <c r="B4037" s="1" t="n">
        <v>45112</v>
      </c>
      <c r="C4037" s="1" t="n">
        <v>45705</v>
      </c>
      <c r="D4037" t="inlineStr">
        <is>
          <t>UPPSALA LÄN</t>
        </is>
      </c>
      <c r="E4037" t="inlineStr">
        <is>
          <t>KNIVSTA</t>
        </is>
      </c>
      <c r="F4037" t="inlineStr">
        <is>
          <t>Holmen skog AB</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30810-2023</t>
        </is>
      </c>
      <c r="B4038" s="1" t="n">
        <v>45112</v>
      </c>
      <c r="C4038" s="1" t="n">
        <v>45705</v>
      </c>
      <c r="D4038" t="inlineStr">
        <is>
          <t>UPPSALA LÄN</t>
        </is>
      </c>
      <c r="E4038" t="inlineStr">
        <is>
          <t>ÖSTHAMMAR</t>
        </is>
      </c>
      <c r="F4038" t="inlineStr">
        <is>
          <t>Bergvik skog öst AB</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30811-2023</t>
        </is>
      </c>
      <c r="B4039" s="1" t="n">
        <v>45112</v>
      </c>
      <c r="C4039" s="1" t="n">
        <v>45705</v>
      </c>
      <c r="D4039" t="inlineStr">
        <is>
          <t>UPPSALA LÄN</t>
        </is>
      </c>
      <c r="E4039" t="inlineStr">
        <is>
          <t>ÖSTHAMMAR</t>
        </is>
      </c>
      <c r="F4039" t="inlineStr">
        <is>
          <t>Bergvik skog öst AB</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32689-2023</t>
        </is>
      </c>
      <c r="B4040" s="1" t="n">
        <v>45112</v>
      </c>
      <c r="C4040" s="1" t="n">
        <v>45705</v>
      </c>
      <c r="D4040" t="inlineStr">
        <is>
          <t>UPPSALA LÄN</t>
        </is>
      </c>
      <c r="E4040" t="inlineStr">
        <is>
          <t>UPPSALA</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32867-2023</t>
        </is>
      </c>
      <c r="B4041" s="1" t="n">
        <v>45112</v>
      </c>
      <c r="C4041" s="1" t="n">
        <v>45705</v>
      </c>
      <c r="D4041" t="inlineStr">
        <is>
          <t>UPPSALA LÄN</t>
        </is>
      </c>
      <c r="E4041" t="inlineStr">
        <is>
          <t>HEBY</t>
        </is>
      </c>
      <c r="F4041" t="inlineStr">
        <is>
          <t>Bergvik skog väst AB</t>
        </is>
      </c>
      <c r="G4041" t="n">
        <v>12.3</v>
      </c>
      <c r="H4041" t="n">
        <v>0</v>
      </c>
      <c r="I4041" t="n">
        <v>0</v>
      </c>
      <c r="J4041" t="n">
        <v>0</v>
      </c>
      <c r="K4041" t="n">
        <v>0</v>
      </c>
      <c r="L4041" t="n">
        <v>0</v>
      </c>
      <c r="M4041" t="n">
        <v>0</v>
      </c>
      <c r="N4041" t="n">
        <v>0</v>
      </c>
      <c r="O4041" t="n">
        <v>0</v>
      </c>
      <c r="P4041" t="n">
        <v>0</v>
      </c>
      <c r="Q4041" t="n">
        <v>0</v>
      </c>
      <c r="R4041" s="2" t="inlineStr"/>
    </row>
    <row r="4042" ht="15" customHeight="1">
      <c r="A4042" t="inlineStr">
        <is>
          <t>A 30891-2023</t>
        </is>
      </c>
      <c r="B4042" s="1" t="n">
        <v>45113</v>
      </c>
      <c r="C4042" s="1" t="n">
        <v>45705</v>
      </c>
      <c r="D4042" t="inlineStr">
        <is>
          <t>UPPSALA LÄN</t>
        </is>
      </c>
      <c r="E4042" t="inlineStr">
        <is>
          <t>HEBY</t>
        </is>
      </c>
      <c r="F4042" t="inlineStr">
        <is>
          <t>Övriga Aktiebolag</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30950-2023</t>
        </is>
      </c>
      <c r="B4043" s="1" t="n">
        <v>45113</v>
      </c>
      <c r="C4043" s="1" t="n">
        <v>45705</v>
      </c>
      <c r="D4043" t="inlineStr">
        <is>
          <t>UPPSALA LÄN</t>
        </is>
      </c>
      <c r="E4043" t="inlineStr">
        <is>
          <t>ENKÖPING</t>
        </is>
      </c>
      <c r="G4043" t="n">
        <v>6.8</v>
      </c>
      <c r="H4043" t="n">
        <v>0</v>
      </c>
      <c r="I4043" t="n">
        <v>0</v>
      </c>
      <c r="J4043" t="n">
        <v>0</v>
      </c>
      <c r="K4043" t="n">
        <v>0</v>
      </c>
      <c r="L4043" t="n">
        <v>0</v>
      </c>
      <c r="M4043" t="n">
        <v>0</v>
      </c>
      <c r="N4043" t="n">
        <v>0</v>
      </c>
      <c r="O4043" t="n">
        <v>0</v>
      </c>
      <c r="P4043" t="n">
        <v>0</v>
      </c>
      <c r="Q4043" t="n">
        <v>0</v>
      </c>
      <c r="R4043" s="2" t="inlineStr"/>
    </row>
    <row r="4044" ht="15" customHeight="1">
      <c r="A4044" t="inlineStr">
        <is>
          <t>A 30897-2023</t>
        </is>
      </c>
      <c r="B4044" s="1" t="n">
        <v>45113</v>
      </c>
      <c r="C4044" s="1" t="n">
        <v>45705</v>
      </c>
      <c r="D4044" t="inlineStr">
        <is>
          <t>UPPSALA LÄN</t>
        </is>
      </c>
      <c r="E4044" t="inlineStr">
        <is>
          <t>HEBY</t>
        </is>
      </c>
      <c r="F4044" t="inlineStr">
        <is>
          <t>Övriga Aktiebolag</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30901-2023</t>
        </is>
      </c>
      <c r="B4045" s="1" t="n">
        <v>45113</v>
      </c>
      <c r="C4045" s="1" t="n">
        <v>45705</v>
      </c>
      <c r="D4045" t="inlineStr">
        <is>
          <t>UPPSALA LÄN</t>
        </is>
      </c>
      <c r="E4045" t="inlineStr">
        <is>
          <t>HEBY</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31157-2023</t>
        </is>
      </c>
      <c r="B4046" s="1" t="n">
        <v>45113</v>
      </c>
      <c r="C4046" s="1" t="n">
        <v>45705</v>
      </c>
      <c r="D4046" t="inlineStr">
        <is>
          <t>UPPSALA LÄN</t>
        </is>
      </c>
      <c r="E4046" t="inlineStr">
        <is>
          <t>UPPSALA</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31163-2023</t>
        </is>
      </c>
      <c r="B4047" s="1" t="n">
        <v>45113</v>
      </c>
      <c r="C4047" s="1" t="n">
        <v>45705</v>
      </c>
      <c r="D4047" t="inlineStr">
        <is>
          <t>UPPSALA LÄN</t>
        </is>
      </c>
      <c r="E4047" t="inlineStr">
        <is>
          <t>ENKÖPING</t>
        </is>
      </c>
      <c r="G4047" t="n">
        <v>5.6</v>
      </c>
      <c r="H4047" t="n">
        <v>0</v>
      </c>
      <c r="I4047" t="n">
        <v>0</v>
      </c>
      <c r="J4047" t="n">
        <v>0</v>
      </c>
      <c r="K4047" t="n">
        <v>0</v>
      </c>
      <c r="L4047" t="n">
        <v>0</v>
      </c>
      <c r="M4047" t="n">
        <v>0</v>
      </c>
      <c r="N4047" t="n">
        <v>0</v>
      </c>
      <c r="O4047" t="n">
        <v>0</v>
      </c>
      <c r="P4047" t="n">
        <v>0</v>
      </c>
      <c r="Q4047" t="n">
        <v>0</v>
      </c>
      <c r="R4047" s="2" t="inlineStr"/>
    </row>
    <row r="4048" ht="15" customHeight="1">
      <c r="A4048" t="inlineStr">
        <is>
          <t>A 31161-2023</t>
        </is>
      </c>
      <c r="B4048" s="1" t="n">
        <v>45113</v>
      </c>
      <c r="C4048" s="1" t="n">
        <v>45705</v>
      </c>
      <c r="D4048" t="inlineStr">
        <is>
          <t>UPPSALA LÄN</t>
        </is>
      </c>
      <c r="E4048" t="inlineStr">
        <is>
          <t>UPPSALA</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31279-2023</t>
        </is>
      </c>
      <c r="B4049" s="1" t="n">
        <v>45114</v>
      </c>
      <c r="C4049" s="1" t="n">
        <v>45705</v>
      </c>
      <c r="D4049" t="inlineStr">
        <is>
          <t>UPPSALA LÄN</t>
        </is>
      </c>
      <c r="E4049" t="inlineStr">
        <is>
          <t>TIERP</t>
        </is>
      </c>
      <c r="G4049" t="n">
        <v>5.3</v>
      </c>
      <c r="H4049" t="n">
        <v>0</v>
      </c>
      <c r="I4049" t="n">
        <v>0</v>
      </c>
      <c r="J4049" t="n">
        <v>0</v>
      </c>
      <c r="K4049" t="n">
        <v>0</v>
      </c>
      <c r="L4049" t="n">
        <v>0</v>
      </c>
      <c r="M4049" t="n">
        <v>0</v>
      </c>
      <c r="N4049" t="n">
        <v>0</v>
      </c>
      <c r="O4049" t="n">
        <v>0</v>
      </c>
      <c r="P4049" t="n">
        <v>0</v>
      </c>
      <c r="Q4049" t="n">
        <v>0</v>
      </c>
      <c r="R4049" s="2" t="inlineStr"/>
    </row>
    <row r="4050" ht="15" customHeight="1">
      <c r="A4050" t="inlineStr">
        <is>
          <t>A 31407-2023</t>
        </is>
      </c>
      <c r="B4050" s="1" t="n">
        <v>45114</v>
      </c>
      <c r="C4050" s="1" t="n">
        <v>45705</v>
      </c>
      <c r="D4050" t="inlineStr">
        <is>
          <t>UPPSALA LÄN</t>
        </is>
      </c>
      <c r="E4050" t="inlineStr">
        <is>
          <t>HEBY</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31273-2023</t>
        </is>
      </c>
      <c r="B4051" s="1" t="n">
        <v>45114</v>
      </c>
      <c r="C4051" s="1" t="n">
        <v>45705</v>
      </c>
      <c r="D4051" t="inlineStr">
        <is>
          <t>UPPSALA LÄN</t>
        </is>
      </c>
      <c r="E4051" t="inlineStr">
        <is>
          <t>TIERP</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31480-2023</t>
        </is>
      </c>
      <c r="B4052" s="1" t="n">
        <v>45114</v>
      </c>
      <c r="C4052" s="1" t="n">
        <v>45705</v>
      </c>
      <c r="D4052" t="inlineStr">
        <is>
          <t>UPPSALA LÄN</t>
        </is>
      </c>
      <c r="E4052" t="inlineStr">
        <is>
          <t>ÖSTHAMMAR</t>
        </is>
      </c>
      <c r="F4052" t="inlineStr">
        <is>
          <t>Bergvik skog öst AB</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31484-2023</t>
        </is>
      </c>
      <c r="B4053" s="1" t="n">
        <v>45114</v>
      </c>
      <c r="C4053" s="1" t="n">
        <v>45705</v>
      </c>
      <c r="D4053" t="inlineStr">
        <is>
          <t>UPPSALA LÄN</t>
        </is>
      </c>
      <c r="E4053" t="inlineStr">
        <is>
          <t>ÖSTHAMMAR</t>
        </is>
      </c>
      <c r="F4053" t="inlineStr">
        <is>
          <t>Bergvik skog öst AB</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31479-2023</t>
        </is>
      </c>
      <c r="B4054" s="1" t="n">
        <v>45114</v>
      </c>
      <c r="C4054" s="1" t="n">
        <v>45705</v>
      </c>
      <c r="D4054" t="inlineStr">
        <is>
          <t>UPPSALA LÄN</t>
        </is>
      </c>
      <c r="E4054" t="inlineStr">
        <is>
          <t>ÖSTHAMMAR</t>
        </is>
      </c>
      <c r="F4054" t="inlineStr">
        <is>
          <t>Bergvik skog öst AB</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31483-2023</t>
        </is>
      </c>
      <c r="B4055" s="1" t="n">
        <v>45114</v>
      </c>
      <c r="C4055" s="1" t="n">
        <v>45705</v>
      </c>
      <c r="D4055" t="inlineStr">
        <is>
          <t>UPPSALA LÄN</t>
        </is>
      </c>
      <c r="E4055" t="inlineStr">
        <is>
          <t>ÖSTHAMMAR</t>
        </is>
      </c>
      <c r="F4055" t="inlineStr">
        <is>
          <t>Bergvik skog öst AB</t>
        </is>
      </c>
      <c r="G4055" t="n">
        <v>4.5</v>
      </c>
      <c r="H4055" t="n">
        <v>0</v>
      </c>
      <c r="I4055" t="n">
        <v>0</v>
      </c>
      <c r="J4055" t="n">
        <v>0</v>
      </c>
      <c r="K4055" t="n">
        <v>0</v>
      </c>
      <c r="L4055" t="n">
        <v>0</v>
      </c>
      <c r="M4055" t="n">
        <v>0</v>
      </c>
      <c r="N4055" t="n">
        <v>0</v>
      </c>
      <c r="O4055" t="n">
        <v>0</v>
      </c>
      <c r="P4055" t="n">
        <v>0</v>
      </c>
      <c r="Q4055" t="n">
        <v>0</v>
      </c>
      <c r="R4055" s="2" t="inlineStr"/>
    </row>
    <row r="4056" ht="15" customHeight="1">
      <c r="A4056" t="inlineStr">
        <is>
          <t>A 31482-2023</t>
        </is>
      </c>
      <c r="B4056" s="1" t="n">
        <v>45114</v>
      </c>
      <c r="C4056" s="1" t="n">
        <v>45705</v>
      </c>
      <c r="D4056" t="inlineStr">
        <is>
          <t>UPPSALA LÄN</t>
        </is>
      </c>
      <c r="E4056" t="inlineStr">
        <is>
          <t>ÖSTHAMMAR</t>
        </is>
      </c>
      <c r="F4056" t="inlineStr">
        <is>
          <t>Bergvik skog öst AB</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31486-2023</t>
        </is>
      </c>
      <c r="B4057" s="1" t="n">
        <v>45114</v>
      </c>
      <c r="C4057" s="1" t="n">
        <v>45705</v>
      </c>
      <c r="D4057" t="inlineStr">
        <is>
          <t>UPPSALA LÄN</t>
        </is>
      </c>
      <c r="E4057" t="inlineStr">
        <is>
          <t>ÖSTHAMMAR</t>
        </is>
      </c>
      <c r="F4057" t="inlineStr">
        <is>
          <t>Bergvik skog öst AB</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31481-2023</t>
        </is>
      </c>
      <c r="B4058" s="1" t="n">
        <v>45114</v>
      </c>
      <c r="C4058" s="1" t="n">
        <v>45705</v>
      </c>
      <c r="D4058" t="inlineStr">
        <is>
          <t>UPPSALA LÄN</t>
        </is>
      </c>
      <c r="E4058" t="inlineStr">
        <is>
          <t>ÖSTHAMMAR</t>
        </is>
      </c>
      <c r="F4058" t="inlineStr">
        <is>
          <t>Bergvik skog öst AB</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31485-2023</t>
        </is>
      </c>
      <c r="B4059" s="1" t="n">
        <v>45114</v>
      </c>
      <c r="C4059" s="1" t="n">
        <v>45705</v>
      </c>
      <c r="D4059" t="inlineStr">
        <is>
          <t>UPPSALA LÄN</t>
        </is>
      </c>
      <c r="E4059" t="inlineStr">
        <is>
          <t>ÖSTHAMMAR</t>
        </is>
      </c>
      <c r="F4059" t="inlineStr">
        <is>
          <t>Bergvik skog öst AB</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31557-2023</t>
        </is>
      </c>
      <c r="B4060" s="1" t="n">
        <v>45117</v>
      </c>
      <c r="C4060" s="1" t="n">
        <v>45705</v>
      </c>
      <c r="D4060" t="inlineStr">
        <is>
          <t>UPPSALA LÄN</t>
        </is>
      </c>
      <c r="E4060" t="inlineStr">
        <is>
          <t>ENKÖPING</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31567-2023</t>
        </is>
      </c>
      <c r="B4061" s="1" t="n">
        <v>45117</v>
      </c>
      <c r="C4061" s="1" t="n">
        <v>45705</v>
      </c>
      <c r="D4061" t="inlineStr">
        <is>
          <t>UPPSALA LÄN</t>
        </is>
      </c>
      <c r="E4061" t="inlineStr">
        <is>
          <t>HEBY</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31559-2023</t>
        </is>
      </c>
      <c r="B4062" s="1" t="n">
        <v>45117</v>
      </c>
      <c r="C4062" s="1" t="n">
        <v>45705</v>
      </c>
      <c r="D4062" t="inlineStr">
        <is>
          <t>UPPSALA LÄN</t>
        </is>
      </c>
      <c r="E4062" t="inlineStr">
        <is>
          <t>ENKÖPING</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31564-2023</t>
        </is>
      </c>
      <c r="B4063" s="1" t="n">
        <v>45117</v>
      </c>
      <c r="C4063" s="1" t="n">
        <v>45705</v>
      </c>
      <c r="D4063" t="inlineStr">
        <is>
          <t>UPPSALA LÄN</t>
        </is>
      </c>
      <c r="E4063" t="inlineStr">
        <is>
          <t>HEBY</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31586-2023</t>
        </is>
      </c>
      <c r="B4064" s="1" t="n">
        <v>45117</v>
      </c>
      <c r="C4064" s="1" t="n">
        <v>45705</v>
      </c>
      <c r="D4064" t="inlineStr">
        <is>
          <t>UPPSALA LÄN</t>
        </is>
      </c>
      <c r="E4064" t="inlineStr">
        <is>
          <t>HEBY</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31604-2023</t>
        </is>
      </c>
      <c r="B4065" s="1" t="n">
        <v>45117</v>
      </c>
      <c r="C4065" s="1" t="n">
        <v>45705</v>
      </c>
      <c r="D4065" t="inlineStr">
        <is>
          <t>UPPSALA LÄN</t>
        </is>
      </c>
      <c r="E4065" t="inlineStr">
        <is>
          <t>ENKÖPING</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31636-2023</t>
        </is>
      </c>
      <c r="B4066" s="1" t="n">
        <v>45117</v>
      </c>
      <c r="C4066" s="1" t="n">
        <v>45705</v>
      </c>
      <c r="D4066" t="inlineStr">
        <is>
          <t>UPPSALA LÄN</t>
        </is>
      </c>
      <c r="E4066" t="inlineStr">
        <is>
          <t>ENKÖPING</t>
        </is>
      </c>
      <c r="G4066" t="n">
        <v>22.1</v>
      </c>
      <c r="H4066" t="n">
        <v>0</v>
      </c>
      <c r="I4066" t="n">
        <v>0</v>
      </c>
      <c r="J4066" t="n">
        <v>0</v>
      </c>
      <c r="K4066" t="n">
        <v>0</v>
      </c>
      <c r="L4066" t="n">
        <v>0</v>
      </c>
      <c r="M4066" t="n">
        <v>0</v>
      </c>
      <c r="N4066" t="n">
        <v>0</v>
      </c>
      <c r="O4066" t="n">
        <v>0</v>
      </c>
      <c r="P4066" t="n">
        <v>0</v>
      </c>
      <c r="Q4066" t="n">
        <v>0</v>
      </c>
      <c r="R4066" s="2" t="inlineStr"/>
    </row>
    <row r="4067" ht="15" customHeight="1">
      <c r="A4067" t="inlineStr">
        <is>
          <t>A 31560-2023</t>
        </is>
      </c>
      <c r="B4067" s="1" t="n">
        <v>45117</v>
      </c>
      <c r="C4067" s="1" t="n">
        <v>45705</v>
      </c>
      <c r="D4067" t="inlineStr">
        <is>
          <t>UPPSALA LÄN</t>
        </is>
      </c>
      <c r="E4067" t="inlineStr">
        <is>
          <t>HEBY</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31569-2023</t>
        </is>
      </c>
      <c r="B4068" s="1" t="n">
        <v>45117</v>
      </c>
      <c r="C4068" s="1" t="n">
        <v>45705</v>
      </c>
      <c r="D4068" t="inlineStr">
        <is>
          <t>UPPSALA LÄN</t>
        </is>
      </c>
      <c r="E4068" t="inlineStr">
        <is>
          <t>HEBY</t>
        </is>
      </c>
      <c r="G4068" t="n">
        <v>2.5</v>
      </c>
      <c r="H4068" t="n">
        <v>0</v>
      </c>
      <c r="I4068" t="n">
        <v>0</v>
      </c>
      <c r="J4068" t="n">
        <v>0</v>
      </c>
      <c r="K4068" t="n">
        <v>0</v>
      </c>
      <c r="L4068" t="n">
        <v>0</v>
      </c>
      <c r="M4068" t="n">
        <v>0</v>
      </c>
      <c r="N4068" t="n">
        <v>0</v>
      </c>
      <c r="O4068" t="n">
        <v>0</v>
      </c>
      <c r="P4068" t="n">
        <v>0</v>
      </c>
      <c r="Q4068" t="n">
        <v>0</v>
      </c>
      <c r="R4068" s="2" t="inlineStr"/>
      <c r="U4068">
        <f>HYPERLINK("https://klasma.github.io/Logging_0331/knärot/A 31569-2023 karta knärot.png", "A 31569-2023")</f>
        <v/>
      </c>
      <c r="V4068">
        <f>HYPERLINK("https://klasma.github.io/Logging_0331/klagomål/A 31569-2023 FSC-klagomål.docx", "A 31569-2023")</f>
        <v/>
      </c>
      <c r="W4068">
        <f>HYPERLINK("https://klasma.github.io/Logging_0331/klagomålsmail/A 31569-2023 FSC-klagomål mail.docx", "A 31569-2023")</f>
        <v/>
      </c>
      <c r="X4068">
        <f>HYPERLINK("https://klasma.github.io/Logging_0331/tillsyn/A 31569-2023 tillsynsbegäran.docx", "A 31569-2023")</f>
        <v/>
      </c>
      <c r="Y4068">
        <f>HYPERLINK("https://klasma.github.io/Logging_0331/tillsynsmail/A 31569-2023 tillsynsbegäran mail.docx", "A 31569-2023")</f>
        <v/>
      </c>
    </row>
    <row r="4069" ht="15" customHeight="1">
      <c r="A4069" t="inlineStr">
        <is>
          <t>A 31575-2023</t>
        </is>
      </c>
      <c r="B4069" s="1" t="n">
        <v>45117</v>
      </c>
      <c r="C4069" s="1" t="n">
        <v>45705</v>
      </c>
      <c r="D4069" t="inlineStr">
        <is>
          <t>UPPSALA LÄN</t>
        </is>
      </c>
      <c r="E4069" t="inlineStr">
        <is>
          <t>HEBY</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31642-2023</t>
        </is>
      </c>
      <c r="B4070" s="1" t="n">
        <v>45117</v>
      </c>
      <c r="C4070" s="1" t="n">
        <v>45705</v>
      </c>
      <c r="D4070" t="inlineStr">
        <is>
          <t>UPPSALA LÄN</t>
        </is>
      </c>
      <c r="E4070" t="inlineStr">
        <is>
          <t>ENKÖPING</t>
        </is>
      </c>
      <c r="G4070" t="n">
        <v>3.9</v>
      </c>
      <c r="H4070" t="n">
        <v>0</v>
      </c>
      <c r="I4070" t="n">
        <v>0</v>
      </c>
      <c r="J4070" t="n">
        <v>0</v>
      </c>
      <c r="K4070" t="n">
        <v>0</v>
      </c>
      <c r="L4070" t="n">
        <v>0</v>
      </c>
      <c r="M4070" t="n">
        <v>0</v>
      </c>
      <c r="N4070" t="n">
        <v>0</v>
      </c>
      <c r="O4070" t="n">
        <v>0</v>
      </c>
      <c r="P4070" t="n">
        <v>0</v>
      </c>
      <c r="Q4070" t="n">
        <v>0</v>
      </c>
      <c r="R4070" s="2" t="inlineStr"/>
    </row>
    <row r="4071" ht="15" customHeight="1">
      <c r="A4071" t="inlineStr">
        <is>
          <t>A 31566-2023</t>
        </is>
      </c>
      <c r="B4071" s="1" t="n">
        <v>45117</v>
      </c>
      <c r="C4071" s="1" t="n">
        <v>45705</v>
      </c>
      <c r="D4071" t="inlineStr">
        <is>
          <t>UPPSALA LÄN</t>
        </is>
      </c>
      <c r="E4071" t="inlineStr">
        <is>
          <t>HEBY</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31648-2023</t>
        </is>
      </c>
      <c r="B4072" s="1" t="n">
        <v>45117</v>
      </c>
      <c r="C4072" s="1" t="n">
        <v>45705</v>
      </c>
      <c r="D4072" t="inlineStr">
        <is>
          <t>UPPSALA LÄN</t>
        </is>
      </c>
      <c r="E4072" t="inlineStr">
        <is>
          <t>ENKÖPING</t>
        </is>
      </c>
      <c r="G4072" t="n">
        <v>12.9</v>
      </c>
      <c r="H4072" t="n">
        <v>0</v>
      </c>
      <c r="I4072" t="n">
        <v>0</v>
      </c>
      <c r="J4072" t="n">
        <v>0</v>
      </c>
      <c r="K4072" t="n">
        <v>0</v>
      </c>
      <c r="L4072" t="n">
        <v>0</v>
      </c>
      <c r="M4072" t="n">
        <v>0</v>
      </c>
      <c r="N4072" t="n">
        <v>0</v>
      </c>
      <c r="O4072" t="n">
        <v>0</v>
      </c>
      <c r="P4072" t="n">
        <v>0</v>
      </c>
      <c r="Q4072" t="n">
        <v>0</v>
      </c>
      <c r="R4072" s="2" t="inlineStr"/>
    </row>
    <row r="4073" ht="15" customHeight="1">
      <c r="A4073" t="inlineStr">
        <is>
          <t>A 31688-2023</t>
        </is>
      </c>
      <c r="B4073" s="1" t="n">
        <v>45117</v>
      </c>
      <c r="C4073" s="1" t="n">
        <v>45705</v>
      </c>
      <c r="D4073" t="inlineStr">
        <is>
          <t>UPPSALA LÄN</t>
        </is>
      </c>
      <c r="E4073" t="inlineStr">
        <is>
          <t>ÖSTHAMMAR</t>
        </is>
      </c>
      <c r="F4073" t="inlineStr">
        <is>
          <t>Bergvik skog öst AB</t>
        </is>
      </c>
      <c r="G4073" t="n">
        <v>4.9</v>
      </c>
      <c r="H4073" t="n">
        <v>0</v>
      </c>
      <c r="I4073" t="n">
        <v>0</v>
      </c>
      <c r="J4073" t="n">
        <v>0</v>
      </c>
      <c r="K4073" t="n">
        <v>0</v>
      </c>
      <c r="L4073" t="n">
        <v>0</v>
      </c>
      <c r="M4073" t="n">
        <v>0</v>
      </c>
      <c r="N4073" t="n">
        <v>0</v>
      </c>
      <c r="O4073" t="n">
        <v>0</v>
      </c>
      <c r="P4073" t="n">
        <v>0</v>
      </c>
      <c r="Q4073" t="n">
        <v>0</v>
      </c>
      <c r="R4073" s="2" t="inlineStr"/>
    </row>
    <row r="4074" ht="15" customHeight="1">
      <c r="A4074" t="inlineStr">
        <is>
          <t>A 31903-2023</t>
        </is>
      </c>
      <c r="B4074" s="1" t="n">
        <v>45118</v>
      </c>
      <c r="C4074" s="1" t="n">
        <v>45705</v>
      </c>
      <c r="D4074" t="inlineStr">
        <is>
          <t>UPPSALA LÄN</t>
        </is>
      </c>
      <c r="E4074" t="inlineStr">
        <is>
          <t>HEBY</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32023-2023</t>
        </is>
      </c>
      <c r="B4075" s="1" t="n">
        <v>45119</v>
      </c>
      <c r="C4075" s="1" t="n">
        <v>45705</v>
      </c>
      <c r="D4075" t="inlineStr">
        <is>
          <t>UPPSALA LÄN</t>
        </is>
      </c>
      <c r="E4075" t="inlineStr">
        <is>
          <t>HÅBO</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32194-2023</t>
        </is>
      </c>
      <c r="B4076" s="1" t="n">
        <v>45119</v>
      </c>
      <c r="C4076" s="1" t="n">
        <v>45705</v>
      </c>
      <c r="D4076" t="inlineStr">
        <is>
          <t>UPPSALA LÄN</t>
        </is>
      </c>
      <c r="E4076" t="inlineStr">
        <is>
          <t>ÖSTHAMMAR</t>
        </is>
      </c>
      <c r="F4076" t="inlineStr">
        <is>
          <t>Bergvik skog öst AB</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32195-2023</t>
        </is>
      </c>
      <c r="B4077" s="1" t="n">
        <v>45119</v>
      </c>
      <c r="C4077" s="1" t="n">
        <v>45705</v>
      </c>
      <c r="D4077" t="inlineStr">
        <is>
          <t>UPPSALA LÄN</t>
        </is>
      </c>
      <c r="E4077" t="inlineStr">
        <is>
          <t>ÖSTHAMMAR</t>
        </is>
      </c>
      <c r="F4077" t="inlineStr">
        <is>
          <t>Bergvik skog öst AB</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32197-2023</t>
        </is>
      </c>
      <c r="B4078" s="1" t="n">
        <v>45119</v>
      </c>
      <c r="C4078" s="1" t="n">
        <v>45705</v>
      </c>
      <c r="D4078" t="inlineStr">
        <is>
          <t>UPPSALA LÄN</t>
        </is>
      </c>
      <c r="E4078" t="inlineStr">
        <is>
          <t>ÖSTHAMMAR</t>
        </is>
      </c>
      <c r="F4078" t="inlineStr">
        <is>
          <t>Bergvik skog öst AB</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32196-2023</t>
        </is>
      </c>
      <c r="B4079" s="1" t="n">
        <v>45119</v>
      </c>
      <c r="C4079" s="1" t="n">
        <v>45705</v>
      </c>
      <c r="D4079" t="inlineStr">
        <is>
          <t>UPPSALA LÄN</t>
        </is>
      </c>
      <c r="E4079" t="inlineStr">
        <is>
          <t>ÖSTHAMMAR</t>
        </is>
      </c>
      <c r="F4079" t="inlineStr">
        <is>
          <t>Bergvik skog öst AB</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33689-2023</t>
        </is>
      </c>
      <c r="B4080" s="1" t="n">
        <v>45119</v>
      </c>
      <c r="C4080" s="1" t="n">
        <v>45705</v>
      </c>
      <c r="D4080" t="inlineStr">
        <is>
          <t>UPPSALA LÄN</t>
        </is>
      </c>
      <c r="E4080" t="inlineStr">
        <is>
          <t>UPPSALA</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33677-2023</t>
        </is>
      </c>
      <c r="B4081" s="1" t="n">
        <v>45119</v>
      </c>
      <c r="C4081" s="1" t="n">
        <v>45705</v>
      </c>
      <c r="D4081" t="inlineStr">
        <is>
          <t>UPPSALA LÄN</t>
        </is>
      </c>
      <c r="E4081" t="inlineStr">
        <is>
          <t>TIERP</t>
        </is>
      </c>
      <c r="F4081" t="inlineStr">
        <is>
          <t>Bergvik skog väst AB</t>
        </is>
      </c>
      <c r="G4081" t="n">
        <v>57.7</v>
      </c>
      <c r="H4081" t="n">
        <v>0</v>
      </c>
      <c r="I4081" t="n">
        <v>0</v>
      </c>
      <c r="J4081" t="n">
        <v>0</v>
      </c>
      <c r="K4081" t="n">
        <v>0</v>
      </c>
      <c r="L4081" t="n">
        <v>0</v>
      </c>
      <c r="M4081" t="n">
        <v>0</v>
      </c>
      <c r="N4081" t="n">
        <v>0</v>
      </c>
      <c r="O4081" t="n">
        <v>0</v>
      </c>
      <c r="P4081" t="n">
        <v>0</v>
      </c>
      <c r="Q4081" t="n">
        <v>0</v>
      </c>
      <c r="R4081" s="2" t="inlineStr"/>
    </row>
    <row r="4082" ht="15" customHeight="1">
      <c r="A4082" t="inlineStr">
        <is>
          <t>A 33680-2023</t>
        </is>
      </c>
      <c r="B4082" s="1" t="n">
        <v>45119</v>
      </c>
      <c r="C4082" s="1" t="n">
        <v>45705</v>
      </c>
      <c r="D4082" t="inlineStr">
        <is>
          <t>UPPSALA LÄN</t>
        </is>
      </c>
      <c r="E4082" t="inlineStr">
        <is>
          <t>HEBY</t>
        </is>
      </c>
      <c r="F4082" t="inlineStr">
        <is>
          <t>Bergvik skog väst AB</t>
        </is>
      </c>
      <c r="G4082" t="n">
        <v>66.90000000000001</v>
      </c>
      <c r="H4082" t="n">
        <v>0</v>
      </c>
      <c r="I4082" t="n">
        <v>0</v>
      </c>
      <c r="J4082" t="n">
        <v>0</v>
      </c>
      <c r="K4082" t="n">
        <v>0</v>
      </c>
      <c r="L4082" t="n">
        <v>0</v>
      </c>
      <c r="M4082" t="n">
        <v>0</v>
      </c>
      <c r="N4082" t="n">
        <v>0</v>
      </c>
      <c r="O4082" t="n">
        <v>0</v>
      </c>
      <c r="P4082" t="n">
        <v>0</v>
      </c>
      <c r="Q4082" t="n">
        <v>0</v>
      </c>
      <c r="R4082" s="2" t="inlineStr"/>
    </row>
    <row r="4083" ht="15" customHeight="1">
      <c r="A4083" t="inlineStr">
        <is>
          <t>A 32295-2023</t>
        </is>
      </c>
      <c r="B4083" s="1" t="n">
        <v>45120</v>
      </c>
      <c r="C4083" s="1" t="n">
        <v>45705</v>
      </c>
      <c r="D4083" t="inlineStr">
        <is>
          <t>UPPSALA LÄN</t>
        </is>
      </c>
      <c r="E4083" t="inlineStr">
        <is>
          <t>HEBY</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32390-2023</t>
        </is>
      </c>
      <c r="B4084" s="1" t="n">
        <v>45120</v>
      </c>
      <c r="C4084" s="1" t="n">
        <v>45705</v>
      </c>
      <c r="D4084" t="inlineStr">
        <is>
          <t>UPPSALA LÄN</t>
        </is>
      </c>
      <c r="E4084" t="inlineStr">
        <is>
          <t>ÖSTHAMMAR</t>
        </is>
      </c>
      <c r="F4084" t="inlineStr">
        <is>
          <t>Övriga Aktiebolag</t>
        </is>
      </c>
      <c r="G4084" t="n">
        <v>3.9</v>
      </c>
      <c r="H4084" t="n">
        <v>0</v>
      </c>
      <c r="I4084" t="n">
        <v>0</v>
      </c>
      <c r="J4084" t="n">
        <v>0</v>
      </c>
      <c r="K4084" t="n">
        <v>0</v>
      </c>
      <c r="L4084" t="n">
        <v>0</v>
      </c>
      <c r="M4084" t="n">
        <v>0</v>
      </c>
      <c r="N4084" t="n">
        <v>0</v>
      </c>
      <c r="O4084" t="n">
        <v>0</v>
      </c>
      <c r="P4084" t="n">
        <v>0</v>
      </c>
      <c r="Q4084" t="n">
        <v>0</v>
      </c>
      <c r="R4084" s="2" t="inlineStr"/>
    </row>
    <row r="4085" ht="15" customHeight="1">
      <c r="A4085" t="inlineStr">
        <is>
          <t>A 32399-2023</t>
        </is>
      </c>
      <c r="B4085" s="1" t="n">
        <v>45120</v>
      </c>
      <c r="C4085" s="1" t="n">
        <v>45705</v>
      </c>
      <c r="D4085" t="inlineStr">
        <is>
          <t>UPPSALA LÄN</t>
        </is>
      </c>
      <c r="E4085" t="inlineStr">
        <is>
          <t>HEBY</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32290-2023</t>
        </is>
      </c>
      <c r="B4086" s="1" t="n">
        <v>45120</v>
      </c>
      <c r="C4086" s="1" t="n">
        <v>45705</v>
      </c>
      <c r="D4086" t="inlineStr">
        <is>
          <t>UPPSALA LÄN</t>
        </is>
      </c>
      <c r="E4086" t="inlineStr">
        <is>
          <t>HEBY</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32413-2023</t>
        </is>
      </c>
      <c r="B4087" s="1" t="n">
        <v>45120</v>
      </c>
      <c r="C4087" s="1" t="n">
        <v>45705</v>
      </c>
      <c r="D4087" t="inlineStr">
        <is>
          <t>UPPSALA LÄN</t>
        </is>
      </c>
      <c r="E4087" t="inlineStr">
        <is>
          <t>UPPSALA</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32640-2023</t>
        </is>
      </c>
      <c r="B4088" s="1" t="n">
        <v>45121</v>
      </c>
      <c r="C4088" s="1" t="n">
        <v>45705</v>
      </c>
      <c r="D4088" t="inlineStr">
        <is>
          <t>UPPSALA LÄN</t>
        </is>
      </c>
      <c r="E4088" t="inlineStr">
        <is>
          <t>UPPSALA</t>
        </is>
      </c>
      <c r="F4088" t="inlineStr">
        <is>
          <t>Holmen skog AB</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32665-2023</t>
        </is>
      </c>
      <c r="B4089" s="1" t="n">
        <v>45121</v>
      </c>
      <c r="C4089" s="1" t="n">
        <v>45705</v>
      </c>
      <c r="D4089" t="inlineStr">
        <is>
          <t>UPPSALA LÄN</t>
        </is>
      </c>
      <c r="E4089" t="inlineStr">
        <is>
          <t>TIERP</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32674-2023</t>
        </is>
      </c>
      <c r="B4090" s="1" t="n">
        <v>45121</v>
      </c>
      <c r="C4090" s="1" t="n">
        <v>45705</v>
      </c>
      <c r="D4090" t="inlineStr">
        <is>
          <t>UPPSALA LÄN</t>
        </is>
      </c>
      <c r="E4090" t="inlineStr">
        <is>
          <t>UPPSALA</t>
        </is>
      </c>
      <c r="F4090" t="inlineStr">
        <is>
          <t>Holmen skog AB</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32688-2023</t>
        </is>
      </c>
      <c r="B4091" s="1" t="n">
        <v>45121</v>
      </c>
      <c r="C4091" s="1" t="n">
        <v>45705</v>
      </c>
      <c r="D4091" t="inlineStr">
        <is>
          <t>UPPSALA LÄN</t>
        </is>
      </c>
      <c r="E4091" t="inlineStr">
        <is>
          <t>UPPSALA</t>
        </is>
      </c>
      <c r="F4091" t="inlineStr">
        <is>
          <t>Holmen skog AB</t>
        </is>
      </c>
      <c r="G4091" t="n">
        <v>4.3</v>
      </c>
      <c r="H4091" t="n">
        <v>0</v>
      </c>
      <c r="I4091" t="n">
        <v>0</v>
      </c>
      <c r="J4091" t="n">
        <v>0</v>
      </c>
      <c r="K4091" t="n">
        <v>0</v>
      </c>
      <c r="L4091" t="n">
        <v>0</v>
      </c>
      <c r="M4091" t="n">
        <v>0</v>
      </c>
      <c r="N4091" t="n">
        <v>0</v>
      </c>
      <c r="O4091" t="n">
        <v>0</v>
      </c>
      <c r="P4091" t="n">
        <v>0</v>
      </c>
      <c r="Q4091" t="n">
        <v>0</v>
      </c>
      <c r="R4091" s="2" t="inlineStr"/>
    </row>
    <row r="4092" ht="15" customHeight="1">
      <c r="A4092" t="inlineStr">
        <is>
          <t>A 32693-2023</t>
        </is>
      </c>
      <c r="B4092" s="1" t="n">
        <v>45121</v>
      </c>
      <c r="C4092" s="1" t="n">
        <v>45705</v>
      </c>
      <c r="D4092" t="inlineStr">
        <is>
          <t>UPPSALA LÄN</t>
        </is>
      </c>
      <c r="E4092" t="inlineStr">
        <is>
          <t>ÖSTHAMMAR</t>
        </is>
      </c>
      <c r="F4092" t="inlineStr">
        <is>
          <t>Bergvik skog öst AB</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32654-2023</t>
        </is>
      </c>
      <c r="B4093" s="1" t="n">
        <v>45121</v>
      </c>
      <c r="C4093" s="1" t="n">
        <v>45705</v>
      </c>
      <c r="D4093" t="inlineStr">
        <is>
          <t>UPPSALA LÄN</t>
        </is>
      </c>
      <c r="E4093" t="inlineStr">
        <is>
          <t>KNIVSTA</t>
        </is>
      </c>
      <c r="F4093" t="inlineStr">
        <is>
          <t>Holmen skog AB</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32658-2023</t>
        </is>
      </c>
      <c r="B4094" s="1" t="n">
        <v>45121</v>
      </c>
      <c r="C4094" s="1" t="n">
        <v>45705</v>
      </c>
      <c r="D4094" t="inlineStr">
        <is>
          <t>UPPSALA LÄN</t>
        </is>
      </c>
      <c r="E4094" t="inlineStr">
        <is>
          <t>KNIVSTA</t>
        </is>
      </c>
      <c r="F4094" t="inlineStr">
        <is>
          <t>Holmen skog AB</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32663-2023</t>
        </is>
      </c>
      <c r="B4095" s="1" t="n">
        <v>45121</v>
      </c>
      <c r="C4095" s="1" t="n">
        <v>45705</v>
      </c>
      <c r="D4095" t="inlineStr">
        <is>
          <t>UPPSALA LÄN</t>
        </is>
      </c>
      <c r="E4095" t="inlineStr">
        <is>
          <t>KNIVSTA</t>
        </is>
      </c>
      <c r="F4095" t="inlineStr">
        <is>
          <t>Holmen skog AB</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32691-2023</t>
        </is>
      </c>
      <c r="B4096" s="1" t="n">
        <v>45121</v>
      </c>
      <c r="C4096" s="1" t="n">
        <v>45705</v>
      </c>
      <c r="D4096" t="inlineStr">
        <is>
          <t>UPPSALA LÄN</t>
        </is>
      </c>
      <c r="E4096" t="inlineStr">
        <is>
          <t>ÖSTHAMMAR</t>
        </is>
      </c>
      <c r="F4096" t="inlineStr">
        <is>
          <t>Bergvik skog öst AB</t>
        </is>
      </c>
      <c r="G4096" t="n">
        <v>20.2</v>
      </c>
      <c r="H4096" t="n">
        <v>0</v>
      </c>
      <c r="I4096" t="n">
        <v>0</v>
      </c>
      <c r="J4096" t="n">
        <v>0</v>
      </c>
      <c r="K4096" t="n">
        <v>0</v>
      </c>
      <c r="L4096" t="n">
        <v>0</v>
      </c>
      <c r="M4096" t="n">
        <v>0</v>
      </c>
      <c r="N4096" t="n">
        <v>0</v>
      </c>
      <c r="O4096" t="n">
        <v>0</v>
      </c>
      <c r="P4096" t="n">
        <v>0</v>
      </c>
      <c r="Q4096" t="n">
        <v>0</v>
      </c>
      <c r="R4096" s="2" t="inlineStr"/>
    </row>
    <row r="4097" ht="15" customHeight="1">
      <c r="A4097" t="inlineStr">
        <is>
          <t>A 32752-2023</t>
        </is>
      </c>
      <c r="B4097" s="1" t="n">
        <v>45122</v>
      </c>
      <c r="C4097" s="1" t="n">
        <v>45705</v>
      </c>
      <c r="D4097" t="inlineStr">
        <is>
          <t>UPPSALA LÄN</t>
        </is>
      </c>
      <c r="E4097" t="inlineStr">
        <is>
          <t>ÖSTHAMMAR</t>
        </is>
      </c>
      <c r="F4097" t="inlineStr">
        <is>
          <t>Bergvik skog öst AB</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32779-2023</t>
        </is>
      </c>
      <c r="B4098" s="1" t="n">
        <v>45123</v>
      </c>
      <c r="C4098" s="1" t="n">
        <v>45705</v>
      </c>
      <c r="D4098" t="inlineStr">
        <is>
          <t>UPPSALA LÄN</t>
        </is>
      </c>
      <c r="E4098" t="inlineStr">
        <is>
          <t>ÖSTHAMMAR</t>
        </is>
      </c>
      <c r="F4098" t="inlineStr">
        <is>
          <t>Bergvik skog öst AB</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32778-2023</t>
        </is>
      </c>
      <c r="B4099" s="1" t="n">
        <v>45123</v>
      </c>
      <c r="C4099" s="1" t="n">
        <v>45705</v>
      </c>
      <c r="D4099" t="inlineStr">
        <is>
          <t>UPPSALA LÄN</t>
        </is>
      </c>
      <c r="E4099" t="inlineStr">
        <is>
          <t>ÖSTHAMMAR</t>
        </is>
      </c>
      <c r="F4099" t="inlineStr">
        <is>
          <t>Bergvik skog öst AB</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32895-2023</t>
        </is>
      </c>
      <c r="B4100" s="1" t="n">
        <v>45124</v>
      </c>
      <c r="C4100" s="1" t="n">
        <v>45705</v>
      </c>
      <c r="D4100" t="inlineStr">
        <is>
          <t>UPPSALA LÄN</t>
        </is>
      </c>
      <c r="E4100" t="inlineStr">
        <is>
          <t>ÖSTHAMMAR</t>
        </is>
      </c>
      <c r="F4100" t="inlineStr">
        <is>
          <t>Bergvik skog öst AB</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33162-2023</t>
        </is>
      </c>
      <c r="B4101" s="1" t="n">
        <v>45126</v>
      </c>
      <c r="C4101" s="1" t="n">
        <v>45705</v>
      </c>
      <c r="D4101" t="inlineStr">
        <is>
          <t>UPPSALA LÄN</t>
        </is>
      </c>
      <c r="E4101" t="inlineStr">
        <is>
          <t>HEBY</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33191-2023</t>
        </is>
      </c>
      <c r="B4102" s="1" t="n">
        <v>45127</v>
      </c>
      <c r="C4102" s="1" t="n">
        <v>45705</v>
      </c>
      <c r="D4102" t="inlineStr">
        <is>
          <t>UPPSALA LÄN</t>
        </is>
      </c>
      <c r="E4102" t="inlineStr">
        <is>
          <t>UPPSALA</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33189-2023</t>
        </is>
      </c>
      <c r="B4103" s="1" t="n">
        <v>45127</v>
      </c>
      <c r="C4103" s="1" t="n">
        <v>45705</v>
      </c>
      <c r="D4103" t="inlineStr">
        <is>
          <t>UPPSALA LÄN</t>
        </is>
      </c>
      <c r="E4103" t="inlineStr">
        <is>
          <t>UPPSALA</t>
        </is>
      </c>
      <c r="G4103" t="n">
        <v>5</v>
      </c>
      <c r="H4103" t="n">
        <v>0</v>
      </c>
      <c r="I4103" t="n">
        <v>0</v>
      </c>
      <c r="J4103" t="n">
        <v>0</v>
      </c>
      <c r="K4103" t="n">
        <v>0</v>
      </c>
      <c r="L4103" t="n">
        <v>0</v>
      </c>
      <c r="M4103" t="n">
        <v>0</v>
      </c>
      <c r="N4103" t="n">
        <v>0</v>
      </c>
      <c r="O4103" t="n">
        <v>0</v>
      </c>
      <c r="P4103" t="n">
        <v>0</v>
      </c>
      <c r="Q4103" t="n">
        <v>0</v>
      </c>
      <c r="R4103" s="2" t="inlineStr"/>
    </row>
    <row r="4104" ht="15" customHeight="1">
      <c r="A4104" t="inlineStr">
        <is>
          <t>A 33307-2023</t>
        </is>
      </c>
      <c r="B4104" s="1" t="n">
        <v>45127</v>
      </c>
      <c r="C4104" s="1" t="n">
        <v>45705</v>
      </c>
      <c r="D4104" t="inlineStr">
        <is>
          <t>UPPSALA LÄN</t>
        </is>
      </c>
      <c r="E4104" t="inlineStr">
        <is>
          <t>TIERP</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33339-2023</t>
        </is>
      </c>
      <c r="B4105" s="1" t="n">
        <v>45128</v>
      </c>
      <c r="C4105" s="1" t="n">
        <v>45705</v>
      </c>
      <c r="D4105" t="inlineStr">
        <is>
          <t>UPPSALA LÄN</t>
        </is>
      </c>
      <c r="E4105" t="inlineStr">
        <is>
          <t>TIERP</t>
        </is>
      </c>
      <c r="F4105" t="inlineStr">
        <is>
          <t>Bergvik skog öst AB</t>
        </is>
      </c>
      <c r="G4105" t="n">
        <v>4.3</v>
      </c>
      <c r="H4105" t="n">
        <v>0</v>
      </c>
      <c r="I4105" t="n">
        <v>0</v>
      </c>
      <c r="J4105" t="n">
        <v>0</v>
      </c>
      <c r="K4105" t="n">
        <v>0</v>
      </c>
      <c r="L4105" t="n">
        <v>0</v>
      </c>
      <c r="M4105" t="n">
        <v>0</v>
      </c>
      <c r="N4105" t="n">
        <v>0</v>
      </c>
      <c r="O4105" t="n">
        <v>0</v>
      </c>
      <c r="P4105" t="n">
        <v>0</v>
      </c>
      <c r="Q4105" t="n">
        <v>0</v>
      </c>
      <c r="R4105" s="2" t="inlineStr"/>
    </row>
    <row r="4106" ht="15" customHeight="1">
      <c r="A4106" t="inlineStr">
        <is>
          <t>A 33389-2023</t>
        </is>
      </c>
      <c r="B4106" s="1" t="n">
        <v>45128</v>
      </c>
      <c r="C4106" s="1" t="n">
        <v>45705</v>
      </c>
      <c r="D4106" t="inlineStr">
        <is>
          <t>UPPSALA LÄN</t>
        </is>
      </c>
      <c r="E4106" t="inlineStr">
        <is>
          <t>HEBY</t>
        </is>
      </c>
      <c r="G4106" t="n">
        <v>5.9</v>
      </c>
      <c r="H4106" t="n">
        <v>0</v>
      </c>
      <c r="I4106" t="n">
        <v>0</v>
      </c>
      <c r="J4106" t="n">
        <v>0</v>
      </c>
      <c r="K4106" t="n">
        <v>0</v>
      </c>
      <c r="L4106" t="n">
        <v>0</v>
      </c>
      <c r="M4106" t="n">
        <v>0</v>
      </c>
      <c r="N4106" t="n">
        <v>0</v>
      </c>
      <c r="O4106" t="n">
        <v>0</v>
      </c>
      <c r="P4106" t="n">
        <v>0</v>
      </c>
      <c r="Q4106" t="n">
        <v>0</v>
      </c>
      <c r="R4106" s="2" t="inlineStr"/>
    </row>
    <row r="4107" ht="15" customHeight="1">
      <c r="A4107" t="inlineStr">
        <is>
          <t>A 33338-2023</t>
        </is>
      </c>
      <c r="B4107" s="1" t="n">
        <v>45128</v>
      </c>
      <c r="C4107" s="1" t="n">
        <v>45705</v>
      </c>
      <c r="D4107" t="inlineStr">
        <is>
          <t>UPPSALA LÄN</t>
        </is>
      </c>
      <c r="E4107" t="inlineStr">
        <is>
          <t>TIERP</t>
        </is>
      </c>
      <c r="F4107" t="inlineStr">
        <is>
          <t>Bergvik skog öst AB</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33385-2023</t>
        </is>
      </c>
      <c r="B4108" s="1" t="n">
        <v>45128</v>
      </c>
      <c r="C4108" s="1" t="n">
        <v>45705</v>
      </c>
      <c r="D4108" t="inlineStr">
        <is>
          <t>UPPSALA LÄN</t>
        </is>
      </c>
      <c r="E4108" t="inlineStr">
        <is>
          <t>HEBY</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34282-2023</t>
        </is>
      </c>
      <c r="B4109" s="1" t="n">
        <v>45128</v>
      </c>
      <c r="C4109" s="1" t="n">
        <v>45705</v>
      </c>
      <c r="D4109" t="inlineStr">
        <is>
          <t>UPPSALA LÄN</t>
        </is>
      </c>
      <c r="E4109" t="inlineStr">
        <is>
          <t>UPPSALA</t>
        </is>
      </c>
      <c r="G4109" t="n">
        <v>3.3</v>
      </c>
      <c r="H4109" t="n">
        <v>0</v>
      </c>
      <c r="I4109" t="n">
        <v>0</v>
      </c>
      <c r="J4109" t="n">
        <v>0</v>
      </c>
      <c r="K4109" t="n">
        <v>0</v>
      </c>
      <c r="L4109" t="n">
        <v>0</v>
      </c>
      <c r="M4109" t="n">
        <v>0</v>
      </c>
      <c r="N4109" t="n">
        <v>0</v>
      </c>
      <c r="O4109" t="n">
        <v>0</v>
      </c>
      <c r="P4109" t="n">
        <v>0</v>
      </c>
      <c r="Q4109" t="n">
        <v>0</v>
      </c>
      <c r="R4109" s="2" t="inlineStr"/>
    </row>
    <row r="4110" ht="15" customHeight="1">
      <c r="A4110" t="inlineStr">
        <is>
          <t>A 33451-2023</t>
        </is>
      </c>
      <c r="B4110" s="1" t="n">
        <v>45130</v>
      </c>
      <c r="C4110" s="1" t="n">
        <v>45705</v>
      </c>
      <c r="D4110" t="inlineStr">
        <is>
          <t>UPPSALA LÄN</t>
        </is>
      </c>
      <c r="E4110" t="inlineStr">
        <is>
          <t>TIERP</t>
        </is>
      </c>
      <c r="G4110" t="n">
        <v>5.3</v>
      </c>
      <c r="H4110" t="n">
        <v>0</v>
      </c>
      <c r="I4110" t="n">
        <v>0</v>
      </c>
      <c r="J4110" t="n">
        <v>0</v>
      </c>
      <c r="K4110" t="n">
        <v>0</v>
      </c>
      <c r="L4110" t="n">
        <v>0</v>
      </c>
      <c r="M4110" t="n">
        <v>0</v>
      </c>
      <c r="N4110" t="n">
        <v>0</v>
      </c>
      <c r="O4110" t="n">
        <v>0</v>
      </c>
      <c r="P4110" t="n">
        <v>0</v>
      </c>
      <c r="Q4110" t="n">
        <v>0</v>
      </c>
      <c r="R4110" s="2" t="inlineStr"/>
    </row>
    <row r="4111" ht="15" customHeight="1">
      <c r="A4111" t="inlineStr">
        <is>
          <t>A 33530-2023</t>
        </is>
      </c>
      <c r="B4111" s="1" t="n">
        <v>45131</v>
      </c>
      <c r="C4111" s="1" t="n">
        <v>45705</v>
      </c>
      <c r="D4111" t="inlineStr">
        <is>
          <t>UPPSALA LÄN</t>
        </is>
      </c>
      <c r="E4111" t="inlineStr">
        <is>
          <t>HEBY</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33562-2023</t>
        </is>
      </c>
      <c r="B4112" s="1" t="n">
        <v>45131</v>
      </c>
      <c r="C4112" s="1" t="n">
        <v>45705</v>
      </c>
      <c r="D4112" t="inlineStr">
        <is>
          <t>UPPSALA LÄN</t>
        </is>
      </c>
      <c r="E4112" t="inlineStr">
        <is>
          <t>UPPSALA</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33581-2023</t>
        </is>
      </c>
      <c r="B4113" s="1" t="n">
        <v>45131</v>
      </c>
      <c r="C4113" s="1" t="n">
        <v>45705</v>
      </c>
      <c r="D4113" t="inlineStr">
        <is>
          <t>UPPSALA LÄN</t>
        </is>
      </c>
      <c r="E4113" t="inlineStr">
        <is>
          <t>ENKÖPING</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33703-2023</t>
        </is>
      </c>
      <c r="B4114" s="1" t="n">
        <v>45132</v>
      </c>
      <c r="C4114" s="1" t="n">
        <v>45705</v>
      </c>
      <c r="D4114" t="inlineStr">
        <is>
          <t>UPPSALA LÄN</t>
        </is>
      </c>
      <c r="E4114" t="inlineStr">
        <is>
          <t>HEBY</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33707-2023</t>
        </is>
      </c>
      <c r="B4115" s="1" t="n">
        <v>45132</v>
      </c>
      <c r="C4115" s="1" t="n">
        <v>45705</v>
      </c>
      <c r="D4115" t="inlineStr">
        <is>
          <t>UPPSALA LÄN</t>
        </is>
      </c>
      <c r="E4115" t="inlineStr">
        <is>
          <t>HEBY</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33706-2023</t>
        </is>
      </c>
      <c r="B4116" s="1" t="n">
        <v>45132</v>
      </c>
      <c r="C4116" s="1" t="n">
        <v>45705</v>
      </c>
      <c r="D4116" t="inlineStr">
        <is>
          <t>UPPSALA LÄN</t>
        </is>
      </c>
      <c r="E4116" t="inlineStr">
        <is>
          <t>HEBY</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33700-2023</t>
        </is>
      </c>
      <c r="B4117" s="1" t="n">
        <v>45132</v>
      </c>
      <c r="C4117" s="1" t="n">
        <v>45705</v>
      </c>
      <c r="D4117" t="inlineStr">
        <is>
          <t>UPPSALA LÄN</t>
        </is>
      </c>
      <c r="E4117" t="inlineStr">
        <is>
          <t>UPPSALA</t>
        </is>
      </c>
      <c r="G4117" t="n">
        <v>6.5</v>
      </c>
      <c r="H4117" t="n">
        <v>0</v>
      </c>
      <c r="I4117" t="n">
        <v>0</v>
      </c>
      <c r="J4117" t="n">
        <v>0</v>
      </c>
      <c r="K4117" t="n">
        <v>0</v>
      </c>
      <c r="L4117" t="n">
        <v>0</v>
      </c>
      <c r="M4117" t="n">
        <v>0</v>
      </c>
      <c r="N4117" t="n">
        <v>0</v>
      </c>
      <c r="O4117" t="n">
        <v>0</v>
      </c>
      <c r="P4117" t="n">
        <v>0</v>
      </c>
      <c r="Q4117" t="n">
        <v>0</v>
      </c>
      <c r="R4117" s="2" t="inlineStr"/>
    </row>
    <row r="4118" ht="15" customHeight="1">
      <c r="A4118" t="inlineStr">
        <is>
          <t>A 33705-2023</t>
        </is>
      </c>
      <c r="B4118" s="1" t="n">
        <v>45132</v>
      </c>
      <c r="C4118" s="1" t="n">
        <v>45705</v>
      </c>
      <c r="D4118" t="inlineStr">
        <is>
          <t>UPPSALA LÄN</t>
        </is>
      </c>
      <c r="E4118" t="inlineStr">
        <is>
          <t>HEBY</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33797-2023</t>
        </is>
      </c>
      <c r="B4119" s="1" t="n">
        <v>45133</v>
      </c>
      <c r="C4119" s="1" t="n">
        <v>45705</v>
      </c>
      <c r="D4119" t="inlineStr">
        <is>
          <t>UPPSALA LÄN</t>
        </is>
      </c>
      <c r="E4119" t="inlineStr">
        <is>
          <t>TIERP</t>
        </is>
      </c>
      <c r="F4119" t="inlineStr">
        <is>
          <t>Bergvik skog öst AB</t>
        </is>
      </c>
      <c r="G4119" t="n">
        <v>0.4</v>
      </c>
      <c r="H4119" t="n">
        <v>0</v>
      </c>
      <c r="I4119" t="n">
        <v>0</v>
      </c>
      <c r="J4119" t="n">
        <v>0</v>
      </c>
      <c r="K4119" t="n">
        <v>0</v>
      </c>
      <c r="L4119" t="n">
        <v>0</v>
      </c>
      <c r="M4119" t="n">
        <v>0</v>
      </c>
      <c r="N4119" t="n">
        <v>0</v>
      </c>
      <c r="O4119" t="n">
        <v>0</v>
      </c>
      <c r="P4119" t="n">
        <v>0</v>
      </c>
      <c r="Q4119" t="n">
        <v>0</v>
      </c>
      <c r="R4119" s="2" t="inlineStr"/>
      <c r="U4119">
        <f>HYPERLINK("https://klasma.github.io/Logging_0360/knärot/A 33797-2023 karta knärot.png", "A 33797-2023")</f>
        <v/>
      </c>
      <c r="V4119">
        <f>HYPERLINK("https://klasma.github.io/Logging_0360/klagomål/A 33797-2023 FSC-klagomål.docx", "A 33797-2023")</f>
        <v/>
      </c>
      <c r="W4119">
        <f>HYPERLINK("https://klasma.github.io/Logging_0360/klagomålsmail/A 33797-2023 FSC-klagomål mail.docx", "A 33797-2023")</f>
        <v/>
      </c>
      <c r="X4119">
        <f>HYPERLINK("https://klasma.github.io/Logging_0360/tillsyn/A 33797-2023 tillsynsbegäran.docx", "A 33797-2023")</f>
        <v/>
      </c>
      <c r="Y4119">
        <f>HYPERLINK("https://klasma.github.io/Logging_0360/tillsynsmail/A 33797-2023 tillsynsbegäran mail.docx", "A 33797-2023")</f>
        <v/>
      </c>
    </row>
    <row r="4120" ht="15" customHeight="1">
      <c r="A4120" t="inlineStr">
        <is>
          <t>A 33860-2023</t>
        </is>
      </c>
      <c r="B4120" s="1" t="n">
        <v>45133</v>
      </c>
      <c r="C4120" s="1" t="n">
        <v>45705</v>
      </c>
      <c r="D4120" t="inlineStr">
        <is>
          <t>UPPSALA LÄN</t>
        </is>
      </c>
      <c r="E4120" t="inlineStr">
        <is>
          <t>HEBY</t>
        </is>
      </c>
      <c r="G4120" t="n">
        <v>3.6</v>
      </c>
      <c r="H4120" t="n">
        <v>0</v>
      </c>
      <c r="I4120" t="n">
        <v>0</v>
      </c>
      <c r="J4120" t="n">
        <v>0</v>
      </c>
      <c r="K4120" t="n">
        <v>0</v>
      </c>
      <c r="L4120" t="n">
        <v>0</v>
      </c>
      <c r="M4120" t="n">
        <v>0</v>
      </c>
      <c r="N4120" t="n">
        <v>0</v>
      </c>
      <c r="O4120" t="n">
        <v>0</v>
      </c>
      <c r="P4120" t="n">
        <v>0</v>
      </c>
      <c r="Q4120" t="n">
        <v>0</v>
      </c>
      <c r="R4120" s="2" t="inlineStr"/>
    </row>
    <row r="4121" ht="15" customHeight="1">
      <c r="A4121" t="inlineStr">
        <is>
          <t>A 33729-2023</t>
        </is>
      </c>
      <c r="B4121" s="1" t="n">
        <v>45133</v>
      </c>
      <c r="C4121" s="1" t="n">
        <v>45705</v>
      </c>
      <c r="D4121" t="inlineStr">
        <is>
          <t>UPPSALA LÄN</t>
        </is>
      </c>
      <c r="E4121" t="inlineStr">
        <is>
          <t>HEBY</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33807-2023</t>
        </is>
      </c>
      <c r="B4122" s="1" t="n">
        <v>45133</v>
      </c>
      <c r="C4122" s="1" t="n">
        <v>45705</v>
      </c>
      <c r="D4122" t="inlineStr">
        <is>
          <t>UPPSALA LÄN</t>
        </is>
      </c>
      <c r="E4122" t="inlineStr">
        <is>
          <t>HEBY</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33734-2023</t>
        </is>
      </c>
      <c r="B4123" s="1" t="n">
        <v>45133</v>
      </c>
      <c r="C4123" s="1" t="n">
        <v>45705</v>
      </c>
      <c r="D4123" t="inlineStr">
        <is>
          <t>UPPSALA LÄN</t>
        </is>
      </c>
      <c r="E4123" t="inlineStr">
        <is>
          <t>HEBY</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33776-2023</t>
        </is>
      </c>
      <c r="B4124" s="1" t="n">
        <v>45133</v>
      </c>
      <c r="C4124" s="1" t="n">
        <v>45705</v>
      </c>
      <c r="D4124" t="inlineStr">
        <is>
          <t>UPPSALA LÄN</t>
        </is>
      </c>
      <c r="E4124" t="inlineStr">
        <is>
          <t>KNIVSTA</t>
        </is>
      </c>
      <c r="F4124" t="inlineStr">
        <is>
          <t>Holmen skog AB</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33861-2023</t>
        </is>
      </c>
      <c r="B4125" s="1" t="n">
        <v>45133</v>
      </c>
      <c r="C4125" s="1" t="n">
        <v>45705</v>
      </c>
      <c r="D4125" t="inlineStr">
        <is>
          <t>UPPSALA LÄN</t>
        </is>
      </c>
      <c r="E4125" t="inlineStr">
        <is>
          <t>HEBY</t>
        </is>
      </c>
      <c r="G4125" t="n">
        <v>17.6</v>
      </c>
      <c r="H4125" t="n">
        <v>0</v>
      </c>
      <c r="I4125" t="n">
        <v>0</v>
      </c>
      <c r="J4125" t="n">
        <v>0</v>
      </c>
      <c r="K4125" t="n">
        <v>0</v>
      </c>
      <c r="L4125" t="n">
        <v>0</v>
      </c>
      <c r="M4125" t="n">
        <v>0</v>
      </c>
      <c r="N4125" t="n">
        <v>0</v>
      </c>
      <c r="O4125" t="n">
        <v>0</v>
      </c>
      <c r="P4125" t="n">
        <v>0</v>
      </c>
      <c r="Q4125" t="n">
        <v>0</v>
      </c>
      <c r="R4125" s="2" t="inlineStr"/>
    </row>
    <row r="4126" ht="15" customHeight="1">
      <c r="A4126" t="inlineStr">
        <is>
          <t>A 33859-2023</t>
        </is>
      </c>
      <c r="B4126" s="1" t="n">
        <v>45133</v>
      </c>
      <c r="C4126" s="1" t="n">
        <v>45705</v>
      </c>
      <c r="D4126" t="inlineStr">
        <is>
          <t>UPPSALA LÄN</t>
        </is>
      </c>
      <c r="E4126" t="inlineStr">
        <is>
          <t>HEBY</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33777-2023</t>
        </is>
      </c>
      <c r="B4127" s="1" t="n">
        <v>45133</v>
      </c>
      <c r="C4127" s="1" t="n">
        <v>45705</v>
      </c>
      <c r="D4127" t="inlineStr">
        <is>
          <t>UPPSALA LÄN</t>
        </is>
      </c>
      <c r="E4127" t="inlineStr">
        <is>
          <t>KNIVSTA</t>
        </is>
      </c>
      <c r="F4127" t="inlineStr">
        <is>
          <t>Holmen skog AB</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34509-2023</t>
        </is>
      </c>
      <c r="B4128" s="1" t="n">
        <v>45133</v>
      </c>
      <c r="C4128" s="1" t="n">
        <v>45705</v>
      </c>
      <c r="D4128" t="inlineStr">
        <is>
          <t>UPPSALA LÄN</t>
        </is>
      </c>
      <c r="E4128" t="inlineStr">
        <is>
          <t>UPPSALA</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33941-2023</t>
        </is>
      </c>
      <c r="B4129" s="1" t="n">
        <v>45134</v>
      </c>
      <c r="C4129" s="1" t="n">
        <v>45705</v>
      </c>
      <c r="D4129" t="inlineStr">
        <is>
          <t>UPPSALA LÄN</t>
        </is>
      </c>
      <c r="E4129" t="inlineStr">
        <is>
          <t>UPPSALA</t>
        </is>
      </c>
      <c r="F4129" t="inlineStr">
        <is>
          <t>Holmen skog AB</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33982-2023</t>
        </is>
      </c>
      <c r="B4130" s="1" t="n">
        <v>45134</v>
      </c>
      <c r="C4130" s="1" t="n">
        <v>45705</v>
      </c>
      <c r="D4130" t="inlineStr">
        <is>
          <t>UPPSALA LÄN</t>
        </is>
      </c>
      <c r="E4130" t="inlineStr">
        <is>
          <t>UPPSALA</t>
        </is>
      </c>
      <c r="G4130" t="n">
        <v>4.8</v>
      </c>
      <c r="H4130" t="n">
        <v>0</v>
      </c>
      <c r="I4130" t="n">
        <v>0</v>
      </c>
      <c r="J4130" t="n">
        <v>0</v>
      </c>
      <c r="K4130" t="n">
        <v>0</v>
      </c>
      <c r="L4130" t="n">
        <v>0</v>
      </c>
      <c r="M4130" t="n">
        <v>0</v>
      </c>
      <c r="N4130" t="n">
        <v>0</v>
      </c>
      <c r="O4130" t="n">
        <v>0</v>
      </c>
      <c r="P4130" t="n">
        <v>0</v>
      </c>
      <c r="Q4130" t="n">
        <v>0</v>
      </c>
      <c r="R4130" s="2" t="inlineStr"/>
    </row>
    <row r="4131" ht="15" customHeight="1">
      <c r="A4131" t="inlineStr">
        <is>
          <t>A 34082-2023</t>
        </is>
      </c>
      <c r="B4131" s="1" t="n">
        <v>45135</v>
      </c>
      <c r="C4131" s="1" t="n">
        <v>45705</v>
      </c>
      <c r="D4131" t="inlineStr">
        <is>
          <t>UPPSALA LÄN</t>
        </is>
      </c>
      <c r="E4131" t="inlineStr">
        <is>
          <t>TIERP</t>
        </is>
      </c>
      <c r="F4131" t="inlineStr">
        <is>
          <t>Bergvik skog öst AB</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34079-2023</t>
        </is>
      </c>
      <c r="B4132" s="1" t="n">
        <v>45135</v>
      </c>
      <c r="C4132" s="1" t="n">
        <v>45705</v>
      </c>
      <c r="D4132" t="inlineStr">
        <is>
          <t>UPPSALA LÄN</t>
        </is>
      </c>
      <c r="E4132" t="inlineStr">
        <is>
          <t>TIERP</t>
        </is>
      </c>
      <c r="F4132" t="inlineStr">
        <is>
          <t>Bergvik skog öst AB</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34027-2023</t>
        </is>
      </c>
      <c r="B4133" s="1" t="n">
        <v>45135</v>
      </c>
      <c r="C4133" s="1" t="n">
        <v>45705</v>
      </c>
      <c r="D4133" t="inlineStr">
        <is>
          <t>UPPSALA LÄN</t>
        </is>
      </c>
      <c r="E4133" t="inlineStr">
        <is>
          <t>TIERP</t>
        </is>
      </c>
      <c r="F4133" t="inlineStr">
        <is>
          <t>Bergvik skog öst AB</t>
        </is>
      </c>
      <c r="G4133" t="n">
        <v>18.1</v>
      </c>
      <c r="H4133" t="n">
        <v>0</v>
      </c>
      <c r="I4133" t="n">
        <v>0</v>
      </c>
      <c r="J4133" t="n">
        <v>0</v>
      </c>
      <c r="K4133" t="n">
        <v>0</v>
      </c>
      <c r="L4133" t="n">
        <v>0</v>
      </c>
      <c r="M4133" t="n">
        <v>0</v>
      </c>
      <c r="N4133" t="n">
        <v>0</v>
      </c>
      <c r="O4133" t="n">
        <v>0</v>
      </c>
      <c r="P4133" t="n">
        <v>0</v>
      </c>
      <c r="Q4133" t="n">
        <v>0</v>
      </c>
      <c r="R4133" s="2" t="inlineStr"/>
    </row>
    <row r="4134" ht="15" customHeight="1">
      <c r="A4134" t="inlineStr">
        <is>
          <t>A 34140-2023</t>
        </is>
      </c>
      <c r="B4134" s="1" t="n">
        <v>45135</v>
      </c>
      <c r="C4134" s="1" t="n">
        <v>45705</v>
      </c>
      <c r="D4134" t="inlineStr">
        <is>
          <t>UPPSALA LÄN</t>
        </is>
      </c>
      <c r="E4134" t="inlineStr">
        <is>
          <t>HEBY</t>
        </is>
      </c>
      <c r="G4134" t="n">
        <v>5.4</v>
      </c>
      <c r="H4134" t="n">
        <v>0</v>
      </c>
      <c r="I4134" t="n">
        <v>0</v>
      </c>
      <c r="J4134" t="n">
        <v>0</v>
      </c>
      <c r="K4134" t="n">
        <v>0</v>
      </c>
      <c r="L4134" t="n">
        <v>0</v>
      </c>
      <c r="M4134" t="n">
        <v>0</v>
      </c>
      <c r="N4134" t="n">
        <v>0</v>
      </c>
      <c r="O4134" t="n">
        <v>0</v>
      </c>
      <c r="P4134" t="n">
        <v>0</v>
      </c>
      <c r="Q4134" t="n">
        <v>0</v>
      </c>
      <c r="R4134" s="2" t="inlineStr"/>
    </row>
    <row r="4135" ht="15" customHeight="1">
      <c r="A4135" t="inlineStr">
        <is>
          <t>A 34108-2023</t>
        </is>
      </c>
      <c r="B4135" s="1" t="n">
        <v>45135</v>
      </c>
      <c r="C4135" s="1" t="n">
        <v>45705</v>
      </c>
      <c r="D4135" t="inlineStr">
        <is>
          <t>UPPSALA LÄN</t>
        </is>
      </c>
      <c r="E4135" t="inlineStr">
        <is>
          <t>ÖSTHAMMAR</t>
        </is>
      </c>
      <c r="F4135" t="inlineStr">
        <is>
          <t>Bergvik skog öst AB</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34198-2023</t>
        </is>
      </c>
      <c r="B4136" s="1" t="n">
        <v>45138</v>
      </c>
      <c r="C4136" s="1" t="n">
        <v>45705</v>
      </c>
      <c r="D4136" t="inlineStr">
        <is>
          <t>UPPSALA LÄN</t>
        </is>
      </c>
      <c r="E4136" t="inlineStr">
        <is>
          <t>TIERP</t>
        </is>
      </c>
      <c r="F4136" t="inlineStr">
        <is>
          <t>Bergvik skog öst AB</t>
        </is>
      </c>
      <c r="G4136" t="n">
        <v>11.5</v>
      </c>
      <c r="H4136" t="n">
        <v>0</v>
      </c>
      <c r="I4136" t="n">
        <v>0</v>
      </c>
      <c r="J4136" t="n">
        <v>0</v>
      </c>
      <c r="K4136" t="n">
        <v>0</v>
      </c>
      <c r="L4136" t="n">
        <v>0</v>
      </c>
      <c r="M4136" t="n">
        <v>0</v>
      </c>
      <c r="N4136" t="n">
        <v>0</v>
      </c>
      <c r="O4136" t="n">
        <v>0</v>
      </c>
      <c r="P4136" t="n">
        <v>0</v>
      </c>
      <c r="Q4136" t="n">
        <v>0</v>
      </c>
      <c r="R4136" s="2" t="inlineStr"/>
    </row>
    <row r="4137" ht="15" customHeight="1">
      <c r="A4137" t="inlineStr">
        <is>
          <t>A 34607-2023</t>
        </is>
      </c>
      <c r="B4137" s="1" t="n">
        <v>45138</v>
      </c>
      <c r="C4137" s="1" t="n">
        <v>45705</v>
      </c>
      <c r="D4137" t="inlineStr">
        <is>
          <t>UPPSALA LÄN</t>
        </is>
      </c>
      <c r="E4137" t="inlineStr">
        <is>
          <t>ÖSTHAMMAR</t>
        </is>
      </c>
      <c r="G4137" t="n">
        <v>4.7</v>
      </c>
      <c r="H4137" t="n">
        <v>0</v>
      </c>
      <c r="I4137" t="n">
        <v>0</v>
      </c>
      <c r="J4137" t="n">
        <v>0</v>
      </c>
      <c r="K4137" t="n">
        <v>0</v>
      </c>
      <c r="L4137" t="n">
        <v>0</v>
      </c>
      <c r="M4137" t="n">
        <v>0</v>
      </c>
      <c r="N4137" t="n">
        <v>0</v>
      </c>
      <c r="O4137" t="n">
        <v>0</v>
      </c>
      <c r="P4137" t="n">
        <v>0</v>
      </c>
      <c r="Q4137" t="n">
        <v>0</v>
      </c>
      <c r="R4137" s="2" t="inlineStr"/>
    </row>
    <row r="4138" ht="15" customHeight="1">
      <c r="A4138" t="inlineStr">
        <is>
          <t>A 34593-2023</t>
        </is>
      </c>
      <c r="B4138" s="1" t="n">
        <v>45138</v>
      </c>
      <c r="C4138" s="1" t="n">
        <v>45705</v>
      </c>
      <c r="D4138" t="inlineStr">
        <is>
          <t>UPPSALA LÄN</t>
        </is>
      </c>
      <c r="E4138" t="inlineStr">
        <is>
          <t>HEBY</t>
        </is>
      </c>
      <c r="G4138" t="n">
        <v>0.2</v>
      </c>
      <c r="H4138" t="n">
        <v>0</v>
      </c>
      <c r="I4138" t="n">
        <v>0</v>
      </c>
      <c r="J4138" t="n">
        <v>0</v>
      </c>
      <c r="K4138" t="n">
        <v>0</v>
      </c>
      <c r="L4138" t="n">
        <v>0</v>
      </c>
      <c r="M4138" t="n">
        <v>0</v>
      </c>
      <c r="N4138" t="n">
        <v>0</v>
      </c>
      <c r="O4138" t="n">
        <v>0</v>
      </c>
      <c r="P4138" t="n">
        <v>0</v>
      </c>
      <c r="Q4138" t="n">
        <v>0</v>
      </c>
      <c r="R4138" s="2" t="inlineStr"/>
    </row>
    <row r="4139" ht="15" customHeight="1">
      <c r="A4139" t="inlineStr">
        <is>
          <t>A 34412-2023</t>
        </is>
      </c>
      <c r="B4139" s="1" t="n">
        <v>45139</v>
      </c>
      <c r="C4139" s="1" t="n">
        <v>45705</v>
      </c>
      <c r="D4139" t="inlineStr">
        <is>
          <t>UPPSALA LÄN</t>
        </is>
      </c>
      <c r="E4139" t="inlineStr">
        <is>
          <t>ÖSTHAMMAR</t>
        </is>
      </c>
      <c r="F4139" t="inlineStr">
        <is>
          <t>Bergvik skog öst AB</t>
        </is>
      </c>
      <c r="G4139" t="n">
        <v>4</v>
      </c>
      <c r="H4139" t="n">
        <v>0</v>
      </c>
      <c r="I4139" t="n">
        <v>0</v>
      </c>
      <c r="J4139" t="n">
        <v>0</v>
      </c>
      <c r="K4139" t="n">
        <v>0</v>
      </c>
      <c r="L4139" t="n">
        <v>0</v>
      </c>
      <c r="M4139" t="n">
        <v>0</v>
      </c>
      <c r="N4139" t="n">
        <v>0</v>
      </c>
      <c r="O4139" t="n">
        <v>0</v>
      </c>
      <c r="P4139" t="n">
        <v>0</v>
      </c>
      <c r="Q4139" t="n">
        <v>0</v>
      </c>
      <c r="R4139" s="2" t="inlineStr"/>
    </row>
    <row r="4140" ht="15" customHeight="1">
      <c r="A4140" t="inlineStr">
        <is>
          <t>A 34471-2023</t>
        </is>
      </c>
      <c r="B4140" s="1" t="n">
        <v>45139</v>
      </c>
      <c r="C4140" s="1" t="n">
        <v>45705</v>
      </c>
      <c r="D4140" t="inlineStr">
        <is>
          <t>UPPSALA LÄN</t>
        </is>
      </c>
      <c r="E4140" t="inlineStr">
        <is>
          <t>ÖSTHAMMAR</t>
        </is>
      </c>
      <c r="F4140" t="inlineStr">
        <is>
          <t>Bergvik skog öst AB</t>
        </is>
      </c>
      <c r="G4140" t="n">
        <v>4.5</v>
      </c>
      <c r="H4140" t="n">
        <v>0</v>
      </c>
      <c r="I4140" t="n">
        <v>0</v>
      </c>
      <c r="J4140" t="n">
        <v>0</v>
      </c>
      <c r="K4140" t="n">
        <v>0</v>
      </c>
      <c r="L4140" t="n">
        <v>0</v>
      </c>
      <c r="M4140" t="n">
        <v>0</v>
      </c>
      <c r="N4140" t="n">
        <v>0</v>
      </c>
      <c r="O4140" t="n">
        <v>0</v>
      </c>
      <c r="P4140" t="n">
        <v>0</v>
      </c>
      <c r="Q4140" t="n">
        <v>0</v>
      </c>
      <c r="R4140" s="2" t="inlineStr"/>
    </row>
    <row r="4141" ht="15" customHeight="1">
      <c r="A4141" t="inlineStr">
        <is>
          <t>A 34735-2023</t>
        </is>
      </c>
      <c r="B4141" s="1" t="n">
        <v>45139</v>
      </c>
      <c r="C4141" s="1" t="n">
        <v>45705</v>
      </c>
      <c r="D4141" t="inlineStr">
        <is>
          <t>UPPSALA LÄN</t>
        </is>
      </c>
      <c r="E4141" t="inlineStr">
        <is>
          <t>ENKÖPING</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34743-2023</t>
        </is>
      </c>
      <c r="B4142" s="1" t="n">
        <v>45141</v>
      </c>
      <c r="C4142" s="1" t="n">
        <v>45705</v>
      </c>
      <c r="D4142" t="inlineStr">
        <is>
          <t>UPPSALA LÄN</t>
        </is>
      </c>
      <c r="E4142" t="inlineStr">
        <is>
          <t>ENKÖPING</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34920-2023</t>
        </is>
      </c>
      <c r="B4143" s="1" t="n">
        <v>45142</v>
      </c>
      <c r="C4143" s="1" t="n">
        <v>45705</v>
      </c>
      <c r="D4143" t="inlineStr">
        <is>
          <t>UPPSALA LÄN</t>
        </is>
      </c>
      <c r="E4143" t="inlineStr">
        <is>
          <t>ÖSTHAMMAR</t>
        </is>
      </c>
      <c r="F4143" t="inlineStr">
        <is>
          <t>Bergvik skog öst AB</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34923-2023</t>
        </is>
      </c>
      <c r="B4144" s="1" t="n">
        <v>45142</v>
      </c>
      <c r="C4144" s="1" t="n">
        <v>45705</v>
      </c>
      <c r="D4144" t="inlineStr">
        <is>
          <t>UPPSALA LÄN</t>
        </is>
      </c>
      <c r="E4144" t="inlineStr">
        <is>
          <t>ÖSTHAMMAR</t>
        </is>
      </c>
      <c r="F4144" t="inlineStr">
        <is>
          <t>Bergvik skog öst AB</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34951-2023</t>
        </is>
      </c>
      <c r="B4145" s="1" t="n">
        <v>45142</v>
      </c>
      <c r="C4145" s="1" t="n">
        <v>45705</v>
      </c>
      <c r="D4145" t="inlineStr">
        <is>
          <t>UPPSALA LÄN</t>
        </is>
      </c>
      <c r="E4145" t="inlineStr">
        <is>
          <t>ÖSTHAMMAR</t>
        </is>
      </c>
      <c r="F4145" t="inlineStr">
        <is>
          <t>Naturvårdsverket</t>
        </is>
      </c>
      <c r="G4145" t="n">
        <v>4.8</v>
      </c>
      <c r="H4145" t="n">
        <v>0</v>
      </c>
      <c r="I4145" t="n">
        <v>0</v>
      </c>
      <c r="J4145" t="n">
        <v>0</v>
      </c>
      <c r="K4145" t="n">
        <v>0</v>
      </c>
      <c r="L4145" t="n">
        <v>0</v>
      </c>
      <c r="M4145" t="n">
        <v>0</v>
      </c>
      <c r="N4145" t="n">
        <v>0</v>
      </c>
      <c r="O4145" t="n">
        <v>0</v>
      </c>
      <c r="P4145" t="n">
        <v>0</v>
      </c>
      <c r="Q4145" t="n">
        <v>0</v>
      </c>
      <c r="R4145" s="2" t="inlineStr"/>
    </row>
    <row r="4146" ht="15" customHeight="1">
      <c r="A4146" t="inlineStr">
        <is>
          <t>A 34961-2023</t>
        </is>
      </c>
      <c r="B4146" s="1" t="n">
        <v>45142</v>
      </c>
      <c r="C4146" s="1" t="n">
        <v>45705</v>
      </c>
      <c r="D4146" t="inlineStr">
        <is>
          <t>UPPSALA LÄN</t>
        </is>
      </c>
      <c r="E4146" t="inlineStr">
        <is>
          <t>ENKÖPING</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34922-2023</t>
        </is>
      </c>
      <c r="B4147" s="1" t="n">
        <v>45142</v>
      </c>
      <c r="C4147" s="1" t="n">
        <v>45705</v>
      </c>
      <c r="D4147" t="inlineStr">
        <is>
          <t>UPPSALA LÄN</t>
        </is>
      </c>
      <c r="E4147" t="inlineStr">
        <is>
          <t>ÖSTHAMMAR</t>
        </is>
      </c>
      <c r="F4147" t="inlineStr">
        <is>
          <t>Bergvik skog öst AB</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34960-2023</t>
        </is>
      </c>
      <c r="B4148" s="1" t="n">
        <v>45142</v>
      </c>
      <c r="C4148" s="1" t="n">
        <v>45705</v>
      </c>
      <c r="D4148" t="inlineStr">
        <is>
          <t>UPPSALA LÄN</t>
        </is>
      </c>
      <c r="E4148" t="inlineStr">
        <is>
          <t>ENKÖPING</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35142-2023</t>
        </is>
      </c>
      <c r="B4149" s="1" t="n">
        <v>45145</v>
      </c>
      <c r="C4149" s="1" t="n">
        <v>45705</v>
      </c>
      <c r="D4149" t="inlineStr">
        <is>
          <t>UPPSALA LÄN</t>
        </is>
      </c>
      <c r="E4149" t="inlineStr">
        <is>
          <t>UPPSALA</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35246-2023</t>
        </is>
      </c>
      <c r="B4150" s="1" t="n">
        <v>45145</v>
      </c>
      <c r="C4150" s="1" t="n">
        <v>45705</v>
      </c>
      <c r="D4150" t="inlineStr">
        <is>
          <t>UPPSALA LÄN</t>
        </is>
      </c>
      <c r="E4150" t="inlineStr">
        <is>
          <t>HEBY</t>
        </is>
      </c>
      <c r="G4150" t="n">
        <v>7.2</v>
      </c>
      <c r="H4150" t="n">
        <v>0</v>
      </c>
      <c r="I4150" t="n">
        <v>0</v>
      </c>
      <c r="J4150" t="n">
        <v>0</v>
      </c>
      <c r="K4150" t="n">
        <v>0</v>
      </c>
      <c r="L4150" t="n">
        <v>0</v>
      </c>
      <c r="M4150" t="n">
        <v>0</v>
      </c>
      <c r="N4150" t="n">
        <v>0</v>
      </c>
      <c r="O4150" t="n">
        <v>0</v>
      </c>
      <c r="P4150" t="n">
        <v>0</v>
      </c>
      <c r="Q4150" t="n">
        <v>0</v>
      </c>
      <c r="R4150" s="2" t="inlineStr"/>
    </row>
    <row r="4151" ht="15" customHeight="1">
      <c r="A4151" t="inlineStr">
        <is>
          <t>A 35403-2023</t>
        </is>
      </c>
      <c r="B4151" s="1" t="n">
        <v>45146</v>
      </c>
      <c r="C4151" s="1" t="n">
        <v>45705</v>
      </c>
      <c r="D4151" t="inlineStr">
        <is>
          <t>UPPSALA LÄN</t>
        </is>
      </c>
      <c r="E4151" t="inlineStr">
        <is>
          <t>ÖSTHAMMAR</t>
        </is>
      </c>
      <c r="F4151" t="inlineStr">
        <is>
          <t>Bergvik skog öst AB</t>
        </is>
      </c>
      <c r="G4151" t="n">
        <v>3.6</v>
      </c>
      <c r="H4151" t="n">
        <v>0</v>
      </c>
      <c r="I4151" t="n">
        <v>0</v>
      </c>
      <c r="J4151" t="n">
        <v>0</v>
      </c>
      <c r="K4151" t="n">
        <v>0</v>
      </c>
      <c r="L4151" t="n">
        <v>0</v>
      </c>
      <c r="M4151" t="n">
        <v>0</v>
      </c>
      <c r="N4151" t="n">
        <v>0</v>
      </c>
      <c r="O4151" t="n">
        <v>0</v>
      </c>
      <c r="P4151" t="n">
        <v>0</v>
      </c>
      <c r="Q4151" t="n">
        <v>0</v>
      </c>
      <c r="R4151" s="2" t="inlineStr"/>
    </row>
    <row r="4152" ht="15" customHeight="1">
      <c r="A4152" t="inlineStr">
        <is>
          <t>A 35375-2023</t>
        </is>
      </c>
      <c r="B4152" s="1" t="n">
        <v>45146</v>
      </c>
      <c r="C4152" s="1" t="n">
        <v>45705</v>
      </c>
      <c r="D4152" t="inlineStr">
        <is>
          <t>UPPSALA LÄN</t>
        </is>
      </c>
      <c r="E4152" t="inlineStr">
        <is>
          <t>TIERP</t>
        </is>
      </c>
      <c r="F4152" t="inlineStr">
        <is>
          <t>Bergvik skog öst AB</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35309-2023</t>
        </is>
      </c>
      <c r="B4153" s="1" t="n">
        <v>45146</v>
      </c>
      <c r="C4153" s="1" t="n">
        <v>45705</v>
      </c>
      <c r="D4153" t="inlineStr">
        <is>
          <t>UPPSALA LÄN</t>
        </is>
      </c>
      <c r="E4153" t="inlineStr">
        <is>
          <t>ÖSTHAMMAR</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35413-2023</t>
        </is>
      </c>
      <c r="B4154" s="1" t="n">
        <v>45146</v>
      </c>
      <c r="C4154" s="1" t="n">
        <v>45705</v>
      </c>
      <c r="D4154" t="inlineStr">
        <is>
          <t>UPPSALA LÄN</t>
        </is>
      </c>
      <c r="E4154" t="inlineStr">
        <is>
          <t>ÖSTHAMMAR</t>
        </is>
      </c>
      <c r="F4154" t="inlineStr">
        <is>
          <t>Bergvik skog öst AB</t>
        </is>
      </c>
      <c r="G4154" t="n">
        <v>26.1</v>
      </c>
      <c r="H4154" t="n">
        <v>0</v>
      </c>
      <c r="I4154" t="n">
        <v>0</v>
      </c>
      <c r="J4154" t="n">
        <v>0</v>
      </c>
      <c r="K4154" t="n">
        <v>0</v>
      </c>
      <c r="L4154" t="n">
        <v>0</v>
      </c>
      <c r="M4154" t="n">
        <v>0</v>
      </c>
      <c r="N4154" t="n">
        <v>0</v>
      </c>
      <c r="O4154" t="n">
        <v>0</v>
      </c>
      <c r="P4154" t="n">
        <v>0</v>
      </c>
      <c r="Q4154" t="n">
        <v>0</v>
      </c>
      <c r="R4154" s="2" t="inlineStr"/>
    </row>
    <row r="4155" ht="15" customHeight="1">
      <c r="A4155" t="inlineStr">
        <is>
          <t>A 35367-2023</t>
        </is>
      </c>
      <c r="B4155" s="1" t="n">
        <v>45146</v>
      </c>
      <c r="C4155" s="1" t="n">
        <v>45705</v>
      </c>
      <c r="D4155" t="inlineStr">
        <is>
          <t>UPPSALA LÄN</t>
        </is>
      </c>
      <c r="E4155" t="inlineStr">
        <is>
          <t>ENKÖPING</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35406-2023</t>
        </is>
      </c>
      <c r="B4156" s="1" t="n">
        <v>45146</v>
      </c>
      <c r="C4156" s="1" t="n">
        <v>45705</v>
      </c>
      <c r="D4156" t="inlineStr">
        <is>
          <t>UPPSALA LÄN</t>
        </is>
      </c>
      <c r="E4156" t="inlineStr">
        <is>
          <t>ÖSTHAMMAR</t>
        </is>
      </c>
      <c r="F4156" t="inlineStr">
        <is>
          <t>Bergvik skog öst AB</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35410-2023</t>
        </is>
      </c>
      <c r="B4157" s="1" t="n">
        <v>45146</v>
      </c>
      <c r="C4157" s="1" t="n">
        <v>45705</v>
      </c>
      <c r="D4157" t="inlineStr">
        <is>
          <t>UPPSALA LÄN</t>
        </is>
      </c>
      <c r="E4157" t="inlineStr">
        <is>
          <t>ÖSTHAMMAR</t>
        </is>
      </c>
      <c r="F4157" t="inlineStr">
        <is>
          <t>Bergvik skog öst AB</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35471-2023</t>
        </is>
      </c>
      <c r="B4158" s="1" t="n">
        <v>45146</v>
      </c>
      <c r="C4158" s="1" t="n">
        <v>45705</v>
      </c>
      <c r="D4158" t="inlineStr">
        <is>
          <t>UPPSALA LÄN</t>
        </is>
      </c>
      <c r="E4158" t="inlineStr">
        <is>
          <t>UPPSALA</t>
        </is>
      </c>
      <c r="F4158" t="inlineStr">
        <is>
          <t>Sveaskog</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35474-2023</t>
        </is>
      </c>
      <c r="B4159" s="1" t="n">
        <v>45146</v>
      </c>
      <c r="C4159" s="1" t="n">
        <v>45705</v>
      </c>
      <c r="D4159" t="inlineStr">
        <is>
          <t>UPPSALA LÄN</t>
        </is>
      </c>
      <c r="E4159" t="inlineStr">
        <is>
          <t>ÖSTHAMMAR</t>
        </is>
      </c>
      <c r="F4159" t="inlineStr">
        <is>
          <t>Sveaskog</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35482-2023</t>
        </is>
      </c>
      <c r="B4160" s="1" t="n">
        <v>45146</v>
      </c>
      <c r="C4160" s="1" t="n">
        <v>45705</v>
      </c>
      <c r="D4160" t="inlineStr">
        <is>
          <t>UPPSALA LÄN</t>
        </is>
      </c>
      <c r="E4160" t="inlineStr">
        <is>
          <t>HEBY</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35472-2023</t>
        </is>
      </c>
      <c r="B4161" s="1" t="n">
        <v>45146</v>
      </c>
      <c r="C4161" s="1" t="n">
        <v>45705</v>
      </c>
      <c r="D4161" t="inlineStr">
        <is>
          <t>UPPSALA LÄN</t>
        </is>
      </c>
      <c r="E4161" t="inlineStr">
        <is>
          <t>UPPSALA</t>
        </is>
      </c>
      <c r="F4161" t="inlineStr">
        <is>
          <t>Sveaskog</t>
        </is>
      </c>
      <c r="G4161" t="n">
        <v>4.8</v>
      </c>
      <c r="H4161" t="n">
        <v>0</v>
      </c>
      <c r="I4161" t="n">
        <v>0</v>
      </c>
      <c r="J4161" t="n">
        <v>0</v>
      </c>
      <c r="K4161" t="n">
        <v>0</v>
      </c>
      <c r="L4161" t="n">
        <v>0</v>
      </c>
      <c r="M4161" t="n">
        <v>0</v>
      </c>
      <c r="N4161" t="n">
        <v>0</v>
      </c>
      <c r="O4161" t="n">
        <v>0</v>
      </c>
      <c r="P4161" t="n">
        <v>0</v>
      </c>
      <c r="Q4161" t="n">
        <v>0</v>
      </c>
      <c r="R4161" s="2" t="inlineStr"/>
    </row>
    <row r="4162" ht="15" customHeight="1">
      <c r="A4162" t="inlineStr">
        <is>
          <t>A 35476-2023</t>
        </is>
      </c>
      <c r="B4162" s="1" t="n">
        <v>45146</v>
      </c>
      <c r="C4162" s="1" t="n">
        <v>45705</v>
      </c>
      <c r="D4162" t="inlineStr">
        <is>
          <t>UPPSALA LÄN</t>
        </is>
      </c>
      <c r="E4162" t="inlineStr">
        <is>
          <t>ÖSTHAMMAR</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35473-2023</t>
        </is>
      </c>
      <c r="B4163" s="1" t="n">
        <v>45146</v>
      </c>
      <c r="C4163" s="1" t="n">
        <v>45705</v>
      </c>
      <c r="D4163" t="inlineStr">
        <is>
          <t>UPPSALA LÄN</t>
        </is>
      </c>
      <c r="E4163" t="inlineStr">
        <is>
          <t>UPPSALA</t>
        </is>
      </c>
      <c r="F4163" t="inlineStr">
        <is>
          <t>Sveaskog</t>
        </is>
      </c>
      <c r="G4163" t="n">
        <v>6</v>
      </c>
      <c r="H4163" t="n">
        <v>0</v>
      </c>
      <c r="I4163" t="n">
        <v>0</v>
      </c>
      <c r="J4163" t="n">
        <v>0</v>
      </c>
      <c r="K4163" t="n">
        <v>0</v>
      </c>
      <c r="L4163" t="n">
        <v>0</v>
      </c>
      <c r="M4163" t="n">
        <v>0</v>
      </c>
      <c r="N4163" t="n">
        <v>0</v>
      </c>
      <c r="O4163" t="n">
        <v>0</v>
      </c>
      <c r="P4163" t="n">
        <v>0</v>
      </c>
      <c r="Q4163" t="n">
        <v>0</v>
      </c>
      <c r="R4163" s="2" t="inlineStr"/>
    </row>
    <row r="4164" ht="15" customHeight="1">
      <c r="A4164" t="inlineStr">
        <is>
          <t>A 35539-2023</t>
        </is>
      </c>
      <c r="B4164" s="1" t="n">
        <v>45147</v>
      </c>
      <c r="C4164" s="1" t="n">
        <v>45705</v>
      </c>
      <c r="D4164" t="inlineStr">
        <is>
          <t>UPPSALA LÄN</t>
        </is>
      </c>
      <c r="E4164" t="inlineStr">
        <is>
          <t>ÖSTHAMMAR</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35549-2023</t>
        </is>
      </c>
      <c r="B4165" s="1" t="n">
        <v>45147</v>
      </c>
      <c r="C4165" s="1" t="n">
        <v>45705</v>
      </c>
      <c r="D4165" t="inlineStr">
        <is>
          <t>UPPSALA LÄN</t>
        </is>
      </c>
      <c r="E4165" t="inlineStr">
        <is>
          <t>UPPSALA</t>
        </is>
      </c>
      <c r="F4165" t="inlineStr">
        <is>
          <t>Allmännings- och besparingsskogar</t>
        </is>
      </c>
      <c r="G4165" t="n">
        <v>7.4</v>
      </c>
      <c r="H4165" t="n">
        <v>0</v>
      </c>
      <c r="I4165" t="n">
        <v>0</v>
      </c>
      <c r="J4165" t="n">
        <v>0</v>
      </c>
      <c r="K4165" t="n">
        <v>0</v>
      </c>
      <c r="L4165" t="n">
        <v>0</v>
      </c>
      <c r="M4165" t="n">
        <v>0</v>
      </c>
      <c r="N4165" t="n">
        <v>0</v>
      </c>
      <c r="O4165" t="n">
        <v>0</v>
      </c>
      <c r="P4165" t="n">
        <v>0</v>
      </c>
      <c r="Q4165" t="n">
        <v>0</v>
      </c>
      <c r="R4165" s="2" t="inlineStr"/>
    </row>
    <row r="4166" ht="15" customHeight="1">
      <c r="A4166" t="inlineStr">
        <is>
          <t>A 35684-2023</t>
        </is>
      </c>
      <c r="B4166" s="1" t="n">
        <v>45147</v>
      </c>
      <c r="C4166" s="1" t="n">
        <v>45705</v>
      </c>
      <c r="D4166" t="inlineStr">
        <is>
          <t>UPPSALA LÄN</t>
        </is>
      </c>
      <c r="E4166" t="inlineStr">
        <is>
          <t>ENKÖPING</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35902-2023</t>
        </is>
      </c>
      <c r="B4167" s="1" t="n">
        <v>45148</v>
      </c>
      <c r="C4167" s="1" t="n">
        <v>45705</v>
      </c>
      <c r="D4167" t="inlineStr">
        <is>
          <t>UPPSALA LÄN</t>
        </is>
      </c>
      <c r="E4167" t="inlineStr">
        <is>
          <t>UPPSALA</t>
        </is>
      </c>
      <c r="G4167" t="n">
        <v>4.9</v>
      </c>
      <c r="H4167" t="n">
        <v>0</v>
      </c>
      <c r="I4167" t="n">
        <v>0</v>
      </c>
      <c r="J4167" t="n">
        <v>0</v>
      </c>
      <c r="K4167" t="n">
        <v>0</v>
      </c>
      <c r="L4167" t="n">
        <v>0</v>
      </c>
      <c r="M4167" t="n">
        <v>0</v>
      </c>
      <c r="N4167" t="n">
        <v>0</v>
      </c>
      <c r="O4167" t="n">
        <v>0</v>
      </c>
      <c r="P4167" t="n">
        <v>0</v>
      </c>
      <c r="Q4167" t="n">
        <v>0</v>
      </c>
      <c r="R4167" s="2" t="inlineStr"/>
    </row>
    <row r="4168" ht="15" customHeight="1">
      <c r="A4168" t="inlineStr">
        <is>
          <t>A 35906-2023</t>
        </is>
      </c>
      <c r="B4168" s="1" t="n">
        <v>45148</v>
      </c>
      <c r="C4168" s="1" t="n">
        <v>45705</v>
      </c>
      <c r="D4168" t="inlineStr">
        <is>
          <t>UPPSALA LÄN</t>
        </is>
      </c>
      <c r="E4168" t="inlineStr">
        <is>
          <t>UPPSALA</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35914-2023</t>
        </is>
      </c>
      <c r="B4169" s="1" t="n">
        <v>45148</v>
      </c>
      <c r="C4169" s="1" t="n">
        <v>45705</v>
      </c>
      <c r="D4169" t="inlineStr">
        <is>
          <t>UPPSALA LÄN</t>
        </is>
      </c>
      <c r="E4169" t="inlineStr">
        <is>
          <t>UPPSALA</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35918-2023</t>
        </is>
      </c>
      <c r="B4170" s="1" t="n">
        <v>45148</v>
      </c>
      <c r="C4170" s="1" t="n">
        <v>45705</v>
      </c>
      <c r="D4170" t="inlineStr">
        <is>
          <t>UPPSALA LÄN</t>
        </is>
      </c>
      <c r="E4170" t="inlineStr">
        <is>
          <t>ÖSTHAMMAR</t>
        </is>
      </c>
      <c r="F4170" t="inlineStr">
        <is>
          <t>Bergvik skog öst AB</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35922-2023</t>
        </is>
      </c>
      <c r="B4171" s="1" t="n">
        <v>45148</v>
      </c>
      <c r="C4171" s="1" t="n">
        <v>45705</v>
      </c>
      <c r="D4171" t="inlineStr">
        <is>
          <t>UPPSALA LÄN</t>
        </is>
      </c>
      <c r="E4171" t="inlineStr">
        <is>
          <t>UPPSALA</t>
        </is>
      </c>
      <c r="G4171" t="n">
        <v>6.9</v>
      </c>
      <c r="H4171" t="n">
        <v>0</v>
      </c>
      <c r="I4171" t="n">
        <v>0</v>
      </c>
      <c r="J4171" t="n">
        <v>0</v>
      </c>
      <c r="K4171" t="n">
        <v>0</v>
      </c>
      <c r="L4171" t="n">
        <v>0</v>
      </c>
      <c r="M4171" t="n">
        <v>0</v>
      </c>
      <c r="N4171" t="n">
        <v>0</v>
      </c>
      <c r="O4171" t="n">
        <v>0</v>
      </c>
      <c r="P4171" t="n">
        <v>0</v>
      </c>
      <c r="Q4171" t="n">
        <v>0</v>
      </c>
      <c r="R4171" s="2" t="inlineStr"/>
    </row>
    <row r="4172" ht="15" customHeight="1">
      <c r="A4172" t="inlineStr">
        <is>
          <t>A 35916-2023</t>
        </is>
      </c>
      <c r="B4172" s="1" t="n">
        <v>45148</v>
      </c>
      <c r="C4172" s="1" t="n">
        <v>45705</v>
      </c>
      <c r="D4172" t="inlineStr">
        <is>
          <t>UPPSALA LÄN</t>
        </is>
      </c>
      <c r="E4172" t="inlineStr">
        <is>
          <t>UPPSALA</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35926-2023</t>
        </is>
      </c>
      <c r="B4173" s="1" t="n">
        <v>45148</v>
      </c>
      <c r="C4173" s="1" t="n">
        <v>45705</v>
      </c>
      <c r="D4173" t="inlineStr">
        <is>
          <t>UPPSALA LÄN</t>
        </is>
      </c>
      <c r="E4173" t="inlineStr">
        <is>
          <t>TIERP</t>
        </is>
      </c>
      <c r="F4173" t="inlineStr">
        <is>
          <t>Bergvik skog öst AB</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36020-2023</t>
        </is>
      </c>
      <c r="B4174" s="1" t="n">
        <v>45149</v>
      </c>
      <c r="C4174" s="1" t="n">
        <v>45705</v>
      </c>
      <c r="D4174" t="inlineStr">
        <is>
          <t>UPPSALA LÄN</t>
        </is>
      </c>
      <c r="E4174" t="inlineStr">
        <is>
          <t>ÖSTHAMMAR</t>
        </is>
      </c>
      <c r="F4174" t="inlineStr">
        <is>
          <t>Bergvik skog öst AB</t>
        </is>
      </c>
      <c r="G4174" t="n">
        <v>6.8</v>
      </c>
      <c r="H4174" t="n">
        <v>0</v>
      </c>
      <c r="I4174" t="n">
        <v>0</v>
      </c>
      <c r="J4174" t="n">
        <v>0</v>
      </c>
      <c r="K4174" t="n">
        <v>0</v>
      </c>
      <c r="L4174" t="n">
        <v>0</v>
      </c>
      <c r="M4174" t="n">
        <v>0</v>
      </c>
      <c r="N4174" t="n">
        <v>0</v>
      </c>
      <c r="O4174" t="n">
        <v>0</v>
      </c>
      <c r="P4174" t="n">
        <v>0</v>
      </c>
      <c r="Q4174" t="n">
        <v>0</v>
      </c>
      <c r="R4174" s="2" t="inlineStr"/>
    </row>
    <row r="4175" ht="15" customHeight="1">
      <c r="A4175" t="inlineStr">
        <is>
          <t>A 36028-2023</t>
        </is>
      </c>
      <c r="B4175" s="1" t="n">
        <v>45149</v>
      </c>
      <c r="C4175" s="1" t="n">
        <v>45705</v>
      </c>
      <c r="D4175" t="inlineStr">
        <is>
          <t>UPPSALA LÄN</t>
        </is>
      </c>
      <c r="E4175" t="inlineStr">
        <is>
          <t>UPPSALA</t>
        </is>
      </c>
      <c r="F4175" t="inlineStr">
        <is>
          <t>Allmännings- och besparingsskogar</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36123-2023</t>
        </is>
      </c>
      <c r="B4176" s="1" t="n">
        <v>45149</v>
      </c>
      <c r="C4176" s="1" t="n">
        <v>45705</v>
      </c>
      <c r="D4176" t="inlineStr">
        <is>
          <t>UPPSALA LÄN</t>
        </is>
      </c>
      <c r="E4176" t="inlineStr">
        <is>
          <t>UPPSALA</t>
        </is>
      </c>
      <c r="F4176" t="inlineStr">
        <is>
          <t>Allmännings- och besparingsskogar</t>
        </is>
      </c>
      <c r="G4176" t="n">
        <v>4.2</v>
      </c>
      <c r="H4176" t="n">
        <v>0</v>
      </c>
      <c r="I4176" t="n">
        <v>0</v>
      </c>
      <c r="J4176" t="n">
        <v>0</v>
      </c>
      <c r="K4176" t="n">
        <v>0</v>
      </c>
      <c r="L4176" t="n">
        <v>0</v>
      </c>
      <c r="M4176" t="n">
        <v>0</v>
      </c>
      <c r="N4176" t="n">
        <v>0</v>
      </c>
      <c r="O4176" t="n">
        <v>0</v>
      </c>
      <c r="P4176" t="n">
        <v>0</v>
      </c>
      <c r="Q4176" t="n">
        <v>0</v>
      </c>
      <c r="R4176" s="2" t="inlineStr"/>
    </row>
    <row r="4177" ht="15" customHeight="1">
      <c r="A4177" t="inlineStr">
        <is>
          <t>A 36159-2023</t>
        </is>
      </c>
      <c r="B4177" s="1" t="n">
        <v>45149</v>
      </c>
      <c r="C4177" s="1" t="n">
        <v>45705</v>
      </c>
      <c r="D4177" t="inlineStr">
        <is>
          <t>UPPSALA LÄN</t>
        </is>
      </c>
      <c r="E4177" t="inlineStr">
        <is>
          <t>UPPSALA</t>
        </is>
      </c>
      <c r="F4177" t="inlineStr">
        <is>
          <t>Övriga statliga verk och myndigheter</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36388-2023</t>
        </is>
      </c>
      <c r="B4178" s="1" t="n">
        <v>45152</v>
      </c>
      <c r="C4178" s="1" t="n">
        <v>45705</v>
      </c>
      <c r="D4178" t="inlineStr">
        <is>
          <t>UPPSALA LÄN</t>
        </is>
      </c>
      <c r="E4178" t="inlineStr">
        <is>
          <t>UPPSALA</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36392-2023</t>
        </is>
      </c>
      <c r="B4179" s="1" t="n">
        <v>45152</v>
      </c>
      <c r="C4179" s="1" t="n">
        <v>45705</v>
      </c>
      <c r="D4179" t="inlineStr">
        <is>
          <t>UPPSALA LÄN</t>
        </is>
      </c>
      <c r="E4179" t="inlineStr">
        <is>
          <t>UPPSALA</t>
        </is>
      </c>
      <c r="G4179" t="n">
        <v>9.800000000000001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36301-2023</t>
        </is>
      </c>
      <c r="B4180" s="1" t="n">
        <v>45152</v>
      </c>
      <c r="C4180" s="1" t="n">
        <v>45705</v>
      </c>
      <c r="D4180" t="inlineStr">
        <is>
          <t>UPPSALA LÄN</t>
        </is>
      </c>
      <c r="E4180" t="inlineStr">
        <is>
          <t>ÖSTHAMMAR</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36479-2023</t>
        </is>
      </c>
      <c r="B4181" s="1" t="n">
        <v>45152</v>
      </c>
      <c r="C4181" s="1" t="n">
        <v>45705</v>
      </c>
      <c r="D4181" t="inlineStr">
        <is>
          <t>UPPSALA LÄN</t>
        </is>
      </c>
      <c r="E4181" t="inlineStr">
        <is>
          <t>UPPSALA</t>
        </is>
      </c>
      <c r="F4181" t="inlineStr">
        <is>
          <t>Allmännings- och besparingsskogar</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36478-2023</t>
        </is>
      </c>
      <c r="B4182" s="1" t="n">
        <v>45152</v>
      </c>
      <c r="C4182" s="1" t="n">
        <v>45705</v>
      </c>
      <c r="D4182" t="inlineStr">
        <is>
          <t>UPPSALA LÄN</t>
        </is>
      </c>
      <c r="E4182" t="inlineStr">
        <is>
          <t>UPPSALA</t>
        </is>
      </c>
      <c r="F4182" t="inlineStr">
        <is>
          <t>Allmännings- och besparingsskogar</t>
        </is>
      </c>
      <c r="G4182" t="n">
        <v>8.300000000000001</v>
      </c>
      <c r="H4182" t="n">
        <v>0</v>
      </c>
      <c r="I4182" t="n">
        <v>0</v>
      </c>
      <c r="J4182" t="n">
        <v>0</v>
      </c>
      <c r="K4182" t="n">
        <v>0</v>
      </c>
      <c r="L4182" t="n">
        <v>0</v>
      </c>
      <c r="M4182" t="n">
        <v>0</v>
      </c>
      <c r="N4182" t="n">
        <v>0</v>
      </c>
      <c r="O4182" t="n">
        <v>0</v>
      </c>
      <c r="P4182" t="n">
        <v>0</v>
      </c>
      <c r="Q4182" t="n">
        <v>0</v>
      </c>
      <c r="R4182" s="2" t="inlineStr"/>
    </row>
    <row r="4183" ht="15" customHeight="1">
      <c r="A4183" t="inlineStr">
        <is>
          <t>A 36438-2023</t>
        </is>
      </c>
      <c r="B4183" s="1" t="n">
        <v>45152</v>
      </c>
      <c r="C4183" s="1" t="n">
        <v>45705</v>
      </c>
      <c r="D4183" t="inlineStr">
        <is>
          <t>UPPSALA LÄN</t>
        </is>
      </c>
      <c r="E4183" t="inlineStr">
        <is>
          <t>UPPSALA</t>
        </is>
      </c>
      <c r="G4183" t="n">
        <v>5.6</v>
      </c>
      <c r="H4183" t="n">
        <v>0</v>
      </c>
      <c r="I4183" t="n">
        <v>0</v>
      </c>
      <c r="J4183" t="n">
        <v>0</v>
      </c>
      <c r="K4183" t="n">
        <v>0</v>
      </c>
      <c r="L4183" t="n">
        <v>0</v>
      </c>
      <c r="M4183" t="n">
        <v>0</v>
      </c>
      <c r="N4183" t="n">
        <v>0</v>
      </c>
      <c r="O4183" t="n">
        <v>0</v>
      </c>
      <c r="P4183" t="n">
        <v>0</v>
      </c>
      <c r="Q4183" t="n">
        <v>0</v>
      </c>
      <c r="R4183" s="2" t="inlineStr"/>
    </row>
    <row r="4184" ht="15" customHeight="1">
      <c r="A4184" t="inlineStr">
        <is>
          <t>A 36447-2023</t>
        </is>
      </c>
      <c r="B4184" s="1" t="n">
        <v>45152</v>
      </c>
      <c r="C4184" s="1" t="n">
        <v>45705</v>
      </c>
      <c r="D4184" t="inlineStr">
        <is>
          <t>UPPSALA LÄN</t>
        </is>
      </c>
      <c r="E4184" t="inlineStr">
        <is>
          <t>ÖSTHAMMAR</t>
        </is>
      </c>
      <c r="F4184" t="inlineStr">
        <is>
          <t>Bergvik skog öst AB</t>
        </is>
      </c>
      <c r="G4184" t="n">
        <v>6.5</v>
      </c>
      <c r="H4184" t="n">
        <v>0</v>
      </c>
      <c r="I4184" t="n">
        <v>0</v>
      </c>
      <c r="J4184" t="n">
        <v>0</v>
      </c>
      <c r="K4184" t="n">
        <v>0</v>
      </c>
      <c r="L4184" t="n">
        <v>0</v>
      </c>
      <c r="M4184" t="n">
        <v>0</v>
      </c>
      <c r="N4184" t="n">
        <v>0</v>
      </c>
      <c r="O4184" t="n">
        <v>0</v>
      </c>
      <c r="P4184" t="n">
        <v>0</v>
      </c>
      <c r="Q4184" t="n">
        <v>0</v>
      </c>
      <c r="R4184" s="2" t="inlineStr"/>
    </row>
    <row r="4185" ht="15" customHeight="1">
      <c r="A4185" t="inlineStr">
        <is>
          <t>A 36544-2023</t>
        </is>
      </c>
      <c r="B4185" s="1" t="n">
        <v>45153</v>
      </c>
      <c r="C4185" s="1" t="n">
        <v>45705</v>
      </c>
      <c r="D4185" t="inlineStr">
        <is>
          <t>UPPSALA LÄN</t>
        </is>
      </c>
      <c r="E4185" t="inlineStr">
        <is>
          <t>TIERP</t>
        </is>
      </c>
      <c r="F4185" t="inlineStr">
        <is>
          <t>Bergvik skog öst AB</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36738-2023</t>
        </is>
      </c>
      <c r="B4186" s="1" t="n">
        <v>45153</v>
      </c>
      <c r="C4186" s="1" t="n">
        <v>45705</v>
      </c>
      <c r="D4186" t="inlineStr">
        <is>
          <t>UPPSALA LÄN</t>
        </is>
      </c>
      <c r="E4186" t="inlineStr">
        <is>
          <t>UPPSALA</t>
        </is>
      </c>
      <c r="F4186" t="inlineStr">
        <is>
          <t>Allmännings- och besparingsskogar</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36739-2023</t>
        </is>
      </c>
      <c r="B4187" s="1" t="n">
        <v>45153</v>
      </c>
      <c r="C4187" s="1" t="n">
        <v>45705</v>
      </c>
      <c r="D4187" t="inlineStr">
        <is>
          <t>UPPSALA LÄN</t>
        </is>
      </c>
      <c r="E4187" t="inlineStr">
        <is>
          <t>UPPSALA</t>
        </is>
      </c>
      <c r="F4187" t="inlineStr">
        <is>
          <t>Allmännings- och besparingsskogar</t>
        </is>
      </c>
      <c r="G4187" t="n">
        <v>6.4</v>
      </c>
      <c r="H4187" t="n">
        <v>0</v>
      </c>
      <c r="I4187" t="n">
        <v>0</v>
      </c>
      <c r="J4187" t="n">
        <v>0</v>
      </c>
      <c r="K4187" t="n">
        <v>0</v>
      </c>
      <c r="L4187" t="n">
        <v>0</v>
      </c>
      <c r="M4187" t="n">
        <v>0</v>
      </c>
      <c r="N4187" t="n">
        <v>0</v>
      </c>
      <c r="O4187" t="n">
        <v>0</v>
      </c>
      <c r="P4187" t="n">
        <v>0</v>
      </c>
      <c r="Q4187" t="n">
        <v>0</v>
      </c>
      <c r="R4187" s="2" t="inlineStr"/>
    </row>
    <row r="4188" ht="15" customHeight="1">
      <c r="A4188" t="inlineStr">
        <is>
          <t>A 36781-2023</t>
        </is>
      </c>
      <c r="B4188" s="1" t="n">
        <v>45154</v>
      </c>
      <c r="C4188" s="1" t="n">
        <v>45705</v>
      </c>
      <c r="D4188" t="inlineStr">
        <is>
          <t>UPPSALA LÄN</t>
        </is>
      </c>
      <c r="E4188" t="inlineStr">
        <is>
          <t>UPPSALA</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36782-2023</t>
        </is>
      </c>
      <c r="B4189" s="1" t="n">
        <v>45154</v>
      </c>
      <c r="C4189" s="1" t="n">
        <v>45705</v>
      </c>
      <c r="D4189" t="inlineStr">
        <is>
          <t>UPPSALA LÄN</t>
        </is>
      </c>
      <c r="E4189" t="inlineStr">
        <is>
          <t>UPPSALA</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36860-2023</t>
        </is>
      </c>
      <c r="B4190" s="1" t="n">
        <v>45154</v>
      </c>
      <c r="C4190" s="1" t="n">
        <v>45705</v>
      </c>
      <c r="D4190" t="inlineStr">
        <is>
          <t>UPPSALA LÄN</t>
        </is>
      </c>
      <c r="E4190" t="inlineStr">
        <is>
          <t>UPPSALA</t>
        </is>
      </c>
      <c r="F4190" t="inlineStr">
        <is>
          <t>Allmännings- och besparingsskogar</t>
        </is>
      </c>
      <c r="G4190" t="n">
        <v>8.699999999999999</v>
      </c>
      <c r="H4190" t="n">
        <v>0</v>
      </c>
      <c r="I4190" t="n">
        <v>0</v>
      </c>
      <c r="J4190" t="n">
        <v>0</v>
      </c>
      <c r="K4190" t="n">
        <v>0</v>
      </c>
      <c r="L4190" t="n">
        <v>0</v>
      </c>
      <c r="M4190" t="n">
        <v>0</v>
      </c>
      <c r="N4190" t="n">
        <v>0</v>
      </c>
      <c r="O4190" t="n">
        <v>0</v>
      </c>
      <c r="P4190" t="n">
        <v>0</v>
      </c>
      <c r="Q4190" t="n">
        <v>0</v>
      </c>
      <c r="R4190" s="2" t="inlineStr"/>
    </row>
    <row r="4191" ht="15" customHeight="1">
      <c r="A4191" t="inlineStr">
        <is>
          <t>A 36861-2023</t>
        </is>
      </c>
      <c r="B4191" s="1" t="n">
        <v>45154</v>
      </c>
      <c r="C4191" s="1" t="n">
        <v>45705</v>
      </c>
      <c r="D4191" t="inlineStr">
        <is>
          <t>UPPSALA LÄN</t>
        </is>
      </c>
      <c r="E4191" t="inlineStr">
        <is>
          <t>ÖSTHAMMAR</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36857-2023</t>
        </is>
      </c>
      <c r="B4192" s="1" t="n">
        <v>45154</v>
      </c>
      <c r="C4192" s="1" t="n">
        <v>45705</v>
      </c>
      <c r="D4192" t="inlineStr">
        <is>
          <t>UPPSALA LÄN</t>
        </is>
      </c>
      <c r="E4192" t="inlineStr">
        <is>
          <t>ÖSTHAMMAR</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36904-2023</t>
        </is>
      </c>
      <c r="B4193" s="1" t="n">
        <v>45154</v>
      </c>
      <c r="C4193" s="1" t="n">
        <v>45705</v>
      </c>
      <c r="D4193" t="inlineStr">
        <is>
          <t>UPPSALA LÄN</t>
        </is>
      </c>
      <c r="E4193" t="inlineStr">
        <is>
          <t>ÖSTHAMMAR</t>
        </is>
      </c>
      <c r="F4193" t="inlineStr">
        <is>
          <t>Övriga Aktiebolag</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37021-2023</t>
        </is>
      </c>
      <c r="B4194" s="1" t="n">
        <v>45155</v>
      </c>
      <c r="C4194" s="1" t="n">
        <v>45705</v>
      </c>
      <c r="D4194" t="inlineStr">
        <is>
          <t>UPPSALA LÄN</t>
        </is>
      </c>
      <c r="E4194" t="inlineStr">
        <is>
          <t>ÖSTHAMMAR</t>
        </is>
      </c>
      <c r="F4194" t="inlineStr">
        <is>
          <t>Övriga Aktiebolag</t>
        </is>
      </c>
      <c r="G4194" t="n">
        <v>3.8</v>
      </c>
      <c r="H4194" t="n">
        <v>0</v>
      </c>
      <c r="I4194" t="n">
        <v>0</v>
      </c>
      <c r="J4194" t="n">
        <v>0</v>
      </c>
      <c r="K4194" t="n">
        <v>0</v>
      </c>
      <c r="L4194" t="n">
        <v>0</v>
      </c>
      <c r="M4194" t="n">
        <v>0</v>
      </c>
      <c r="N4194" t="n">
        <v>0</v>
      </c>
      <c r="O4194" t="n">
        <v>0</v>
      </c>
      <c r="P4194" t="n">
        <v>0</v>
      </c>
      <c r="Q4194" t="n">
        <v>0</v>
      </c>
      <c r="R4194" s="2" t="inlineStr"/>
    </row>
    <row r="4195" ht="15" customHeight="1">
      <c r="A4195" t="inlineStr">
        <is>
          <t>A 37032-2023</t>
        </is>
      </c>
      <c r="B4195" s="1" t="n">
        <v>45155</v>
      </c>
      <c r="C4195" s="1" t="n">
        <v>45705</v>
      </c>
      <c r="D4195" t="inlineStr">
        <is>
          <t>UPPSALA LÄN</t>
        </is>
      </c>
      <c r="E4195" t="inlineStr">
        <is>
          <t>ENKÖPING</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37035-2023</t>
        </is>
      </c>
      <c r="B4196" s="1" t="n">
        <v>45155</v>
      </c>
      <c r="C4196" s="1" t="n">
        <v>45705</v>
      </c>
      <c r="D4196" t="inlineStr">
        <is>
          <t>UPPSALA LÄN</t>
        </is>
      </c>
      <c r="E4196" t="inlineStr">
        <is>
          <t>ENKÖPING</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37417-2023</t>
        </is>
      </c>
      <c r="B4197" s="1" t="n">
        <v>45155</v>
      </c>
      <c r="C4197" s="1" t="n">
        <v>45705</v>
      </c>
      <c r="D4197" t="inlineStr">
        <is>
          <t>UPPSALA LÄN</t>
        </is>
      </c>
      <c r="E4197" t="inlineStr">
        <is>
          <t>HÅBO</t>
        </is>
      </c>
      <c r="G4197" t="n">
        <v>12.9</v>
      </c>
      <c r="H4197" t="n">
        <v>0</v>
      </c>
      <c r="I4197" t="n">
        <v>0</v>
      </c>
      <c r="J4197" t="n">
        <v>0</v>
      </c>
      <c r="K4197" t="n">
        <v>0</v>
      </c>
      <c r="L4197" t="n">
        <v>0</v>
      </c>
      <c r="M4197" t="n">
        <v>0</v>
      </c>
      <c r="N4197" t="n">
        <v>0</v>
      </c>
      <c r="O4197" t="n">
        <v>0</v>
      </c>
      <c r="P4197" t="n">
        <v>0</v>
      </c>
      <c r="Q4197" t="n">
        <v>0</v>
      </c>
      <c r="R4197" s="2" t="inlineStr"/>
    </row>
    <row r="4198" ht="15" customHeight="1">
      <c r="A4198" t="inlineStr">
        <is>
          <t>A 37410-2023</t>
        </is>
      </c>
      <c r="B4198" s="1" t="n">
        <v>45155</v>
      </c>
      <c r="C4198" s="1" t="n">
        <v>45705</v>
      </c>
      <c r="D4198" t="inlineStr">
        <is>
          <t>UPPSALA LÄN</t>
        </is>
      </c>
      <c r="E4198" t="inlineStr">
        <is>
          <t>HÅBO</t>
        </is>
      </c>
      <c r="G4198" t="n">
        <v>20.9</v>
      </c>
      <c r="H4198" t="n">
        <v>0</v>
      </c>
      <c r="I4198" t="n">
        <v>0</v>
      </c>
      <c r="J4198" t="n">
        <v>0</v>
      </c>
      <c r="K4198" t="n">
        <v>0</v>
      </c>
      <c r="L4198" t="n">
        <v>0</v>
      </c>
      <c r="M4198" t="n">
        <v>0</v>
      </c>
      <c r="N4198" t="n">
        <v>0</v>
      </c>
      <c r="O4198" t="n">
        <v>0</v>
      </c>
      <c r="P4198" t="n">
        <v>0</v>
      </c>
      <c r="Q4198" t="n">
        <v>0</v>
      </c>
      <c r="R4198" s="2" t="inlineStr"/>
    </row>
    <row r="4199" ht="15" customHeight="1">
      <c r="A4199" t="inlineStr">
        <is>
          <t>A 37415-2023</t>
        </is>
      </c>
      <c r="B4199" s="1" t="n">
        <v>45155</v>
      </c>
      <c r="C4199" s="1" t="n">
        <v>45705</v>
      </c>
      <c r="D4199" t="inlineStr">
        <is>
          <t>UPPSALA LÄN</t>
        </is>
      </c>
      <c r="E4199" t="inlineStr">
        <is>
          <t>HÅBO</t>
        </is>
      </c>
      <c r="G4199" t="n">
        <v>6.6</v>
      </c>
      <c r="H4199" t="n">
        <v>0</v>
      </c>
      <c r="I4199" t="n">
        <v>0</v>
      </c>
      <c r="J4199" t="n">
        <v>0</v>
      </c>
      <c r="K4199" t="n">
        <v>0</v>
      </c>
      <c r="L4199" t="n">
        <v>0</v>
      </c>
      <c r="M4199" t="n">
        <v>0</v>
      </c>
      <c r="N4199" t="n">
        <v>0</v>
      </c>
      <c r="O4199" t="n">
        <v>0</v>
      </c>
      <c r="P4199" t="n">
        <v>0</v>
      </c>
      <c r="Q4199" t="n">
        <v>0</v>
      </c>
      <c r="R4199" s="2" t="inlineStr"/>
    </row>
    <row r="4200" ht="15" customHeight="1">
      <c r="A4200" t="inlineStr">
        <is>
          <t>A 37296-2023</t>
        </is>
      </c>
      <c r="B4200" s="1" t="n">
        <v>45156</v>
      </c>
      <c r="C4200" s="1" t="n">
        <v>45705</v>
      </c>
      <c r="D4200" t="inlineStr">
        <is>
          <t>UPPSALA LÄN</t>
        </is>
      </c>
      <c r="E4200" t="inlineStr">
        <is>
          <t>ÖSTHAMMAR</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37350-2023</t>
        </is>
      </c>
      <c r="B4201" s="1" t="n">
        <v>45156</v>
      </c>
      <c r="C4201" s="1" t="n">
        <v>45705</v>
      </c>
      <c r="D4201" t="inlineStr">
        <is>
          <t>UPPSALA LÄN</t>
        </is>
      </c>
      <c r="E4201" t="inlineStr">
        <is>
          <t>ENKÖPING</t>
        </is>
      </c>
      <c r="G4201" t="n">
        <v>3.4</v>
      </c>
      <c r="H4201" t="n">
        <v>0</v>
      </c>
      <c r="I4201" t="n">
        <v>0</v>
      </c>
      <c r="J4201" t="n">
        <v>0</v>
      </c>
      <c r="K4201" t="n">
        <v>0</v>
      </c>
      <c r="L4201" t="n">
        <v>0</v>
      </c>
      <c r="M4201" t="n">
        <v>0</v>
      </c>
      <c r="N4201" t="n">
        <v>0</v>
      </c>
      <c r="O4201" t="n">
        <v>0</v>
      </c>
      <c r="P4201" t="n">
        <v>0</v>
      </c>
      <c r="Q4201" t="n">
        <v>0</v>
      </c>
      <c r="R4201" s="2" t="inlineStr"/>
    </row>
    <row r="4202" ht="15" customHeight="1">
      <c r="A4202" t="inlineStr">
        <is>
          <t>A 37353-2023</t>
        </is>
      </c>
      <c r="B4202" s="1" t="n">
        <v>45156</v>
      </c>
      <c r="C4202" s="1" t="n">
        <v>45705</v>
      </c>
      <c r="D4202" t="inlineStr">
        <is>
          <t>UPPSALA LÄN</t>
        </is>
      </c>
      <c r="E4202" t="inlineStr">
        <is>
          <t>ENKÖPING</t>
        </is>
      </c>
      <c r="G4202" t="n">
        <v>5.8</v>
      </c>
      <c r="H4202" t="n">
        <v>0</v>
      </c>
      <c r="I4202" t="n">
        <v>0</v>
      </c>
      <c r="J4202" t="n">
        <v>0</v>
      </c>
      <c r="K4202" t="n">
        <v>0</v>
      </c>
      <c r="L4202" t="n">
        <v>0</v>
      </c>
      <c r="M4202" t="n">
        <v>0</v>
      </c>
      <c r="N4202" t="n">
        <v>0</v>
      </c>
      <c r="O4202" t="n">
        <v>0</v>
      </c>
      <c r="P4202" t="n">
        <v>0</v>
      </c>
      <c r="Q4202" t="n">
        <v>0</v>
      </c>
      <c r="R4202" s="2" t="inlineStr"/>
    </row>
    <row r="4203" ht="15" customHeight="1">
      <c r="A4203" t="inlineStr">
        <is>
          <t>A 37478-2023</t>
        </is>
      </c>
      <c r="B4203" s="1" t="n">
        <v>45157</v>
      </c>
      <c r="C4203" s="1" t="n">
        <v>45705</v>
      </c>
      <c r="D4203" t="inlineStr">
        <is>
          <t>UPPSALA LÄN</t>
        </is>
      </c>
      <c r="E4203" t="inlineStr">
        <is>
          <t>ÖSTHAMMAR</t>
        </is>
      </c>
      <c r="F4203" t="inlineStr">
        <is>
          <t>Bergvik skog öst AB</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37493-2023</t>
        </is>
      </c>
      <c r="B4204" s="1" t="n">
        <v>45157</v>
      </c>
      <c r="C4204" s="1" t="n">
        <v>45705</v>
      </c>
      <c r="D4204" t="inlineStr">
        <is>
          <t>UPPSALA LÄN</t>
        </is>
      </c>
      <c r="E4204" t="inlineStr">
        <is>
          <t>ÖSTHAMMAR</t>
        </is>
      </c>
      <c r="F4204" t="inlineStr">
        <is>
          <t>Bergvik skog öst AB</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37494-2023</t>
        </is>
      </c>
      <c r="B4205" s="1" t="n">
        <v>45157</v>
      </c>
      <c r="C4205" s="1" t="n">
        <v>45705</v>
      </c>
      <c r="D4205" t="inlineStr">
        <is>
          <t>UPPSALA LÄN</t>
        </is>
      </c>
      <c r="E4205" t="inlineStr">
        <is>
          <t>ÖSTHAMMAR</t>
        </is>
      </c>
      <c r="F4205" t="inlineStr">
        <is>
          <t>Bergvik skog öst AB</t>
        </is>
      </c>
      <c r="G4205" t="n">
        <v>9.800000000000001</v>
      </c>
      <c r="H4205" t="n">
        <v>0</v>
      </c>
      <c r="I4205" t="n">
        <v>0</v>
      </c>
      <c r="J4205" t="n">
        <v>0</v>
      </c>
      <c r="K4205" t="n">
        <v>0</v>
      </c>
      <c r="L4205" t="n">
        <v>0</v>
      </c>
      <c r="M4205" t="n">
        <v>0</v>
      </c>
      <c r="N4205" t="n">
        <v>0</v>
      </c>
      <c r="O4205" t="n">
        <v>0</v>
      </c>
      <c r="P4205" t="n">
        <v>0</v>
      </c>
      <c r="Q4205" t="n">
        <v>0</v>
      </c>
      <c r="R4205" s="2" t="inlineStr"/>
    </row>
    <row r="4206" ht="15" customHeight="1">
      <c r="A4206" t="inlineStr">
        <is>
          <t>A 37347-2023</t>
        </is>
      </c>
      <c r="B4206" s="1" t="n">
        <v>45156</v>
      </c>
      <c r="C4206" s="1" t="n">
        <v>45705</v>
      </c>
      <c r="D4206" t="inlineStr">
        <is>
          <t>UPPSALA LÄN</t>
        </is>
      </c>
      <c r="E4206" t="inlineStr">
        <is>
          <t>ENKÖPING</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37850-2023</t>
        </is>
      </c>
      <c r="B4207" s="1" t="n">
        <v>45156</v>
      </c>
      <c r="C4207" s="1" t="n">
        <v>45705</v>
      </c>
      <c r="D4207" t="inlineStr">
        <is>
          <t>UPPSALA LÄN</t>
        </is>
      </c>
      <c r="E4207" t="inlineStr">
        <is>
          <t>HEBY</t>
        </is>
      </c>
      <c r="F4207" t="inlineStr">
        <is>
          <t>Bergvik skog väst AB</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37626-2023</t>
        </is>
      </c>
      <c r="B4208" s="1" t="n">
        <v>45159</v>
      </c>
      <c r="C4208" s="1" t="n">
        <v>45705</v>
      </c>
      <c r="D4208" t="inlineStr">
        <is>
          <t>UPPSALA LÄN</t>
        </is>
      </c>
      <c r="E4208" t="inlineStr">
        <is>
          <t>UPPSALA</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37618-2023</t>
        </is>
      </c>
      <c r="B4209" s="1" t="n">
        <v>45159</v>
      </c>
      <c r="C4209" s="1" t="n">
        <v>45705</v>
      </c>
      <c r="D4209" t="inlineStr">
        <is>
          <t>UPPSALA LÄN</t>
        </is>
      </c>
      <c r="E4209" t="inlineStr">
        <is>
          <t>UPPSALA</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37866-2023</t>
        </is>
      </c>
      <c r="B4210" s="1" t="n">
        <v>45160</v>
      </c>
      <c r="C4210" s="1" t="n">
        <v>45705</v>
      </c>
      <c r="D4210" t="inlineStr">
        <is>
          <t>UPPSALA LÄN</t>
        </is>
      </c>
      <c r="E4210" t="inlineStr">
        <is>
          <t>ENKÖPING</t>
        </is>
      </c>
      <c r="G4210" t="n">
        <v>7.2</v>
      </c>
      <c r="H4210" t="n">
        <v>0</v>
      </c>
      <c r="I4210" t="n">
        <v>0</v>
      </c>
      <c r="J4210" t="n">
        <v>0</v>
      </c>
      <c r="K4210" t="n">
        <v>0</v>
      </c>
      <c r="L4210" t="n">
        <v>0</v>
      </c>
      <c r="M4210" t="n">
        <v>0</v>
      </c>
      <c r="N4210" t="n">
        <v>0</v>
      </c>
      <c r="O4210" t="n">
        <v>0</v>
      </c>
      <c r="P4210" t="n">
        <v>0</v>
      </c>
      <c r="Q4210" t="n">
        <v>0</v>
      </c>
      <c r="R4210" s="2" t="inlineStr"/>
    </row>
    <row r="4211" ht="15" customHeight="1">
      <c r="A4211" t="inlineStr">
        <is>
          <t>A 37870-2023</t>
        </is>
      </c>
      <c r="B4211" s="1" t="n">
        <v>45160</v>
      </c>
      <c r="C4211" s="1" t="n">
        <v>45705</v>
      </c>
      <c r="D4211" t="inlineStr">
        <is>
          <t>UPPSALA LÄN</t>
        </is>
      </c>
      <c r="E4211" t="inlineStr">
        <is>
          <t>ENKÖPING</t>
        </is>
      </c>
      <c r="G4211" t="n">
        <v>3.5</v>
      </c>
      <c r="H4211" t="n">
        <v>0</v>
      </c>
      <c r="I4211" t="n">
        <v>0</v>
      </c>
      <c r="J4211" t="n">
        <v>0</v>
      </c>
      <c r="K4211" t="n">
        <v>0</v>
      </c>
      <c r="L4211" t="n">
        <v>0</v>
      </c>
      <c r="M4211" t="n">
        <v>0</v>
      </c>
      <c r="N4211" t="n">
        <v>0</v>
      </c>
      <c r="O4211" t="n">
        <v>0</v>
      </c>
      <c r="P4211" t="n">
        <v>0</v>
      </c>
      <c r="Q4211" t="n">
        <v>0</v>
      </c>
      <c r="R4211" s="2" t="inlineStr"/>
    </row>
    <row r="4212" ht="15" customHeight="1">
      <c r="A4212" t="inlineStr">
        <is>
          <t>A 37863-2023</t>
        </is>
      </c>
      <c r="B4212" s="1" t="n">
        <v>45160</v>
      </c>
      <c r="C4212" s="1" t="n">
        <v>45705</v>
      </c>
      <c r="D4212" t="inlineStr">
        <is>
          <t>UPPSALA LÄN</t>
        </is>
      </c>
      <c r="E4212" t="inlineStr">
        <is>
          <t>ÖSTHAMMAR</t>
        </is>
      </c>
      <c r="G4212" t="n">
        <v>9.699999999999999</v>
      </c>
      <c r="H4212" t="n">
        <v>0</v>
      </c>
      <c r="I4212" t="n">
        <v>0</v>
      </c>
      <c r="J4212" t="n">
        <v>0</v>
      </c>
      <c r="K4212" t="n">
        <v>0</v>
      </c>
      <c r="L4212" t="n">
        <v>0</v>
      </c>
      <c r="M4212" t="n">
        <v>0</v>
      </c>
      <c r="N4212" t="n">
        <v>0</v>
      </c>
      <c r="O4212" t="n">
        <v>0</v>
      </c>
      <c r="P4212" t="n">
        <v>0</v>
      </c>
      <c r="Q4212" t="n">
        <v>0</v>
      </c>
      <c r="R4212" s="2" t="inlineStr"/>
    </row>
    <row r="4213" ht="15" customHeight="1">
      <c r="A4213" t="inlineStr">
        <is>
          <t>A 37865-2023</t>
        </is>
      </c>
      <c r="B4213" s="1" t="n">
        <v>45160</v>
      </c>
      <c r="C4213" s="1" t="n">
        <v>45705</v>
      </c>
      <c r="D4213" t="inlineStr">
        <is>
          <t>UPPSALA LÄN</t>
        </is>
      </c>
      <c r="E4213" t="inlineStr">
        <is>
          <t>ÖSTHAMMAR</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38039-2023</t>
        </is>
      </c>
      <c r="B4214" s="1" t="n">
        <v>45160</v>
      </c>
      <c r="C4214" s="1" t="n">
        <v>45705</v>
      </c>
      <c r="D4214" t="inlineStr">
        <is>
          <t>UPPSALA LÄN</t>
        </is>
      </c>
      <c r="E4214" t="inlineStr">
        <is>
          <t>ÖSTHAMMAR</t>
        </is>
      </c>
      <c r="F4214" t="inlineStr">
        <is>
          <t>Bergvik skog öst AB</t>
        </is>
      </c>
      <c r="G4214" t="n">
        <v>6.2</v>
      </c>
      <c r="H4214" t="n">
        <v>0</v>
      </c>
      <c r="I4214" t="n">
        <v>0</v>
      </c>
      <c r="J4214" t="n">
        <v>0</v>
      </c>
      <c r="K4214" t="n">
        <v>0</v>
      </c>
      <c r="L4214" t="n">
        <v>0</v>
      </c>
      <c r="M4214" t="n">
        <v>0</v>
      </c>
      <c r="N4214" t="n">
        <v>0</v>
      </c>
      <c r="O4214" t="n">
        <v>0</v>
      </c>
      <c r="P4214" t="n">
        <v>0</v>
      </c>
      <c r="Q4214" t="n">
        <v>0</v>
      </c>
      <c r="R4214" s="2" t="inlineStr"/>
    </row>
    <row r="4215" ht="15" customHeight="1">
      <c r="A4215" t="inlineStr">
        <is>
          <t>A 38016-2023</t>
        </is>
      </c>
      <c r="B4215" s="1" t="n">
        <v>45160</v>
      </c>
      <c r="C4215" s="1" t="n">
        <v>45705</v>
      </c>
      <c r="D4215" t="inlineStr">
        <is>
          <t>UPPSALA LÄN</t>
        </is>
      </c>
      <c r="E4215" t="inlineStr">
        <is>
          <t>UPPSALA</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38228-2023</t>
        </is>
      </c>
      <c r="B4216" s="1" t="n">
        <v>45160</v>
      </c>
      <c r="C4216" s="1" t="n">
        <v>45705</v>
      </c>
      <c r="D4216" t="inlineStr">
        <is>
          <t>UPPSALA LÄN</t>
        </is>
      </c>
      <c r="E4216" t="inlineStr">
        <is>
          <t>ÖSTHAMMAR</t>
        </is>
      </c>
      <c r="G4216" t="n">
        <v>19.2</v>
      </c>
      <c r="H4216" t="n">
        <v>0</v>
      </c>
      <c r="I4216" t="n">
        <v>0</v>
      </c>
      <c r="J4216" t="n">
        <v>0</v>
      </c>
      <c r="K4216" t="n">
        <v>0</v>
      </c>
      <c r="L4216" t="n">
        <v>0</v>
      </c>
      <c r="M4216" t="n">
        <v>0</v>
      </c>
      <c r="N4216" t="n">
        <v>0</v>
      </c>
      <c r="O4216" t="n">
        <v>0</v>
      </c>
      <c r="P4216" t="n">
        <v>0</v>
      </c>
      <c r="Q4216" t="n">
        <v>0</v>
      </c>
      <c r="R4216" s="2" t="inlineStr"/>
    </row>
    <row r="4217" ht="15" customHeight="1">
      <c r="A4217" t="inlineStr">
        <is>
          <t>A 38127-2023</t>
        </is>
      </c>
      <c r="B4217" s="1" t="n">
        <v>45161</v>
      </c>
      <c r="C4217" s="1" t="n">
        <v>45705</v>
      </c>
      <c r="D4217" t="inlineStr">
        <is>
          <t>UPPSALA LÄN</t>
        </is>
      </c>
      <c r="E4217" t="inlineStr">
        <is>
          <t>ÖSTHAMMAR</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38162-2023</t>
        </is>
      </c>
      <c r="B4218" s="1" t="n">
        <v>45161</v>
      </c>
      <c r="C4218" s="1" t="n">
        <v>45705</v>
      </c>
      <c r="D4218" t="inlineStr">
        <is>
          <t>UPPSALA LÄN</t>
        </is>
      </c>
      <c r="E4218" t="inlineStr">
        <is>
          <t>ÖSTHAMMAR</t>
        </is>
      </c>
      <c r="F4218" t="inlineStr">
        <is>
          <t>Övriga Aktiebolag</t>
        </is>
      </c>
      <c r="G4218" t="n">
        <v>3.5</v>
      </c>
      <c r="H4218" t="n">
        <v>0</v>
      </c>
      <c r="I4218" t="n">
        <v>0</v>
      </c>
      <c r="J4218" t="n">
        <v>0</v>
      </c>
      <c r="K4218" t="n">
        <v>0</v>
      </c>
      <c r="L4218" t="n">
        <v>0</v>
      </c>
      <c r="M4218" t="n">
        <v>0</v>
      </c>
      <c r="N4218" t="n">
        <v>0</v>
      </c>
      <c r="O4218" t="n">
        <v>0</v>
      </c>
      <c r="P4218" t="n">
        <v>0</v>
      </c>
      <c r="Q4218" t="n">
        <v>0</v>
      </c>
      <c r="R4218" s="2" t="inlineStr"/>
    </row>
    <row r="4219" ht="15" customHeight="1">
      <c r="A4219" t="inlineStr">
        <is>
          <t>A 38128-2023</t>
        </is>
      </c>
      <c r="B4219" s="1" t="n">
        <v>45161</v>
      </c>
      <c r="C4219" s="1" t="n">
        <v>45705</v>
      </c>
      <c r="D4219" t="inlineStr">
        <is>
          <t>UPPSALA LÄN</t>
        </is>
      </c>
      <c r="E4219" t="inlineStr">
        <is>
          <t>ÖSTHAMMAR</t>
        </is>
      </c>
      <c r="F4219" t="inlineStr">
        <is>
          <t>Övriga Aktiebolag</t>
        </is>
      </c>
      <c r="G4219" t="n">
        <v>5</v>
      </c>
      <c r="H4219" t="n">
        <v>0</v>
      </c>
      <c r="I4219" t="n">
        <v>0</v>
      </c>
      <c r="J4219" t="n">
        <v>0</v>
      </c>
      <c r="K4219" t="n">
        <v>0</v>
      </c>
      <c r="L4219" t="n">
        <v>0</v>
      </c>
      <c r="M4219" t="n">
        <v>0</v>
      </c>
      <c r="N4219" t="n">
        <v>0</v>
      </c>
      <c r="O4219" t="n">
        <v>0</v>
      </c>
      <c r="P4219" t="n">
        <v>0</v>
      </c>
      <c r="Q4219" t="n">
        <v>0</v>
      </c>
      <c r="R4219" s="2" t="inlineStr"/>
    </row>
    <row r="4220" ht="15" customHeight="1">
      <c r="A4220" t="inlineStr">
        <is>
          <t>A 38190-2023</t>
        </is>
      </c>
      <c r="B4220" s="1" t="n">
        <v>45161</v>
      </c>
      <c r="C4220" s="1" t="n">
        <v>45705</v>
      </c>
      <c r="D4220" t="inlineStr">
        <is>
          <t>UPPSALA LÄN</t>
        </is>
      </c>
      <c r="E4220" t="inlineStr">
        <is>
          <t>UPPSALA</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38306-2023</t>
        </is>
      </c>
      <c r="B4221" s="1" t="n">
        <v>45161</v>
      </c>
      <c r="C4221" s="1" t="n">
        <v>45705</v>
      </c>
      <c r="D4221" t="inlineStr">
        <is>
          <t>UPPSALA LÄN</t>
        </is>
      </c>
      <c r="E4221" t="inlineStr">
        <is>
          <t>ÄLVKARLEBY</t>
        </is>
      </c>
      <c r="F4221" t="inlineStr">
        <is>
          <t>Bergvik skog väst AB</t>
        </is>
      </c>
      <c r="G4221" t="n">
        <v>18.6</v>
      </c>
      <c r="H4221" t="n">
        <v>0</v>
      </c>
      <c r="I4221" t="n">
        <v>0</v>
      </c>
      <c r="J4221" t="n">
        <v>0</v>
      </c>
      <c r="K4221" t="n">
        <v>0</v>
      </c>
      <c r="L4221" t="n">
        <v>0</v>
      </c>
      <c r="M4221" t="n">
        <v>0</v>
      </c>
      <c r="N4221" t="n">
        <v>0</v>
      </c>
      <c r="O4221" t="n">
        <v>0</v>
      </c>
      <c r="P4221" t="n">
        <v>0</v>
      </c>
      <c r="Q4221" t="n">
        <v>0</v>
      </c>
      <c r="R4221" s="2" t="inlineStr"/>
    </row>
    <row r="4222" ht="15" customHeight="1">
      <c r="A4222" t="inlineStr">
        <is>
          <t>A 38297-2023</t>
        </is>
      </c>
      <c r="B4222" s="1" t="n">
        <v>45161</v>
      </c>
      <c r="C4222" s="1" t="n">
        <v>45705</v>
      </c>
      <c r="D4222" t="inlineStr">
        <is>
          <t>UPPSALA LÄN</t>
        </is>
      </c>
      <c r="E4222" t="inlineStr">
        <is>
          <t>TIERP</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38226-2023</t>
        </is>
      </c>
      <c r="B4223" s="1" t="n">
        <v>45161</v>
      </c>
      <c r="C4223" s="1" t="n">
        <v>45705</v>
      </c>
      <c r="D4223" t="inlineStr">
        <is>
          <t>UPPSALA LÄN</t>
        </is>
      </c>
      <c r="E4223" t="inlineStr">
        <is>
          <t>ÄLVKARLEBY</t>
        </is>
      </c>
      <c r="F4223" t="inlineStr">
        <is>
          <t>Bergvik skog väst AB</t>
        </is>
      </c>
      <c r="G4223" t="n">
        <v>4.5</v>
      </c>
      <c r="H4223" t="n">
        <v>0</v>
      </c>
      <c r="I4223" t="n">
        <v>0</v>
      </c>
      <c r="J4223" t="n">
        <v>0</v>
      </c>
      <c r="K4223" t="n">
        <v>0</v>
      </c>
      <c r="L4223" t="n">
        <v>0</v>
      </c>
      <c r="M4223" t="n">
        <v>0</v>
      </c>
      <c r="N4223" t="n">
        <v>0</v>
      </c>
      <c r="O4223" t="n">
        <v>0</v>
      </c>
      <c r="P4223" t="n">
        <v>0</v>
      </c>
      <c r="Q4223" t="n">
        <v>0</v>
      </c>
      <c r="R4223" s="2" t="inlineStr"/>
    </row>
    <row r="4224" ht="15" customHeight="1">
      <c r="A4224" t="inlineStr">
        <is>
          <t>A 38105-2023</t>
        </is>
      </c>
      <c r="B4224" s="1" t="n">
        <v>45161</v>
      </c>
      <c r="C4224" s="1" t="n">
        <v>45705</v>
      </c>
      <c r="D4224" t="inlineStr">
        <is>
          <t>UPPSALA LÄN</t>
        </is>
      </c>
      <c r="E4224" t="inlineStr">
        <is>
          <t>TIERP</t>
        </is>
      </c>
      <c r="F4224" t="inlineStr">
        <is>
          <t>Bergvik skog öst AB</t>
        </is>
      </c>
      <c r="G4224" t="n">
        <v>15.1</v>
      </c>
      <c r="H4224" t="n">
        <v>0</v>
      </c>
      <c r="I4224" t="n">
        <v>0</v>
      </c>
      <c r="J4224" t="n">
        <v>0</v>
      </c>
      <c r="K4224" t="n">
        <v>0</v>
      </c>
      <c r="L4224" t="n">
        <v>0</v>
      </c>
      <c r="M4224" t="n">
        <v>0</v>
      </c>
      <c r="N4224" t="n">
        <v>0</v>
      </c>
      <c r="O4224" t="n">
        <v>0</v>
      </c>
      <c r="P4224" t="n">
        <v>0</v>
      </c>
      <c r="Q4224" t="n">
        <v>0</v>
      </c>
      <c r="R4224" s="2" t="inlineStr"/>
    </row>
    <row r="4225" ht="15" customHeight="1">
      <c r="A4225" t="inlineStr">
        <is>
          <t>A 38109-2023</t>
        </is>
      </c>
      <c r="B4225" s="1" t="n">
        <v>45161</v>
      </c>
      <c r="C4225" s="1" t="n">
        <v>45705</v>
      </c>
      <c r="D4225" t="inlineStr">
        <is>
          <t>UPPSALA LÄN</t>
        </is>
      </c>
      <c r="E4225" t="inlineStr">
        <is>
          <t>TIERP</t>
        </is>
      </c>
      <c r="F4225" t="inlineStr">
        <is>
          <t>Bergvik skog öst AB</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38298-2023</t>
        </is>
      </c>
      <c r="B4226" s="1" t="n">
        <v>45161</v>
      </c>
      <c r="C4226" s="1" t="n">
        <v>45705</v>
      </c>
      <c r="D4226" t="inlineStr">
        <is>
          <t>UPPSALA LÄN</t>
        </is>
      </c>
      <c r="E4226" t="inlineStr">
        <is>
          <t>TIERP</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38464-2023</t>
        </is>
      </c>
      <c r="B4227" s="1" t="n">
        <v>45162</v>
      </c>
      <c r="C4227" s="1" t="n">
        <v>45705</v>
      </c>
      <c r="D4227" t="inlineStr">
        <is>
          <t>UPPSALA LÄN</t>
        </is>
      </c>
      <c r="E4227" t="inlineStr">
        <is>
          <t>TIERP</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38524-2023</t>
        </is>
      </c>
      <c r="B4228" s="1" t="n">
        <v>45162</v>
      </c>
      <c r="C4228" s="1" t="n">
        <v>45705</v>
      </c>
      <c r="D4228" t="inlineStr">
        <is>
          <t>UPPSALA LÄN</t>
        </is>
      </c>
      <c r="E4228" t="inlineStr">
        <is>
          <t>TIERP</t>
        </is>
      </c>
      <c r="F4228" t="inlineStr">
        <is>
          <t>Bergvik skog väst AB</t>
        </is>
      </c>
      <c r="G4228" t="n">
        <v>7.7</v>
      </c>
      <c r="H4228" t="n">
        <v>0</v>
      </c>
      <c r="I4228" t="n">
        <v>0</v>
      </c>
      <c r="J4228" t="n">
        <v>0</v>
      </c>
      <c r="K4228" t="n">
        <v>0</v>
      </c>
      <c r="L4228" t="n">
        <v>0</v>
      </c>
      <c r="M4228" t="n">
        <v>0</v>
      </c>
      <c r="N4228" t="n">
        <v>0</v>
      </c>
      <c r="O4228" t="n">
        <v>0</v>
      </c>
      <c r="P4228" t="n">
        <v>0</v>
      </c>
      <c r="Q4228" t="n">
        <v>0</v>
      </c>
      <c r="R4228" s="2" t="inlineStr"/>
    </row>
    <row r="4229" ht="15" customHeight="1">
      <c r="A4229" t="inlineStr">
        <is>
          <t>A 38454-2023</t>
        </is>
      </c>
      <c r="B4229" s="1" t="n">
        <v>45162</v>
      </c>
      <c r="C4229" s="1" t="n">
        <v>45705</v>
      </c>
      <c r="D4229" t="inlineStr">
        <is>
          <t>UPPSALA LÄN</t>
        </is>
      </c>
      <c r="E4229" t="inlineStr">
        <is>
          <t>ÄLVKARLEBY</t>
        </is>
      </c>
      <c r="F4229" t="inlineStr">
        <is>
          <t>Bergvik skog väst AB</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38499-2023</t>
        </is>
      </c>
      <c r="B4230" s="1" t="n">
        <v>45162</v>
      </c>
      <c r="C4230" s="1" t="n">
        <v>45705</v>
      </c>
      <c r="D4230" t="inlineStr">
        <is>
          <t>UPPSALA LÄN</t>
        </is>
      </c>
      <c r="E4230" t="inlineStr">
        <is>
          <t>HEBY</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38453-2023</t>
        </is>
      </c>
      <c r="B4231" s="1" t="n">
        <v>45162</v>
      </c>
      <c r="C4231" s="1" t="n">
        <v>45705</v>
      </c>
      <c r="D4231" t="inlineStr">
        <is>
          <t>UPPSALA LÄN</t>
        </is>
      </c>
      <c r="E4231" t="inlineStr">
        <is>
          <t>ÄLVKARLEBY</t>
        </is>
      </c>
      <c r="F4231" t="inlineStr">
        <is>
          <t>Bergvik skog väst AB</t>
        </is>
      </c>
      <c r="G4231" t="n">
        <v>3.7</v>
      </c>
      <c r="H4231" t="n">
        <v>0</v>
      </c>
      <c r="I4231" t="n">
        <v>0</v>
      </c>
      <c r="J4231" t="n">
        <v>0</v>
      </c>
      <c r="K4231" t="n">
        <v>0</v>
      </c>
      <c r="L4231" t="n">
        <v>0</v>
      </c>
      <c r="M4231" t="n">
        <v>0</v>
      </c>
      <c r="N4231" t="n">
        <v>0</v>
      </c>
      <c r="O4231" t="n">
        <v>0</v>
      </c>
      <c r="P4231" t="n">
        <v>0</v>
      </c>
      <c r="Q4231" t="n">
        <v>0</v>
      </c>
      <c r="R4231" s="2" t="inlineStr"/>
    </row>
    <row r="4232" ht="15" customHeight="1">
      <c r="A4232" t="inlineStr">
        <is>
          <t>A 38461-2023</t>
        </is>
      </c>
      <c r="B4232" s="1" t="n">
        <v>45162</v>
      </c>
      <c r="C4232" s="1" t="n">
        <v>45705</v>
      </c>
      <c r="D4232" t="inlineStr">
        <is>
          <t>UPPSALA LÄN</t>
        </is>
      </c>
      <c r="E4232" t="inlineStr">
        <is>
          <t>ÄLVKARLEBY</t>
        </is>
      </c>
      <c r="F4232" t="inlineStr">
        <is>
          <t>Bergvik skog väst AB</t>
        </is>
      </c>
      <c r="G4232" t="n">
        <v>17.8</v>
      </c>
      <c r="H4232" t="n">
        <v>0</v>
      </c>
      <c r="I4232" t="n">
        <v>0</v>
      </c>
      <c r="J4232" t="n">
        <v>0</v>
      </c>
      <c r="K4232" t="n">
        <v>0</v>
      </c>
      <c r="L4232" t="n">
        <v>0</v>
      </c>
      <c r="M4232" t="n">
        <v>0</v>
      </c>
      <c r="N4232" t="n">
        <v>0</v>
      </c>
      <c r="O4232" t="n">
        <v>0</v>
      </c>
      <c r="P4232" t="n">
        <v>0</v>
      </c>
      <c r="Q4232" t="n">
        <v>0</v>
      </c>
      <c r="R4232" s="2" t="inlineStr"/>
    </row>
    <row r="4233" ht="15" customHeight="1">
      <c r="A4233" t="inlineStr">
        <is>
          <t>A 38493-2023</t>
        </is>
      </c>
      <c r="B4233" s="1" t="n">
        <v>45162</v>
      </c>
      <c r="C4233" s="1" t="n">
        <v>45705</v>
      </c>
      <c r="D4233" t="inlineStr">
        <is>
          <t>UPPSALA LÄN</t>
        </is>
      </c>
      <c r="E4233" t="inlineStr">
        <is>
          <t>UPPSALA</t>
        </is>
      </c>
      <c r="F4233" t="inlineStr">
        <is>
          <t>Allmännings- och besparingsskogar</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38584-2023</t>
        </is>
      </c>
      <c r="B4234" s="1" t="n">
        <v>45162</v>
      </c>
      <c r="C4234" s="1" t="n">
        <v>45705</v>
      </c>
      <c r="D4234" t="inlineStr">
        <is>
          <t>UPPSALA LÄN</t>
        </is>
      </c>
      <c r="E4234" t="inlineStr">
        <is>
          <t>KNIVSTA</t>
        </is>
      </c>
      <c r="F4234" t="inlineStr">
        <is>
          <t>Holmen skog AB</t>
        </is>
      </c>
      <c r="G4234" t="n">
        <v>6</v>
      </c>
      <c r="H4234" t="n">
        <v>0</v>
      </c>
      <c r="I4234" t="n">
        <v>0</v>
      </c>
      <c r="J4234" t="n">
        <v>0</v>
      </c>
      <c r="K4234" t="n">
        <v>0</v>
      </c>
      <c r="L4234" t="n">
        <v>0</v>
      </c>
      <c r="M4234" t="n">
        <v>0</v>
      </c>
      <c r="N4234" t="n">
        <v>0</v>
      </c>
      <c r="O4234" t="n">
        <v>0</v>
      </c>
      <c r="P4234" t="n">
        <v>0</v>
      </c>
      <c r="Q4234" t="n">
        <v>0</v>
      </c>
      <c r="R4234" s="2" t="inlineStr"/>
    </row>
    <row r="4235" ht="15" customHeight="1">
      <c r="A4235" t="inlineStr">
        <is>
          <t>A 38600-2023</t>
        </is>
      </c>
      <c r="B4235" s="1" t="n">
        <v>45162</v>
      </c>
      <c r="C4235" s="1" t="n">
        <v>45705</v>
      </c>
      <c r="D4235" t="inlineStr">
        <is>
          <t>UPPSALA LÄN</t>
        </is>
      </c>
      <c r="E4235" t="inlineStr">
        <is>
          <t>ÖSTHAMMAR</t>
        </is>
      </c>
      <c r="F4235" t="inlineStr">
        <is>
          <t>Bergvik skog väst AB</t>
        </is>
      </c>
      <c r="G4235" t="n">
        <v>0.1</v>
      </c>
      <c r="H4235" t="n">
        <v>0</v>
      </c>
      <c r="I4235" t="n">
        <v>0</v>
      </c>
      <c r="J4235" t="n">
        <v>0</v>
      </c>
      <c r="K4235" t="n">
        <v>0</v>
      </c>
      <c r="L4235" t="n">
        <v>0</v>
      </c>
      <c r="M4235" t="n">
        <v>0</v>
      </c>
      <c r="N4235" t="n">
        <v>0</v>
      </c>
      <c r="O4235" t="n">
        <v>0</v>
      </c>
      <c r="P4235" t="n">
        <v>0</v>
      </c>
      <c r="Q4235" t="n">
        <v>0</v>
      </c>
      <c r="R4235" s="2" t="inlineStr"/>
    </row>
    <row r="4236" ht="15" customHeight="1">
      <c r="A4236" t="inlineStr">
        <is>
          <t>A 38644-2023</t>
        </is>
      </c>
      <c r="B4236" s="1" t="n">
        <v>45162</v>
      </c>
      <c r="C4236" s="1" t="n">
        <v>45705</v>
      </c>
      <c r="D4236" t="inlineStr">
        <is>
          <t>UPPSALA LÄN</t>
        </is>
      </c>
      <c r="E4236" t="inlineStr">
        <is>
          <t>UPPSALA</t>
        </is>
      </c>
      <c r="G4236" t="n">
        <v>2.8</v>
      </c>
      <c r="H4236" t="n">
        <v>0</v>
      </c>
      <c r="I4236" t="n">
        <v>0</v>
      </c>
      <c r="J4236" t="n">
        <v>0</v>
      </c>
      <c r="K4236" t="n">
        <v>0</v>
      </c>
      <c r="L4236" t="n">
        <v>0</v>
      </c>
      <c r="M4236" t="n">
        <v>0</v>
      </c>
      <c r="N4236" t="n">
        <v>0</v>
      </c>
      <c r="O4236" t="n">
        <v>0</v>
      </c>
      <c r="P4236" t="n">
        <v>0</v>
      </c>
      <c r="Q4236" t="n">
        <v>0</v>
      </c>
      <c r="R4236" s="2" t="inlineStr"/>
    </row>
    <row r="4237" ht="15" customHeight="1">
      <c r="A4237" t="inlineStr">
        <is>
          <t>A 38645-2023</t>
        </is>
      </c>
      <c r="B4237" s="1" t="n">
        <v>45162</v>
      </c>
      <c r="C4237" s="1" t="n">
        <v>45705</v>
      </c>
      <c r="D4237" t="inlineStr">
        <is>
          <t>UPPSALA LÄN</t>
        </is>
      </c>
      <c r="E4237" t="inlineStr">
        <is>
          <t>UPPSALA</t>
        </is>
      </c>
      <c r="G4237" t="n">
        <v>6.5</v>
      </c>
      <c r="H4237" t="n">
        <v>0</v>
      </c>
      <c r="I4237" t="n">
        <v>0</v>
      </c>
      <c r="J4237" t="n">
        <v>0</v>
      </c>
      <c r="K4237" t="n">
        <v>0</v>
      </c>
      <c r="L4237" t="n">
        <v>0</v>
      </c>
      <c r="M4237" t="n">
        <v>0</v>
      </c>
      <c r="N4237" t="n">
        <v>0</v>
      </c>
      <c r="O4237" t="n">
        <v>0</v>
      </c>
      <c r="P4237" t="n">
        <v>0</v>
      </c>
      <c r="Q4237" t="n">
        <v>0</v>
      </c>
      <c r="R4237" s="2" t="inlineStr"/>
    </row>
    <row r="4238" ht="15" customHeight="1">
      <c r="A4238" t="inlineStr">
        <is>
          <t>A 38664-2023</t>
        </is>
      </c>
      <c r="B4238" s="1" t="n">
        <v>45162</v>
      </c>
      <c r="C4238" s="1" t="n">
        <v>45705</v>
      </c>
      <c r="D4238" t="inlineStr">
        <is>
          <t>UPPSALA LÄN</t>
        </is>
      </c>
      <c r="E4238" t="inlineStr">
        <is>
          <t>UPPSALA</t>
        </is>
      </c>
      <c r="F4238" t="inlineStr">
        <is>
          <t>Bergvik skog öst AB</t>
        </is>
      </c>
      <c r="G4238" t="n">
        <v>7.6</v>
      </c>
      <c r="H4238" t="n">
        <v>0</v>
      </c>
      <c r="I4238" t="n">
        <v>0</v>
      </c>
      <c r="J4238" t="n">
        <v>0</v>
      </c>
      <c r="K4238" t="n">
        <v>0</v>
      </c>
      <c r="L4238" t="n">
        <v>0</v>
      </c>
      <c r="M4238" t="n">
        <v>0</v>
      </c>
      <c r="N4238" t="n">
        <v>0</v>
      </c>
      <c r="O4238" t="n">
        <v>0</v>
      </c>
      <c r="P4238" t="n">
        <v>0</v>
      </c>
      <c r="Q4238" t="n">
        <v>0</v>
      </c>
      <c r="R4238" s="2" t="inlineStr"/>
    </row>
    <row r="4239" ht="15" customHeight="1">
      <c r="A4239" t="inlineStr">
        <is>
          <t>A 38663-2023</t>
        </is>
      </c>
      <c r="B4239" s="1" t="n">
        <v>45162</v>
      </c>
      <c r="C4239" s="1" t="n">
        <v>45705</v>
      </c>
      <c r="D4239" t="inlineStr">
        <is>
          <t>UPPSALA LÄN</t>
        </is>
      </c>
      <c r="E4239" t="inlineStr">
        <is>
          <t>UPPSALA</t>
        </is>
      </c>
      <c r="F4239" t="inlineStr">
        <is>
          <t>Bergvik skog öst AB</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38610-2023</t>
        </is>
      </c>
      <c r="B4240" s="1" t="n">
        <v>45162</v>
      </c>
      <c r="C4240" s="1" t="n">
        <v>45705</v>
      </c>
      <c r="D4240" t="inlineStr">
        <is>
          <t>UPPSALA LÄN</t>
        </is>
      </c>
      <c r="E4240" t="inlineStr">
        <is>
          <t>ÖSTHAMMAR</t>
        </is>
      </c>
      <c r="F4240" t="inlineStr">
        <is>
          <t>Bergvik skog öst AB</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38665-2023</t>
        </is>
      </c>
      <c r="B4241" s="1" t="n">
        <v>45162</v>
      </c>
      <c r="C4241" s="1" t="n">
        <v>45705</v>
      </c>
      <c r="D4241" t="inlineStr">
        <is>
          <t>UPPSALA LÄN</t>
        </is>
      </c>
      <c r="E4241" t="inlineStr">
        <is>
          <t>UPPSALA</t>
        </is>
      </c>
      <c r="F4241" t="inlineStr">
        <is>
          <t>Bergvik skog öst AB</t>
        </is>
      </c>
      <c r="G4241" t="n">
        <v>0.3</v>
      </c>
      <c r="H4241" t="n">
        <v>0</v>
      </c>
      <c r="I4241" t="n">
        <v>0</v>
      </c>
      <c r="J4241" t="n">
        <v>0</v>
      </c>
      <c r="K4241" t="n">
        <v>0</v>
      </c>
      <c r="L4241" t="n">
        <v>0</v>
      </c>
      <c r="M4241" t="n">
        <v>0</v>
      </c>
      <c r="N4241" t="n">
        <v>0</v>
      </c>
      <c r="O4241" t="n">
        <v>0</v>
      </c>
      <c r="P4241" t="n">
        <v>0</v>
      </c>
      <c r="Q4241" t="n">
        <v>0</v>
      </c>
      <c r="R4241" s="2" t="inlineStr"/>
    </row>
    <row r="4242" ht="15" customHeight="1">
      <c r="A4242" t="inlineStr">
        <is>
          <t>A 38661-2023</t>
        </is>
      </c>
      <c r="B4242" s="1" t="n">
        <v>45162</v>
      </c>
      <c r="C4242" s="1" t="n">
        <v>45705</v>
      </c>
      <c r="D4242" t="inlineStr">
        <is>
          <t>UPPSALA LÄN</t>
        </is>
      </c>
      <c r="E4242" t="inlineStr">
        <is>
          <t>UPPSALA</t>
        </is>
      </c>
      <c r="F4242" t="inlineStr">
        <is>
          <t>Bergvik skog öst AB</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38571-2023</t>
        </is>
      </c>
      <c r="B4243" s="1" t="n">
        <v>45162</v>
      </c>
      <c r="C4243" s="1" t="n">
        <v>45705</v>
      </c>
      <c r="D4243" t="inlineStr">
        <is>
          <t>UPPSALA LÄN</t>
        </is>
      </c>
      <c r="E4243" t="inlineStr">
        <is>
          <t>ÖSTHAMMAR</t>
        </is>
      </c>
      <c r="F4243" t="inlineStr">
        <is>
          <t>Bergvik skog öst AB</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38643-2023</t>
        </is>
      </c>
      <c r="B4244" s="1" t="n">
        <v>45162</v>
      </c>
      <c r="C4244" s="1" t="n">
        <v>45705</v>
      </c>
      <c r="D4244" t="inlineStr">
        <is>
          <t>UPPSALA LÄN</t>
        </is>
      </c>
      <c r="E4244" t="inlineStr">
        <is>
          <t>UPPSALA</t>
        </is>
      </c>
      <c r="G4244" t="n">
        <v>5.1</v>
      </c>
      <c r="H4244" t="n">
        <v>0</v>
      </c>
      <c r="I4244" t="n">
        <v>0</v>
      </c>
      <c r="J4244" t="n">
        <v>0</v>
      </c>
      <c r="K4244" t="n">
        <v>0</v>
      </c>
      <c r="L4244" t="n">
        <v>0</v>
      </c>
      <c r="M4244" t="n">
        <v>0</v>
      </c>
      <c r="N4244" t="n">
        <v>0</v>
      </c>
      <c r="O4244" t="n">
        <v>0</v>
      </c>
      <c r="P4244" t="n">
        <v>0</v>
      </c>
      <c r="Q4244" t="n">
        <v>0</v>
      </c>
      <c r="R4244" s="2" t="inlineStr"/>
    </row>
    <row r="4245" ht="15" customHeight="1">
      <c r="A4245" t="inlineStr">
        <is>
          <t>A 38934-2023</t>
        </is>
      </c>
      <c r="B4245" s="1" t="n">
        <v>45163</v>
      </c>
      <c r="C4245" s="1" t="n">
        <v>45705</v>
      </c>
      <c r="D4245" t="inlineStr">
        <is>
          <t>UPPSALA LÄN</t>
        </is>
      </c>
      <c r="E4245" t="inlineStr">
        <is>
          <t>UPPSALA</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38875-2023</t>
        </is>
      </c>
      <c r="B4246" s="1" t="n">
        <v>45163</v>
      </c>
      <c r="C4246" s="1" t="n">
        <v>45705</v>
      </c>
      <c r="D4246" t="inlineStr">
        <is>
          <t>UPPSALA LÄN</t>
        </is>
      </c>
      <c r="E4246" t="inlineStr">
        <is>
          <t>TIERP</t>
        </is>
      </c>
      <c r="G4246" t="n">
        <v>4</v>
      </c>
      <c r="H4246" t="n">
        <v>0</v>
      </c>
      <c r="I4246" t="n">
        <v>0</v>
      </c>
      <c r="J4246" t="n">
        <v>0</v>
      </c>
      <c r="K4246" t="n">
        <v>0</v>
      </c>
      <c r="L4246" t="n">
        <v>0</v>
      </c>
      <c r="M4246" t="n">
        <v>0</v>
      </c>
      <c r="N4246" t="n">
        <v>0</v>
      </c>
      <c r="O4246" t="n">
        <v>0</v>
      </c>
      <c r="P4246" t="n">
        <v>0</v>
      </c>
      <c r="Q4246" t="n">
        <v>0</v>
      </c>
      <c r="R4246" s="2" t="inlineStr"/>
    </row>
    <row r="4247" ht="15" customHeight="1">
      <c r="A4247" t="inlineStr">
        <is>
          <t>A 38702-2023</t>
        </is>
      </c>
      <c r="B4247" s="1" t="n">
        <v>45163</v>
      </c>
      <c r="C4247" s="1" t="n">
        <v>45705</v>
      </c>
      <c r="D4247" t="inlineStr">
        <is>
          <t>UPPSALA LÄN</t>
        </is>
      </c>
      <c r="E4247" t="inlineStr">
        <is>
          <t>TIERP</t>
        </is>
      </c>
      <c r="F4247" t="inlineStr">
        <is>
          <t>Bergvik skog öst AB</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38711-2023</t>
        </is>
      </c>
      <c r="B4248" s="1" t="n">
        <v>45163</v>
      </c>
      <c r="C4248" s="1" t="n">
        <v>45705</v>
      </c>
      <c r="D4248" t="inlineStr">
        <is>
          <t>UPPSALA LÄN</t>
        </is>
      </c>
      <c r="E4248" t="inlineStr">
        <is>
          <t>ÖSTHAMMAR</t>
        </is>
      </c>
      <c r="G4248" t="n">
        <v>5.4</v>
      </c>
      <c r="H4248" t="n">
        <v>0</v>
      </c>
      <c r="I4248" t="n">
        <v>0</v>
      </c>
      <c r="J4248" t="n">
        <v>0</v>
      </c>
      <c r="K4248" t="n">
        <v>0</v>
      </c>
      <c r="L4248" t="n">
        <v>0</v>
      </c>
      <c r="M4248" t="n">
        <v>0</v>
      </c>
      <c r="N4248" t="n">
        <v>0</v>
      </c>
      <c r="O4248" t="n">
        <v>0</v>
      </c>
      <c r="P4248" t="n">
        <v>0</v>
      </c>
      <c r="Q4248" t="n">
        <v>0</v>
      </c>
      <c r="R4248" s="2" t="inlineStr"/>
    </row>
    <row r="4249" ht="15" customHeight="1">
      <c r="A4249" t="inlineStr">
        <is>
          <t>A 38807-2023</t>
        </is>
      </c>
      <c r="B4249" s="1" t="n">
        <v>45163</v>
      </c>
      <c r="C4249" s="1" t="n">
        <v>45705</v>
      </c>
      <c r="D4249" t="inlineStr">
        <is>
          <t>UPPSALA LÄN</t>
        </is>
      </c>
      <c r="E4249" t="inlineStr">
        <is>
          <t>TIERP</t>
        </is>
      </c>
      <c r="G4249" t="n">
        <v>3.9</v>
      </c>
      <c r="H4249" t="n">
        <v>0</v>
      </c>
      <c r="I4249" t="n">
        <v>0</v>
      </c>
      <c r="J4249" t="n">
        <v>0</v>
      </c>
      <c r="K4249" t="n">
        <v>0</v>
      </c>
      <c r="L4249" t="n">
        <v>0</v>
      </c>
      <c r="M4249" t="n">
        <v>0</v>
      </c>
      <c r="N4249" t="n">
        <v>0</v>
      </c>
      <c r="O4249" t="n">
        <v>0</v>
      </c>
      <c r="P4249" t="n">
        <v>0</v>
      </c>
      <c r="Q4249" t="n">
        <v>0</v>
      </c>
      <c r="R4249" s="2" t="inlineStr"/>
    </row>
    <row r="4250" ht="15" customHeight="1">
      <c r="A4250" t="inlineStr">
        <is>
          <t>A 39108-2023</t>
        </is>
      </c>
      <c r="B4250" s="1" t="n">
        <v>45164</v>
      </c>
      <c r="C4250" s="1" t="n">
        <v>45705</v>
      </c>
      <c r="D4250" t="inlineStr">
        <is>
          <t>UPPSALA LÄN</t>
        </is>
      </c>
      <c r="E4250" t="inlineStr">
        <is>
          <t>UPPSALA</t>
        </is>
      </c>
      <c r="F4250" t="inlineStr">
        <is>
          <t>Bergvik skog öst AB</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39624-2023</t>
        </is>
      </c>
      <c r="B4251" s="1" t="n">
        <v>45164</v>
      </c>
      <c r="C4251" s="1" t="n">
        <v>45705</v>
      </c>
      <c r="D4251" t="inlineStr">
        <is>
          <t>UPPSALA LÄN</t>
        </is>
      </c>
      <c r="E4251" t="inlineStr">
        <is>
          <t>ENKÖPING</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39107-2023</t>
        </is>
      </c>
      <c r="B4252" s="1" t="n">
        <v>45164</v>
      </c>
      <c r="C4252" s="1" t="n">
        <v>45705</v>
      </c>
      <c r="D4252" t="inlineStr">
        <is>
          <t>UPPSALA LÄN</t>
        </is>
      </c>
      <c r="E4252" t="inlineStr">
        <is>
          <t>UPPSALA</t>
        </is>
      </c>
      <c r="F4252" t="inlineStr">
        <is>
          <t>Bergvik skog öst AB</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39154-2023</t>
        </is>
      </c>
      <c r="B4253" s="1" t="n">
        <v>45166</v>
      </c>
      <c r="C4253" s="1" t="n">
        <v>45705</v>
      </c>
      <c r="D4253" t="inlineStr">
        <is>
          <t>UPPSALA LÄN</t>
        </is>
      </c>
      <c r="E4253" t="inlineStr">
        <is>
          <t>HEBY</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39259-2023</t>
        </is>
      </c>
      <c r="B4254" s="1" t="n">
        <v>45166</v>
      </c>
      <c r="C4254" s="1" t="n">
        <v>45705</v>
      </c>
      <c r="D4254" t="inlineStr">
        <is>
          <t>UPPSALA LÄN</t>
        </is>
      </c>
      <c r="E4254" t="inlineStr">
        <is>
          <t>TIERP</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39157-2023</t>
        </is>
      </c>
      <c r="B4255" s="1" t="n">
        <v>45166</v>
      </c>
      <c r="C4255" s="1" t="n">
        <v>45705</v>
      </c>
      <c r="D4255" t="inlineStr">
        <is>
          <t>UPPSALA LÄN</t>
        </is>
      </c>
      <c r="E4255" t="inlineStr">
        <is>
          <t>HEBY</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39403-2023</t>
        </is>
      </c>
      <c r="B4256" s="1" t="n">
        <v>45166</v>
      </c>
      <c r="C4256" s="1" t="n">
        <v>45705</v>
      </c>
      <c r="D4256" t="inlineStr">
        <is>
          <t>UPPSALA LÄN</t>
        </is>
      </c>
      <c r="E4256" t="inlineStr">
        <is>
          <t>TIERP</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39421-2023</t>
        </is>
      </c>
      <c r="B4257" s="1" t="n">
        <v>45166</v>
      </c>
      <c r="C4257" s="1" t="n">
        <v>45705</v>
      </c>
      <c r="D4257" t="inlineStr">
        <is>
          <t>UPPSALA LÄN</t>
        </is>
      </c>
      <c r="E4257" t="inlineStr">
        <is>
          <t>TIERP</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39411-2023</t>
        </is>
      </c>
      <c r="B4258" s="1" t="n">
        <v>45166</v>
      </c>
      <c r="C4258" s="1" t="n">
        <v>45705</v>
      </c>
      <c r="D4258" t="inlineStr">
        <is>
          <t>UPPSALA LÄN</t>
        </is>
      </c>
      <c r="E4258" t="inlineStr">
        <is>
          <t>TIERP</t>
        </is>
      </c>
      <c r="G4258" t="n">
        <v>5.7</v>
      </c>
      <c r="H4258" t="n">
        <v>0</v>
      </c>
      <c r="I4258" t="n">
        <v>0</v>
      </c>
      <c r="J4258" t="n">
        <v>0</v>
      </c>
      <c r="K4258" t="n">
        <v>0</v>
      </c>
      <c r="L4258" t="n">
        <v>0</v>
      </c>
      <c r="M4258" t="n">
        <v>0</v>
      </c>
      <c r="N4258" t="n">
        <v>0</v>
      </c>
      <c r="O4258" t="n">
        <v>0</v>
      </c>
      <c r="P4258" t="n">
        <v>0</v>
      </c>
      <c r="Q4258" t="n">
        <v>0</v>
      </c>
      <c r="R4258" s="2" t="inlineStr"/>
    </row>
    <row r="4259" ht="15" customHeight="1">
      <c r="A4259" t="inlineStr">
        <is>
          <t>A 39938-2023</t>
        </is>
      </c>
      <c r="B4259" s="1" t="n">
        <v>45166</v>
      </c>
      <c r="C4259" s="1" t="n">
        <v>45705</v>
      </c>
      <c r="D4259" t="inlineStr">
        <is>
          <t>UPPSALA LÄN</t>
        </is>
      </c>
      <c r="E4259" t="inlineStr">
        <is>
          <t>TIERP</t>
        </is>
      </c>
      <c r="G4259" t="n">
        <v>6</v>
      </c>
      <c r="H4259" t="n">
        <v>0</v>
      </c>
      <c r="I4259" t="n">
        <v>0</v>
      </c>
      <c r="J4259" t="n">
        <v>0</v>
      </c>
      <c r="K4259" t="n">
        <v>0</v>
      </c>
      <c r="L4259" t="n">
        <v>0</v>
      </c>
      <c r="M4259" t="n">
        <v>0</v>
      </c>
      <c r="N4259" t="n">
        <v>0</v>
      </c>
      <c r="O4259" t="n">
        <v>0</v>
      </c>
      <c r="P4259" t="n">
        <v>0</v>
      </c>
      <c r="Q4259" t="n">
        <v>0</v>
      </c>
      <c r="R4259" s="2" t="inlineStr"/>
    </row>
    <row r="4260" ht="15" customHeight="1">
      <c r="A4260" t="inlineStr">
        <is>
          <t>A 39548-2023</t>
        </is>
      </c>
      <c r="B4260" s="1" t="n">
        <v>45167</v>
      </c>
      <c r="C4260" s="1" t="n">
        <v>45705</v>
      </c>
      <c r="D4260" t="inlineStr">
        <is>
          <t>UPPSALA LÄN</t>
        </is>
      </c>
      <c r="E4260" t="inlineStr">
        <is>
          <t>UPPSALA</t>
        </is>
      </c>
      <c r="G4260" t="n">
        <v>3.4</v>
      </c>
      <c r="H4260" t="n">
        <v>0</v>
      </c>
      <c r="I4260" t="n">
        <v>0</v>
      </c>
      <c r="J4260" t="n">
        <v>0</v>
      </c>
      <c r="K4260" t="n">
        <v>0</v>
      </c>
      <c r="L4260" t="n">
        <v>0</v>
      </c>
      <c r="M4260" t="n">
        <v>0</v>
      </c>
      <c r="N4260" t="n">
        <v>0</v>
      </c>
      <c r="O4260" t="n">
        <v>0</v>
      </c>
      <c r="P4260" t="n">
        <v>0</v>
      </c>
      <c r="Q4260" t="n">
        <v>0</v>
      </c>
      <c r="R4260" s="2" t="inlineStr"/>
    </row>
    <row r="4261" ht="15" customHeight="1">
      <c r="A4261" t="inlineStr">
        <is>
          <t>A 39592-2023</t>
        </is>
      </c>
      <c r="B4261" s="1" t="n">
        <v>45167</v>
      </c>
      <c r="C4261" s="1" t="n">
        <v>45705</v>
      </c>
      <c r="D4261" t="inlineStr">
        <is>
          <t>UPPSALA LÄN</t>
        </is>
      </c>
      <c r="E4261" t="inlineStr">
        <is>
          <t>UPPSALA</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40024-2023</t>
        </is>
      </c>
      <c r="B4262" s="1" t="n">
        <v>45167</v>
      </c>
      <c r="C4262" s="1" t="n">
        <v>45705</v>
      </c>
      <c r="D4262" t="inlineStr">
        <is>
          <t>UPPSALA LÄN</t>
        </is>
      </c>
      <c r="E4262" t="inlineStr">
        <is>
          <t>KNIVSTA</t>
        </is>
      </c>
      <c r="G4262" t="n">
        <v>5.3</v>
      </c>
      <c r="H4262" t="n">
        <v>0</v>
      </c>
      <c r="I4262" t="n">
        <v>0</v>
      </c>
      <c r="J4262" t="n">
        <v>0</v>
      </c>
      <c r="K4262" t="n">
        <v>0</v>
      </c>
      <c r="L4262" t="n">
        <v>0</v>
      </c>
      <c r="M4262" t="n">
        <v>0</v>
      </c>
      <c r="N4262" t="n">
        <v>0</v>
      </c>
      <c r="O4262" t="n">
        <v>0</v>
      </c>
      <c r="P4262" t="n">
        <v>0</v>
      </c>
      <c r="Q4262" t="n">
        <v>0</v>
      </c>
      <c r="R4262" s="2" t="inlineStr"/>
    </row>
    <row r="4263" ht="15" customHeight="1">
      <c r="A4263" t="inlineStr">
        <is>
          <t>A 39928-2023</t>
        </is>
      </c>
      <c r="B4263" s="1" t="n">
        <v>45167</v>
      </c>
      <c r="C4263" s="1" t="n">
        <v>45705</v>
      </c>
      <c r="D4263" t="inlineStr">
        <is>
          <t>UPPSALA LÄN</t>
        </is>
      </c>
      <c r="E4263" t="inlineStr">
        <is>
          <t>TIERP</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39739-2023</t>
        </is>
      </c>
      <c r="B4264" s="1" t="n">
        <v>45167</v>
      </c>
      <c r="C4264" s="1" t="n">
        <v>45705</v>
      </c>
      <c r="D4264" t="inlineStr">
        <is>
          <t>UPPSALA LÄN</t>
        </is>
      </c>
      <c r="E4264" t="inlineStr">
        <is>
          <t>UPPSALA</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39836-2023</t>
        </is>
      </c>
      <c r="B4265" s="1" t="n">
        <v>45168</v>
      </c>
      <c r="C4265" s="1" t="n">
        <v>45705</v>
      </c>
      <c r="D4265" t="inlineStr">
        <is>
          <t>UPPSALA LÄN</t>
        </is>
      </c>
      <c r="E4265" t="inlineStr">
        <is>
          <t>HEBY</t>
        </is>
      </c>
      <c r="F4265" t="inlineStr">
        <is>
          <t>Övriga Aktiebolag</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39926-2023</t>
        </is>
      </c>
      <c r="B4266" s="1" t="n">
        <v>45168</v>
      </c>
      <c r="C4266" s="1" t="n">
        <v>45705</v>
      </c>
      <c r="D4266" t="inlineStr">
        <is>
          <t>UPPSALA LÄN</t>
        </is>
      </c>
      <c r="E4266" t="inlineStr">
        <is>
          <t>UPPSALA</t>
        </is>
      </c>
      <c r="F4266" t="inlineStr">
        <is>
          <t>Holmen skog AB</t>
        </is>
      </c>
      <c r="G4266" t="n">
        <v>8.1</v>
      </c>
      <c r="H4266" t="n">
        <v>0</v>
      </c>
      <c r="I4266" t="n">
        <v>0</v>
      </c>
      <c r="J4266" t="n">
        <v>0</v>
      </c>
      <c r="K4266" t="n">
        <v>0</v>
      </c>
      <c r="L4266" t="n">
        <v>0</v>
      </c>
      <c r="M4266" t="n">
        <v>0</v>
      </c>
      <c r="N4266" t="n">
        <v>0</v>
      </c>
      <c r="O4266" t="n">
        <v>0</v>
      </c>
      <c r="P4266" t="n">
        <v>0</v>
      </c>
      <c r="Q4266" t="n">
        <v>0</v>
      </c>
      <c r="R4266" s="2" t="inlineStr"/>
    </row>
    <row r="4267" ht="15" customHeight="1">
      <c r="A4267" t="inlineStr">
        <is>
          <t>A 39834-2023</t>
        </is>
      </c>
      <c r="B4267" s="1" t="n">
        <v>45168</v>
      </c>
      <c r="C4267" s="1" t="n">
        <v>45705</v>
      </c>
      <c r="D4267" t="inlineStr">
        <is>
          <t>UPPSALA LÄN</t>
        </is>
      </c>
      <c r="E4267" t="inlineStr">
        <is>
          <t>HEBY</t>
        </is>
      </c>
      <c r="F4267" t="inlineStr">
        <is>
          <t>Övriga Aktiebolag</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39829-2023</t>
        </is>
      </c>
      <c r="B4268" s="1" t="n">
        <v>45168</v>
      </c>
      <c r="C4268" s="1" t="n">
        <v>45705</v>
      </c>
      <c r="D4268" t="inlineStr">
        <is>
          <t>UPPSALA LÄN</t>
        </is>
      </c>
      <c r="E4268" t="inlineStr">
        <is>
          <t>HEBY</t>
        </is>
      </c>
      <c r="F4268" t="inlineStr">
        <is>
          <t>Övriga Aktiebolag</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39918-2023</t>
        </is>
      </c>
      <c r="B4269" s="1" t="n">
        <v>45168</v>
      </c>
      <c r="C4269" s="1" t="n">
        <v>45705</v>
      </c>
      <c r="D4269" t="inlineStr">
        <is>
          <t>UPPSALA LÄN</t>
        </is>
      </c>
      <c r="E4269" t="inlineStr">
        <is>
          <t>UPPSALA</t>
        </is>
      </c>
      <c r="F4269" t="inlineStr">
        <is>
          <t>Holmen skog AB</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39927-2023</t>
        </is>
      </c>
      <c r="B4270" s="1" t="n">
        <v>45168</v>
      </c>
      <c r="C4270" s="1" t="n">
        <v>45705</v>
      </c>
      <c r="D4270" t="inlineStr">
        <is>
          <t>UPPSALA LÄN</t>
        </is>
      </c>
      <c r="E4270" t="inlineStr">
        <is>
          <t>TIERP</t>
        </is>
      </c>
      <c r="F4270" t="inlineStr">
        <is>
          <t>Bergvik skog öst AB</t>
        </is>
      </c>
      <c r="G4270" t="n">
        <v>5.5</v>
      </c>
      <c r="H4270" t="n">
        <v>0</v>
      </c>
      <c r="I4270" t="n">
        <v>0</v>
      </c>
      <c r="J4270" t="n">
        <v>0</v>
      </c>
      <c r="K4270" t="n">
        <v>0</v>
      </c>
      <c r="L4270" t="n">
        <v>0</v>
      </c>
      <c r="M4270" t="n">
        <v>0</v>
      </c>
      <c r="N4270" t="n">
        <v>0</v>
      </c>
      <c r="O4270" t="n">
        <v>0</v>
      </c>
      <c r="P4270" t="n">
        <v>0</v>
      </c>
      <c r="Q4270" t="n">
        <v>0</v>
      </c>
      <c r="R4270" s="2" t="inlineStr"/>
    </row>
    <row r="4271" ht="15" customHeight="1">
      <c r="A4271" t="inlineStr">
        <is>
          <t>A 40176-2023</t>
        </is>
      </c>
      <c r="B4271" s="1" t="n">
        <v>45169</v>
      </c>
      <c r="C4271" s="1" t="n">
        <v>45705</v>
      </c>
      <c r="D4271" t="inlineStr">
        <is>
          <t>UPPSALA LÄN</t>
        </is>
      </c>
      <c r="E4271" t="inlineStr">
        <is>
          <t>ÖSTHAMMAR</t>
        </is>
      </c>
      <c r="F4271" t="inlineStr">
        <is>
          <t>Bergvik skog öst AB</t>
        </is>
      </c>
      <c r="G4271" t="n">
        <v>29.9</v>
      </c>
      <c r="H4271" t="n">
        <v>0</v>
      </c>
      <c r="I4271" t="n">
        <v>0</v>
      </c>
      <c r="J4271" t="n">
        <v>0</v>
      </c>
      <c r="K4271" t="n">
        <v>0</v>
      </c>
      <c r="L4271" t="n">
        <v>0</v>
      </c>
      <c r="M4271" t="n">
        <v>0</v>
      </c>
      <c r="N4271" t="n">
        <v>0</v>
      </c>
      <c r="O4271" t="n">
        <v>0</v>
      </c>
      <c r="P4271" t="n">
        <v>0</v>
      </c>
      <c r="Q4271" t="n">
        <v>0</v>
      </c>
      <c r="R4271" s="2" t="inlineStr"/>
    </row>
    <row r="4272" ht="15" customHeight="1">
      <c r="A4272" t="inlineStr">
        <is>
          <t>A 40369-2023</t>
        </is>
      </c>
      <c r="B4272" s="1" t="n">
        <v>45169</v>
      </c>
      <c r="C4272" s="1" t="n">
        <v>45705</v>
      </c>
      <c r="D4272" t="inlineStr">
        <is>
          <t>UPPSALA LÄN</t>
        </is>
      </c>
      <c r="E4272" t="inlineStr">
        <is>
          <t>UPPSALA</t>
        </is>
      </c>
      <c r="F4272" t="inlineStr">
        <is>
          <t>Allmännings- och besparingsskogar</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40312-2023</t>
        </is>
      </c>
      <c r="B4273" s="1" t="n">
        <v>45169</v>
      </c>
      <c r="C4273" s="1" t="n">
        <v>45705</v>
      </c>
      <c r="D4273" t="inlineStr">
        <is>
          <t>UPPSALA LÄN</t>
        </is>
      </c>
      <c r="E4273" t="inlineStr">
        <is>
          <t>UPPSALA</t>
        </is>
      </c>
      <c r="F4273" t="inlineStr">
        <is>
          <t>Kommuner</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40124-2023</t>
        </is>
      </c>
      <c r="B4274" s="1" t="n">
        <v>45169</v>
      </c>
      <c r="C4274" s="1" t="n">
        <v>45705</v>
      </c>
      <c r="D4274" t="inlineStr">
        <is>
          <t>UPPSALA LÄN</t>
        </is>
      </c>
      <c r="E4274" t="inlineStr">
        <is>
          <t>UPPSALA</t>
        </is>
      </c>
      <c r="F4274" t="inlineStr">
        <is>
          <t>Allmännings- och besparingsskogar</t>
        </is>
      </c>
      <c r="G4274" t="n">
        <v>6.3</v>
      </c>
      <c r="H4274" t="n">
        <v>0</v>
      </c>
      <c r="I4274" t="n">
        <v>0</v>
      </c>
      <c r="J4274" t="n">
        <v>0</v>
      </c>
      <c r="K4274" t="n">
        <v>0</v>
      </c>
      <c r="L4274" t="n">
        <v>0</v>
      </c>
      <c r="M4274" t="n">
        <v>0</v>
      </c>
      <c r="N4274" t="n">
        <v>0</v>
      </c>
      <c r="O4274" t="n">
        <v>0</v>
      </c>
      <c r="P4274" t="n">
        <v>0</v>
      </c>
      <c r="Q4274" t="n">
        <v>0</v>
      </c>
      <c r="R4274" s="2" t="inlineStr"/>
    </row>
    <row r="4275" ht="15" customHeight="1">
      <c r="A4275" t="inlineStr">
        <is>
          <t>A 40266-2023</t>
        </is>
      </c>
      <c r="B4275" s="1" t="n">
        <v>45169</v>
      </c>
      <c r="C4275" s="1" t="n">
        <v>45705</v>
      </c>
      <c r="D4275" t="inlineStr">
        <is>
          <t>UPPSALA LÄN</t>
        </is>
      </c>
      <c r="E4275" t="inlineStr">
        <is>
          <t>HEBY</t>
        </is>
      </c>
      <c r="G4275" t="n">
        <v>4.1</v>
      </c>
      <c r="H4275" t="n">
        <v>0</v>
      </c>
      <c r="I4275" t="n">
        <v>0</v>
      </c>
      <c r="J4275" t="n">
        <v>0</v>
      </c>
      <c r="K4275" t="n">
        <v>0</v>
      </c>
      <c r="L4275" t="n">
        <v>0</v>
      </c>
      <c r="M4275" t="n">
        <v>0</v>
      </c>
      <c r="N4275" t="n">
        <v>0</v>
      </c>
      <c r="O4275" t="n">
        <v>0</v>
      </c>
      <c r="P4275" t="n">
        <v>0</v>
      </c>
      <c r="Q4275" t="n">
        <v>0</v>
      </c>
      <c r="R4275" s="2" t="inlineStr"/>
    </row>
    <row r="4276" ht="15" customHeight="1">
      <c r="A4276" t="inlineStr">
        <is>
          <t>A 40306-2023</t>
        </is>
      </c>
      <c r="B4276" s="1" t="n">
        <v>45169</v>
      </c>
      <c r="C4276" s="1" t="n">
        <v>45705</v>
      </c>
      <c r="D4276" t="inlineStr">
        <is>
          <t>UPPSALA LÄN</t>
        </is>
      </c>
      <c r="E4276" t="inlineStr">
        <is>
          <t>ENKÖPING</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40251-2023</t>
        </is>
      </c>
      <c r="B4277" s="1" t="n">
        <v>45169</v>
      </c>
      <c r="C4277" s="1" t="n">
        <v>45705</v>
      </c>
      <c r="D4277" t="inlineStr">
        <is>
          <t>UPPSALA LÄN</t>
        </is>
      </c>
      <c r="E4277" t="inlineStr">
        <is>
          <t>HEBY</t>
        </is>
      </c>
      <c r="F4277" t="inlineStr">
        <is>
          <t>Kyrkan</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40303-2023</t>
        </is>
      </c>
      <c r="B4278" s="1" t="n">
        <v>45169</v>
      </c>
      <c r="C4278" s="1" t="n">
        <v>45705</v>
      </c>
      <c r="D4278" t="inlineStr">
        <is>
          <t>UPPSALA LÄN</t>
        </is>
      </c>
      <c r="E4278" t="inlineStr">
        <is>
          <t>HEBY</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40325-2023</t>
        </is>
      </c>
      <c r="B4279" s="1" t="n">
        <v>45169</v>
      </c>
      <c r="C4279" s="1" t="n">
        <v>45705</v>
      </c>
      <c r="D4279" t="inlineStr">
        <is>
          <t>UPPSALA LÄN</t>
        </is>
      </c>
      <c r="E4279" t="inlineStr">
        <is>
          <t>UPPSALA</t>
        </is>
      </c>
      <c r="F4279" t="inlineStr">
        <is>
          <t>Kommuner</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40534-2023</t>
        </is>
      </c>
      <c r="B4280" s="1" t="n">
        <v>45170</v>
      </c>
      <c r="C4280" s="1" t="n">
        <v>45705</v>
      </c>
      <c r="D4280" t="inlineStr">
        <is>
          <t>UPPSALA LÄN</t>
        </is>
      </c>
      <c r="E4280" t="inlineStr">
        <is>
          <t>TIERP</t>
        </is>
      </c>
      <c r="F4280" t="inlineStr">
        <is>
          <t>Bergvik skog väst AB</t>
        </is>
      </c>
      <c r="G4280" t="n">
        <v>7.4</v>
      </c>
      <c r="H4280" t="n">
        <v>0</v>
      </c>
      <c r="I4280" t="n">
        <v>0</v>
      </c>
      <c r="J4280" t="n">
        <v>0</v>
      </c>
      <c r="K4280" t="n">
        <v>0</v>
      </c>
      <c r="L4280" t="n">
        <v>0</v>
      </c>
      <c r="M4280" t="n">
        <v>0</v>
      </c>
      <c r="N4280" t="n">
        <v>0</v>
      </c>
      <c r="O4280" t="n">
        <v>0</v>
      </c>
      <c r="P4280" t="n">
        <v>0</v>
      </c>
      <c r="Q4280" t="n">
        <v>0</v>
      </c>
      <c r="R4280" s="2" t="inlineStr"/>
    </row>
    <row r="4281" ht="15" customHeight="1">
      <c r="A4281" t="inlineStr">
        <is>
          <t>A 40624-2023</t>
        </is>
      </c>
      <c r="B4281" s="1" t="n">
        <v>45170</v>
      </c>
      <c r="C4281" s="1" t="n">
        <v>45705</v>
      </c>
      <c r="D4281" t="inlineStr">
        <is>
          <t>UPPSALA LÄN</t>
        </is>
      </c>
      <c r="E4281" t="inlineStr">
        <is>
          <t>TIERP</t>
        </is>
      </c>
      <c r="F4281" t="inlineStr">
        <is>
          <t>Bergvik skog väst AB</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40547-2023</t>
        </is>
      </c>
      <c r="B4282" s="1" t="n">
        <v>45170</v>
      </c>
      <c r="C4282" s="1" t="n">
        <v>45705</v>
      </c>
      <c r="D4282" t="inlineStr">
        <is>
          <t>UPPSALA LÄN</t>
        </is>
      </c>
      <c r="E4282" t="inlineStr">
        <is>
          <t>ÖSTHAMMAR</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40837-2023</t>
        </is>
      </c>
      <c r="B4283" s="1" t="n">
        <v>45172</v>
      </c>
      <c r="C4283" s="1" t="n">
        <v>45705</v>
      </c>
      <c r="D4283" t="inlineStr">
        <is>
          <t>UPPSALA LÄN</t>
        </is>
      </c>
      <c r="E4283" t="inlineStr">
        <is>
          <t>ÖSTHAMMAR</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40916-2023</t>
        </is>
      </c>
      <c r="B4284" s="1" t="n">
        <v>45173</v>
      </c>
      <c r="C4284" s="1" t="n">
        <v>45705</v>
      </c>
      <c r="D4284" t="inlineStr">
        <is>
          <t>UPPSALA LÄN</t>
        </is>
      </c>
      <c r="E4284" t="inlineStr">
        <is>
          <t>TIERP</t>
        </is>
      </c>
      <c r="F4284" t="inlineStr">
        <is>
          <t>Bergvik skog väst AB</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40924-2023</t>
        </is>
      </c>
      <c r="B4285" s="1" t="n">
        <v>45173</v>
      </c>
      <c r="C4285" s="1" t="n">
        <v>45705</v>
      </c>
      <c r="D4285" t="inlineStr">
        <is>
          <t>UPPSALA LÄN</t>
        </is>
      </c>
      <c r="E4285" t="inlineStr">
        <is>
          <t>HEBY</t>
        </is>
      </c>
      <c r="G4285" t="n">
        <v>5.1</v>
      </c>
      <c r="H4285" t="n">
        <v>0</v>
      </c>
      <c r="I4285" t="n">
        <v>0</v>
      </c>
      <c r="J4285" t="n">
        <v>0</v>
      </c>
      <c r="K4285" t="n">
        <v>0</v>
      </c>
      <c r="L4285" t="n">
        <v>0</v>
      </c>
      <c r="M4285" t="n">
        <v>0</v>
      </c>
      <c r="N4285" t="n">
        <v>0</v>
      </c>
      <c r="O4285" t="n">
        <v>0</v>
      </c>
      <c r="P4285" t="n">
        <v>0</v>
      </c>
      <c r="Q4285" t="n">
        <v>0</v>
      </c>
      <c r="R4285" s="2" t="inlineStr"/>
    </row>
    <row r="4286" ht="15" customHeight="1">
      <c r="A4286" t="inlineStr">
        <is>
          <t>A 40938-2023</t>
        </is>
      </c>
      <c r="B4286" s="1" t="n">
        <v>45173</v>
      </c>
      <c r="C4286" s="1" t="n">
        <v>45705</v>
      </c>
      <c r="D4286" t="inlineStr">
        <is>
          <t>UPPSALA LÄN</t>
        </is>
      </c>
      <c r="E4286" t="inlineStr">
        <is>
          <t>ÖSTHAMMAR</t>
        </is>
      </c>
      <c r="F4286" t="inlineStr">
        <is>
          <t>Bergvik skog öst AB</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40946-2023</t>
        </is>
      </c>
      <c r="B4287" s="1" t="n">
        <v>45173</v>
      </c>
      <c r="C4287" s="1" t="n">
        <v>45705</v>
      </c>
      <c r="D4287" t="inlineStr">
        <is>
          <t>UPPSALA LÄN</t>
        </is>
      </c>
      <c r="E4287" t="inlineStr">
        <is>
          <t>ÖSTHAMMAR</t>
        </is>
      </c>
      <c r="F4287" t="inlineStr">
        <is>
          <t>Bergvik skog öst AB</t>
        </is>
      </c>
      <c r="G4287" t="n">
        <v>4</v>
      </c>
      <c r="H4287" t="n">
        <v>0</v>
      </c>
      <c r="I4287" t="n">
        <v>0</v>
      </c>
      <c r="J4287" t="n">
        <v>0</v>
      </c>
      <c r="K4287" t="n">
        <v>0</v>
      </c>
      <c r="L4287" t="n">
        <v>0</v>
      </c>
      <c r="M4287" t="n">
        <v>0</v>
      </c>
      <c r="N4287" t="n">
        <v>0</v>
      </c>
      <c r="O4287" t="n">
        <v>0</v>
      </c>
      <c r="P4287" t="n">
        <v>0</v>
      </c>
      <c r="Q4287" t="n">
        <v>0</v>
      </c>
      <c r="R4287" s="2" t="inlineStr"/>
    </row>
    <row r="4288" ht="15" customHeight="1">
      <c r="A4288" t="inlineStr">
        <is>
          <t>A 41000-2023</t>
        </is>
      </c>
      <c r="B4288" s="1" t="n">
        <v>45173</v>
      </c>
      <c r="C4288" s="1" t="n">
        <v>45705</v>
      </c>
      <c r="D4288" t="inlineStr">
        <is>
          <t>UPPSALA LÄN</t>
        </is>
      </c>
      <c r="E4288" t="inlineStr">
        <is>
          <t>ÄLVKARLEBY</t>
        </is>
      </c>
      <c r="F4288" t="inlineStr">
        <is>
          <t>Bergvik skog väst AB</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40864-2023</t>
        </is>
      </c>
      <c r="B4289" s="1" t="n">
        <v>45173</v>
      </c>
      <c r="C4289" s="1" t="n">
        <v>45705</v>
      </c>
      <c r="D4289" t="inlineStr">
        <is>
          <t>UPPSALA LÄN</t>
        </is>
      </c>
      <c r="E4289" t="inlineStr">
        <is>
          <t>TIERP</t>
        </is>
      </c>
      <c r="F4289" t="inlineStr">
        <is>
          <t>Bergvik skog väst AB</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40872-2023</t>
        </is>
      </c>
      <c r="B4290" s="1" t="n">
        <v>45173</v>
      </c>
      <c r="C4290" s="1" t="n">
        <v>45705</v>
      </c>
      <c r="D4290" t="inlineStr">
        <is>
          <t>UPPSALA LÄN</t>
        </is>
      </c>
      <c r="E4290" t="inlineStr">
        <is>
          <t>UPPSALA</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40926-2023</t>
        </is>
      </c>
      <c r="B4291" s="1" t="n">
        <v>45173</v>
      </c>
      <c r="C4291" s="1" t="n">
        <v>45705</v>
      </c>
      <c r="D4291" t="inlineStr">
        <is>
          <t>UPPSALA LÄN</t>
        </is>
      </c>
      <c r="E4291" t="inlineStr">
        <is>
          <t>HEBY</t>
        </is>
      </c>
      <c r="G4291" t="n">
        <v>3.6</v>
      </c>
      <c r="H4291" t="n">
        <v>0</v>
      </c>
      <c r="I4291" t="n">
        <v>0</v>
      </c>
      <c r="J4291" t="n">
        <v>0</v>
      </c>
      <c r="K4291" t="n">
        <v>0</v>
      </c>
      <c r="L4291" t="n">
        <v>0</v>
      </c>
      <c r="M4291" t="n">
        <v>0</v>
      </c>
      <c r="N4291" t="n">
        <v>0</v>
      </c>
      <c r="O4291" t="n">
        <v>0</v>
      </c>
      <c r="P4291" t="n">
        <v>0</v>
      </c>
      <c r="Q4291" t="n">
        <v>0</v>
      </c>
      <c r="R4291" s="2" t="inlineStr"/>
    </row>
    <row r="4292" ht="15" customHeight="1">
      <c r="A4292" t="inlineStr">
        <is>
          <t>A 40913-2023</t>
        </is>
      </c>
      <c r="B4292" s="1" t="n">
        <v>45173</v>
      </c>
      <c r="C4292" s="1" t="n">
        <v>45705</v>
      </c>
      <c r="D4292" t="inlineStr">
        <is>
          <t>UPPSALA LÄN</t>
        </is>
      </c>
      <c r="E4292" t="inlineStr">
        <is>
          <t>TIERP</t>
        </is>
      </c>
      <c r="F4292" t="inlineStr">
        <is>
          <t>Bergvik skog väst AB</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40952-2023</t>
        </is>
      </c>
      <c r="B4293" s="1" t="n">
        <v>45173</v>
      </c>
      <c r="C4293" s="1" t="n">
        <v>45705</v>
      </c>
      <c r="D4293" t="inlineStr">
        <is>
          <t>UPPSALA LÄN</t>
        </is>
      </c>
      <c r="E4293" t="inlineStr">
        <is>
          <t>ÖSTHAMMAR</t>
        </is>
      </c>
      <c r="F4293" t="inlineStr">
        <is>
          <t>Bergvik skog öst AB</t>
        </is>
      </c>
      <c r="G4293" t="n">
        <v>4.4</v>
      </c>
      <c r="H4293" t="n">
        <v>0</v>
      </c>
      <c r="I4293" t="n">
        <v>0</v>
      </c>
      <c r="J4293" t="n">
        <v>0</v>
      </c>
      <c r="K4293" t="n">
        <v>0</v>
      </c>
      <c r="L4293" t="n">
        <v>0</v>
      </c>
      <c r="M4293" t="n">
        <v>0</v>
      </c>
      <c r="N4293" t="n">
        <v>0</v>
      </c>
      <c r="O4293" t="n">
        <v>0</v>
      </c>
      <c r="P4293" t="n">
        <v>0</v>
      </c>
      <c r="Q4293" t="n">
        <v>0</v>
      </c>
      <c r="R4293" s="2" t="inlineStr"/>
    </row>
    <row r="4294" ht="15" customHeight="1">
      <c r="A4294" t="inlineStr">
        <is>
          <t>A 41002-2023</t>
        </is>
      </c>
      <c r="B4294" s="1" t="n">
        <v>45173</v>
      </c>
      <c r="C4294" s="1" t="n">
        <v>45705</v>
      </c>
      <c r="D4294" t="inlineStr">
        <is>
          <t>UPPSALA LÄN</t>
        </is>
      </c>
      <c r="E4294" t="inlineStr">
        <is>
          <t>UPPSALA</t>
        </is>
      </c>
      <c r="G4294" t="n">
        <v>6.2</v>
      </c>
      <c r="H4294" t="n">
        <v>0</v>
      </c>
      <c r="I4294" t="n">
        <v>0</v>
      </c>
      <c r="J4294" t="n">
        <v>0</v>
      </c>
      <c r="K4294" t="n">
        <v>0</v>
      </c>
      <c r="L4294" t="n">
        <v>0</v>
      </c>
      <c r="M4294" t="n">
        <v>0</v>
      </c>
      <c r="N4294" t="n">
        <v>0</v>
      </c>
      <c r="O4294" t="n">
        <v>0</v>
      </c>
      <c r="P4294" t="n">
        <v>0</v>
      </c>
      <c r="Q4294" t="n">
        <v>0</v>
      </c>
      <c r="R4294" s="2" t="inlineStr"/>
    </row>
    <row r="4295" ht="15" customHeight="1">
      <c r="A4295" t="inlineStr">
        <is>
          <t>A 41478-2023</t>
        </is>
      </c>
      <c r="B4295" s="1" t="n">
        <v>45173</v>
      </c>
      <c r="C4295" s="1" t="n">
        <v>45705</v>
      </c>
      <c r="D4295" t="inlineStr">
        <is>
          <t>UPPSALA LÄN</t>
        </is>
      </c>
      <c r="E4295" t="inlineStr">
        <is>
          <t>ENKÖPING</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41549-2023</t>
        </is>
      </c>
      <c r="B4296" s="1" t="n">
        <v>45173</v>
      </c>
      <c r="C4296" s="1" t="n">
        <v>45705</v>
      </c>
      <c r="D4296" t="inlineStr">
        <is>
          <t>UPPSALA LÄN</t>
        </is>
      </c>
      <c r="E4296" t="inlineStr">
        <is>
          <t>ENKÖPING</t>
        </is>
      </c>
      <c r="G4296" t="n">
        <v>4.5</v>
      </c>
      <c r="H4296" t="n">
        <v>0</v>
      </c>
      <c r="I4296" t="n">
        <v>0</v>
      </c>
      <c r="J4296" t="n">
        <v>0</v>
      </c>
      <c r="K4296" t="n">
        <v>0</v>
      </c>
      <c r="L4296" t="n">
        <v>0</v>
      </c>
      <c r="M4296" t="n">
        <v>0</v>
      </c>
      <c r="N4296" t="n">
        <v>0</v>
      </c>
      <c r="O4296" t="n">
        <v>0</v>
      </c>
      <c r="P4296" t="n">
        <v>0</v>
      </c>
      <c r="Q4296" t="n">
        <v>0</v>
      </c>
      <c r="R4296" s="2" t="inlineStr"/>
    </row>
    <row r="4297" ht="15" customHeight="1">
      <c r="A4297" t="inlineStr">
        <is>
          <t>A 41225-2023</t>
        </is>
      </c>
      <c r="B4297" s="1" t="n">
        <v>45174</v>
      </c>
      <c r="C4297" s="1" t="n">
        <v>45705</v>
      </c>
      <c r="D4297" t="inlineStr">
        <is>
          <t>UPPSALA LÄN</t>
        </is>
      </c>
      <c r="E4297" t="inlineStr">
        <is>
          <t>TIERP</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41223-2023</t>
        </is>
      </c>
      <c r="B4298" s="1" t="n">
        <v>45174</v>
      </c>
      <c r="C4298" s="1" t="n">
        <v>45705</v>
      </c>
      <c r="D4298" t="inlineStr">
        <is>
          <t>UPPSALA LÄN</t>
        </is>
      </c>
      <c r="E4298" t="inlineStr">
        <is>
          <t>TIERP</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41349-2023</t>
        </is>
      </c>
      <c r="B4299" s="1" t="n">
        <v>45174</v>
      </c>
      <c r="C4299" s="1" t="n">
        <v>45705</v>
      </c>
      <c r="D4299" t="inlineStr">
        <is>
          <t>UPPSALA LÄN</t>
        </is>
      </c>
      <c r="E4299" t="inlineStr">
        <is>
          <t>UPPSALA</t>
        </is>
      </c>
      <c r="F4299" t="inlineStr">
        <is>
          <t>Allmännings- och besparingsskogar</t>
        </is>
      </c>
      <c r="G4299" t="n">
        <v>5.6</v>
      </c>
      <c r="H4299" t="n">
        <v>0</v>
      </c>
      <c r="I4299" t="n">
        <v>0</v>
      </c>
      <c r="J4299" t="n">
        <v>0</v>
      </c>
      <c r="K4299" t="n">
        <v>0</v>
      </c>
      <c r="L4299" t="n">
        <v>0</v>
      </c>
      <c r="M4299" t="n">
        <v>0</v>
      </c>
      <c r="N4299" t="n">
        <v>0</v>
      </c>
      <c r="O4299" t="n">
        <v>0</v>
      </c>
      <c r="P4299" t="n">
        <v>0</v>
      </c>
      <c r="Q4299" t="n">
        <v>0</v>
      </c>
      <c r="R4299" s="2" t="inlineStr"/>
    </row>
    <row r="4300" ht="15" customHeight="1">
      <c r="A4300" t="inlineStr">
        <is>
          <t>A 41263-2023</t>
        </is>
      </c>
      <c r="B4300" s="1" t="n">
        <v>45174</v>
      </c>
      <c r="C4300" s="1" t="n">
        <v>45705</v>
      </c>
      <c r="D4300" t="inlineStr">
        <is>
          <t>UPPSALA LÄN</t>
        </is>
      </c>
      <c r="E4300" t="inlineStr">
        <is>
          <t>ÄLVKARLEBY</t>
        </is>
      </c>
      <c r="F4300" t="inlineStr">
        <is>
          <t>Bergvik skog väst AB</t>
        </is>
      </c>
      <c r="G4300" t="n">
        <v>4.7</v>
      </c>
      <c r="H4300" t="n">
        <v>0</v>
      </c>
      <c r="I4300" t="n">
        <v>0</v>
      </c>
      <c r="J4300" t="n">
        <v>0</v>
      </c>
      <c r="K4300" t="n">
        <v>0</v>
      </c>
      <c r="L4300" t="n">
        <v>0</v>
      </c>
      <c r="M4300" t="n">
        <v>0</v>
      </c>
      <c r="N4300" t="n">
        <v>0</v>
      </c>
      <c r="O4300" t="n">
        <v>0</v>
      </c>
      <c r="P4300" t="n">
        <v>0</v>
      </c>
      <c r="Q4300" t="n">
        <v>0</v>
      </c>
      <c r="R4300" s="2" t="inlineStr"/>
    </row>
    <row r="4301" ht="15" customHeight="1">
      <c r="A4301" t="inlineStr">
        <is>
          <t>A 41272-2023</t>
        </is>
      </c>
      <c r="B4301" s="1" t="n">
        <v>45174</v>
      </c>
      <c r="C4301" s="1" t="n">
        <v>45705</v>
      </c>
      <c r="D4301" t="inlineStr">
        <is>
          <t>UPPSALA LÄN</t>
        </is>
      </c>
      <c r="E4301" t="inlineStr">
        <is>
          <t>ÄLVKARLEBY</t>
        </is>
      </c>
      <c r="F4301" t="inlineStr">
        <is>
          <t>Bergvik skog väst AB</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41276-2023</t>
        </is>
      </c>
      <c r="B4302" s="1" t="n">
        <v>45174</v>
      </c>
      <c r="C4302" s="1" t="n">
        <v>45705</v>
      </c>
      <c r="D4302" t="inlineStr">
        <is>
          <t>UPPSALA LÄN</t>
        </is>
      </c>
      <c r="E4302" t="inlineStr">
        <is>
          <t>ÄLVKARLEBY</t>
        </is>
      </c>
      <c r="F4302" t="inlineStr">
        <is>
          <t>Bergvik skog väst AB</t>
        </is>
      </c>
      <c r="G4302" t="n">
        <v>0.3</v>
      </c>
      <c r="H4302" t="n">
        <v>0</v>
      </c>
      <c r="I4302" t="n">
        <v>0</v>
      </c>
      <c r="J4302" t="n">
        <v>0</v>
      </c>
      <c r="K4302" t="n">
        <v>0</v>
      </c>
      <c r="L4302" t="n">
        <v>0</v>
      </c>
      <c r="M4302" t="n">
        <v>0</v>
      </c>
      <c r="N4302" t="n">
        <v>0</v>
      </c>
      <c r="O4302" t="n">
        <v>0</v>
      </c>
      <c r="P4302" t="n">
        <v>0</v>
      </c>
      <c r="Q4302" t="n">
        <v>0</v>
      </c>
      <c r="R4302" s="2" t="inlineStr"/>
    </row>
    <row r="4303" ht="15" customHeight="1">
      <c r="A4303" t="inlineStr">
        <is>
          <t>A 41308-2023</t>
        </is>
      </c>
      <c r="B4303" s="1" t="n">
        <v>45174</v>
      </c>
      <c r="C4303" s="1" t="n">
        <v>45705</v>
      </c>
      <c r="D4303" t="inlineStr">
        <is>
          <t>UPPSALA LÄN</t>
        </is>
      </c>
      <c r="E4303" t="inlineStr">
        <is>
          <t>ÖSTHAMMAR</t>
        </is>
      </c>
      <c r="F4303" t="inlineStr">
        <is>
          <t>Övriga Aktiebolag</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41346-2023</t>
        </is>
      </c>
      <c r="B4304" s="1" t="n">
        <v>45174</v>
      </c>
      <c r="C4304" s="1" t="n">
        <v>45705</v>
      </c>
      <c r="D4304" t="inlineStr">
        <is>
          <t>UPPSALA LÄN</t>
        </is>
      </c>
      <c r="E4304" t="inlineStr">
        <is>
          <t>UPPSALA</t>
        </is>
      </c>
      <c r="F4304" t="inlineStr">
        <is>
          <t>Allmännings- och besparingsskogar</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41182-2023</t>
        </is>
      </c>
      <c r="B4305" s="1" t="n">
        <v>45174</v>
      </c>
      <c r="C4305" s="1" t="n">
        <v>45705</v>
      </c>
      <c r="D4305" t="inlineStr">
        <is>
          <t>UPPSALA LÄN</t>
        </is>
      </c>
      <c r="E4305" t="inlineStr">
        <is>
          <t>TIERP</t>
        </is>
      </c>
      <c r="F4305" t="inlineStr">
        <is>
          <t>Bergvik skog öst AB</t>
        </is>
      </c>
      <c r="G4305" t="n">
        <v>14.8</v>
      </c>
      <c r="H4305" t="n">
        <v>0</v>
      </c>
      <c r="I4305" t="n">
        <v>0</v>
      </c>
      <c r="J4305" t="n">
        <v>0</v>
      </c>
      <c r="K4305" t="n">
        <v>0</v>
      </c>
      <c r="L4305" t="n">
        <v>0</v>
      </c>
      <c r="M4305" t="n">
        <v>0</v>
      </c>
      <c r="N4305" t="n">
        <v>0</v>
      </c>
      <c r="O4305" t="n">
        <v>0</v>
      </c>
      <c r="P4305" t="n">
        <v>0</v>
      </c>
      <c r="Q4305" t="n">
        <v>0</v>
      </c>
      <c r="R4305" s="2" t="inlineStr"/>
    </row>
    <row r="4306" ht="15" customHeight="1">
      <c r="A4306" t="inlineStr">
        <is>
          <t>A 41506-2023</t>
        </is>
      </c>
      <c r="B4306" s="1" t="n">
        <v>45175</v>
      </c>
      <c r="C4306" s="1" t="n">
        <v>45705</v>
      </c>
      <c r="D4306" t="inlineStr">
        <is>
          <t>UPPSALA LÄN</t>
        </is>
      </c>
      <c r="E4306" t="inlineStr">
        <is>
          <t>UPPSALA</t>
        </is>
      </c>
      <c r="F4306" t="inlineStr">
        <is>
          <t>Kyrkan</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41541-2023</t>
        </is>
      </c>
      <c r="B4307" s="1" t="n">
        <v>45175</v>
      </c>
      <c r="C4307" s="1" t="n">
        <v>45705</v>
      </c>
      <c r="D4307" t="inlineStr">
        <is>
          <t>UPPSALA LÄN</t>
        </is>
      </c>
      <c r="E4307" t="inlineStr">
        <is>
          <t>UPPSALA</t>
        </is>
      </c>
      <c r="G4307" t="n">
        <v>11.7</v>
      </c>
      <c r="H4307" t="n">
        <v>0</v>
      </c>
      <c r="I4307" t="n">
        <v>0</v>
      </c>
      <c r="J4307" t="n">
        <v>0</v>
      </c>
      <c r="K4307" t="n">
        <v>0</v>
      </c>
      <c r="L4307" t="n">
        <v>0</v>
      </c>
      <c r="M4307" t="n">
        <v>0</v>
      </c>
      <c r="N4307" t="n">
        <v>0</v>
      </c>
      <c r="O4307" t="n">
        <v>0</v>
      </c>
      <c r="P4307" t="n">
        <v>0</v>
      </c>
      <c r="Q4307" t="n">
        <v>0</v>
      </c>
      <c r="R4307" s="2" t="inlineStr"/>
    </row>
    <row r="4308" ht="15" customHeight="1">
      <c r="A4308" t="inlineStr">
        <is>
          <t>A 41546-2023</t>
        </is>
      </c>
      <c r="B4308" s="1" t="n">
        <v>45175</v>
      </c>
      <c r="C4308" s="1" t="n">
        <v>45705</v>
      </c>
      <c r="D4308" t="inlineStr">
        <is>
          <t>UPPSALA LÄN</t>
        </is>
      </c>
      <c r="E4308" t="inlineStr">
        <is>
          <t>HEBY</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41575-2023</t>
        </is>
      </c>
      <c r="B4309" s="1" t="n">
        <v>45175</v>
      </c>
      <c r="C4309" s="1" t="n">
        <v>45705</v>
      </c>
      <c r="D4309" t="inlineStr">
        <is>
          <t>UPPSALA LÄN</t>
        </is>
      </c>
      <c r="E4309" t="inlineStr">
        <is>
          <t>HEBY</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41545-2023</t>
        </is>
      </c>
      <c r="B4310" s="1" t="n">
        <v>45175</v>
      </c>
      <c r="C4310" s="1" t="n">
        <v>45705</v>
      </c>
      <c r="D4310" t="inlineStr">
        <is>
          <t>UPPSALA LÄN</t>
        </is>
      </c>
      <c r="E4310" t="inlineStr">
        <is>
          <t>UPPSALA</t>
        </is>
      </c>
      <c r="G4310" t="n">
        <v>6.6</v>
      </c>
      <c r="H4310" t="n">
        <v>0</v>
      </c>
      <c r="I4310" t="n">
        <v>0</v>
      </c>
      <c r="J4310" t="n">
        <v>0</v>
      </c>
      <c r="K4310" t="n">
        <v>0</v>
      </c>
      <c r="L4310" t="n">
        <v>0</v>
      </c>
      <c r="M4310" t="n">
        <v>0</v>
      </c>
      <c r="N4310" t="n">
        <v>0</v>
      </c>
      <c r="O4310" t="n">
        <v>0</v>
      </c>
      <c r="P4310" t="n">
        <v>0</v>
      </c>
      <c r="Q4310" t="n">
        <v>0</v>
      </c>
      <c r="R4310" s="2" t="inlineStr"/>
    </row>
    <row r="4311" ht="15" customHeight="1">
      <c r="A4311" t="inlineStr">
        <is>
          <t>A 41422-2023</t>
        </is>
      </c>
      <c r="B4311" s="1" t="n">
        <v>45175</v>
      </c>
      <c r="C4311" s="1" t="n">
        <v>45705</v>
      </c>
      <c r="D4311" t="inlineStr">
        <is>
          <t>UPPSALA LÄN</t>
        </is>
      </c>
      <c r="E4311" t="inlineStr">
        <is>
          <t>UPPSALA</t>
        </is>
      </c>
      <c r="F4311" t="inlineStr">
        <is>
          <t>Kyrkan</t>
        </is>
      </c>
      <c r="G4311" t="n">
        <v>5.2</v>
      </c>
      <c r="H4311" t="n">
        <v>0</v>
      </c>
      <c r="I4311" t="n">
        <v>0</v>
      </c>
      <c r="J4311" t="n">
        <v>0</v>
      </c>
      <c r="K4311" t="n">
        <v>0</v>
      </c>
      <c r="L4311" t="n">
        <v>0</v>
      </c>
      <c r="M4311" t="n">
        <v>0</v>
      </c>
      <c r="N4311" t="n">
        <v>0</v>
      </c>
      <c r="O4311" t="n">
        <v>0</v>
      </c>
      <c r="P4311" t="n">
        <v>0</v>
      </c>
      <c r="Q4311" t="n">
        <v>0</v>
      </c>
      <c r="R4311" s="2" t="inlineStr"/>
    </row>
    <row r="4312" ht="15" customHeight="1">
      <c r="A4312" t="inlineStr">
        <is>
          <t>A 41489-2023</t>
        </is>
      </c>
      <c r="B4312" s="1" t="n">
        <v>45175</v>
      </c>
      <c r="C4312" s="1" t="n">
        <v>45705</v>
      </c>
      <c r="D4312" t="inlineStr">
        <is>
          <t>UPPSALA LÄN</t>
        </is>
      </c>
      <c r="E4312" t="inlineStr">
        <is>
          <t>ÖSTHAMMAR</t>
        </is>
      </c>
      <c r="F4312" t="inlineStr">
        <is>
          <t>Bergvik skog öst AB</t>
        </is>
      </c>
      <c r="G4312" t="n">
        <v>4.2</v>
      </c>
      <c r="H4312" t="n">
        <v>0</v>
      </c>
      <c r="I4312" t="n">
        <v>0</v>
      </c>
      <c r="J4312" t="n">
        <v>0</v>
      </c>
      <c r="K4312" t="n">
        <v>0</v>
      </c>
      <c r="L4312" t="n">
        <v>0</v>
      </c>
      <c r="M4312" t="n">
        <v>0</v>
      </c>
      <c r="N4312" t="n">
        <v>0</v>
      </c>
      <c r="O4312" t="n">
        <v>0</v>
      </c>
      <c r="P4312" t="n">
        <v>0</v>
      </c>
      <c r="Q4312" t="n">
        <v>0</v>
      </c>
      <c r="R4312" s="2" t="inlineStr"/>
    </row>
    <row r="4313" ht="15" customHeight="1">
      <c r="A4313" t="inlineStr">
        <is>
          <t>A 41538-2023</t>
        </is>
      </c>
      <c r="B4313" s="1" t="n">
        <v>45175</v>
      </c>
      <c r="C4313" s="1" t="n">
        <v>45705</v>
      </c>
      <c r="D4313" t="inlineStr">
        <is>
          <t>UPPSALA LÄN</t>
        </is>
      </c>
      <c r="E4313" t="inlineStr">
        <is>
          <t>UPPSALA</t>
        </is>
      </c>
      <c r="G4313" t="n">
        <v>11.8</v>
      </c>
      <c r="H4313" t="n">
        <v>0</v>
      </c>
      <c r="I4313" t="n">
        <v>0</v>
      </c>
      <c r="J4313" t="n">
        <v>0</v>
      </c>
      <c r="K4313" t="n">
        <v>0</v>
      </c>
      <c r="L4313" t="n">
        <v>0</v>
      </c>
      <c r="M4313" t="n">
        <v>0</v>
      </c>
      <c r="N4313" t="n">
        <v>0</v>
      </c>
      <c r="O4313" t="n">
        <v>0</v>
      </c>
      <c r="P4313" t="n">
        <v>0</v>
      </c>
      <c r="Q4313" t="n">
        <v>0</v>
      </c>
      <c r="R4313" s="2" t="inlineStr"/>
    </row>
    <row r="4314" ht="15" customHeight="1">
      <c r="A4314" t="inlineStr">
        <is>
          <t>A 41556-2023</t>
        </is>
      </c>
      <c r="B4314" s="1" t="n">
        <v>45175</v>
      </c>
      <c r="C4314" s="1" t="n">
        <v>45705</v>
      </c>
      <c r="D4314" t="inlineStr">
        <is>
          <t>UPPSALA LÄN</t>
        </is>
      </c>
      <c r="E4314" t="inlineStr">
        <is>
          <t>HEBY</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41599-2023</t>
        </is>
      </c>
      <c r="B4315" s="1" t="n">
        <v>45175</v>
      </c>
      <c r="C4315" s="1" t="n">
        <v>45705</v>
      </c>
      <c r="D4315" t="inlineStr">
        <is>
          <t>UPPSALA LÄN</t>
        </is>
      </c>
      <c r="E4315" t="inlineStr">
        <is>
          <t>HEBY</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42283-2023</t>
        </is>
      </c>
      <c r="B4316" s="1" t="n">
        <v>45175</v>
      </c>
      <c r="C4316" s="1" t="n">
        <v>45705</v>
      </c>
      <c r="D4316" t="inlineStr">
        <is>
          <t>UPPSALA LÄN</t>
        </is>
      </c>
      <c r="E4316" t="inlineStr">
        <is>
          <t>UPPSALA</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41669-2023</t>
        </is>
      </c>
      <c r="B4317" s="1" t="n">
        <v>45176</v>
      </c>
      <c r="C4317" s="1" t="n">
        <v>45705</v>
      </c>
      <c r="D4317" t="inlineStr">
        <is>
          <t>UPPSALA LÄN</t>
        </is>
      </c>
      <c r="E4317" t="inlineStr">
        <is>
          <t>UPPSALA</t>
        </is>
      </c>
      <c r="F4317" t="inlineStr">
        <is>
          <t>Övriga Aktiebolag</t>
        </is>
      </c>
      <c r="G4317" t="n">
        <v>4</v>
      </c>
      <c r="H4317" t="n">
        <v>0</v>
      </c>
      <c r="I4317" t="n">
        <v>0</v>
      </c>
      <c r="J4317" t="n">
        <v>0</v>
      </c>
      <c r="K4317" t="n">
        <v>0</v>
      </c>
      <c r="L4317" t="n">
        <v>0</v>
      </c>
      <c r="M4317" t="n">
        <v>0</v>
      </c>
      <c r="N4317" t="n">
        <v>0</v>
      </c>
      <c r="O4317" t="n">
        <v>0</v>
      </c>
      <c r="P4317" t="n">
        <v>0</v>
      </c>
      <c r="Q4317" t="n">
        <v>0</v>
      </c>
      <c r="R4317" s="2" t="inlineStr"/>
    </row>
    <row r="4318" ht="15" customHeight="1">
      <c r="A4318" t="inlineStr">
        <is>
          <t>A 41821-2023</t>
        </is>
      </c>
      <c r="B4318" s="1" t="n">
        <v>45176</v>
      </c>
      <c r="C4318" s="1" t="n">
        <v>45705</v>
      </c>
      <c r="D4318" t="inlineStr">
        <is>
          <t>UPPSALA LÄN</t>
        </is>
      </c>
      <c r="E4318" t="inlineStr">
        <is>
          <t>ÖSTHAMMAR</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41802-2023</t>
        </is>
      </c>
      <c r="B4319" s="1" t="n">
        <v>45176</v>
      </c>
      <c r="C4319" s="1" t="n">
        <v>45705</v>
      </c>
      <c r="D4319" t="inlineStr">
        <is>
          <t>UPPSALA LÄN</t>
        </is>
      </c>
      <c r="E4319" t="inlineStr">
        <is>
          <t>UPPSALA</t>
        </is>
      </c>
      <c r="G4319" t="n">
        <v>23.9</v>
      </c>
      <c r="H4319" t="n">
        <v>0</v>
      </c>
      <c r="I4319" t="n">
        <v>0</v>
      </c>
      <c r="J4319" t="n">
        <v>0</v>
      </c>
      <c r="K4319" t="n">
        <v>0</v>
      </c>
      <c r="L4319" t="n">
        <v>0</v>
      </c>
      <c r="M4319" t="n">
        <v>0</v>
      </c>
      <c r="N4319" t="n">
        <v>0</v>
      </c>
      <c r="O4319" t="n">
        <v>0</v>
      </c>
      <c r="P4319" t="n">
        <v>0</v>
      </c>
      <c r="Q4319" t="n">
        <v>0</v>
      </c>
      <c r="R4319" s="2" t="inlineStr"/>
    </row>
    <row r="4320" ht="15" customHeight="1">
      <c r="A4320" t="inlineStr">
        <is>
          <t>A 41816-2023</t>
        </is>
      </c>
      <c r="B4320" s="1" t="n">
        <v>45176</v>
      </c>
      <c r="C4320" s="1" t="n">
        <v>45705</v>
      </c>
      <c r="D4320" t="inlineStr">
        <is>
          <t>UPPSALA LÄN</t>
        </is>
      </c>
      <c r="E4320" t="inlineStr">
        <is>
          <t>UPPSALA</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41829-2023</t>
        </is>
      </c>
      <c r="B4321" s="1" t="n">
        <v>45176</v>
      </c>
      <c r="C4321" s="1" t="n">
        <v>45705</v>
      </c>
      <c r="D4321" t="inlineStr">
        <is>
          <t>UPPSALA LÄN</t>
        </is>
      </c>
      <c r="E4321" t="inlineStr">
        <is>
          <t>ÖSTHAMMAR</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41726-2023</t>
        </is>
      </c>
      <c r="B4322" s="1" t="n">
        <v>45176</v>
      </c>
      <c r="C4322" s="1" t="n">
        <v>45705</v>
      </c>
      <c r="D4322" t="inlineStr">
        <is>
          <t>UPPSALA LÄN</t>
        </is>
      </c>
      <c r="E4322" t="inlineStr">
        <is>
          <t>TIERP</t>
        </is>
      </c>
      <c r="F4322" t="inlineStr">
        <is>
          <t>Bergvik skog väst AB</t>
        </is>
      </c>
      <c r="G4322" t="n">
        <v>3.7</v>
      </c>
      <c r="H4322" t="n">
        <v>0</v>
      </c>
      <c r="I4322" t="n">
        <v>0</v>
      </c>
      <c r="J4322" t="n">
        <v>0</v>
      </c>
      <c r="K4322" t="n">
        <v>0</v>
      </c>
      <c r="L4322" t="n">
        <v>0</v>
      </c>
      <c r="M4322" t="n">
        <v>0</v>
      </c>
      <c r="N4322" t="n">
        <v>0</v>
      </c>
      <c r="O4322" t="n">
        <v>0</v>
      </c>
      <c r="P4322" t="n">
        <v>0</v>
      </c>
      <c r="Q4322" t="n">
        <v>0</v>
      </c>
      <c r="R4322" s="2" t="inlineStr"/>
    </row>
    <row r="4323" ht="15" customHeight="1">
      <c r="A4323" t="inlineStr">
        <is>
          <t>A 42083-2023</t>
        </is>
      </c>
      <c r="B4323" s="1" t="n">
        <v>45176</v>
      </c>
      <c r="C4323" s="1" t="n">
        <v>45705</v>
      </c>
      <c r="D4323" t="inlineStr">
        <is>
          <t>UPPSALA LÄN</t>
        </is>
      </c>
      <c r="E4323" t="inlineStr">
        <is>
          <t>TIERP</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41945-2023</t>
        </is>
      </c>
      <c r="B4324" s="1" t="n">
        <v>45177</v>
      </c>
      <c r="C4324" s="1" t="n">
        <v>45705</v>
      </c>
      <c r="D4324" t="inlineStr">
        <is>
          <t>UPPSALA LÄN</t>
        </is>
      </c>
      <c r="E4324" t="inlineStr">
        <is>
          <t>ENKÖPING</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41950-2023</t>
        </is>
      </c>
      <c r="B4325" s="1" t="n">
        <v>45177</v>
      </c>
      <c r="C4325" s="1" t="n">
        <v>45705</v>
      </c>
      <c r="D4325" t="inlineStr">
        <is>
          <t>UPPSALA LÄN</t>
        </is>
      </c>
      <c r="E4325" t="inlineStr">
        <is>
          <t>UPPSALA</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42134-2023</t>
        </is>
      </c>
      <c r="B4326" s="1" t="n">
        <v>45177</v>
      </c>
      <c r="C4326" s="1" t="n">
        <v>45705</v>
      </c>
      <c r="D4326" t="inlineStr">
        <is>
          <t>UPPSALA LÄN</t>
        </is>
      </c>
      <c r="E4326" t="inlineStr">
        <is>
          <t>UPPSALA</t>
        </is>
      </c>
      <c r="F4326" t="inlineStr">
        <is>
          <t>Allmännings- och besparingsskogar</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42063-2023</t>
        </is>
      </c>
      <c r="B4327" s="1" t="n">
        <v>45177</v>
      </c>
      <c r="C4327" s="1" t="n">
        <v>45705</v>
      </c>
      <c r="D4327" t="inlineStr">
        <is>
          <t>UPPSALA LÄN</t>
        </is>
      </c>
      <c r="E4327" t="inlineStr">
        <is>
          <t>UPPSALA</t>
        </is>
      </c>
      <c r="G4327" t="n">
        <v>5.6</v>
      </c>
      <c r="H4327" t="n">
        <v>0</v>
      </c>
      <c r="I4327" t="n">
        <v>0</v>
      </c>
      <c r="J4327" t="n">
        <v>0</v>
      </c>
      <c r="K4327" t="n">
        <v>0</v>
      </c>
      <c r="L4327" t="n">
        <v>0</v>
      </c>
      <c r="M4327" t="n">
        <v>0</v>
      </c>
      <c r="N4327" t="n">
        <v>0</v>
      </c>
      <c r="O4327" t="n">
        <v>0</v>
      </c>
      <c r="P4327" t="n">
        <v>0</v>
      </c>
      <c r="Q4327" t="n">
        <v>0</v>
      </c>
      <c r="R4327" s="2" t="inlineStr"/>
    </row>
    <row r="4328" ht="15" customHeight="1">
      <c r="A4328" t="inlineStr">
        <is>
          <t>A 42131-2023</t>
        </is>
      </c>
      <c r="B4328" s="1" t="n">
        <v>45177</v>
      </c>
      <c r="C4328" s="1" t="n">
        <v>45705</v>
      </c>
      <c r="D4328" t="inlineStr">
        <is>
          <t>UPPSALA LÄN</t>
        </is>
      </c>
      <c r="E4328" t="inlineStr">
        <is>
          <t>UPPSALA</t>
        </is>
      </c>
      <c r="F4328" t="inlineStr">
        <is>
          <t>Allmännings- och besparingsskogar</t>
        </is>
      </c>
      <c r="G4328" t="n">
        <v>6.3</v>
      </c>
      <c r="H4328" t="n">
        <v>0</v>
      </c>
      <c r="I4328" t="n">
        <v>0</v>
      </c>
      <c r="J4328" t="n">
        <v>0</v>
      </c>
      <c r="K4328" t="n">
        <v>0</v>
      </c>
      <c r="L4328" t="n">
        <v>0</v>
      </c>
      <c r="M4328" t="n">
        <v>0</v>
      </c>
      <c r="N4328" t="n">
        <v>0</v>
      </c>
      <c r="O4328" t="n">
        <v>0</v>
      </c>
      <c r="P4328" t="n">
        <v>0</v>
      </c>
      <c r="Q4328" t="n">
        <v>0</v>
      </c>
      <c r="R4328" s="2" t="inlineStr"/>
    </row>
    <row r="4329" ht="15" customHeight="1">
      <c r="A4329" t="inlineStr">
        <is>
          <t>A 42273-2023</t>
        </is>
      </c>
      <c r="B4329" s="1" t="n">
        <v>45180</v>
      </c>
      <c r="C4329" s="1" t="n">
        <v>45705</v>
      </c>
      <c r="D4329" t="inlineStr">
        <is>
          <t>UPPSALA LÄN</t>
        </is>
      </c>
      <c r="E4329" t="inlineStr">
        <is>
          <t>UPPSALA</t>
        </is>
      </c>
      <c r="F4329" t="inlineStr">
        <is>
          <t>Bergvik skog öst AB</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42436-2023</t>
        </is>
      </c>
      <c r="B4330" s="1" t="n">
        <v>45180</v>
      </c>
      <c r="C4330" s="1" t="n">
        <v>45705</v>
      </c>
      <c r="D4330" t="inlineStr">
        <is>
          <t>UPPSALA LÄN</t>
        </is>
      </c>
      <c r="E4330" t="inlineStr">
        <is>
          <t>UPPSALA</t>
        </is>
      </c>
      <c r="G4330" t="n">
        <v>3.3</v>
      </c>
      <c r="H4330" t="n">
        <v>0</v>
      </c>
      <c r="I4330" t="n">
        <v>0</v>
      </c>
      <c r="J4330" t="n">
        <v>0</v>
      </c>
      <c r="K4330" t="n">
        <v>0</v>
      </c>
      <c r="L4330" t="n">
        <v>0</v>
      </c>
      <c r="M4330" t="n">
        <v>0</v>
      </c>
      <c r="N4330" t="n">
        <v>0</v>
      </c>
      <c r="O4330" t="n">
        <v>0</v>
      </c>
      <c r="P4330" t="n">
        <v>0</v>
      </c>
      <c r="Q4330" t="n">
        <v>0</v>
      </c>
      <c r="R4330" s="2" t="inlineStr"/>
    </row>
    <row r="4331" ht="15" customHeight="1">
      <c r="A4331" t="inlineStr">
        <is>
          <t>A 42282-2023</t>
        </is>
      </c>
      <c r="B4331" s="1" t="n">
        <v>45180</v>
      </c>
      <c r="C4331" s="1" t="n">
        <v>45705</v>
      </c>
      <c r="D4331" t="inlineStr">
        <is>
          <t>UPPSALA LÄN</t>
        </is>
      </c>
      <c r="E4331" t="inlineStr">
        <is>
          <t>UPPSALA</t>
        </is>
      </c>
      <c r="F4331" t="inlineStr">
        <is>
          <t>Bergvik skog öst AB</t>
        </is>
      </c>
      <c r="G4331" t="n">
        <v>5</v>
      </c>
      <c r="H4331" t="n">
        <v>0</v>
      </c>
      <c r="I4331" t="n">
        <v>0</v>
      </c>
      <c r="J4331" t="n">
        <v>0</v>
      </c>
      <c r="K4331" t="n">
        <v>0</v>
      </c>
      <c r="L4331" t="n">
        <v>0</v>
      </c>
      <c r="M4331" t="n">
        <v>0</v>
      </c>
      <c r="N4331" t="n">
        <v>0</v>
      </c>
      <c r="O4331" t="n">
        <v>0</v>
      </c>
      <c r="P4331" t="n">
        <v>0</v>
      </c>
      <c r="Q4331" t="n">
        <v>0</v>
      </c>
      <c r="R4331" s="2" t="inlineStr"/>
    </row>
    <row r="4332" ht="15" customHeight="1">
      <c r="A4332" t="inlineStr">
        <is>
          <t>A 42274-2023</t>
        </is>
      </c>
      <c r="B4332" s="1" t="n">
        <v>45180</v>
      </c>
      <c r="C4332" s="1" t="n">
        <v>45705</v>
      </c>
      <c r="D4332" t="inlineStr">
        <is>
          <t>UPPSALA LÄN</t>
        </is>
      </c>
      <c r="E4332" t="inlineStr">
        <is>
          <t>UPPSALA</t>
        </is>
      </c>
      <c r="F4332" t="inlineStr">
        <is>
          <t>Bergvik skog öst AB</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42285-2023</t>
        </is>
      </c>
      <c r="B4333" s="1" t="n">
        <v>45180</v>
      </c>
      <c r="C4333" s="1" t="n">
        <v>45705</v>
      </c>
      <c r="D4333" t="inlineStr">
        <is>
          <t>UPPSALA LÄN</t>
        </is>
      </c>
      <c r="E4333" t="inlineStr">
        <is>
          <t>UPPSALA</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42376-2023</t>
        </is>
      </c>
      <c r="B4334" s="1" t="n">
        <v>45180</v>
      </c>
      <c r="C4334" s="1" t="n">
        <v>45705</v>
      </c>
      <c r="D4334" t="inlineStr">
        <is>
          <t>UPPSALA LÄN</t>
        </is>
      </c>
      <c r="E4334" t="inlineStr">
        <is>
          <t>UPPSALA</t>
        </is>
      </c>
      <c r="F4334" t="inlineStr">
        <is>
          <t>Bergvik skog öst AB</t>
        </is>
      </c>
      <c r="G4334" t="n">
        <v>9.199999999999999</v>
      </c>
      <c r="H4334" t="n">
        <v>0</v>
      </c>
      <c r="I4334" t="n">
        <v>0</v>
      </c>
      <c r="J4334" t="n">
        <v>0</v>
      </c>
      <c r="K4334" t="n">
        <v>0</v>
      </c>
      <c r="L4334" t="n">
        <v>0</v>
      </c>
      <c r="M4334" t="n">
        <v>0</v>
      </c>
      <c r="N4334" t="n">
        <v>0</v>
      </c>
      <c r="O4334" t="n">
        <v>0</v>
      </c>
      <c r="P4334" t="n">
        <v>0</v>
      </c>
      <c r="Q4334" t="n">
        <v>0</v>
      </c>
      <c r="R4334" s="2" t="inlineStr"/>
    </row>
    <row r="4335" ht="15" customHeight="1">
      <c r="A4335" t="inlineStr">
        <is>
          <t>A 42495-2023</t>
        </is>
      </c>
      <c r="B4335" s="1" t="n">
        <v>45180</v>
      </c>
      <c r="C4335" s="1" t="n">
        <v>45705</v>
      </c>
      <c r="D4335" t="inlineStr">
        <is>
          <t>UPPSALA LÄN</t>
        </is>
      </c>
      <c r="E4335" t="inlineStr">
        <is>
          <t>UPPSALA</t>
        </is>
      </c>
      <c r="F4335" t="inlineStr">
        <is>
          <t>Allmännings- och besparingsskogar</t>
        </is>
      </c>
      <c r="G4335" t="n">
        <v>13.7</v>
      </c>
      <c r="H4335" t="n">
        <v>0</v>
      </c>
      <c r="I4335" t="n">
        <v>0</v>
      </c>
      <c r="J4335" t="n">
        <v>0</v>
      </c>
      <c r="K4335" t="n">
        <v>0</v>
      </c>
      <c r="L4335" t="n">
        <v>0</v>
      </c>
      <c r="M4335" t="n">
        <v>0</v>
      </c>
      <c r="N4335" t="n">
        <v>0</v>
      </c>
      <c r="O4335" t="n">
        <v>0</v>
      </c>
      <c r="P4335" t="n">
        <v>0</v>
      </c>
      <c r="Q4335" t="n">
        <v>0</v>
      </c>
      <c r="R4335" s="2" t="inlineStr"/>
    </row>
    <row r="4336" ht="15" customHeight="1">
      <c r="A4336" t="inlineStr">
        <is>
          <t>A 42270-2023</t>
        </is>
      </c>
      <c r="B4336" s="1" t="n">
        <v>45180</v>
      </c>
      <c r="C4336" s="1" t="n">
        <v>45705</v>
      </c>
      <c r="D4336" t="inlineStr">
        <is>
          <t>UPPSALA LÄN</t>
        </is>
      </c>
      <c r="E4336" t="inlineStr">
        <is>
          <t>TIERP</t>
        </is>
      </c>
      <c r="F4336" t="inlineStr">
        <is>
          <t>Bergvik skog väst AB</t>
        </is>
      </c>
      <c r="G4336" t="n">
        <v>9.699999999999999</v>
      </c>
      <c r="H4336" t="n">
        <v>0</v>
      </c>
      <c r="I4336" t="n">
        <v>0</v>
      </c>
      <c r="J4336" t="n">
        <v>0</v>
      </c>
      <c r="K4336" t="n">
        <v>0</v>
      </c>
      <c r="L4336" t="n">
        <v>0</v>
      </c>
      <c r="M4336" t="n">
        <v>0</v>
      </c>
      <c r="N4336" t="n">
        <v>0</v>
      </c>
      <c r="O4336" t="n">
        <v>0</v>
      </c>
      <c r="P4336" t="n">
        <v>0</v>
      </c>
      <c r="Q4336" t="n">
        <v>0</v>
      </c>
      <c r="R4336" s="2" t="inlineStr"/>
    </row>
    <row r="4337" ht="15" customHeight="1">
      <c r="A4337" t="inlineStr">
        <is>
          <t>A 42379-2023</t>
        </is>
      </c>
      <c r="B4337" s="1" t="n">
        <v>45180</v>
      </c>
      <c r="C4337" s="1" t="n">
        <v>45705</v>
      </c>
      <c r="D4337" t="inlineStr">
        <is>
          <t>UPPSALA LÄN</t>
        </is>
      </c>
      <c r="E4337" t="inlineStr">
        <is>
          <t>UPPSALA</t>
        </is>
      </c>
      <c r="F4337" t="inlineStr">
        <is>
          <t>Bergvik skog öst AB</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43494-2023</t>
        </is>
      </c>
      <c r="B4338" s="1" t="n">
        <v>45181</v>
      </c>
      <c r="C4338" s="1" t="n">
        <v>45705</v>
      </c>
      <c r="D4338" t="inlineStr">
        <is>
          <t>UPPSALA LÄN</t>
        </is>
      </c>
      <c r="E4338" t="inlineStr">
        <is>
          <t>ENKÖPING</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43510-2023</t>
        </is>
      </c>
      <c r="B4339" s="1" t="n">
        <v>45181</v>
      </c>
      <c r="C4339" s="1" t="n">
        <v>45705</v>
      </c>
      <c r="D4339" t="inlineStr">
        <is>
          <t>UPPSALA LÄN</t>
        </is>
      </c>
      <c r="E4339" t="inlineStr">
        <is>
          <t>ENKÖPING</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43506-2023</t>
        </is>
      </c>
      <c r="B4340" s="1" t="n">
        <v>45181</v>
      </c>
      <c r="C4340" s="1" t="n">
        <v>45705</v>
      </c>
      <c r="D4340" t="inlineStr">
        <is>
          <t>UPPSALA LÄN</t>
        </is>
      </c>
      <c r="E4340" t="inlineStr">
        <is>
          <t>ENKÖPING</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43488-2023</t>
        </is>
      </c>
      <c r="B4341" s="1" t="n">
        <v>45181</v>
      </c>
      <c r="C4341" s="1" t="n">
        <v>45705</v>
      </c>
      <c r="D4341" t="inlineStr">
        <is>
          <t>UPPSALA LÄN</t>
        </is>
      </c>
      <c r="E4341" t="inlineStr">
        <is>
          <t>ENKÖPING</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43492-2023</t>
        </is>
      </c>
      <c r="B4342" s="1" t="n">
        <v>45181</v>
      </c>
      <c r="C4342" s="1" t="n">
        <v>45705</v>
      </c>
      <c r="D4342" t="inlineStr">
        <is>
          <t>UPPSALA LÄN</t>
        </is>
      </c>
      <c r="E4342" t="inlineStr">
        <is>
          <t>ENKÖPING</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43499-2023</t>
        </is>
      </c>
      <c r="B4343" s="1" t="n">
        <v>45181</v>
      </c>
      <c r="C4343" s="1" t="n">
        <v>45705</v>
      </c>
      <c r="D4343" t="inlineStr">
        <is>
          <t>UPPSALA LÄN</t>
        </is>
      </c>
      <c r="E4343" t="inlineStr">
        <is>
          <t>ENKÖPING</t>
        </is>
      </c>
      <c r="G4343" t="n">
        <v>7.3</v>
      </c>
      <c r="H4343" t="n">
        <v>0</v>
      </c>
      <c r="I4343" t="n">
        <v>0</v>
      </c>
      <c r="J4343" t="n">
        <v>0</v>
      </c>
      <c r="K4343" t="n">
        <v>0</v>
      </c>
      <c r="L4343" t="n">
        <v>0</v>
      </c>
      <c r="M4343" t="n">
        <v>0</v>
      </c>
      <c r="N4343" t="n">
        <v>0</v>
      </c>
      <c r="O4343" t="n">
        <v>0</v>
      </c>
      <c r="P4343" t="n">
        <v>0</v>
      </c>
      <c r="Q4343" t="n">
        <v>0</v>
      </c>
      <c r="R4343" s="2" t="inlineStr"/>
    </row>
    <row r="4344" ht="15" customHeight="1">
      <c r="A4344" t="inlineStr">
        <is>
          <t>A 42528-2023</t>
        </is>
      </c>
      <c r="B4344" s="1" t="n">
        <v>45181</v>
      </c>
      <c r="C4344" s="1" t="n">
        <v>45705</v>
      </c>
      <c r="D4344" t="inlineStr">
        <is>
          <t>UPPSALA LÄN</t>
        </is>
      </c>
      <c r="E4344" t="inlineStr">
        <is>
          <t>UPPSALA</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43605-2023</t>
        </is>
      </c>
      <c r="B4345" s="1" t="n">
        <v>45181</v>
      </c>
      <c r="C4345" s="1" t="n">
        <v>45705</v>
      </c>
      <c r="D4345" t="inlineStr">
        <is>
          <t>UPPSALA LÄN</t>
        </is>
      </c>
      <c r="E4345" t="inlineStr">
        <is>
          <t>TIERP</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42630-2023</t>
        </is>
      </c>
      <c r="B4346" s="1" t="n">
        <v>45181</v>
      </c>
      <c r="C4346" s="1" t="n">
        <v>45705</v>
      </c>
      <c r="D4346" t="inlineStr">
        <is>
          <t>UPPSALA LÄN</t>
        </is>
      </c>
      <c r="E4346" t="inlineStr">
        <is>
          <t>UPPSALA</t>
        </is>
      </c>
      <c r="F4346" t="inlineStr">
        <is>
          <t>Holmen skog AB</t>
        </is>
      </c>
      <c r="G4346" t="n">
        <v>4.5</v>
      </c>
      <c r="H4346" t="n">
        <v>0</v>
      </c>
      <c r="I4346" t="n">
        <v>0</v>
      </c>
      <c r="J4346" t="n">
        <v>0</v>
      </c>
      <c r="K4346" t="n">
        <v>0</v>
      </c>
      <c r="L4346" t="n">
        <v>0</v>
      </c>
      <c r="M4346" t="n">
        <v>0</v>
      </c>
      <c r="N4346" t="n">
        <v>0</v>
      </c>
      <c r="O4346" t="n">
        <v>0</v>
      </c>
      <c r="P4346" t="n">
        <v>0</v>
      </c>
      <c r="Q4346" t="n">
        <v>0</v>
      </c>
      <c r="R4346" s="2" t="inlineStr"/>
    </row>
    <row r="4347" ht="15" customHeight="1">
      <c r="A4347" t="inlineStr">
        <is>
          <t>A 42681-2023</t>
        </is>
      </c>
      <c r="B4347" s="1" t="n">
        <v>45181</v>
      </c>
      <c r="C4347" s="1" t="n">
        <v>45705</v>
      </c>
      <c r="D4347" t="inlineStr">
        <is>
          <t>UPPSALA LÄN</t>
        </is>
      </c>
      <c r="E4347" t="inlineStr">
        <is>
          <t>UPPSALA</t>
        </is>
      </c>
      <c r="F4347" t="inlineStr">
        <is>
          <t>Bergvik skog öst AB</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42691-2023</t>
        </is>
      </c>
      <c r="B4348" s="1" t="n">
        <v>45181</v>
      </c>
      <c r="C4348" s="1" t="n">
        <v>45705</v>
      </c>
      <c r="D4348" t="inlineStr">
        <is>
          <t>UPPSALA LÄN</t>
        </is>
      </c>
      <c r="E4348" t="inlineStr">
        <is>
          <t>HEBY</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42543-2023</t>
        </is>
      </c>
      <c r="B4349" s="1" t="n">
        <v>45181</v>
      </c>
      <c r="C4349" s="1" t="n">
        <v>45705</v>
      </c>
      <c r="D4349" t="inlineStr">
        <is>
          <t>UPPSALA LÄN</t>
        </is>
      </c>
      <c r="E4349" t="inlineStr">
        <is>
          <t>UPPSALA</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42730-2023</t>
        </is>
      </c>
      <c r="B4350" s="1" t="n">
        <v>45181</v>
      </c>
      <c r="C4350" s="1" t="n">
        <v>45705</v>
      </c>
      <c r="D4350" t="inlineStr">
        <is>
          <t>UPPSALA LÄN</t>
        </is>
      </c>
      <c r="E4350" t="inlineStr">
        <is>
          <t>UPPSALA</t>
        </is>
      </c>
      <c r="F4350" t="inlineStr">
        <is>
          <t>Holmen skog AB</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42734-2023</t>
        </is>
      </c>
      <c r="B4351" s="1" t="n">
        <v>45181</v>
      </c>
      <c r="C4351" s="1" t="n">
        <v>45705</v>
      </c>
      <c r="D4351" t="inlineStr">
        <is>
          <t>UPPSALA LÄN</t>
        </is>
      </c>
      <c r="E4351" t="inlineStr">
        <is>
          <t>UPPSALA</t>
        </is>
      </c>
      <c r="F4351" t="inlineStr">
        <is>
          <t>Bergvik skog öst AB</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42682-2023</t>
        </is>
      </c>
      <c r="B4352" s="1" t="n">
        <v>45181</v>
      </c>
      <c r="C4352" s="1" t="n">
        <v>45705</v>
      </c>
      <c r="D4352" t="inlineStr">
        <is>
          <t>UPPSALA LÄN</t>
        </is>
      </c>
      <c r="E4352" t="inlineStr">
        <is>
          <t>UPPSALA</t>
        </is>
      </c>
      <c r="F4352" t="inlineStr">
        <is>
          <t>Bergvik skog öst AB</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42714-2023</t>
        </is>
      </c>
      <c r="B4353" s="1" t="n">
        <v>45181</v>
      </c>
      <c r="C4353" s="1" t="n">
        <v>45705</v>
      </c>
      <c r="D4353" t="inlineStr">
        <is>
          <t>UPPSALA LÄN</t>
        </is>
      </c>
      <c r="E4353" t="inlineStr">
        <is>
          <t>HEBY</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42725-2023</t>
        </is>
      </c>
      <c r="B4354" s="1" t="n">
        <v>45181</v>
      </c>
      <c r="C4354" s="1" t="n">
        <v>45705</v>
      </c>
      <c r="D4354" t="inlineStr">
        <is>
          <t>UPPSALA LÄN</t>
        </is>
      </c>
      <c r="E4354" t="inlineStr">
        <is>
          <t>HEBY</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42600-2023</t>
        </is>
      </c>
      <c r="B4355" s="1" t="n">
        <v>45181</v>
      </c>
      <c r="C4355" s="1" t="n">
        <v>45705</v>
      </c>
      <c r="D4355" t="inlineStr">
        <is>
          <t>UPPSALA LÄN</t>
        </is>
      </c>
      <c r="E4355" t="inlineStr">
        <is>
          <t>ÄLVKARLEBY</t>
        </is>
      </c>
      <c r="G4355" t="n">
        <v>1.7</v>
      </c>
      <c r="H4355" t="n">
        <v>0</v>
      </c>
      <c r="I4355" t="n">
        <v>0</v>
      </c>
      <c r="J4355" t="n">
        <v>0</v>
      </c>
      <c r="K4355" t="n">
        <v>0</v>
      </c>
      <c r="L4355" t="n">
        <v>0</v>
      </c>
      <c r="M4355" t="n">
        <v>0</v>
      </c>
      <c r="N4355" t="n">
        <v>0</v>
      </c>
      <c r="O4355" t="n">
        <v>0</v>
      </c>
      <c r="P4355" t="n">
        <v>0</v>
      </c>
      <c r="Q4355" t="n">
        <v>0</v>
      </c>
      <c r="R4355" s="2" t="inlineStr"/>
      <c r="U4355">
        <f>HYPERLINK("https://klasma.github.io/Logging_0319/knärot/A 42600-2023 karta knärot.png", "A 42600-2023")</f>
        <v/>
      </c>
      <c r="V4355">
        <f>HYPERLINK("https://klasma.github.io/Logging_0319/klagomål/A 42600-2023 FSC-klagomål.docx", "A 42600-2023")</f>
        <v/>
      </c>
      <c r="W4355">
        <f>HYPERLINK("https://klasma.github.io/Logging_0319/klagomålsmail/A 42600-2023 FSC-klagomål mail.docx", "A 42600-2023")</f>
        <v/>
      </c>
      <c r="X4355">
        <f>HYPERLINK("https://klasma.github.io/Logging_0319/tillsyn/A 42600-2023 tillsynsbegäran.docx", "A 42600-2023")</f>
        <v/>
      </c>
      <c r="Y4355">
        <f>HYPERLINK("https://klasma.github.io/Logging_0319/tillsynsmail/A 42600-2023 tillsynsbegäran mail.docx", "A 42600-2023")</f>
        <v/>
      </c>
    </row>
    <row r="4356" ht="15" customHeight="1">
      <c r="A4356" t="inlineStr">
        <is>
          <t>A 42642-2023</t>
        </is>
      </c>
      <c r="B4356" s="1" t="n">
        <v>45181</v>
      </c>
      <c r="C4356" s="1" t="n">
        <v>45705</v>
      </c>
      <c r="D4356" t="inlineStr">
        <is>
          <t>UPPSALA LÄN</t>
        </is>
      </c>
      <c r="E4356" t="inlineStr">
        <is>
          <t>TIERP</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42722-2023</t>
        </is>
      </c>
      <c r="B4357" s="1" t="n">
        <v>45181</v>
      </c>
      <c r="C4357" s="1" t="n">
        <v>45705</v>
      </c>
      <c r="D4357" t="inlineStr">
        <is>
          <t>UPPSALA LÄN</t>
        </is>
      </c>
      <c r="E4357" t="inlineStr">
        <is>
          <t>UPPSALA</t>
        </is>
      </c>
      <c r="F4357" t="inlineStr">
        <is>
          <t>Holmen skog AB</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42731-2023</t>
        </is>
      </c>
      <c r="B4358" s="1" t="n">
        <v>45181</v>
      </c>
      <c r="C4358" s="1" t="n">
        <v>45705</v>
      </c>
      <c r="D4358" t="inlineStr">
        <is>
          <t>UPPSALA LÄN</t>
        </is>
      </c>
      <c r="E4358" t="inlineStr">
        <is>
          <t>HEBY</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42756-2023</t>
        </is>
      </c>
      <c r="B4359" s="1" t="n">
        <v>45181</v>
      </c>
      <c r="C4359" s="1" t="n">
        <v>45705</v>
      </c>
      <c r="D4359" t="inlineStr">
        <is>
          <t>UPPSALA LÄN</t>
        </is>
      </c>
      <c r="E4359" t="inlineStr">
        <is>
          <t>UPPSALA</t>
        </is>
      </c>
      <c r="F4359" t="inlineStr">
        <is>
          <t>Holmen skog AB</t>
        </is>
      </c>
      <c r="G4359" t="n">
        <v>8.1</v>
      </c>
      <c r="H4359" t="n">
        <v>0</v>
      </c>
      <c r="I4359" t="n">
        <v>0</v>
      </c>
      <c r="J4359" t="n">
        <v>0</v>
      </c>
      <c r="K4359" t="n">
        <v>0</v>
      </c>
      <c r="L4359" t="n">
        <v>0</v>
      </c>
      <c r="M4359" t="n">
        <v>0</v>
      </c>
      <c r="N4359" t="n">
        <v>0</v>
      </c>
      <c r="O4359" t="n">
        <v>0</v>
      </c>
      <c r="P4359" t="n">
        <v>0</v>
      </c>
      <c r="Q4359" t="n">
        <v>0</v>
      </c>
      <c r="R4359" s="2" t="inlineStr"/>
    </row>
    <row r="4360" ht="15" customHeight="1">
      <c r="A4360" t="inlineStr">
        <is>
          <t>A 42971-2023</t>
        </is>
      </c>
      <c r="B4360" s="1" t="n">
        <v>45182</v>
      </c>
      <c r="C4360" s="1" t="n">
        <v>45705</v>
      </c>
      <c r="D4360" t="inlineStr">
        <is>
          <t>UPPSALA LÄN</t>
        </is>
      </c>
      <c r="E4360" t="inlineStr">
        <is>
          <t>UPPSALA</t>
        </is>
      </c>
      <c r="F4360" t="inlineStr">
        <is>
          <t>Sveaskog</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43026-2023</t>
        </is>
      </c>
      <c r="B4361" s="1" t="n">
        <v>45182</v>
      </c>
      <c r="C4361" s="1" t="n">
        <v>45705</v>
      </c>
      <c r="D4361" t="inlineStr">
        <is>
          <t>UPPSALA LÄN</t>
        </is>
      </c>
      <c r="E4361" t="inlineStr">
        <is>
          <t>UPPSALA</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42914-2023</t>
        </is>
      </c>
      <c r="B4362" s="1" t="n">
        <v>45182</v>
      </c>
      <c r="C4362" s="1" t="n">
        <v>45705</v>
      </c>
      <c r="D4362" t="inlineStr">
        <is>
          <t>UPPSALA LÄN</t>
        </is>
      </c>
      <c r="E4362" t="inlineStr">
        <is>
          <t>HEBY</t>
        </is>
      </c>
      <c r="G4362" t="n">
        <v>4.3</v>
      </c>
      <c r="H4362" t="n">
        <v>0</v>
      </c>
      <c r="I4362" t="n">
        <v>0</v>
      </c>
      <c r="J4362" t="n">
        <v>0</v>
      </c>
      <c r="K4362" t="n">
        <v>0</v>
      </c>
      <c r="L4362" t="n">
        <v>0</v>
      </c>
      <c r="M4362" t="n">
        <v>0</v>
      </c>
      <c r="N4362" t="n">
        <v>0</v>
      </c>
      <c r="O4362" t="n">
        <v>0</v>
      </c>
      <c r="P4362" t="n">
        <v>0</v>
      </c>
      <c r="Q4362" t="n">
        <v>0</v>
      </c>
      <c r="R4362" s="2" t="inlineStr"/>
    </row>
    <row r="4363" ht="15" customHeight="1">
      <c r="A4363" t="inlineStr">
        <is>
          <t>A 42877-2023</t>
        </is>
      </c>
      <c r="B4363" s="1" t="n">
        <v>45182</v>
      </c>
      <c r="C4363" s="1" t="n">
        <v>45705</v>
      </c>
      <c r="D4363" t="inlineStr">
        <is>
          <t>UPPSALA LÄN</t>
        </is>
      </c>
      <c r="E4363" t="inlineStr">
        <is>
          <t>TIERP</t>
        </is>
      </c>
      <c r="F4363" t="inlineStr">
        <is>
          <t>Bergvik skog väst AB</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42958-2023</t>
        </is>
      </c>
      <c r="B4364" s="1" t="n">
        <v>45182</v>
      </c>
      <c r="C4364" s="1" t="n">
        <v>45705</v>
      </c>
      <c r="D4364" t="inlineStr">
        <is>
          <t>UPPSALA LÄN</t>
        </is>
      </c>
      <c r="E4364" t="inlineStr">
        <is>
          <t>HEBY</t>
        </is>
      </c>
      <c r="G4364" t="n">
        <v>12.6</v>
      </c>
      <c r="H4364" t="n">
        <v>0</v>
      </c>
      <c r="I4364" t="n">
        <v>0</v>
      </c>
      <c r="J4364" t="n">
        <v>0</v>
      </c>
      <c r="K4364" t="n">
        <v>0</v>
      </c>
      <c r="L4364" t="n">
        <v>0</v>
      </c>
      <c r="M4364" t="n">
        <v>0</v>
      </c>
      <c r="N4364" t="n">
        <v>0</v>
      </c>
      <c r="O4364" t="n">
        <v>0</v>
      </c>
      <c r="P4364" t="n">
        <v>0</v>
      </c>
      <c r="Q4364" t="n">
        <v>0</v>
      </c>
      <c r="R4364" s="2" t="inlineStr"/>
    </row>
    <row r="4365" ht="15" customHeight="1">
      <c r="A4365" t="inlineStr">
        <is>
          <t>A 42963-2023</t>
        </is>
      </c>
      <c r="B4365" s="1" t="n">
        <v>45182</v>
      </c>
      <c r="C4365" s="1" t="n">
        <v>45705</v>
      </c>
      <c r="D4365" t="inlineStr">
        <is>
          <t>UPPSALA LÄN</t>
        </is>
      </c>
      <c r="E4365" t="inlineStr">
        <is>
          <t>UPPSALA</t>
        </is>
      </c>
      <c r="F4365" t="inlineStr">
        <is>
          <t>Sveaskog</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42967-2023</t>
        </is>
      </c>
      <c r="B4366" s="1" t="n">
        <v>45182</v>
      </c>
      <c r="C4366" s="1" t="n">
        <v>45705</v>
      </c>
      <c r="D4366" t="inlineStr">
        <is>
          <t>UPPSALA LÄN</t>
        </is>
      </c>
      <c r="E4366" t="inlineStr">
        <is>
          <t>UPPSALA</t>
        </is>
      </c>
      <c r="F4366" t="inlineStr">
        <is>
          <t>Sveaskog</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43031-2023</t>
        </is>
      </c>
      <c r="B4367" s="1" t="n">
        <v>45182</v>
      </c>
      <c r="C4367" s="1" t="n">
        <v>45705</v>
      </c>
      <c r="D4367" t="inlineStr">
        <is>
          <t>UPPSALA LÄN</t>
        </is>
      </c>
      <c r="E4367" t="inlineStr">
        <is>
          <t>UPPSALA</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43035-2023</t>
        </is>
      </c>
      <c r="B4368" s="1" t="n">
        <v>45182</v>
      </c>
      <c r="C4368" s="1" t="n">
        <v>45705</v>
      </c>
      <c r="D4368" t="inlineStr">
        <is>
          <t>UPPSALA LÄN</t>
        </is>
      </c>
      <c r="E4368" t="inlineStr">
        <is>
          <t>UPPSALA</t>
        </is>
      </c>
      <c r="G4368" t="n">
        <v>3.9</v>
      </c>
      <c r="H4368" t="n">
        <v>0</v>
      </c>
      <c r="I4368" t="n">
        <v>0</v>
      </c>
      <c r="J4368" t="n">
        <v>0</v>
      </c>
      <c r="K4368" t="n">
        <v>0</v>
      </c>
      <c r="L4368" t="n">
        <v>0</v>
      </c>
      <c r="M4368" t="n">
        <v>0</v>
      </c>
      <c r="N4368" t="n">
        <v>0</v>
      </c>
      <c r="O4368" t="n">
        <v>0</v>
      </c>
      <c r="P4368" t="n">
        <v>0</v>
      </c>
      <c r="Q4368" t="n">
        <v>0</v>
      </c>
      <c r="R4368" s="2" t="inlineStr"/>
    </row>
    <row r="4369" ht="15" customHeight="1">
      <c r="A4369" t="inlineStr">
        <is>
          <t>A 42873-2023</t>
        </is>
      </c>
      <c r="B4369" s="1" t="n">
        <v>45182</v>
      </c>
      <c r="C4369" s="1" t="n">
        <v>45705</v>
      </c>
      <c r="D4369" t="inlineStr">
        <is>
          <t>UPPSALA LÄN</t>
        </is>
      </c>
      <c r="E4369" t="inlineStr">
        <is>
          <t>TIERP</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43049-2023</t>
        </is>
      </c>
      <c r="B4370" s="1" t="n">
        <v>45182</v>
      </c>
      <c r="C4370" s="1" t="n">
        <v>45705</v>
      </c>
      <c r="D4370" t="inlineStr">
        <is>
          <t>UPPSALA LÄN</t>
        </is>
      </c>
      <c r="E4370" t="inlineStr">
        <is>
          <t>UPPSALA</t>
        </is>
      </c>
      <c r="F4370" t="inlineStr">
        <is>
          <t>Allmännings- och besparingsskogar</t>
        </is>
      </c>
      <c r="G4370" t="n">
        <v>14.5</v>
      </c>
      <c r="H4370" t="n">
        <v>0</v>
      </c>
      <c r="I4370" t="n">
        <v>0</v>
      </c>
      <c r="J4370" t="n">
        <v>0</v>
      </c>
      <c r="K4370" t="n">
        <v>0</v>
      </c>
      <c r="L4370" t="n">
        <v>0</v>
      </c>
      <c r="M4370" t="n">
        <v>0</v>
      </c>
      <c r="N4370" t="n">
        <v>0</v>
      </c>
      <c r="O4370" t="n">
        <v>0</v>
      </c>
      <c r="P4370" t="n">
        <v>0</v>
      </c>
      <c r="Q4370" t="n">
        <v>0</v>
      </c>
      <c r="R4370" s="2" t="inlineStr"/>
    </row>
    <row r="4371" ht="15" customHeight="1">
      <c r="A4371" t="inlineStr">
        <is>
          <t>A 42974-2023</t>
        </is>
      </c>
      <c r="B4371" s="1" t="n">
        <v>45182</v>
      </c>
      <c r="C4371" s="1" t="n">
        <v>45705</v>
      </c>
      <c r="D4371" t="inlineStr">
        <is>
          <t>UPPSALA LÄN</t>
        </is>
      </c>
      <c r="E4371" t="inlineStr">
        <is>
          <t>UPPSALA</t>
        </is>
      </c>
      <c r="F4371" t="inlineStr">
        <is>
          <t>Sveaskog</t>
        </is>
      </c>
      <c r="G4371" t="n">
        <v>3.7</v>
      </c>
      <c r="H4371" t="n">
        <v>0</v>
      </c>
      <c r="I4371" t="n">
        <v>0</v>
      </c>
      <c r="J4371" t="n">
        <v>0</v>
      </c>
      <c r="K4371" t="n">
        <v>0</v>
      </c>
      <c r="L4371" t="n">
        <v>0</v>
      </c>
      <c r="M4371" t="n">
        <v>0</v>
      </c>
      <c r="N4371" t="n">
        <v>0</v>
      </c>
      <c r="O4371" t="n">
        <v>0</v>
      </c>
      <c r="P4371" t="n">
        <v>0</v>
      </c>
      <c r="Q4371" t="n">
        <v>0</v>
      </c>
      <c r="R4371" s="2" t="inlineStr"/>
      <c r="U4371">
        <f>HYPERLINK("https://klasma.github.io/Logging_0380/knärot/A 42974-2023 karta knärot.png", "A 42974-2023")</f>
        <v/>
      </c>
      <c r="V4371">
        <f>HYPERLINK("https://klasma.github.io/Logging_0380/klagomål/A 42974-2023 FSC-klagomål.docx", "A 42974-2023")</f>
        <v/>
      </c>
      <c r="W4371">
        <f>HYPERLINK("https://klasma.github.io/Logging_0380/klagomålsmail/A 42974-2023 FSC-klagomål mail.docx", "A 42974-2023")</f>
        <v/>
      </c>
      <c r="X4371">
        <f>HYPERLINK("https://klasma.github.io/Logging_0380/tillsyn/A 42974-2023 tillsynsbegäran.docx", "A 42974-2023")</f>
        <v/>
      </c>
      <c r="Y4371">
        <f>HYPERLINK("https://klasma.github.io/Logging_0380/tillsynsmail/A 42974-2023 tillsynsbegäran mail.docx", "A 42974-2023")</f>
        <v/>
      </c>
    </row>
    <row r="4372" ht="15" customHeight="1">
      <c r="A4372" t="inlineStr">
        <is>
          <t>A 42978-2023</t>
        </is>
      </c>
      <c r="B4372" s="1" t="n">
        <v>45182</v>
      </c>
      <c r="C4372" s="1" t="n">
        <v>45705</v>
      </c>
      <c r="D4372" t="inlineStr">
        <is>
          <t>UPPSALA LÄN</t>
        </is>
      </c>
      <c r="E4372" t="inlineStr">
        <is>
          <t>UPPSALA</t>
        </is>
      </c>
      <c r="F4372" t="inlineStr">
        <is>
          <t>Sveaskog</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43029-2023</t>
        </is>
      </c>
      <c r="B4373" s="1" t="n">
        <v>45182</v>
      </c>
      <c r="C4373" s="1" t="n">
        <v>45705</v>
      </c>
      <c r="D4373" t="inlineStr">
        <is>
          <t>UPPSALA LÄN</t>
        </is>
      </c>
      <c r="E4373" t="inlineStr">
        <is>
          <t>UPPSALA</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43818-2023</t>
        </is>
      </c>
      <c r="B4374" s="1" t="n">
        <v>45182</v>
      </c>
      <c r="C4374" s="1" t="n">
        <v>45705</v>
      </c>
      <c r="D4374" t="inlineStr">
        <is>
          <t>UPPSALA LÄN</t>
        </is>
      </c>
      <c r="E4374" t="inlineStr">
        <is>
          <t>UPPSALA</t>
        </is>
      </c>
      <c r="G4374" t="n">
        <v>10.8</v>
      </c>
      <c r="H4374" t="n">
        <v>0</v>
      </c>
      <c r="I4374" t="n">
        <v>0</v>
      </c>
      <c r="J4374" t="n">
        <v>0</v>
      </c>
      <c r="K4374" t="n">
        <v>0</v>
      </c>
      <c r="L4374" t="n">
        <v>0</v>
      </c>
      <c r="M4374" t="n">
        <v>0</v>
      </c>
      <c r="N4374" t="n">
        <v>0</v>
      </c>
      <c r="O4374" t="n">
        <v>0</v>
      </c>
      <c r="P4374" t="n">
        <v>0</v>
      </c>
      <c r="Q4374" t="n">
        <v>0</v>
      </c>
      <c r="R4374" s="2" t="inlineStr"/>
    </row>
    <row r="4375" ht="15" customHeight="1">
      <c r="A4375" t="inlineStr">
        <is>
          <t>A 43795-2023</t>
        </is>
      </c>
      <c r="B4375" s="1" t="n">
        <v>45182</v>
      </c>
      <c r="C4375" s="1" t="n">
        <v>45705</v>
      </c>
      <c r="D4375" t="inlineStr">
        <is>
          <t>UPPSALA LÄN</t>
        </is>
      </c>
      <c r="E4375" t="inlineStr">
        <is>
          <t>UPPSALA</t>
        </is>
      </c>
      <c r="G4375" t="n">
        <v>4.7</v>
      </c>
      <c r="H4375" t="n">
        <v>0</v>
      </c>
      <c r="I4375" t="n">
        <v>0</v>
      </c>
      <c r="J4375" t="n">
        <v>0</v>
      </c>
      <c r="K4375" t="n">
        <v>0</v>
      </c>
      <c r="L4375" t="n">
        <v>0</v>
      </c>
      <c r="M4375" t="n">
        <v>0</v>
      </c>
      <c r="N4375" t="n">
        <v>0</v>
      </c>
      <c r="O4375" t="n">
        <v>0</v>
      </c>
      <c r="P4375" t="n">
        <v>0</v>
      </c>
      <c r="Q4375" t="n">
        <v>0</v>
      </c>
      <c r="R4375" s="2" t="inlineStr"/>
    </row>
    <row r="4376" ht="15" customHeight="1">
      <c r="A4376" t="inlineStr">
        <is>
          <t>A 43230-2023</t>
        </is>
      </c>
      <c r="B4376" s="1" t="n">
        <v>45183</v>
      </c>
      <c r="C4376" s="1" t="n">
        <v>45705</v>
      </c>
      <c r="D4376" t="inlineStr">
        <is>
          <t>UPPSALA LÄN</t>
        </is>
      </c>
      <c r="E4376" t="inlineStr">
        <is>
          <t>ENKÖPING</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43285-2023</t>
        </is>
      </c>
      <c r="B4377" s="1" t="n">
        <v>45183</v>
      </c>
      <c r="C4377" s="1" t="n">
        <v>45705</v>
      </c>
      <c r="D4377" t="inlineStr">
        <is>
          <t>UPPSALA LÄN</t>
        </is>
      </c>
      <c r="E4377" t="inlineStr">
        <is>
          <t>ÄLVKARLEBY</t>
        </is>
      </c>
      <c r="F4377" t="inlineStr">
        <is>
          <t>Bergvik skog väst AB</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43288-2023</t>
        </is>
      </c>
      <c r="B4378" s="1" t="n">
        <v>45183</v>
      </c>
      <c r="C4378" s="1" t="n">
        <v>45705</v>
      </c>
      <c r="D4378" t="inlineStr">
        <is>
          <t>UPPSALA LÄN</t>
        </is>
      </c>
      <c r="E4378" t="inlineStr">
        <is>
          <t>ÄLVKARLEBY</t>
        </is>
      </c>
      <c r="F4378" t="inlineStr">
        <is>
          <t>Bergvik skog väst AB</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43316-2023</t>
        </is>
      </c>
      <c r="B4379" s="1" t="n">
        <v>45183</v>
      </c>
      <c r="C4379" s="1" t="n">
        <v>45705</v>
      </c>
      <c r="D4379" t="inlineStr">
        <is>
          <t>UPPSALA LÄN</t>
        </is>
      </c>
      <c r="E4379" t="inlineStr">
        <is>
          <t>UPPSALA</t>
        </is>
      </c>
      <c r="F4379" t="inlineStr">
        <is>
          <t>Holmen skog AB</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43451-2023</t>
        </is>
      </c>
      <c r="B4380" s="1" t="n">
        <v>45184</v>
      </c>
      <c r="C4380" s="1" t="n">
        <v>45705</v>
      </c>
      <c r="D4380" t="inlineStr">
        <is>
          <t>UPPSALA LÄN</t>
        </is>
      </c>
      <c r="E4380" t="inlineStr">
        <is>
          <t>HEBY</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43450-2023</t>
        </is>
      </c>
      <c r="B4381" s="1" t="n">
        <v>45184</v>
      </c>
      <c r="C4381" s="1" t="n">
        <v>45705</v>
      </c>
      <c r="D4381" t="inlineStr">
        <is>
          <t>UPPSALA LÄN</t>
        </is>
      </c>
      <c r="E4381" t="inlineStr">
        <is>
          <t>HEBY</t>
        </is>
      </c>
      <c r="G4381" t="n">
        <v>5.8</v>
      </c>
      <c r="H4381" t="n">
        <v>0</v>
      </c>
      <c r="I4381" t="n">
        <v>0</v>
      </c>
      <c r="J4381" t="n">
        <v>0</v>
      </c>
      <c r="K4381" t="n">
        <v>0</v>
      </c>
      <c r="L4381" t="n">
        <v>0</v>
      </c>
      <c r="M4381" t="n">
        <v>0</v>
      </c>
      <c r="N4381" t="n">
        <v>0</v>
      </c>
      <c r="O4381" t="n">
        <v>0</v>
      </c>
      <c r="P4381" t="n">
        <v>0</v>
      </c>
      <c r="Q4381" t="n">
        <v>0</v>
      </c>
      <c r="R4381" s="2" t="inlineStr"/>
    </row>
    <row r="4382" ht="15" customHeight="1">
      <c r="A4382" t="inlineStr">
        <is>
          <t>A 43732-2023</t>
        </is>
      </c>
      <c r="B4382" s="1" t="n">
        <v>45187</v>
      </c>
      <c r="C4382" s="1" t="n">
        <v>45705</v>
      </c>
      <c r="D4382" t="inlineStr">
        <is>
          <t>UPPSALA LÄN</t>
        </is>
      </c>
      <c r="E4382" t="inlineStr">
        <is>
          <t>ÖSTHAMMAR</t>
        </is>
      </c>
      <c r="F4382" t="inlineStr">
        <is>
          <t>Övriga Aktiebolag</t>
        </is>
      </c>
      <c r="G4382" t="n">
        <v>4.1</v>
      </c>
      <c r="H4382" t="n">
        <v>0</v>
      </c>
      <c r="I4382" t="n">
        <v>0</v>
      </c>
      <c r="J4382" t="n">
        <v>0</v>
      </c>
      <c r="K4382" t="n">
        <v>0</v>
      </c>
      <c r="L4382" t="n">
        <v>0</v>
      </c>
      <c r="M4382" t="n">
        <v>0</v>
      </c>
      <c r="N4382" t="n">
        <v>0</v>
      </c>
      <c r="O4382" t="n">
        <v>0</v>
      </c>
      <c r="P4382" t="n">
        <v>0</v>
      </c>
      <c r="Q4382" t="n">
        <v>0</v>
      </c>
      <c r="R4382" s="2" t="inlineStr"/>
    </row>
    <row r="4383" ht="15" customHeight="1">
      <c r="A4383" t="inlineStr">
        <is>
          <t>A 43925-2023</t>
        </is>
      </c>
      <c r="B4383" s="1" t="n">
        <v>45187</v>
      </c>
      <c r="C4383" s="1" t="n">
        <v>45705</v>
      </c>
      <c r="D4383" t="inlineStr">
        <is>
          <t>UPPSALA LÄN</t>
        </is>
      </c>
      <c r="E4383" t="inlineStr">
        <is>
          <t>ÖSTHAMMAR</t>
        </is>
      </c>
      <c r="F4383" t="inlineStr">
        <is>
          <t>Allmännings- och besparingsskogar</t>
        </is>
      </c>
      <c r="G4383" t="n">
        <v>20.8</v>
      </c>
      <c r="H4383" t="n">
        <v>0</v>
      </c>
      <c r="I4383" t="n">
        <v>0</v>
      </c>
      <c r="J4383" t="n">
        <v>0</v>
      </c>
      <c r="K4383" t="n">
        <v>0</v>
      </c>
      <c r="L4383" t="n">
        <v>0</v>
      </c>
      <c r="M4383" t="n">
        <v>0</v>
      </c>
      <c r="N4383" t="n">
        <v>0</v>
      </c>
      <c r="O4383" t="n">
        <v>0</v>
      </c>
      <c r="P4383" t="n">
        <v>0</v>
      </c>
      <c r="Q4383" t="n">
        <v>0</v>
      </c>
      <c r="R4383" s="2" t="inlineStr"/>
    </row>
    <row r="4384" ht="15" customHeight="1">
      <c r="A4384" t="inlineStr">
        <is>
          <t>A 43944-2023</t>
        </is>
      </c>
      <c r="B4384" s="1" t="n">
        <v>45187</v>
      </c>
      <c r="C4384" s="1" t="n">
        <v>45705</v>
      </c>
      <c r="D4384" t="inlineStr">
        <is>
          <t>UPPSALA LÄN</t>
        </is>
      </c>
      <c r="E4384" t="inlineStr">
        <is>
          <t>UPPSALA</t>
        </is>
      </c>
      <c r="G4384" t="n">
        <v>16.1</v>
      </c>
      <c r="H4384" t="n">
        <v>0</v>
      </c>
      <c r="I4384" t="n">
        <v>0</v>
      </c>
      <c r="J4384" t="n">
        <v>0</v>
      </c>
      <c r="K4384" t="n">
        <v>0</v>
      </c>
      <c r="L4384" t="n">
        <v>0</v>
      </c>
      <c r="M4384" t="n">
        <v>0</v>
      </c>
      <c r="N4384" t="n">
        <v>0</v>
      </c>
      <c r="O4384" t="n">
        <v>0</v>
      </c>
      <c r="P4384" t="n">
        <v>0</v>
      </c>
      <c r="Q4384" t="n">
        <v>0</v>
      </c>
      <c r="R4384" s="2" t="inlineStr"/>
    </row>
    <row r="4385" ht="15" customHeight="1">
      <c r="A4385" t="inlineStr">
        <is>
          <t>A 43775-2023</t>
        </is>
      </c>
      <c r="B4385" s="1" t="n">
        <v>45187</v>
      </c>
      <c r="C4385" s="1" t="n">
        <v>45705</v>
      </c>
      <c r="D4385" t="inlineStr">
        <is>
          <t>UPPSALA LÄN</t>
        </is>
      </c>
      <c r="E4385" t="inlineStr">
        <is>
          <t>UPPSALA</t>
        </is>
      </c>
      <c r="F4385" t="inlineStr">
        <is>
          <t>Bergvik skog öst AB</t>
        </is>
      </c>
      <c r="G4385" t="n">
        <v>3.4</v>
      </c>
      <c r="H4385" t="n">
        <v>0</v>
      </c>
      <c r="I4385" t="n">
        <v>0</v>
      </c>
      <c r="J4385" t="n">
        <v>0</v>
      </c>
      <c r="K4385" t="n">
        <v>0</v>
      </c>
      <c r="L4385" t="n">
        <v>0</v>
      </c>
      <c r="M4385" t="n">
        <v>0</v>
      </c>
      <c r="N4385" t="n">
        <v>0</v>
      </c>
      <c r="O4385" t="n">
        <v>0</v>
      </c>
      <c r="P4385" t="n">
        <v>0</v>
      </c>
      <c r="Q4385" t="n">
        <v>0</v>
      </c>
      <c r="R4385" s="2" t="inlineStr"/>
    </row>
    <row r="4386" ht="15" customHeight="1">
      <c r="A4386" t="inlineStr">
        <is>
          <t>A 43779-2023</t>
        </is>
      </c>
      <c r="B4386" s="1" t="n">
        <v>45187</v>
      </c>
      <c r="C4386" s="1" t="n">
        <v>45705</v>
      </c>
      <c r="D4386" t="inlineStr">
        <is>
          <t>UPPSALA LÄN</t>
        </is>
      </c>
      <c r="E4386" t="inlineStr">
        <is>
          <t>UPPSALA</t>
        </is>
      </c>
      <c r="F4386" t="inlineStr">
        <is>
          <t>Bergvik skog öst AB</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43776-2023</t>
        </is>
      </c>
      <c r="B4387" s="1" t="n">
        <v>45187</v>
      </c>
      <c r="C4387" s="1" t="n">
        <v>45705</v>
      </c>
      <c r="D4387" t="inlineStr">
        <is>
          <t>UPPSALA LÄN</t>
        </is>
      </c>
      <c r="E4387" t="inlineStr">
        <is>
          <t>UPPSALA</t>
        </is>
      </c>
      <c r="F4387" t="inlineStr">
        <is>
          <t>Bergvik skog öst AB</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43855-2023</t>
        </is>
      </c>
      <c r="B4388" s="1" t="n">
        <v>45187</v>
      </c>
      <c r="C4388" s="1" t="n">
        <v>45705</v>
      </c>
      <c r="D4388" t="inlineStr">
        <is>
          <t>UPPSALA LÄN</t>
        </is>
      </c>
      <c r="E4388" t="inlineStr">
        <is>
          <t>UPPSALA</t>
        </is>
      </c>
      <c r="F4388" t="inlineStr">
        <is>
          <t>Bergvik skog öst AB</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43840-2023</t>
        </is>
      </c>
      <c r="B4389" s="1" t="n">
        <v>45187</v>
      </c>
      <c r="C4389" s="1" t="n">
        <v>45705</v>
      </c>
      <c r="D4389" t="inlineStr">
        <is>
          <t>UPPSALA LÄN</t>
        </is>
      </c>
      <c r="E4389" t="inlineStr">
        <is>
          <t>HEBY</t>
        </is>
      </c>
      <c r="G4389" t="n">
        <v>23.9</v>
      </c>
      <c r="H4389" t="n">
        <v>0</v>
      </c>
      <c r="I4389" t="n">
        <v>0</v>
      </c>
      <c r="J4389" t="n">
        <v>0</v>
      </c>
      <c r="K4389" t="n">
        <v>0</v>
      </c>
      <c r="L4389" t="n">
        <v>0</v>
      </c>
      <c r="M4389" t="n">
        <v>0</v>
      </c>
      <c r="N4389" t="n">
        <v>0</v>
      </c>
      <c r="O4389" t="n">
        <v>0</v>
      </c>
      <c r="P4389" t="n">
        <v>0</v>
      </c>
      <c r="Q4389" t="n">
        <v>0</v>
      </c>
      <c r="R4389" s="2" t="inlineStr"/>
    </row>
    <row r="4390" ht="15" customHeight="1">
      <c r="A4390" t="inlineStr">
        <is>
          <t>A 43905-2023</t>
        </is>
      </c>
      <c r="B4390" s="1" t="n">
        <v>45187</v>
      </c>
      <c r="C4390" s="1" t="n">
        <v>45705</v>
      </c>
      <c r="D4390" t="inlineStr">
        <is>
          <t>UPPSALA LÄN</t>
        </is>
      </c>
      <c r="E4390" t="inlineStr">
        <is>
          <t>KNIVSTA</t>
        </is>
      </c>
      <c r="F4390" t="inlineStr">
        <is>
          <t>Kyrkan</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43915-2023</t>
        </is>
      </c>
      <c r="B4391" s="1" t="n">
        <v>45187</v>
      </c>
      <c r="C4391" s="1" t="n">
        <v>45705</v>
      </c>
      <c r="D4391" t="inlineStr">
        <is>
          <t>UPPSALA LÄN</t>
        </is>
      </c>
      <c r="E4391" t="inlineStr">
        <is>
          <t>ÖSTHAMMAR</t>
        </is>
      </c>
      <c r="F4391" t="inlineStr">
        <is>
          <t>Bergvik skog öst AB</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43722-2023</t>
        </is>
      </c>
      <c r="B4392" s="1" t="n">
        <v>45187</v>
      </c>
      <c r="C4392" s="1" t="n">
        <v>45705</v>
      </c>
      <c r="D4392" t="inlineStr">
        <is>
          <t>UPPSALA LÄN</t>
        </is>
      </c>
      <c r="E4392" t="inlineStr">
        <is>
          <t>TIERP</t>
        </is>
      </c>
      <c r="F4392" t="inlineStr">
        <is>
          <t>Bergvik skog öst AB</t>
        </is>
      </c>
      <c r="G4392" t="n">
        <v>26.7</v>
      </c>
      <c r="H4392" t="n">
        <v>0</v>
      </c>
      <c r="I4392" t="n">
        <v>0</v>
      </c>
      <c r="J4392" t="n">
        <v>0</v>
      </c>
      <c r="K4392" t="n">
        <v>0</v>
      </c>
      <c r="L4392" t="n">
        <v>0</v>
      </c>
      <c r="M4392" t="n">
        <v>0</v>
      </c>
      <c r="N4392" t="n">
        <v>0</v>
      </c>
      <c r="O4392" t="n">
        <v>0</v>
      </c>
      <c r="P4392" t="n">
        <v>0</v>
      </c>
      <c r="Q4392" t="n">
        <v>0</v>
      </c>
      <c r="R4392" s="2" t="inlineStr"/>
    </row>
    <row r="4393" ht="15" customHeight="1">
      <c r="A4393" t="inlineStr">
        <is>
          <t>A 43778-2023</t>
        </is>
      </c>
      <c r="B4393" s="1" t="n">
        <v>45187</v>
      </c>
      <c r="C4393" s="1" t="n">
        <v>45705</v>
      </c>
      <c r="D4393" t="inlineStr">
        <is>
          <t>UPPSALA LÄN</t>
        </is>
      </c>
      <c r="E4393" t="inlineStr">
        <is>
          <t>UPPSALA</t>
        </is>
      </c>
      <c r="F4393" t="inlineStr">
        <is>
          <t>Bergvik skog öst AB</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43838-2023</t>
        </is>
      </c>
      <c r="B4394" s="1" t="n">
        <v>45187</v>
      </c>
      <c r="C4394" s="1" t="n">
        <v>45705</v>
      </c>
      <c r="D4394" t="inlineStr">
        <is>
          <t>UPPSALA LÄN</t>
        </is>
      </c>
      <c r="E4394" t="inlineStr">
        <is>
          <t>ÖSTHAMMAR</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43908-2023</t>
        </is>
      </c>
      <c r="B4395" s="1" t="n">
        <v>45187</v>
      </c>
      <c r="C4395" s="1" t="n">
        <v>45705</v>
      </c>
      <c r="D4395" t="inlineStr">
        <is>
          <t>UPPSALA LÄN</t>
        </is>
      </c>
      <c r="E4395" t="inlineStr">
        <is>
          <t>KNIVSTA</t>
        </is>
      </c>
      <c r="F4395" t="inlineStr">
        <is>
          <t>Kyrkan</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44875-2023</t>
        </is>
      </c>
      <c r="B4396" s="1" t="n">
        <v>45187</v>
      </c>
      <c r="C4396" s="1" t="n">
        <v>45705</v>
      </c>
      <c r="D4396" t="inlineStr">
        <is>
          <t>UPPSALA LÄN</t>
        </is>
      </c>
      <c r="E4396" t="inlineStr">
        <is>
          <t>UPPSALA</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44080-2023</t>
        </is>
      </c>
      <c r="B4397" s="1" t="n">
        <v>45188</v>
      </c>
      <c r="C4397" s="1" t="n">
        <v>45705</v>
      </c>
      <c r="D4397" t="inlineStr">
        <is>
          <t>UPPSALA LÄN</t>
        </is>
      </c>
      <c r="E4397" t="inlineStr">
        <is>
          <t>UPPSALA</t>
        </is>
      </c>
      <c r="G4397" t="n">
        <v>13.3</v>
      </c>
      <c r="H4397" t="n">
        <v>0</v>
      </c>
      <c r="I4397" t="n">
        <v>0</v>
      </c>
      <c r="J4397" t="n">
        <v>0</v>
      </c>
      <c r="K4397" t="n">
        <v>0</v>
      </c>
      <c r="L4397" t="n">
        <v>0</v>
      </c>
      <c r="M4397" t="n">
        <v>0</v>
      </c>
      <c r="N4397" t="n">
        <v>0</v>
      </c>
      <c r="O4397" t="n">
        <v>0</v>
      </c>
      <c r="P4397" t="n">
        <v>0</v>
      </c>
      <c r="Q4397" t="n">
        <v>0</v>
      </c>
      <c r="R4397" s="2" t="inlineStr"/>
    </row>
    <row r="4398" ht="15" customHeight="1">
      <c r="A4398" t="inlineStr">
        <is>
          <t>A 44115-2023</t>
        </is>
      </c>
      <c r="B4398" s="1" t="n">
        <v>45188</v>
      </c>
      <c r="C4398" s="1" t="n">
        <v>45705</v>
      </c>
      <c r="D4398" t="inlineStr">
        <is>
          <t>UPPSALA LÄN</t>
        </is>
      </c>
      <c r="E4398" t="inlineStr">
        <is>
          <t>UPPSALA</t>
        </is>
      </c>
      <c r="F4398" t="inlineStr">
        <is>
          <t>Holmen skog AB</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44228-2023</t>
        </is>
      </c>
      <c r="B4399" s="1" t="n">
        <v>45188</v>
      </c>
      <c r="C4399" s="1" t="n">
        <v>45705</v>
      </c>
      <c r="D4399" t="inlineStr">
        <is>
          <t>UPPSALA LÄN</t>
        </is>
      </c>
      <c r="E4399" t="inlineStr">
        <is>
          <t>TIERP</t>
        </is>
      </c>
      <c r="F4399" t="inlineStr">
        <is>
          <t>Bergvik skog öst AB</t>
        </is>
      </c>
      <c r="G4399" t="n">
        <v>3.8</v>
      </c>
      <c r="H4399" t="n">
        <v>0</v>
      </c>
      <c r="I4399" t="n">
        <v>0</v>
      </c>
      <c r="J4399" t="n">
        <v>0</v>
      </c>
      <c r="K4399" t="n">
        <v>0</v>
      </c>
      <c r="L4399" t="n">
        <v>0</v>
      </c>
      <c r="M4399" t="n">
        <v>0</v>
      </c>
      <c r="N4399" t="n">
        <v>0</v>
      </c>
      <c r="O4399" t="n">
        <v>0</v>
      </c>
      <c r="P4399" t="n">
        <v>0</v>
      </c>
      <c r="Q4399" t="n">
        <v>0</v>
      </c>
      <c r="R4399" s="2" t="inlineStr"/>
    </row>
    <row r="4400" ht="15" customHeight="1">
      <c r="A4400" t="inlineStr">
        <is>
          <t>A 44232-2023</t>
        </is>
      </c>
      <c r="B4400" s="1" t="n">
        <v>45188</v>
      </c>
      <c r="C4400" s="1" t="n">
        <v>45705</v>
      </c>
      <c r="D4400" t="inlineStr">
        <is>
          <t>UPPSALA LÄN</t>
        </is>
      </c>
      <c r="E4400" t="inlineStr">
        <is>
          <t>UPPSALA</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44105-2023</t>
        </is>
      </c>
      <c r="B4401" s="1" t="n">
        <v>45188</v>
      </c>
      <c r="C4401" s="1" t="n">
        <v>45705</v>
      </c>
      <c r="D4401" t="inlineStr">
        <is>
          <t>UPPSALA LÄN</t>
        </is>
      </c>
      <c r="E4401" t="inlineStr">
        <is>
          <t>UPPSALA</t>
        </is>
      </c>
      <c r="G4401" t="n">
        <v>5.8</v>
      </c>
      <c r="H4401" t="n">
        <v>0</v>
      </c>
      <c r="I4401" t="n">
        <v>0</v>
      </c>
      <c r="J4401" t="n">
        <v>0</v>
      </c>
      <c r="K4401" t="n">
        <v>0</v>
      </c>
      <c r="L4401" t="n">
        <v>0</v>
      </c>
      <c r="M4401" t="n">
        <v>0</v>
      </c>
      <c r="N4401" t="n">
        <v>0</v>
      </c>
      <c r="O4401" t="n">
        <v>0</v>
      </c>
      <c r="P4401" t="n">
        <v>0</v>
      </c>
      <c r="Q4401" t="n">
        <v>0</v>
      </c>
      <c r="R4401" s="2" t="inlineStr"/>
    </row>
    <row r="4402" ht="15" customHeight="1">
      <c r="A4402" t="inlineStr">
        <is>
          <t>A 44131-2023</t>
        </is>
      </c>
      <c r="B4402" s="1" t="n">
        <v>45188</v>
      </c>
      <c r="C4402" s="1" t="n">
        <v>45705</v>
      </c>
      <c r="D4402" t="inlineStr">
        <is>
          <t>UPPSALA LÄN</t>
        </is>
      </c>
      <c r="E4402" t="inlineStr">
        <is>
          <t>ENKÖPING</t>
        </is>
      </c>
      <c r="G4402" t="n">
        <v>0.3</v>
      </c>
      <c r="H4402" t="n">
        <v>0</v>
      </c>
      <c r="I4402" t="n">
        <v>0</v>
      </c>
      <c r="J4402" t="n">
        <v>0</v>
      </c>
      <c r="K4402" t="n">
        <v>0</v>
      </c>
      <c r="L4402" t="n">
        <v>0</v>
      </c>
      <c r="M4402" t="n">
        <v>0</v>
      </c>
      <c r="N4402" t="n">
        <v>0</v>
      </c>
      <c r="O4402" t="n">
        <v>0</v>
      </c>
      <c r="P4402" t="n">
        <v>0</v>
      </c>
      <c r="Q4402" t="n">
        <v>0</v>
      </c>
      <c r="R4402" s="2" t="inlineStr"/>
    </row>
    <row r="4403" ht="15" customHeight="1">
      <c r="A4403" t="inlineStr">
        <is>
          <t>A 44333-2023</t>
        </is>
      </c>
      <c r="B4403" s="1" t="n">
        <v>45188</v>
      </c>
      <c r="C4403" s="1" t="n">
        <v>45705</v>
      </c>
      <c r="D4403" t="inlineStr">
        <is>
          <t>UPPSALA LÄN</t>
        </is>
      </c>
      <c r="E4403" t="inlineStr">
        <is>
          <t>UPPSALA</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44337-2023</t>
        </is>
      </c>
      <c r="B4404" s="1" t="n">
        <v>45188</v>
      </c>
      <c r="C4404" s="1" t="n">
        <v>45705</v>
      </c>
      <c r="D4404" t="inlineStr">
        <is>
          <t>UPPSALA LÄN</t>
        </is>
      </c>
      <c r="E4404" t="inlineStr">
        <is>
          <t>UPPSALA</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44257-2023</t>
        </is>
      </c>
      <c r="B4405" s="1" t="n">
        <v>45188</v>
      </c>
      <c r="C4405" s="1" t="n">
        <v>45705</v>
      </c>
      <c r="D4405" t="inlineStr">
        <is>
          <t>UPPSALA LÄN</t>
        </is>
      </c>
      <c r="E4405" t="inlineStr">
        <is>
          <t>UPPSALA</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44326-2023</t>
        </is>
      </c>
      <c r="B4406" s="1" t="n">
        <v>45188</v>
      </c>
      <c r="C4406" s="1" t="n">
        <v>45705</v>
      </c>
      <c r="D4406" t="inlineStr">
        <is>
          <t>UPPSALA LÄN</t>
        </is>
      </c>
      <c r="E4406" t="inlineStr">
        <is>
          <t>ENKÖPING</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45642-2023</t>
        </is>
      </c>
      <c r="B4407" s="1" t="n">
        <v>45188</v>
      </c>
      <c r="C4407" s="1" t="n">
        <v>45705</v>
      </c>
      <c r="D4407" t="inlineStr">
        <is>
          <t>UPPSALA LÄN</t>
        </is>
      </c>
      <c r="E4407" t="inlineStr">
        <is>
          <t>HEBY</t>
        </is>
      </c>
      <c r="F4407" t="inlineStr">
        <is>
          <t>Bergvik skog väst AB</t>
        </is>
      </c>
      <c r="G4407" t="n">
        <v>4.5</v>
      </c>
      <c r="H4407" t="n">
        <v>0</v>
      </c>
      <c r="I4407" t="n">
        <v>0</v>
      </c>
      <c r="J4407" t="n">
        <v>0</v>
      </c>
      <c r="K4407" t="n">
        <v>0</v>
      </c>
      <c r="L4407" t="n">
        <v>0</v>
      </c>
      <c r="M4407" t="n">
        <v>0</v>
      </c>
      <c r="N4407" t="n">
        <v>0</v>
      </c>
      <c r="O4407" t="n">
        <v>0</v>
      </c>
      <c r="P4407" t="n">
        <v>0</v>
      </c>
      <c r="Q4407" t="n">
        <v>0</v>
      </c>
      <c r="R4407" s="2" t="inlineStr"/>
    </row>
    <row r="4408" ht="15" customHeight="1">
      <c r="A4408" t="inlineStr">
        <is>
          <t>A 44438-2023</t>
        </is>
      </c>
      <c r="B4408" s="1" t="n">
        <v>45189</v>
      </c>
      <c r="C4408" s="1" t="n">
        <v>45705</v>
      </c>
      <c r="D4408" t="inlineStr">
        <is>
          <t>UPPSALA LÄN</t>
        </is>
      </c>
      <c r="E4408" t="inlineStr">
        <is>
          <t>TIERP</t>
        </is>
      </c>
      <c r="F4408" t="inlineStr">
        <is>
          <t>Bergvik skog öst AB</t>
        </is>
      </c>
      <c r="G4408" t="n">
        <v>6.9</v>
      </c>
      <c r="H4408" t="n">
        <v>0</v>
      </c>
      <c r="I4408" t="n">
        <v>0</v>
      </c>
      <c r="J4408" t="n">
        <v>0</v>
      </c>
      <c r="K4408" t="n">
        <v>0</v>
      </c>
      <c r="L4408" t="n">
        <v>0</v>
      </c>
      <c r="M4408" t="n">
        <v>0</v>
      </c>
      <c r="N4408" t="n">
        <v>0</v>
      </c>
      <c r="O4408" t="n">
        <v>0</v>
      </c>
      <c r="P4408" t="n">
        <v>0</v>
      </c>
      <c r="Q4408" t="n">
        <v>0</v>
      </c>
      <c r="R4408" s="2" t="inlineStr"/>
    </row>
    <row r="4409" ht="15" customHeight="1">
      <c r="A4409" t="inlineStr">
        <is>
          <t>A 44430-2023</t>
        </is>
      </c>
      <c r="B4409" s="1" t="n">
        <v>45189</v>
      </c>
      <c r="C4409" s="1" t="n">
        <v>45705</v>
      </c>
      <c r="D4409" t="inlineStr">
        <is>
          <t>UPPSALA LÄN</t>
        </is>
      </c>
      <c r="E4409" t="inlineStr">
        <is>
          <t>TIERP</t>
        </is>
      </c>
      <c r="F4409" t="inlineStr">
        <is>
          <t>Bergvik skog öst AB</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44636-2023</t>
        </is>
      </c>
      <c r="B4410" s="1" t="n">
        <v>45189</v>
      </c>
      <c r="C4410" s="1" t="n">
        <v>45705</v>
      </c>
      <c r="D4410" t="inlineStr">
        <is>
          <t>UPPSALA LÄN</t>
        </is>
      </c>
      <c r="E4410" t="inlineStr">
        <is>
          <t>ÖSTHAMMAR</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44614-2023</t>
        </is>
      </c>
      <c r="B4411" s="1" t="n">
        <v>45189</v>
      </c>
      <c r="C4411" s="1" t="n">
        <v>45705</v>
      </c>
      <c r="D4411" t="inlineStr">
        <is>
          <t>UPPSALA LÄN</t>
        </is>
      </c>
      <c r="E4411" t="inlineStr">
        <is>
          <t>ÖSTHAMMAR</t>
        </is>
      </c>
      <c r="F4411" t="inlineStr">
        <is>
          <t>Övriga Aktiebolag</t>
        </is>
      </c>
      <c r="G4411" t="n">
        <v>17.8</v>
      </c>
      <c r="H4411" t="n">
        <v>0</v>
      </c>
      <c r="I4411" t="n">
        <v>0</v>
      </c>
      <c r="J4411" t="n">
        <v>0</v>
      </c>
      <c r="K4411" t="n">
        <v>0</v>
      </c>
      <c r="L4411" t="n">
        <v>0</v>
      </c>
      <c r="M4411" t="n">
        <v>0</v>
      </c>
      <c r="N4411" t="n">
        <v>0</v>
      </c>
      <c r="O4411" t="n">
        <v>0</v>
      </c>
      <c r="P4411" t="n">
        <v>0</v>
      </c>
      <c r="Q4411" t="n">
        <v>0</v>
      </c>
      <c r="R4411" s="2" t="inlineStr"/>
    </row>
    <row r="4412" ht="15" customHeight="1">
      <c r="A4412" t="inlineStr">
        <is>
          <t>A 44739-2023</t>
        </is>
      </c>
      <c r="B4412" s="1" t="n">
        <v>45190</v>
      </c>
      <c r="C4412" s="1" t="n">
        <v>45705</v>
      </c>
      <c r="D4412" t="inlineStr">
        <is>
          <t>UPPSALA LÄN</t>
        </is>
      </c>
      <c r="E4412" t="inlineStr">
        <is>
          <t>TIERP</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44756-2023</t>
        </is>
      </c>
      <c r="B4413" s="1" t="n">
        <v>45190</v>
      </c>
      <c r="C4413" s="1" t="n">
        <v>45705</v>
      </c>
      <c r="D4413" t="inlineStr">
        <is>
          <t>UPPSALA LÄN</t>
        </is>
      </c>
      <c r="E4413" t="inlineStr">
        <is>
          <t>TIERP</t>
        </is>
      </c>
      <c r="G4413" t="n">
        <v>18.1</v>
      </c>
      <c r="H4413" t="n">
        <v>0</v>
      </c>
      <c r="I4413" t="n">
        <v>0</v>
      </c>
      <c r="J4413" t="n">
        <v>0</v>
      </c>
      <c r="K4413" t="n">
        <v>0</v>
      </c>
      <c r="L4413" t="n">
        <v>0</v>
      </c>
      <c r="M4413" t="n">
        <v>0</v>
      </c>
      <c r="N4413" t="n">
        <v>0</v>
      </c>
      <c r="O4413" t="n">
        <v>0</v>
      </c>
      <c r="P4413" t="n">
        <v>0</v>
      </c>
      <c r="Q4413" t="n">
        <v>0</v>
      </c>
      <c r="R4413" s="2" t="inlineStr"/>
    </row>
    <row r="4414" ht="15" customHeight="1">
      <c r="A4414" t="inlineStr">
        <is>
          <t>A 44762-2023</t>
        </is>
      </c>
      <c r="B4414" s="1" t="n">
        <v>45190</v>
      </c>
      <c r="C4414" s="1" t="n">
        <v>45705</v>
      </c>
      <c r="D4414" t="inlineStr">
        <is>
          <t>UPPSALA LÄN</t>
        </is>
      </c>
      <c r="E4414" t="inlineStr">
        <is>
          <t>TIERP</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44815-2023</t>
        </is>
      </c>
      <c r="B4415" s="1" t="n">
        <v>45190</v>
      </c>
      <c r="C4415" s="1" t="n">
        <v>45705</v>
      </c>
      <c r="D4415" t="inlineStr">
        <is>
          <t>UPPSALA LÄN</t>
        </is>
      </c>
      <c r="E4415" t="inlineStr">
        <is>
          <t>UPPSALA</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44830-2023</t>
        </is>
      </c>
      <c r="B4416" s="1" t="n">
        <v>45190</v>
      </c>
      <c r="C4416" s="1" t="n">
        <v>45705</v>
      </c>
      <c r="D4416" t="inlineStr">
        <is>
          <t>UPPSALA LÄN</t>
        </is>
      </c>
      <c r="E4416" t="inlineStr">
        <is>
          <t>UPPSALA</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44785-2023</t>
        </is>
      </c>
      <c r="B4417" s="1" t="n">
        <v>45190</v>
      </c>
      <c r="C4417" s="1" t="n">
        <v>45705</v>
      </c>
      <c r="D4417" t="inlineStr">
        <is>
          <t>UPPSALA LÄN</t>
        </is>
      </c>
      <c r="E4417" t="inlineStr">
        <is>
          <t>UPPSALA</t>
        </is>
      </c>
      <c r="G4417" t="n">
        <v>5.8</v>
      </c>
      <c r="H4417" t="n">
        <v>0</v>
      </c>
      <c r="I4417" t="n">
        <v>0</v>
      </c>
      <c r="J4417" t="n">
        <v>0</v>
      </c>
      <c r="K4417" t="n">
        <v>0</v>
      </c>
      <c r="L4417" t="n">
        <v>0</v>
      </c>
      <c r="M4417" t="n">
        <v>0</v>
      </c>
      <c r="N4417" t="n">
        <v>0</v>
      </c>
      <c r="O4417" t="n">
        <v>0</v>
      </c>
      <c r="P4417" t="n">
        <v>0</v>
      </c>
      <c r="Q4417" t="n">
        <v>0</v>
      </c>
      <c r="R4417" s="2" t="inlineStr"/>
    </row>
    <row r="4418" ht="15" customHeight="1">
      <c r="A4418" t="inlineStr">
        <is>
          <t>A 44831-2023</t>
        </is>
      </c>
      <c r="B4418" s="1" t="n">
        <v>45190</v>
      </c>
      <c r="C4418" s="1" t="n">
        <v>45705</v>
      </c>
      <c r="D4418" t="inlineStr">
        <is>
          <t>UPPSALA LÄN</t>
        </is>
      </c>
      <c r="E4418" t="inlineStr">
        <is>
          <t>TIERP</t>
        </is>
      </c>
      <c r="F4418" t="inlineStr">
        <is>
          <t>Bergvik skog öst AB</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46103-2023</t>
        </is>
      </c>
      <c r="B4419" s="1" t="n">
        <v>45190</v>
      </c>
      <c r="C4419" s="1" t="n">
        <v>45705</v>
      </c>
      <c r="D4419" t="inlineStr">
        <is>
          <t>UPPSALA LÄN</t>
        </is>
      </c>
      <c r="E4419" t="inlineStr">
        <is>
          <t>ENKÖPING</t>
        </is>
      </c>
      <c r="G4419" t="n">
        <v>4.6</v>
      </c>
      <c r="H4419" t="n">
        <v>0</v>
      </c>
      <c r="I4419" t="n">
        <v>0</v>
      </c>
      <c r="J4419" t="n">
        <v>0</v>
      </c>
      <c r="K4419" t="n">
        <v>0</v>
      </c>
      <c r="L4419" t="n">
        <v>0</v>
      </c>
      <c r="M4419" t="n">
        <v>0</v>
      </c>
      <c r="N4419" t="n">
        <v>0</v>
      </c>
      <c r="O4419" t="n">
        <v>0</v>
      </c>
      <c r="P4419" t="n">
        <v>0</v>
      </c>
      <c r="Q4419" t="n">
        <v>0</v>
      </c>
      <c r="R4419" s="2" t="inlineStr"/>
    </row>
    <row r="4420" ht="15" customHeight="1">
      <c r="A4420" t="inlineStr">
        <is>
          <t>A 46188-2023</t>
        </is>
      </c>
      <c r="B4420" s="1" t="n">
        <v>45190</v>
      </c>
      <c r="C4420" s="1" t="n">
        <v>45705</v>
      </c>
      <c r="D4420" t="inlineStr">
        <is>
          <t>UPPSALA LÄN</t>
        </is>
      </c>
      <c r="E4420" t="inlineStr">
        <is>
          <t>TIERP</t>
        </is>
      </c>
      <c r="F4420" t="inlineStr">
        <is>
          <t>Bergvik skog väst AB</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45058-2023</t>
        </is>
      </c>
      <c r="B4421" s="1" t="n">
        <v>45191</v>
      </c>
      <c r="C4421" s="1" t="n">
        <v>45705</v>
      </c>
      <c r="D4421" t="inlineStr">
        <is>
          <t>UPPSALA LÄN</t>
        </is>
      </c>
      <c r="E4421" t="inlineStr">
        <is>
          <t>ENKÖPING</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45142-2023</t>
        </is>
      </c>
      <c r="B4422" s="1" t="n">
        <v>45191</v>
      </c>
      <c r="C4422" s="1" t="n">
        <v>45705</v>
      </c>
      <c r="D4422" t="inlineStr">
        <is>
          <t>UPPSALA LÄN</t>
        </is>
      </c>
      <c r="E4422" t="inlineStr">
        <is>
          <t>ENKÖPING</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45095-2023</t>
        </is>
      </c>
      <c r="B4423" s="1" t="n">
        <v>45191</v>
      </c>
      <c r="C4423" s="1" t="n">
        <v>45705</v>
      </c>
      <c r="D4423" t="inlineStr">
        <is>
          <t>UPPSALA LÄN</t>
        </is>
      </c>
      <c r="E4423" t="inlineStr">
        <is>
          <t>ENKÖPING</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45208-2023</t>
        </is>
      </c>
      <c r="B4424" s="1" t="n">
        <v>45191</v>
      </c>
      <c r="C4424" s="1" t="n">
        <v>45705</v>
      </c>
      <c r="D4424" t="inlineStr">
        <is>
          <t>UPPSALA LÄN</t>
        </is>
      </c>
      <c r="E4424" t="inlineStr">
        <is>
          <t>ENKÖPING</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45244-2023</t>
        </is>
      </c>
      <c r="B4425" s="1" t="n">
        <v>45191</v>
      </c>
      <c r="C4425" s="1" t="n">
        <v>45705</v>
      </c>
      <c r="D4425" t="inlineStr">
        <is>
          <t>UPPSALA LÄN</t>
        </is>
      </c>
      <c r="E4425" t="inlineStr">
        <is>
          <t>UPPSALA</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45307-2023</t>
        </is>
      </c>
      <c r="B4426" s="1" t="n">
        <v>45191</v>
      </c>
      <c r="C4426" s="1" t="n">
        <v>45705</v>
      </c>
      <c r="D4426" t="inlineStr">
        <is>
          <t>UPPSALA LÄN</t>
        </is>
      </c>
      <c r="E4426" t="inlineStr">
        <is>
          <t>ÖSTHAMMAR</t>
        </is>
      </c>
      <c r="F4426" t="inlineStr">
        <is>
          <t>Bergvik skog öst AB</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45080-2023</t>
        </is>
      </c>
      <c r="B4427" s="1" t="n">
        <v>45191</v>
      </c>
      <c r="C4427" s="1" t="n">
        <v>45705</v>
      </c>
      <c r="D4427" t="inlineStr">
        <is>
          <t>UPPSALA LÄN</t>
        </is>
      </c>
      <c r="E4427" t="inlineStr">
        <is>
          <t>TIERP</t>
        </is>
      </c>
      <c r="F4427" t="inlineStr">
        <is>
          <t>Bergvik skog öst AB</t>
        </is>
      </c>
      <c r="G4427" t="n">
        <v>4.5</v>
      </c>
      <c r="H4427" t="n">
        <v>0</v>
      </c>
      <c r="I4427" t="n">
        <v>0</v>
      </c>
      <c r="J4427" t="n">
        <v>0</v>
      </c>
      <c r="K4427" t="n">
        <v>0</v>
      </c>
      <c r="L4427" t="n">
        <v>0</v>
      </c>
      <c r="M4427" t="n">
        <v>0</v>
      </c>
      <c r="N4427" t="n">
        <v>0</v>
      </c>
      <c r="O4427" t="n">
        <v>0</v>
      </c>
      <c r="P4427" t="n">
        <v>0</v>
      </c>
      <c r="Q4427" t="n">
        <v>0</v>
      </c>
      <c r="R4427" s="2" t="inlineStr"/>
    </row>
    <row r="4428" ht="15" customHeight="1">
      <c r="A4428" t="inlineStr">
        <is>
          <t>A 45141-2023</t>
        </is>
      </c>
      <c r="B4428" s="1" t="n">
        <v>45191</v>
      </c>
      <c r="C4428" s="1" t="n">
        <v>45705</v>
      </c>
      <c r="D4428" t="inlineStr">
        <is>
          <t>UPPSALA LÄN</t>
        </is>
      </c>
      <c r="E4428" t="inlineStr">
        <is>
          <t>TIERP</t>
        </is>
      </c>
      <c r="F4428" t="inlineStr">
        <is>
          <t>Kyrkan</t>
        </is>
      </c>
      <c r="G4428" t="n">
        <v>4.5</v>
      </c>
      <c r="H4428" t="n">
        <v>0</v>
      </c>
      <c r="I4428" t="n">
        <v>0</v>
      </c>
      <c r="J4428" t="n">
        <v>0</v>
      </c>
      <c r="K4428" t="n">
        <v>0</v>
      </c>
      <c r="L4428" t="n">
        <v>0</v>
      </c>
      <c r="M4428" t="n">
        <v>0</v>
      </c>
      <c r="N4428" t="n">
        <v>0</v>
      </c>
      <c r="O4428" t="n">
        <v>0</v>
      </c>
      <c r="P4428" t="n">
        <v>0</v>
      </c>
      <c r="Q4428" t="n">
        <v>0</v>
      </c>
      <c r="R4428" s="2" t="inlineStr"/>
    </row>
    <row r="4429" ht="15" customHeight="1">
      <c r="A4429" t="inlineStr">
        <is>
          <t>A 45223-2023</t>
        </is>
      </c>
      <c r="B4429" s="1" t="n">
        <v>45191</v>
      </c>
      <c r="C4429" s="1" t="n">
        <v>45705</v>
      </c>
      <c r="D4429" t="inlineStr">
        <is>
          <t>UPPSALA LÄN</t>
        </is>
      </c>
      <c r="E4429" t="inlineStr">
        <is>
          <t>UPPSALA</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45489-2023</t>
        </is>
      </c>
      <c r="B4430" s="1" t="n">
        <v>45194</v>
      </c>
      <c r="C4430" s="1" t="n">
        <v>45705</v>
      </c>
      <c r="D4430" t="inlineStr">
        <is>
          <t>UPPSALA LÄN</t>
        </is>
      </c>
      <c r="E4430" t="inlineStr">
        <is>
          <t>UPPSALA</t>
        </is>
      </c>
      <c r="F4430" t="inlineStr">
        <is>
          <t>Allmännings- och besparingsskogar</t>
        </is>
      </c>
      <c r="G4430" t="n">
        <v>15.8</v>
      </c>
      <c r="H4430" t="n">
        <v>0</v>
      </c>
      <c r="I4430" t="n">
        <v>0</v>
      </c>
      <c r="J4430" t="n">
        <v>0</v>
      </c>
      <c r="K4430" t="n">
        <v>0</v>
      </c>
      <c r="L4430" t="n">
        <v>0</v>
      </c>
      <c r="M4430" t="n">
        <v>0</v>
      </c>
      <c r="N4430" t="n">
        <v>0</v>
      </c>
      <c r="O4430" t="n">
        <v>0</v>
      </c>
      <c r="P4430" t="n">
        <v>0</v>
      </c>
      <c r="Q4430" t="n">
        <v>0</v>
      </c>
      <c r="R4430" s="2" t="inlineStr"/>
    </row>
    <row r="4431" ht="15" customHeight="1">
      <c r="A4431" t="inlineStr">
        <is>
          <t>A 45527-2023</t>
        </is>
      </c>
      <c r="B4431" s="1" t="n">
        <v>45194</v>
      </c>
      <c r="C4431" s="1" t="n">
        <v>45705</v>
      </c>
      <c r="D4431" t="inlineStr">
        <is>
          <t>UPPSALA LÄN</t>
        </is>
      </c>
      <c r="E4431" t="inlineStr">
        <is>
          <t>ÄLVKARLEBY</t>
        </is>
      </c>
      <c r="F4431" t="inlineStr">
        <is>
          <t>Bergvik skog väst AB</t>
        </is>
      </c>
      <c r="G4431" t="n">
        <v>3.5</v>
      </c>
      <c r="H4431" t="n">
        <v>0</v>
      </c>
      <c r="I4431" t="n">
        <v>0</v>
      </c>
      <c r="J4431" t="n">
        <v>0</v>
      </c>
      <c r="K4431" t="n">
        <v>0</v>
      </c>
      <c r="L4431" t="n">
        <v>0</v>
      </c>
      <c r="M4431" t="n">
        <v>0</v>
      </c>
      <c r="N4431" t="n">
        <v>0</v>
      </c>
      <c r="O4431" t="n">
        <v>0</v>
      </c>
      <c r="P4431" t="n">
        <v>0</v>
      </c>
      <c r="Q4431" t="n">
        <v>0</v>
      </c>
      <c r="R4431" s="2" t="inlineStr"/>
    </row>
    <row r="4432" ht="15" customHeight="1">
      <c r="A4432" t="inlineStr">
        <is>
          <t>A 45525-2023</t>
        </is>
      </c>
      <c r="B4432" s="1" t="n">
        <v>45194</v>
      </c>
      <c r="C4432" s="1" t="n">
        <v>45705</v>
      </c>
      <c r="D4432" t="inlineStr">
        <is>
          <t>UPPSALA LÄN</t>
        </is>
      </c>
      <c r="E4432" t="inlineStr">
        <is>
          <t>KNIVSTA</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45529-2023</t>
        </is>
      </c>
      <c r="B4433" s="1" t="n">
        <v>45194</v>
      </c>
      <c r="C4433" s="1" t="n">
        <v>45705</v>
      </c>
      <c r="D4433" t="inlineStr">
        <is>
          <t>UPPSALA LÄN</t>
        </is>
      </c>
      <c r="E4433" t="inlineStr">
        <is>
          <t>ÄLVKARLEBY</t>
        </is>
      </c>
      <c r="F4433" t="inlineStr">
        <is>
          <t>Bergvik skog väst AB</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45550-2023</t>
        </is>
      </c>
      <c r="B4434" s="1" t="n">
        <v>45194</v>
      </c>
      <c r="C4434" s="1" t="n">
        <v>45705</v>
      </c>
      <c r="D4434" t="inlineStr">
        <is>
          <t>UPPSALA LÄN</t>
        </is>
      </c>
      <c r="E4434" t="inlineStr">
        <is>
          <t>ÖSTHAMMAR</t>
        </is>
      </c>
      <c r="F4434" t="inlineStr">
        <is>
          <t>Bergvik skog öst AB</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45575-2023</t>
        </is>
      </c>
      <c r="B4435" s="1" t="n">
        <v>45194</v>
      </c>
      <c r="C4435" s="1" t="n">
        <v>45705</v>
      </c>
      <c r="D4435" t="inlineStr">
        <is>
          <t>UPPSALA LÄN</t>
        </is>
      </c>
      <c r="E4435" t="inlineStr">
        <is>
          <t>UPPSALA</t>
        </is>
      </c>
      <c r="F4435" t="inlineStr">
        <is>
          <t>Bergvik skog öst AB</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45580-2023</t>
        </is>
      </c>
      <c r="B4436" s="1" t="n">
        <v>45194</v>
      </c>
      <c r="C4436" s="1" t="n">
        <v>45705</v>
      </c>
      <c r="D4436" t="inlineStr">
        <is>
          <t>UPPSALA LÄN</t>
        </is>
      </c>
      <c r="E4436" t="inlineStr">
        <is>
          <t>ÖSTHAMMAR</t>
        </is>
      </c>
      <c r="F4436" t="inlineStr">
        <is>
          <t>Bergvik skog öst AB</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45578-2023</t>
        </is>
      </c>
      <c r="B4437" s="1" t="n">
        <v>45194</v>
      </c>
      <c r="C4437" s="1" t="n">
        <v>45705</v>
      </c>
      <c r="D4437" t="inlineStr">
        <is>
          <t>UPPSALA LÄN</t>
        </is>
      </c>
      <c r="E4437" t="inlineStr">
        <is>
          <t>UPPSALA</t>
        </is>
      </c>
      <c r="F4437" t="inlineStr">
        <is>
          <t>Bergvik skog öst AB</t>
        </is>
      </c>
      <c r="G4437" t="n">
        <v>6.3</v>
      </c>
      <c r="H4437" t="n">
        <v>0</v>
      </c>
      <c r="I4437" t="n">
        <v>0</v>
      </c>
      <c r="J4437" t="n">
        <v>0</v>
      </c>
      <c r="K4437" t="n">
        <v>0</v>
      </c>
      <c r="L4437" t="n">
        <v>0</v>
      </c>
      <c r="M4437" t="n">
        <v>0</v>
      </c>
      <c r="N4437" t="n">
        <v>0</v>
      </c>
      <c r="O4437" t="n">
        <v>0</v>
      </c>
      <c r="P4437" t="n">
        <v>0</v>
      </c>
      <c r="Q4437" t="n">
        <v>0</v>
      </c>
      <c r="R4437" s="2" t="inlineStr"/>
    </row>
    <row r="4438" ht="15" customHeight="1">
      <c r="A4438" t="inlineStr">
        <is>
          <t>A 45592-2023</t>
        </is>
      </c>
      <c r="B4438" s="1" t="n">
        <v>45194</v>
      </c>
      <c r="C4438" s="1" t="n">
        <v>45705</v>
      </c>
      <c r="D4438" t="inlineStr">
        <is>
          <t>UPPSALA LÄN</t>
        </is>
      </c>
      <c r="E4438" t="inlineStr">
        <is>
          <t>UPPSALA</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45655-2023</t>
        </is>
      </c>
      <c r="B4439" s="1" t="n">
        <v>45194</v>
      </c>
      <c r="C4439" s="1" t="n">
        <v>45705</v>
      </c>
      <c r="D4439" t="inlineStr">
        <is>
          <t>UPPSALA LÄN</t>
        </is>
      </c>
      <c r="E4439" t="inlineStr">
        <is>
          <t>ÖSTHAMMAR</t>
        </is>
      </c>
      <c r="F4439" t="inlineStr">
        <is>
          <t>Bergvik skog öst AB</t>
        </is>
      </c>
      <c r="G4439" t="n">
        <v>6.4</v>
      </c>
      <c r="H4439" t="n">
        <v>0</v>
      </c>
      <c r="I4439" t="n">
        <v>0</v>
      </c>
      <c r="J4439" t="n">
        <v>0</v>
      </c>
      <c r="K4439" t="n">
        <v>0</v>
      </c>
      <c r="L4439" t="n">
        <v>0</v>
      </c>
      <c r="M4439" t="n">
        <v>0</v>
      </c>
      <c r="N4439" t="n">
        <v>0</v>
      </c>
      <c r="O4439" t="n">
        <v>0</v>
      </c>
      <c r="P4439" t="n">
        <v>0</v>
      </c>
      <c r="Q4439" t="n">
        <v>0</v>
      </c>
      <c r="R4439" s="2" t="inlineStr"/>
    </row>
    <row r="4440" ht="15" customHeight="1">
      <c r="A4440" t="inlineStr">
        <is>
          <t>A 45662-2023</t>
        </is>
      </c>
      <c r="B4440" s="1" t="n">
        <v>45194</v>
      </c>
      <c r="C4440" s="1" t="n">
        <v>45705</v>
      </c>
      <c r="D4440" t="inlineStr">
        <is>
          <t>UPPSALA LÄN</t>
        </is>
      </c>
      <c r="E4440" t="inlineStr">
        <is>
          <t>UPPSALA</t>
        </is>
      </c>
      <c r="F4440" t="inlineStr">
        <is>
          <t>Bergvik skog öst AB</t>
        </is>
      </c>
      <c r="G4440" t="n">
        <v>2.8</v>
      </c>
      <c r="H4440" t="n">
        <v>0</v>
      </c>
      <c r="I4440" t="n">
        <v>0</v>
      </c>
      <c r="J4440" t="n">
        <v>0</v>
      </c>
      <c r="K4440" t="n">
        <v>0</v>
      </c>
      <c r="L4440" t="n">
        <v>0</v>
      </c>
      <c r="M4440" t="n">
        <v>0</v>
      </c>
      <c r="N4440" t="n">
        <v>0</v>
      </c>
      <c r="O4440" t="n">
        <v>0</v>
      </c>
      <c r="P4440" t="n">
        <v>0</v>
      </c>
      <c r="Q4440" t="n">
        <v>0</v>
      </c>
      <c r="R4440" s="2" t="inlineStr"/>
    </row>
    <row r="4441" ht="15" customHeight="1">
      <c r="A4441" t="inlineStr">
        <is>
          <t>A 46495-2023</t>
        </is>
      </c>
      <c r="B4441" s="1" t="n">
        <v>45194</v>
      </c>
      <c r="C4441" s="1" t="n">
        <v>45705</v>
      </c>
      <c r="D4441" t="inlineStr">
        <is>
          <t>UPPSALA LÄN</t>
        </is>
      </c>
      <c r="E4441" t="inlineStr">
        <is>
          <t>TIERP</t>
        </is>
      </c>
      <c r="G4441" t="n">
        <v>3.9</v>
      </c>
      <c r="H4441" t="n">
        <v>0</v>
      </c>
      <c r="I4441" t="n">
        <v>0</v>
      </c>
      <c r="J4441" t="n">
        <v>0</v>
      </c>
      <c r="K4441" t="n">
        <v>0</v>
      </c>
      <c r="L4441" t="n">
        <v>0</v>
      </c>
      <c r="M4441" t="n">
        <v>0</v>
      </c>
      <c r="N4441" t="n">
        <v>0</v>
      </c>
      <c r="O4441" t="n">
        <v>0</v>
      </c>
      <c r="P4441" t="n">
        <v>0</v>
      </c>
      <c r="Q4441" t="n">
        <v>0</v>
      </c>
      <c r="R4441" s="2" t="inlineStr"/>
    </row>
    <row r="4442" ht="15" customHeight="1">
      <c r="A4442" t="inlineStr">
        <is>
          <t>A 45561-2023</t>
        </is>
      </c>
      <c r="B4442" s="1" t="n">
        <v>45194</v>
      </c>
      <c r="C4442" s="1" t="n">
        <v>45705</v>
      </c>
      <c r="D4442" t="inlineStr">
        <is>
          <t>UPPSALA LÄN</t>
        </is>
      </c>
      <c r="E4442" t="inlineStr">
        <is>
          <t>ÖSTHAMMAR</t>
        </is>
      </c>
      <c r="F4442" t="inlineStr">
        <is>
          <t>Bergvik skog öst AB</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45618-2023</t>
        </is>
      </c>
      <c r="B4443" s="1" t="n">
        <v>45194</v>
      </c>
      <c r="C4443" s="1" t="n">
        <v>45705</v>
      </c>
      <c r="D4443" t="inlineStr">
        <is>
          <t>UPPSALA LÄN</t>
        </is>
      </c>
      <c r="E4443" t="inlineStr">
        <is>
          <t>ÖSTHAMMAR</t>
        </is>
      </c>
      <c r="F4443" t="inlineStr">
        <is>
          <t>Bergvik skog öst AB</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45661-2023</t>
        </is>
      </c>
      <c r="B4444" s="1" t="n">
        <v>45194</v>
      </c>
      <c r="C4444" s="1" t="n">
        <v>45705</v>
      </c>
      <c r="D4444" t="inlineStr">
        <is>
          <t>UPPSALA LÄN</t>
        </is>
      </c>
      <c r="E4444" t="inlineStr">
        <is>
          <t>UPPSALA</t>
        </is>
      </c>
      <c r="F4444" t="inlineStr">
        <is>
          <t>Bergvik skog öst AB</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45528-2023</t>
        </is>
      </c>
      <c r="B4445" s="1" t="n">
        <v>45194</v>
      </c>
      <c r="C4445" s="1" t="n">
        <v>45705</v>
      </c>
      <c r="D4445" t="inlineStr">
        <is>
          <t>UPPSALA LÄN</t>
        </is>
      </c>
      <c r="E4445" t="inlineStr">
        <is>
          <t>ÄLVKARLEBY</t>
        </is>
      </c>
      <c r="F4445" t="inlineStr">
        <is>
          <t>Bergvik skog väst AB</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45635-2023</t>
        </is>
      </c>
      <c r="B4446" s="1" t="n">
        <v>45194</v>
      </c>
      <c r="C4446" s="1" t="n">
        <v>45705</v>
      </c>
      <c r="D4446" t="inlineStr">
        <is>
          <t>UPPSALA LÄN</t>
        </is>
      </c>
      <c r="E4446" t="inlineStr">
        <is>
          <t>ÖSTHAMMAR</t>
        </is>
      </c>
      <c r="F4446" t="inlineStr">
        <is>
          <t>Bergvik skog öst AB</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45646-2023</t>
        </is>
      </c>
      <c r="B4447" s="1" t="n">
        <v>45194</v>
      </c>
      <c r="C4447" s="1" t="n">
        <v>45705</v>
      </c>
      <c r="D4447" t="inlineStr">
        <is>
          <t>UPPSALA LÄN</t>
        </is>
      </c>
      <c r="E4447" t="inlineStr">
        <is>
          <t>ÖSTHAMMAR</t>
        </is>
      </c>
      <c r="F4447" t="inlineStr">
        <is>
          <t>Bergvik skog öst AB</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46485-2023</t>
        </is>
      </c>
      <c r="B4448" s="1" t="n">
        <v>45194</v>
      </c>
      <c r="C4448" s="1" t="n">
        <v>45705</v>
      </c>
      <c r="D4448" t="inlineStr">
        <is>
          <t>UPPSALA LÄN</t>
        </is>
      </c>
      <c r="E4448" t="inlineStr">
        <is>
          <t>ÖSTHAMMAR</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45795-2023</t>
        </is>
      </c>
      <c r="B4449" s="1" t="n">
        <v>45195</v>
      </c>
      <c r="C4449" s="1" t="n">
        <v>45705</v>
      </c>
      <c r="D4449" t="inlineStr">
        <is>
          <t>UPPSALA LÄN</t>
        </is>
      </c>
      <c r="E4449" t="inlineStr">
        <is>
          <t>ÖSTHAMMAR</t>
        </is>
      </c>
      <c r="G4449" t="n">
        <v>4</v>
      </c>
      <c r="H4449" t="n">
        <v>0</v>
      </c>
      <c r="I4449" t="n">
        <v>0</v>
      </c>
      <c r="J4449" t="n">
        <v>0</v>
      </c>
      <c r="K4449" t="n">
        <v>0</v>
      </c>
      <c r="L4449" t="n">
        <v>0</v>
      </c>
      <c r="M4449" t="n">
        <v>0</v>
      </c>
      <c r="N4449" t="n">
        <v>0</v>
      </c>
      <c r="O4449" t="n">
        <v>0</v>
      </c>
      <c r="P4449" t="n">
        <v>0</v>
      </c>
      <c r="Q4449" t="n">
        <v>0</v>
      </c>
      <c r="R4449" s="2" t="inlineStr"/>
    </row>
    <row r="4450" ht="15" customHeight="1">
      <c r="A4450" t="inlineStr">
        <is>
          <t>A 45892-2023</t>
        </is>
      </c>
      <c r="B4450" s="1" t="n">
        <v>45195</v>
      </c>
      <c r="C4450" s="1" t="n">
        <v>45705</v>
      </c>
      <c r="D4450" t="inlineStr">
        <is>
          <t>UPPSALA LÄN</t>
        </is>
      </c>
      <c r="E4450" t="inlineStr">
        <is>
          <t>UPPSALA</t>
        </is>
      </c>
      <c r="G4450" t="n">
        <v>2.9</v>
      </c>
      <c r="H4450" t="n">
        <v>0</v>
      </c>
      <c r="I4450" t="n">
        <v>0</v>
      </c>
      <c r="J4450" t="n">
        <v>0</v>
      </c>
      <c r="K4450" t="n">
        <v>0</v>
      </c>
      <c r="L4450" t="n">
        <v>0</v>
      </c>
      <c r="M4450" t="n">
        <v>0</v>
      </c>
      <c r="N4450" t="n">
        <v>0</v>
      </c>
      <c r="O4450" t="n">
        <v>0</v>
      </c>
      <c r="P4450" t="n">
        <v>0</v>
      </c>
      <c r="Q4450" t="n">
        <v>0</v>
      </c>
      <c r="R4450" s="2" t="inlineStr"/>
    </row>
    <row r="4451" ht="15" customHeight="1">
      <c r="A4451" t="inlineStr">
        <is>
          <t>A 45917-2023</t>
        </is>
      </c>
      <c r="B4451" s="1" t="n">
        <v>45195</v>
      </c>
      <c r="C4451" s="1" t="n">
        <v>45705</v>
      </c>
      <c r="D4451" t="inlineStr">
        <is>
          <t>UPPSALA LÄN</t>
        </is>
      </c>
      <c r="E4451" t="inlineStr">
        <is>
          <t>HEBY</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45885-2023</t>
        </is>
      </c>
      <c r="B4452" s="1" t="n">
        <v>45195</v>
      </c>
      <c r="C4452" s="1" t="n">
        <v>45705</v>
      </c>
      <c r="D4452" t="inlineStr">
        <is>
          <t>UPPSALA LÄN</t>
        </is>
      </c>
      <c r="E4452" t="inlineStr">
        <is>
          <t>UPPSALA</t>
        </is>
      </c>
      <c r="G4452" t="n">
        <v>6.5</v>
      </c>
      <c r="H4452" t="n">
        <v>0</v>
      </c>
      <c r="I4452" t="n">
        <v>0</v>
      </c>
      <c r="J4452" t="n">
        <v>0</v>
      </c>
      <c r="K4452" t="n">
        <v>0</v>
      </c>
      <c r="L4452" t="n">
        <v>0</v>
      </c>
      <c r="M4452" t="n">
        <v>0</v>
      </c>
      <c r="N4452" t="n">
        <v>0</v>
      </c>
      <c r="O4452" t="n">
        <v>0</v>
      </c>
      <c r="P4452" t="n">
        <v>0</v>
      </c>
      <c r="Q4452" t="n">
        <v>0</v>
      </c>
      <c r="R4452" s="2" t="inlineStr"/>
    </row>
    <row r="4453" ht="15" customHeight="1">
      <c r="A4453" t="inlineStr">
        <is>
          <t>A 45916-2023</t>
        </is>
      </c>
      <c r="B4453" s="1" t="n">
        <v>45195</v>
      </c>
      <c r="C4453" s="1" t="n">
        <v>45705</v>
      </c>
      <c r="D4453" t="inlineStr">
        <is>
          <t>UPPSALA LÄN</t>
        </is>
      </c>
      <c r="E4453" t="inlineStr">
        <is>
          <t>HEBY</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45821-2023</t>
        </is>
      </c>
      <c r="B4454" s="1" t="n">
        <v>45195</v>
      </c>
      <c r="C4454" s="1" t="n">
        <v>45705</v>
      </c>
      <c r="D4454" t="inlineStr">
        <is>
          <t>UPPSALA LÄN</t>
        </is>
      </c>
      <c r="E4454" t="inlineStr">
        <is>
          <t>HEBY</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45871-2023</t>
        </is>
      </c>
      <c r="B4455" s="1" t="n">
        <v>45195</v>
      </c>
      <c r="C4455" s="1" t="n">
        <v>45705</v>
      </c>
      <c r="D4455" t="inlineStr">
        <is>
          <t>UPPSALA LÄN</t>
        </is>
      </c>
      <c r="E4455" t="inlineStr">
        <is>
          <t>ÄLVKARLEBY</t>
        </is>
      </c>
      <c r="G4455" t="n">
        <v>3.7</v>
      </c>
      <c r="H4455" t="n">
        <v>0</v>
      </c>
      <c r="I4455" t="n">
        <v>0</v>
      </c>
      <c r="J4455" t="n">
        <v>0</v>
      </c>
      <c r="K4455" t="n">
        <v>0</v>
      </c>
      <c r="L4455" t="n">
        <v>0</v>
      </c>
      <c r="M4455" t="n">
        <v>0</v>
      </c>
      <c r="N4455" t="n">
        <v>0</v>
      </c>
      <c r="O4455" t="n">
        <v>0</v>
      </c>
      <c r="P4455" t="n">
        <v>0</v>
      </c>
      <c r="Q4455" t="n">
        <v>0</v>
      </c>
      <c r="R4455" s="2" t="inlineStr"/>
    </row>
    <row r="4456" ht="15" customHeight="1">
      <c r="A4456" t="inlineStr">
        <is>
          <t>A 46113-2023</t>
        </is>
      </c>
      <c r="B4456" s="1" t="n">
        <v>45196</v>
      </c>
      <c r="C4456" s="1" t="n">
        <v>45705</v>
      </c>
      <c r="D4456" t="inlineStr">
        <is>
          <t>UPPSALA LÄN</t>
        </is>
      </c>
      <c r="E4456" t="inlineStr">
        <is>
          <t>ÄLVKARLEBY</t>
        </is>
      </c>
      <c r="F4456" t="inlineStr">
        <is>
          <t>Bergvik skog väst AB</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46005-2023</t>
        </is>
      </c>
      <c r="B4457" s="1" t="n">
        <v>45196</v>
      </c>
      <c r="C4457" s="1" t="n">
        <v>45705</v>
      </c>
      <c r="D4457" t="inlineStr">
        <is>
          <t>UPPSALA LÄN</t>
        </is>
      </c>
      <c r="E4457" t="inlineStr">
        <is>
          <t>ÖSTHAMMAR</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46186-2023</t>
        </is>
      </c>
      <c r="B4458" s="1" t="n">
        <v>45196</v>
      </c>
      <c r="C4458" s="1" t="n">
        <v>45705</v>
      </c>
      <c r="D4458" t="inlineStr">
        <is>
          <t>UPPSALA LÄN</t>
        </is>
      </c>
      <c r="E4458" t="inlineStr">
        <is>
          <t>ENKÖPING</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46157-2023</t>
        </is>
      </c>
      <c r="B4459" s="1" t="n">
        <v>45196</v>
      </c>
      <c r="C4459" s="1" t="n">
        <v>45705</v>
      </c>
      <c r="D4459" t="inlineStr">
        <is>
          <t>UPPSALA LÄN</t>
        </is>
      </c>
      <c r="E4459" t="inlineStr">
        <is>
          <t>ÖSTHAMMAR</t>
        </is>
      </c>
      <c r="F4459" t="inlineStr">
        <is>
          <t>Övriga Aktiebolag</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46106-2023</t>
        </is>
      </c>
      <c r="B4460" s="1" t="n">
        <v>45196</v>
      </c>
      <c r="C4460" s="1" t="n">
        <v>45705</v>
      </c>
      <c r="D4460" t="inlineStr">
        <is>
          <t>UPPSALA LÄN</t>
        </is>
      </c>
      <c r="E4460" t="inlineStr">
        <is>
          <t>ÄLVKARLEBY</t>
        </is>
      </c>
      <c r="F4460" t="inlineStr">
        <is>
          <t>Bergvik skog väst AB</t>
        </is>
      </c>
      <c r="G4460" t="n">
        <v>6</v>
      </c>
      <c r="H4460" t="n">
        <v>0</v>
      </c>
      <c r="I4460" t="n">
        <v>0</v>
      </c>
      <c r="J4460" t="n">
        <v>0</v>
      </c>
      <c r="K4460" t="n">
        <v>0</v>
      </c>
      <c r="L4460" t="n">
        <v>0</v>
      </c>
      <c r="M4460" t="n">
        <v>0</v>
      </c>
      <c r="N4460" t="n">
        <v>0</v>
      </c>
      <c r="O4460" t="n">
        <v>0</v>
      </c>
      <c r="P4460" t="n">
        <v>0</v>
      </c>
      <c r="Q4460" t="n">
        <v>0</v>
      </c>
      <c r="R4460" s="2" t="inlineStr"/>
    </row>
    <row r="4461" ht="15" customHeight="1">
      <c r="A4461" t="inlineStr">
        <is>
          <t>A 46160-2023</t>
        </is>
      </c>
      <c r="B4461" s="1" t="n">
        <v>45196</v>
      </c>
      <c r="C4461" s="1" t="n">
        <v>45705</v>
      </c>
      <c r="D4461" t="inlineStr">
        <is>
          <t>UPPSALA LÄN</t>
        </is>
      </c>
      <c r="E4461" t="inlineStr">
        <is>
          <t>KNIVSTA</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46429-2023</t>
        </is>
      </c>
      <c r="B4462" s="1" t="n">
        <v>45197</v>
      </c>
      <c r="C4462" s="1" t="n">
        <v>45705</v>
      </c>
      <c r="D4462" t="inlineStr">
        <is>
          <t>UPPSALA LÄN</t>
        </is>
      </c>
      <c r="E4462" t="inlineStr">
        <is>
          <t>ÄLVKARLEBY</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46436-2023</t>
        </is>
      </c>
      <c r="B4463" s="1" t="n">
        <v>45197</v>
      </c>
      <c r="C4463" s="1" t="n">
        <v>45705</v>
      </c>
      <c r="D4463" t="inlineStr">
        <is>
          <t>UPPSALA LÄN</t>
        </is>
      </c>
      <c r="E4463" t="inlineStr">
        <is>
          <t>ÄLVKARLEBY</t>
        </is>
      </c>
      <c r="F4463" t="inlineStr">
        <is>
          <t>Bergvik skog väst AB</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46477-2023</t>
        </is>
      </c>
      <c r="B4464" s="1" t="n">
        <v>45197</v>
      </c>
      <c r="C4464" s="1" t="n">
        <v>45705</v>
      </c>
      <c r="D4464" t="inlineStr">
        <is>
          <t>UPPSALA LÄN</t>
        </is>
      </c>
      <c r="E4464" t="inlineStr">
        <is>
          <t>ÄLVKARLEBY</t>
        </is>
      </c>
      <c r="G4464" t="n">
        <v>3.6</v>
      </c>
      <c r="H4464" t="n">
        <v>0</v>
      </c>
      <c r="I4464" t="n">
        <v>0</v>
      </c>
      <c r="J4464" t="n">
        <v>0</v>
      </c>
      <c r="K4464" t="n">
        <v>0</v>
      </c>
      <c r="L4464" t="n">
        <v>0</v>
      </c>
      <c r="M4464" t="n">
        <v>0</v>
      </c>
      <c r="N4464" t="n">
        <v>0</v>
      </c>
      <c r="O4464" t="n">
        <v>0</v>
      </c>
      <c r="P4464" t="n">
        <v>0</v>
      </c>
      <c r="Q4464" t="n">
        <v>0</v>
      </c>
      <c r="R4464" s="2" t="inlineStr"/>
    </row>
    <row r="4465" ht="15" customHeight="1">
      <c r="A4465" t="inlineStr">
        <is>
          <t>A 46335-2023</t>
        </is>
      </c>
      <c r="B4465" s="1" t="n">
        <v>45197</v>
      </c>
      <c r="C4465" s="1" t="n">
        <v>45705</v>
      </c>
      <c r="D4465" t="inlineStr">
        <is>
          <t>UPPSALA LÄN</t>
        </is>
      </c>
      <c r="E4465" t="inlineStr">
        <is>
          <t>UPPSALA</t>
        </is>
      </c>
      <c r="G4465" t="n">
        <v>3.7</v>
      </c>
      <c r="H4465" t="n">
        <v>0</v>
      </c>
      <c r="I4465" t="n">
        <v>0</v>
      </c>
      <c r="J4465" t="n">
        <v>0</v>
      </c>
      <c r="K4465" t="n">
        <v>0</v>
      </c>
      <c r="L4465" t="n">
        <v>0</v>
      </c>
      <c r="M4465" t="n">
        <v>0</v>
      </c>
      <c r="N4465" t="n">
        <v>0</v>
      </c>
      <c r="O4465" t="n">
        <v>0</v>
      </c>
      <c r="P4465" t="n">
        <v>0</v>
      </c>
      <c r="Q4465" t="n">
        <v>0</v>
      </c>
      <c r="R4465" s="2" t="inlineStr"/>
    </row>
    <row r="4466" ht="15" customHeight="1">
      <c r="A4466" t="inlineStr">
        <is>
          <t>A 46399-2023</t>
        </is>
      </c>
      <c r="B4466" s="1" t="n">
        <v>45197</v>
      </c>
      <c r="C4466" s="1" t="n">
        <v>45705</v>
      </c>
      <c r="D4466" t="inlineStr">
        <is>
          <t>UPPSALA LÄN</t>
        </is>
      </c>
      <c r="E4466" t="inlineStr">
        <is>
          <t>ÖSTHAMMAR</t>
        </is>
      </c>
      <c r="G4466" t="n">
        <v>5.8</v>
      </c>
      <c r="H4466" t="n">
        <v>0</v>
      </c>
      <c r="I4466" t="n">
        <v>0</v>
      </c>
      <c r="J4466" t="n">
        <v>0</v>
      </c>
      <c r="K4466" t="n">
        <v>0</v>
      </c>
      <c r="L4466" t="n">
        <v>0</v>
      </c>
      <c r="M4466" t="n">
        <v>0</v>
      </c>
      <c r="N4466" t="n">
        <v>0</v>
      </c>
      <c r="O4466" t="n">
        <v>0</v>
      </c>
      <c r="P4466" t="n">
        <v>0</v>
      </c>
      <c r="Q4466" t="n">
        <v>0</v>
      </c>
      <c r="R4466" s="2" t="inlineStr"/>
    </row>
    <row r="4467" ht="15" customHeight="1">
      <c r="A4467" t="inlineStr">
        <is>
          <t>A 46430-2023</t>
        </is>
      </c>
      <c r="B4467" s="1" t="n">
        <v>45197</v>
      </c>
      <c r="C4467" s="1" t="n">
        <v>45705</v>
      </c>
      <c r="D4467" t="inlineStr">
        <is>
          <t>UPPSALA LÄN</t>
        </is>
      </c>
      <c r="E4467" t="inlineStr">
        <is>
          <t>HEBY</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46522-2023</t>
        </is>
      </c>
      <c r="B4468" s="1" t="n">
        <v>45197</v>
      </c>
      <c r="C4468" s="1" t="n">
        <v>45705</v>
      </c>
      <c r="D4468" t="inlineStr">
        <is>
          <t>UPPSALA LÄN</t>
        </is>
      </c>
      <c r="E4468" t="inlineStr">
        <is>
          <t>TIERP</t>
        </is>
      </c>
      <c r="G4468" t="n">
        <v>16.1</v>
      </c>
      <c r="H4468" t="n">
        <v>0</v>
      </c>
      <c r="I4468" t="n">
        <v>0</v>
      </c>
      <c r="J4468" t="n">
        <v>0</v>
      </c>
      <c r="K4468" t="n">
        <v>0</v>
      </c>
      <c r="L4468" t="n">
        <v>0</v>
      </c>
      <c r="M4468" t="n">
        <v>0</v>
      </c>
      <c r="N4468" t="n">
        <v>0</v>
      </c>
      <c r="O4468" t="n">
        <v>0</v>
      </c>
      <c r="P4468" t="n">
        <v>0</v>
      </c>
      <c r="Q4468" t="n">
        <v>0</v>
      </c>
      <c r="R4468" s="2" t="inlineStr"/>
    </row>
    <row r="4469" ht="15" customHeight="1">
      <c r="A4469" t="inlineStr">
        <is>
          <t>A 46785-2023</t>
        </is>
      </c>
      <c r="B4469" s="1" t="n">
        <v>45198</v>
      </c>
      <c r="C4469" s="1" t="n">
        <v>45705</v>
      </c>
      <c r="D4469" t="inlineStr">
        <is>
          <t>UPPSALA LÄN</t>
        </is>
      </c>
      <c r="E4469" t="inlineStr">
        <is>
          <t>ÖSTHAMMAR</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46730-2023</t>
        </is>
      </c>
      <c r="B4470" s="1" t="n">
        <v>45198</v>
      </c>
      <c r="C4470" s="1" t="n">
        <v>45705</v>
      </c>
      <c r="D4470" t="inlineStr">
        <is>
          <t>UPPSALA LÄN</t>
        </is>
      </c>
      <c r="E4470" t="inlineStr">
        <is>
          <t>TIERP</t>
        </is>
      </c>
      <c r="F4470" t="inlineStr">
        <is>
          <t>Bergvik skog öst AB</t>
        </is>
      </c>
      <c r="G4470" t="n">
        <v>8.800000000000001</v>
      </c>
      <c r="H4470" t="n">
        <v>0</v>
      </c>
      <c r="I4470" t="n">
        <v>0</v>
      </c>
      <c r="J4470" t="n">
        <v>0</v>
      </c>
      <c r="K4470" t="n">
        <v>0</v>
      </c>
      <c r="L4470" t="n">
        <v>0</v>
      </c>
      <c r="M4470" t="n">
        <v>0</v>
      </c>
      <c r="N4470" t="n">
        <v>0</v>
      </c>
      <c r="O4470" t="n">
        <v>0</v>
      </c>
      <c r="P4470" t="n">
        <v>0</v>
      </c>
      <c r="Q4470" t="n">
        <v>0</v>
      </c>
      <c r="R4470" s="2" t="inlineStr"/>
    </row>
    <row r="4471" ht="15" customHeight="1">
      <c r="A4471" t="inlineStr">
        <is>
          <t>A 46869-2023</t>
        </is>
      </c>
      <c r="B4471" s="1" t="n">
        <v>45200</v>
      </c>
      <c r="C4471" s="1" t="n">
        <v>45705</v>
      </c>
      <c r="D4471" t="inlineStr">
        <is>
          <t>UPPSALA LÄN</t>
        </is>
      </c>
      <c r="E4471" t="inlineStr">
        <is>
          <t>UPPSALA</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47114-2023</t>
        </is>
      </c>
      <c r="B4472" s="1" t="n">
        <v>45201</v>
      </c>
      <c r="C4472" s="1" t="n">
        <v>45705</v>
      </c>
      <c r="D4472" t="inlineStr">
        <is>
          <t>UPPSALA LÄN</t>
        </is>
      </c>
      <c r="E4472" t="inlineStr">
        <is>
          <t>ÖSTHAMMAR</t>
        </is>
      </c>
      <c r="F4472" t="inlineStr">
        <is>
          <t>Bergvik skog öst AB</t>
        </is>
      </c>
      <c r="G4472" t="n">
        <v>7</v>
      </c>
      <c r="H4472" t="n">
        <v>0</v>
      </c>
      <c r="I4472" t="n">
        <v>0</v>
      </c>
      <c r="J4472" t="n">
        <v>0</v>
      </c>
      <c r="K4472" t="n">
        <v>0</v>
      </c>
      <c r="L4472" t="n">
        <v>0</v>
      </c>
      <c r="M4472" t="n">
        <v>0</v>
      </c>
      <c r="N4472" t="n">
        <v>0</v>
      </c>
      <c r="O4472" t="n">
        <v>0</v>
      </c>
      <c r="P4472" t="n">
        <v>0</v>
      </c>
      <c r="Q4472" t="n">
        <v>0</v>
      </c>
      <c r="R4472" s="2" t="inlineStr"/>
    </row>
    <row r="4473" ht="15" customHeight="1">
      <c r="A4473" t="inlineStr">
        <is>
          <t>A 47034-2023</t>
        </is>
      </c>
      <c r="B4473" s="1" t="n">
        <v>45201</v>
      </c>
      <c r="C4473" s="1" t="n">
        <v>45705</v>
      </c>
      <c r="D4473" t="inlineStr">
        <is>
          <t>UPPSALA LÄN</t>
        </is>
      </c>
      <c r="E4473" t="inlineStr">
        <is>
          <t>TIERP</t>
        </is>
      </c>
      <c r="F4473" t="inlineStr">
        <is>
          <t>Bergvik skog öst AB</t>
        </is>
      </c>
      <c r="G4473" t="n">
        <v>4.2</v>
      </c>
      <c r="H4473" t="n">
        <v>0</v>
      </c>
      <c r="I4473" t="n">
        <v>0</v>
      </c>
      <c r="J4473" t="n">
        <v>0</v>
      </c>
      <c r="K4473" t="n">
        <v>0</v>
      </c>
      <c r="L4473" t="n">
        <v>0</v>
      </c>
      <c r="M4473" t="n">
        <v>0</v>
      </c>
      <c r="N4473" t="n">
        <v>0</v>
      </c>
      <c r="O4473" t="n">
        <v>0</v>
      </c>
      <c r="P4473" t="n">
        <v>0</v>
      </c>
      <c r="Q4473" t="n">
        <v>0</v>
      </c>
      <c r="R4473" s="2" t="inlineStr"/>
    </row>
    <row r="4474" ht="15" customHeight="1">
      <c r="A4474" t="inlineStr">
        <is>
          <t>A 46995-2023</t>
        </is>
      </c>
      <c r="B4474" s="1" t="n">
        <v>45201</v>
      </c>
      <c r="C4474" s="1" t="n">
        <v>45705</v>
      </c>
      <c r="D4474" t="inlineStr">
        <is>
          <t>UPPSALA LÄN</t>
        </is>
      </c>
      <c r="E4474" t="inlineStr">
        <is>
          <t>UPPSALA</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47083-2023</t>
        </is>
      </c>
      <c r="B4475" s="1" t="n">
        <v>45201</v>
      </c>
      <c r="C4475" s="1" t="n">
        <v>45705</v>
      </c>
      <c r="D4475" t="inlineStr">
        <is>
          <t>UPPSALA LÄN</t>
        </is>
      </c>
      <c r="E4475" t="inlineStr">
        <is>
          <t>UPPSALA</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48515-2023</t>
        </is>
      </c>
      <c r="B4476" s="1" t="n">
        <v>45201</v>
      </c>
      <c r="C4476" s="1" t="n">
        <v>45705</v>
      </c>
      <c r="D4476" t="inlineStr">
        <is>
          <t>UPPSALA LÄN</t>
        </is>
      </c>
      <c r="E4476" t="inlineStr">
        <is>
          <t>ÖSTHAMMAR</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47221-2023</t>
        </is>
      </c>
      <c r="B4477" s="1" t="n">
        <v>45202</v>
      </c>
      <c r="C4477" s="1" t="n">
        <v>45705</v>
      </c>
      <c r="D4477" t="inlineStr">
        <is>
          <t>UPPSALA LÄN</t>
        </is>
      </c>
      <c r="E4477" t="inlineStr">
        <is>
          <t>UPPSALA</t>
        </is>
      </c>
      <c r="G4477" t="n">
        <v>8.6</v>
      </c>
      <c r="H4477" t="n">
        <v>0</v>
      </c>
      <c r="I4477" t="n">
        <v>0</v>
      </c>
      <c r="J4477" t="n">
        <v>0</v>
      </c>
      <c r="K4477" t="n">
        <v>0</v>
      </c>
      <c r="L4477" t="n">
        <v>0</v>
      </c>
      <c r="M4477" t="n">
        <v>0</v>
      </c>
      <c r="N4477" t="n">
        <v>0</v>
      </c>
      <c r="O4477" t="n">
        <v>0</v>
      </c>
      <c r="P4477" t="n">
        <v>0</v>
      </c>
      <c r="Q4477" t="n">
        <v>0</v>
      </c>
      <c r="R4477" s="2" t="inlineStr"/>
    </row>
    <row r="4478" ht="15" customHeight="1">
      <c r="A4478" t="inlineStr">
        <is>
          <t>A 47390-2023</t>
        </is>
      </c>
      <c r="B4478" s="1" t="n">
        <v>45202</v>
      </c>
      <c r="C4478" s="1" t="n">
        <v>45705</v>
      </c>
      <c r="D4478" t="inlineStr">
        <is>
          <t>UPPSALA LÄN</t>
        </is>
      </c>
      <c r="E4478" t="inlineStr">
        <is>
          <t>ÖSTHAMMAR</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47314-2023</t>
        </is>
      </c>
      <c r="B4479" s="1" t="n">
        <v>45202</v>
      </c>
      <c r="C4479" s="1" t="n">
        <v>45705</v>
      </c>
      <c r="D4479" t="inlineStr">
        <is>
          <t>UPPSALA LÄN</t>
        </is>
      </c>
      <c r="E4479" t="inlineStr">
        <is>
          <t>UPPSALA</t>
        </is>
      </c>
      <c r="F4479" t="inlineStr">
        <is>
          <t>Bergvik skog öst AB</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47428-2023</t>
        </is>
      </c>
      <c r="B4480" s="1" t="n">
        <v>45202</v>
      </c>
      <c r="C4480" s="1" t="n">
        <v>45705</v>
      </c>
      <c r="D4480" t="inlineStr">
        <is>
          <t>UPPSALA LÄN</t>
        </is>
      </c>
      <c r="E4480" t="inlineStr">
        <is>
          <t>ENKÖPING</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47374-2023</t>
        </is>
      </c>
      <c r="B4481" s="1" t="n">
        <v>45202</v>
      </c>
      <c r="C4481" s="1" t="n">
        <v>45705</v>
      </c>
      <c r="D4481" t="inlineStr">
        <is>
          <t>UPPSALA LÄN</t>
        </is>
      </c>
      <c r="E4481" t="inlineStr">
        <is>
          <t>ÖSTHAMMAR</t>
        </is>
      </c>
      <c r="F4481" t="inlineStr">
        <is>
          <t>Bergvik skog öst AB</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47287-2023</t>
        </is>
      </c>
      <c r="B4482" s="1" t="n">
        <v>45202</v>
      </c>
      <c r="C4482" s="1" t="n">
        <v>45705</v>
      </c>
      <c r="D4482" t="inlineStr">
        <is>
          <t>UPPSALA LÄN</t>
        </is>
      </c>
      <c r="E4482" t="inlineStr">
        <is>
          <t>UPPSALA</t>
        </is>
      </c>
      <c r="F4482" t="inlineStr">
        <is>
          <t>Holmen skog AB</t>
        </is>
      </c>
      <c r="G4482" t="n">
        <v>0.4</v>
      </c>
      <c r="H4482" t="n">
        <v>0</v>
      </c>
      <c r="I4482" t="n">
        <v>0</v>
      </c>
      <c r="J4482" t="n">
        <v>0</v>
      </c>
      <c r="K4482" t="n">
        <v>0</v>
      </c>
      <c r="L4482" t="n">
        <v>0</v>
      </c>
      <c r="M4482" t="n">
        <v>0</v>
      </c>
      <c r="N4482" t="n">
        <v>0</v>
      </c>
      <c r="O4482" t="n">
        <v>0</v>
      </c>
      <c r="P4482" t="n">
        <v>0</v>
      </c>
      <c r="Q4482" t="n">
        <v>0</v>
      </c>
      <c r="R4482" s="2" t="inlineStr"/>
    </row>
    <row r="4483" ht="15" customHeight="1">
      <c r="A4483" t="inlineStr">
        <is>
          <t>A 47316-2023</t>
        </is>
      </c>
      <c r="B4483" s="1" t="n">
        <v>45202</v>
      </c>
      <c r="C4483" s="1" t="n">
        <v>45705</v>
      </c>
      <c r="D4483" t="inlineStr">
        <is>
          <t>UPPSALA LÄN</t>
        </is>
      </c>
      <c r="E4483" t="inlineStr">
        <is>
          <t>UPPSALA</t>
        </is>
      </c>
      <c r="F4483" t="inlineStr">
        <is>
          <t>Bergvik skog öst AB</t>
        </is>
      </c>
      <c r="G4483" t="n">
        <v>0.3</v>
      </c>
      <c r="H4483" t="n">
        <v>0</v>
      </c>
      <c r="I4483" t="n">
        <v>0</v>
      </c>
      <c r="J4483" t="n">
        <v>0</v>
      </c>
      <c r="K4483" t="n">
        <v>0</v>
      </c>
      <c r="L4483" t="n">
        <v>0</v>
      </c>
      <c r="M4483" t="n">
        <v>0</v>
      </c>
      <c r="N4483" t="n">
        <v>0</v>
      </c>
      <c r="O4483" t="n">
        <v>0</v>
      </c>
      <c r="P4483" t="n">
        <v>0</v>
      </c>
      <c r="Q4483" t="n">
        <v>0</v>
      </c>
      <c r="R4483" s="2" t="inlineStr"/>
    </row>
    <row r="4484" ht="15" customHeight="1">
      <c r="A4484" t="inlineStr">
        <is>
          <t>A 47341-2023</t>
        </is>
      </c>
      <c r="B4484" s="1" t="n">
        <v>45202</v>
      </c>
      <c r="C4484" s="1" t="n">
        <v>45705</v>
      </c>
      <c r="D4484" t="inlineStr">
        <is>
          <t>UPPSALA LÄN</t>
        </is>
      </c>
      <c r="E4484" t="inlineStr">
        <is>
          <t>ÖSTHAMMAR</t>
        </is>
      </c>
      <c r="G4484" t="n">
        <v>4.9</v>
      </c>
      <c r="H4484" t="n">
        <v>0</v>
      </c>
      <c r="I4484" t="n">
        <v>0</v>
      </c>
      <c r="J4484" t="n">
        <v>0</v>
      </c>
      <c r="K4484" t="n">
        <v>0</v>
      </c>
      <c r="L4484" t="n">
        <v>0</v>
      </c>
      <c r="M4484" t="n">
        <v>0</v>
      </c>
      <c r="N4484" t="n">
        <v>0</v>
      </c>
      <c r="O4484" t="n">
        <v>0</v>
      </c>
      <c r="P4484" t="n">
        <v>0</v>
      </c>
      <c r="Q4484" t="n">
        <v>0</v>
      </c>
      <c r="R4484" s="2" t="inlineStr"/>
    </row>
    <row r="4485" ht="15" customHeight="1">
      <c r="A4485" t="inlineStr">
        <is>
          <t>A 47421-2023</t>
        </is>
      </c>
      <c r="B4485" s="1" t="n">
        <v>45202</v>
      </c>
      <c r="C4485" s="1" t="n">
        <v>45705</v>
      </c>
      <c r="D4485" t="inlineStr">
        <is>
          <t>UPPSALA LÄN</t>
        </is>
      </c>
      <c r="E4485" t="inlineStr">
        <is>
          <t>HEBY</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47548-2023</t>
        </is>
      </c>
      <c r="B4486" s="1" t="n">
        <v>45203</v>
      </c>
      <c r="C4486" s="1" t="n">
        <v>45705</v>
      </c>
      <c r="D4486" t="inlineStr">
        <is>
          <t>UPPSALA LÄN</t>
        </is>
      </c>
      <c r="E4486" t="inlineStr">
        <is>
          <t>ÄLVKARLEBY</t>
        </is>
      </c>
      <c r="F4486" t="inlineStr">
        <is>
          <t>Bergvik skog väst AB</t>
        </is>
      </c>
      <c r="G4486" t="n">
        <v>4</v>
      </c>
      <c r="H4486" t="n">
        <v>0</v>
      </c>
      <c r="I4486" t="n">
        <v>0</v>
      </c>
      <c r="J4486" t="n">
        <v>0</v>
      </c>
      <c r="K4486" t="n">
        <v>0</v>
      </c>
      <c r="L4486" t="n">
        <v>0</v>
      </c>
      <c r="M4486" t="n">
        <v>0</v>
      </c>
      <c r="N4486" t="n">
        <v>0</v>
      </c>
      <c r="O4486" t="n">
        <v>0</v>
      </c>
      <c r="P4486" t="n">
        <v>0</v>
      </c>
      <c r="Q4486" t="n">
        <v>0</v>
      </c>
      <c r="R4486" s="2" t="inlineStr"/>
    </row>
    <row r="4487" ht="15" customHeight="1">
      <c r="A4487" t="inlineStr">
        <is>
          <t>A 47570-2023</t>
        </is>
      </c>
      <c r="B4487" s="1" t="n">
        <v>45203</v>
      </c>
      <c r="C4487" s="1" t="n">
        <v>45705</v>
      </c>
      <c r="D4487" t="inlineStr">
        <is>
          <t>UPPSALA LÄN</t>
        </is>
      </c>
      <c r="E4487" t="inlineStr">
        <is>
          <t>ÄLVKARLEBY</t>
        </is>
      </c>
      <c r="F4487" t="inlineStr">
        <is>
          <t>Bergvik skog väst AB</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47522-2023</t>
        </is>
      </c>
      <c r="B4488" s="1" t="n">
        <v>45203</v>
      </c>
      <c r="C4488" s="1" t="n">
        <v>45705</v>
      </c>
      <c r="D4488" t="inlineStr">
        <is>
          <t>UPPSALA LÄN</t>
        </is>
      </c>
      <c r="E4488" t="inlineStr">
        <is>
          <t>ÖSTHAMMAR</t>
        </is>
      </c>
      <c r="F4488" t="inlineStr">
        <is>
          <t>Bergvik skog öst AB</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47554-2023</t>
        </is>
      </c>
      <c r="B4489" s="1" t="n">
        <v>45203</v>
      </c>
      <c r="C4489" s="1" t="n">
        <v>45705</v>
      </c>
      <c r="D4489" t="inlineStr">
        <is>
          <t>UPPSALA LÄN</t>
        </is>
      </c>
      <c r="E4489" t="inlineStr">
        <is>
          <t>ÄLVKARLEBY</t>
        </is>
      </c>
      <c r="F4489" t="inlineStr">
        <is>
          <t>Bergvik skog väst AB</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47559-2023</t>
        </is>
      </c>
      <c r="B4490" s="1" t="n">
        <v>45203</v>
      </c>
      <c r="C4490" s="1" t="n">
        <v>45705</v>
      </c>
      <c r="D4490" t="inlineStr">
        <is>
          <t>UPPSALA LÄN</t>
        </is>
      </c>
      <c r="E4490" t="inlineStr">
        <is>
          <t>ÄLVKARLEBY</t>
        </is>
      </c>
      <c r="F4490" t="inlineStr">
        <is>
          <t>Bergvik skog väst AB</t>
        </is>
      </c>
      <c r="G4490" t="n">
        <v>4.9</v>
      </c>
      <c r="H4490" t="n">
        <v>0</v>
      </c>
      <c r="I4490" t="n">
        <v>0</v>
      </c>
      <c r="J4490" t="n">
        <v>0</v>
      </c>
      <c r="K4490" t="n">
        <v>0</v>
      </c>
      <c r="L4490" t="n">
        <v>0</v>
      </c>
      <c r="M4490" t="n">
        <v>0</v>
      </c>
      <c r="N4490" t="n">
        <v>0</v>
      </c>
      <c r="O4490" t="n">
        <v>0</v>
      </c>
      <c r="P4490" t="n">
        <v>0</v>
      </c>
      <c r="Q4490" t="n">
        <v>0</v>
      </c>
      <c r="R4490" s="2" t="inlineStr"/>
    </row>
    <row r="4491" ht="15" customHeight="1">
      <c r="A4491" t="inlineStr">
        <is>
          <t>A 47553-2023</t>
        </is>
      </c>
      <c r="B4491" s="1" t="n">
        <v>45203</v>
      </c>
      <c r="C4491" s="1" t="n">
        <v>45705</v>
      </c>
      <c r="D4491" t="inlineStr">
        <is>
          <t>UPPSALA LÄN</t>
        </is>
      </c>
      <c r="E4491" t="inlineStr">
        <is>
          <t>ENKÖPING</t>
        </is>
      </c>
      <c r="G4491" t="n">
        <v>13.3</v>
      </c>
      <c r="H4491" t="n">
        <v>0</v>
      </c>
      <c r="I4491" t="n">
        <v>0</v>
      </c>
      <c r="J4491" t="n">
        <v>0</v>
      </c>
      <c r="K4491" t="n">
        <v>0</v>
      </c>
      <c r="L4491" t="n">
        <v>0</v>
      </c>
      <c r="M4491" t="n">
        <v>0</v>
      </c>
      <c r="N4491" t="n">
        <v>0</v>
      </c>
      <c r="O4491" t="n">
        <v>0</v>
      </c>
      <c r="P4491" t="n">
        <v>0</v>
      </c>
      <c r="Q4491" t="n">
        <v>0</v>
      </c>
      <c r="R4491" s="2" t="inlineStr"/>
    </row>
    <row r="4492" ht="15" customHeight="1">
      <c r="A4492" t="inlineStr">
        <is>
          <t>A 47618-2023</t>
        </is>
      </c>
      <c r="B4492" s="1" t="n">
        <v>45203</v>
      </c>
      <c r="C4492" s="1" t="n">
        <v>45705</v>
      </c>
      <c r="D4492" t="inlineStr">
        <is>
          <t>UPPSALA LÄN</t>
        </is>
      </c>
      <c r="E4492" t="inlineStr">
        <is>
          <t>UPPSALA</t>
        </is>
      </c>
      <c r="F4492" t="inlineStr">
        <is>
          <t>Bergvik skog öst AB</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48736-2023</t>
        </is>
      </c>
      <c r="B4493" s="1" t="n">
        <v>45203</v>
      </c>
      <c r="C4493" s="1" t="n">
        <v>45705</v>
      </c>
      <c r="D4493" t="inlineStr">
        <is>
          <t>UPPSALA LÄN</t>
        </is>
      </c>
      <c r="E4493" t="inlineStr">
        <is>
          <t>TIERP</t>
        </is>
      </c>
      <c r="F4493" t="inlineStr">
        <is>
          <t>Bergvik skog väst AB</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48735-2023</t>
        </is>
      </c>
      <c r="B4494" s="1" t="n">
        <v>45203</v>
      </c>
      <c r="C4494" s="1" t="n">
        <v>45705</v>
      </c>
      <c r="D4494" t="inlineStr">
        <is>
          <t>UPPSALA LÄN</t>
        </is>
      </c>
      <c r="E4494" t="inlineStr">
        <is>
          <t>TIERP</t>
        </is>
      </c>
      <c r="F4494" t="inlineStr">
        <is>
          <t>Bergvik skog väst AB</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47960-2023</t>
        </is>
      </c>
      <c r="B4495" s="1" t="n">
        <v>45204</v>
      </c>
      <c r="C4495" s="1" t="n">
        <v>45705</v>
      </c>
      <c r="D4495" t="inlineStr">
        <is>
          <t>UPPSALA LÄN</t>
        </is>
      </c>
      <c r="E4495" t="inlineStr">
        <is>
          <t>TIERP</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47977-2023</t>
        </is>
      </c>
      <c r="B4496" s="1" t="n">
        <v>45204</v>
      </c>
      <c r="C4496" s="1" t="n">
        <v>45705</v>
      </c>
      <c r="D4496" t="inlineStr">
        <is>
          <t>UPPSALA LÄN</t>
        </is>
      </c>
      <c r="E4496" t="inlineStr">
        <is>
          <t>TIERP</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47968-2023</t>
        </is>
      </c>
      <c r="B4497" s="1" t="n">
        <v>45204</v>
      </c>
      <c r="C4497" s="1" t="n">
        <v>45705</v>
      </c>
      <c r="D4497" t="inlineStr">
        <is>
          <t>UPPSALA LÄN</t>
        </is>
      </c>
      <c r="E4497" t="inlineStr">
        <is>
          <t>TIERP</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48032-2023</t>
        </is>
      </c>
      <c r="B4498" s="1" t="n">
        <v>45204</v>
      </c>
      <c r="C4498" s="1" t="n">
        <v>45705</v>
      </c>
      <c r="D4498" t="inlineStr">
        <is>
          <t>UPPSALA LÄN</t>
        </is>
      </c>
      <c r="E4498" t="inlineStr">
        <is>
          <t>ÖSTHAMMAR</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48171-2023</t>
        </is>
      </c>
      <c r="B4499" s="1" t="n">
        <v>45205</v>
      </c>
      <c r="C4499" s="1" t="n">
        <v>45705</v>
      </c>
      <c r="D4499" t="inlineStr">
        <is>
          <t>UPPSALA LÄN</t>
        </is>
      </c>
      <c r="E4499" t="inlineStr">
        <is>
          <t>ÖSTHAMMAR</t>
        </is>
      </c>
      <c r="F4499" t="inlineStr">
        <is>
          <t>Bergvik skog öst AB</t>
        </is>
      </c>
      <c r="G4499" t="n">
        <v>5.3</v>
      </c>
      <c r="H4499" t="n">
        <v>0</v>
      </c>
      <c r="I4499" t="n">
        <v>0</v>
      </c>
      <c r="J4499" t="n">
        <v>0</v>
      </c>
      <c r="K4499" t="n">
        <v>0</v>
      </c>
      <c r="L4499" t="n">
        <v>0</v>
      </c>
      <c r="M4499" t="n">
        <v>0</v>
      </c>
      <c r="N4499" t="n">
        <v>0</v>
      </c>
      <c r="O4499" t="n">
        <v>0</v>
      </c>
      <c r="P4499" t="n">
        <v>0</v>
      </c>
      <c r="Q4499" t="n">
        <v>0</v>
      </c>
      <c r="R4499" s="2" t="inlineStr"/>
    </row>
    <row r="4500" ht="15" customHeight="1">
      <c r="A4500" t="inlineStr">
        <is>
          <t>A 48562-2023</t>
        </is>
      </c>
      <c r="B4500" s="1" t="n">
        <v>45208</v>
      </c>
      <c r="C4500" s="1" t="n">
        <v>45705</v>
      </c>
      <c r="D4500" t="inlineStr">
        <is>
          <t>UPPSALA LÄN</t>
        </is>
      </c>
      <c r="E4500" t="inlineStr">
        <is>
          <t>UPPSALA</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48564-2023</t>
        </is>
      </c>
      <c r="B4501" s="1" t="n">
        <v>45208</v>
      </c>
      <c r="C4501" s="1" t="n">
        <v>45705</v>
      </c>
      <c r="D4501" t="inlineStr">
        <is>
          <t>UPPSALA LÄN</t>
        </is>
      </c>
      <c r="E4501" t="inlineStr">
        <is>
          <t>UPPSALA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48571-2023</t>
        </is>
      </c>
      <c r="B4502" s="1" t="n">
        <v>45208</v>
      </c>
      <c r="C4502" s="1" t="n">
        <v>45705</v>
      </c>
      <c r="D4502" t="inlineStr">
        <is>
          <t>UPPSALA LÄN</t>
        </is>
      </c>
      <c r="E4502" t="inlineStr">
        <is>
          <t>UPPSALA</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48584-2023</t>
        </is>
      </c>
      <c r="B4503" s="1" t="n">
        <v>45208</v>
      </c>
      <c r="C4503" s="1" t="n">
        <v>45705</v>
      </c>
      <c r="D4503" t="inlineStr">
        <is>
          <t>UPPSALA LÄN</t>
        </is>
      </c>
      <c r="E4503" t="inlineStr">
        <is>
          <t>UPPSALA</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48614-2023</t>
        </is>
      </c>
      <c r="B4504" s="1" t="n">
        <v>45208</v>
      </c>
      <c r="C4504" s="1" t="n">
        <v>45705</v>
      </c>
      <c r="D4504" t="inlineStr">
        <is>
          <t>UPPSALA LÄN</t>
        </is>
      </c>
      <c r="E4504" t="inlineStr">
        <is>
          <t>ÄLVKARLEBY</t>
        </is>
      </c>
      <c r="F4504" t="inlineStr">
        <is>
          <t>Bergvik skog öst AB</t>
        </is>
      </c>
      <c r="G4504" t="n">
        <v>5.4</v>
      </c>
      <c r="H4504" t="n">
        <v>0</v>
      </c>
      <c r="I4504" t="n">
        <v>0</v>
      </c>
      <c r="J4504" t="n">
        <v>0</v>
      </c>
      <c r="K4504" t="n">
        <v>0</v>
      </c>
      <c r="L4504" t="n">
        <v>0</v>
      </c>
      <c r="M4504" t="n">
        <v>0</v>
      </c>
      <c r="N4504" t="n">
        <v>0</v>
      </c>
      <c r="O4504" t="n">
        <v>0</v>
      </c>
      <c r="P4504" t="n">
        <v>0</v>
      </c>
      <c r="Q4504" t="n">
        <v>0</v>
      </c>
      <c r="R4504" s="2" t="inlineStr"/>
    </row>
    <row r="4505" ht="15" customHeight="1">
      <c r="A4505" t="inlineStr">
        <is>
          <t>A 48620-2023</t>
        </is>
      </c>
      <c r="B4505" s="1" t="n">
        <v>45208</v>
      </c>
      <c r="C4505" s="1" t="n">
        <v>45705</v>
      </c>
      <c r="D4505" t="inlineStr">
        <is>
          <t>UPPSALA LÄN</t>
        </is>
      </c>
      <c r="E4505" t="inlineStr">
        <is>
          <t>ÄLVKARLEBY</t>
        </is>
      </c>
      <c r="F4505" t="inlineStr">
        <is>
          <t>Bergvik skog öst AB</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48719-2023</t>
        </is>
      </c>
      <c r="B4506" s="1" t="n">
        <v>45208</v>
      </c>
      <c r="C4506" s="1" t="n">
        <v>45705</v>
      </c>
      <c r="D4506" t="inlineStr">
        <is>
          <t>UPPSALA LÄN</t>
        </is>
      </c>
      <c r="E4506" t="inlineStr">
        <is>
          <t>ÖSTHAMMAR</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48674-2023</t>
        </is>
      </c>
      <c r="B4507" s="1" t="n">
        <v>45208</v>
      </c>
      <c r="C4507" s="1" t="n">
        <v>45705</v>
      </c>
      <c r="D4507" t="inlineStr">
        <is>
          <t>UPPSALA LÄN</t>
        </is>
      </c>
      <c r="E4507" t="inlineStr">
        <is>
          <t>ÄLVKARLEBY</t>
        </is>
      </c>
      <c r="F4507" t="inlineStr">
        <is>
          <t>Bergvik skog öst AB</t>
        </is>
      </c>
      <c r="G4507" t="n">
        <v>15.5</v>
      </c>
      <c r="H4507" t="n">
        <v>0</v>
      </c>
      <c r="I4507" t="n">
        <v>0</v>
      </c>
      <c r="J4507" t="n">
        <v>0</v>
      </c>
      <c r="K4507" t="n">
        <v>0</v>
      </c>
      <c r="L4507" t="n">
        <v>0</v>
      </c>
      <c r="M4507" t="n">
        <v>0</v>
      </c>
      <c r="N4507" t="n">
        <v>0</v>
      </c>
      <c r="O4507" t="n">
        <v>0</v>
      </c>
      <c r="P4507" t="n">
        <v>0</v>
      </c>
      <c r="Q4507" t="n">
        <v>0</v>
      </c>
      <c r="R4507" s="2" t="inlineStr"/>
    </row>
    <row r="4508" ht="15" customHeight="1">
      <c r="A4508" t="inlineStr">
        <is>
          <t>A 49707-2023</t>
        </is>
      </c>
      <c r="B4508" s="1" t="n">
        <v>45208</v>
      </c>
      <c r="C4508" s="1" t="n">
        <v>45705</v>
      </c>
      <c r="D4508" t="inlineStr">
        <is>
          <t>UPPSALA LÄN</t>
        </is>
      </c>
      <c r="E4508" t="inlineStr">
        <is>
          <t>HEBY</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48843-2023</t>
        </is>
      </c>
      <c r="B4509" s="1" t="n">
        <v>45209</v>
      </c>
      <c r="C4509" s="1" t="n">
        <v>45705</v>
      </c>
      <c r="D4509" t="inlineStr">
        <is>
          <t>UPPSALA LÄN</t>
        </is>
      </c>
      <c r="E4509" t="inlineStr">
        <is>
          <t>ENKÖPING</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48905-2023</t>
        </is>
      </c>
      <c r="B4510" s="1" t="n">
        <v>45209</v>
      </c>
      <c r="C4510" s="1" t="n">
        <v>45705</v>
      </c>
      <c r="D4510" t="inlineStr">
        <is>
          <t>UPPSALA LÄN</t>
        </is>
      </c>
      <c r="E4510" t="inlineStr">
        <is>
          <t>TIERP</t>
        </is>
      </c>
      <c r="F4510" t="inlineStr">
        <is>
          <t>Bergvik skog öst AB</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48960-2023</t>
        </is>
      </c>
      <c r="B4511" s="1" t="n">
        <v>45209</v>
      </c>
      <c r="C4511" s="1" t="n">
        <v>45705</v>
      </c>
      <c r="D4511" t="inlineStr">
        <is>
          <t>UPPSALA LÄN</t>
        </is>
      </c>
      <c r="E4511" t="inlineStr">
        <is>
          <t>HEBY</t>
        </is>
      </c>
      <c r="F4511" t="inlineStr">
        <is>
          <t>Bergvik skog öst AB</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48948-2023</t>
        </is>
      </c>
      <c r="B4512" s="1" t="n">
        <v>45209</v>
      </c>
      <c r="C4512" s="1" t="n">
        <v>45705</v>
      </c>
      <c r="D4512" t="inlineStr">
        <is>
          <t>UPPSALA LÄN</t>
        </is>
      </c>
      <c r="E4512" t="inlineStr">
        <is>
          <t>HEBY</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48956-2023</t>
        </is>
      </c>
      <c r="B4513" s="1" t="n">
        <v>45209</v>
      </c>
      <c r="C4513" s="1" t="n">
        <v>45705</v>
      </c>
      <c r="D4513" t="inlineStr">
        <is>
          <t>UPPSALA LÄN</t>
        </is>
      </c>
      <c r="E4513" t="inlineStr">
        <is>
          <t>HEBY</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48939-2023</t>
        </is>
      </c>
      <c r="B4514" s="1" t="n">
        <v>45209</v>
      </c>
      <c r="C4514" s="1" t="n">
        <v>45705</v>
      </c>
      <c r="D4514" t="inlineStr">
        <is>
          <t>UPPSALA LÄN</t>
        </is>
      </c>
      <c r="E4514" t="inlineStr">
        <is>
          <t>HEBY</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48958-2023</t>
        </is>
      </c>
      <c r="B4515" s="1" t="n">
        <v>45209</v>
      </c>
      <c r="C4515" s="1" t="n">
        <v>45705</v>
      </c>
      <c r="D4515" t="inlineStr">
        <is>
          <t>UPPSALA LÄN</t>
        </is>
      </c>
      <c r="E4515" t="inlineStr">
        <is>
          <t>TIERP</t>
        </is>
      </c>
      <c r="F4515" t="inlineStr">
        <is>
          <t>Bergvik skog öst AB</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48989-2023</t>
        </is>
      </c>
      <c r="B4516" s="1" t="n">
        <v>45209</v>
      </c>
      <c r="C4516" s="1" t="n">
        <v>45705</v>
      </c>
      <c r="D4516" t="inlineStr">
        <is>
          <t>UPPSALA LÄN</t>
        </is>
      </c>
      <c r="E4516" t="inlineStr">
        <is>
          <t>ÖSTHAMMAR</t>
        </is>
      </c>
      <c r="F4516" t="inlineStr">
        <is>
          <t>Övriga Aktiebolag</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49189-2023</t>
        </is>
      </c>
      <c r="B4517" s="1" t="n">
        <v>45210</v>
      </c>
      <c r="C4517" s="1" t="n">
        <v>45705</v>
      </c>
      <c r="D4517" t="inlineStr">
        <is>
          <t>UPPSALA LÄN</t>
        </is>
      </c>
      <c r="E4517" t="inlineStr">
        <is>
          <t>UPPSALA</t>
        </is>
      </c>
      <c r="G4517" t="n">
        <v>7.3</v>
      </c>
      <c r="H4517" t="n">
        <v>0</v>
      </c>
      <c r="I4517" t="n">
        <v>0</v>
      </c>
      <c r="J4517" t="n">
        <v>0</v>
      </c>
      <c r="K4517" t="n">
        <v>0</v>
      </c>
      <c r="L4517" t="n">
        <v>0</v>
      </c>
      <c r="M4517" t="n">
        <v>0</v>
      </c>
      <c r="N4517" t="n">
        <v>0</v>
      </c>
      <c r="O4517" t="n">
        <v>0</v>
      </c>
      <c r="P4517" t="n">
        <v>0</v>
      </c>
      <c r="Q4517" t="n">
        <v>0</v>
      </c>
      <c r="R4517" s="2" t="inlineStr"/>
    </row>
    <row r="4518" ht="15" customHeight="1">
      <c r="A4518" t="inlineStr">
        <is>
          <t>A 49248-2023</t>
        </is>
      </c>
      <c r="B4518" s="1" t="n">
        <v>45210</v>
      </c>
      <c r="C4518" s="1" t="n">
        <v>45705</v>
      </c>
      <c r="D4518" t="inlineStr">
        <is>
          <t>UPPSALA LÄN</t>
        </is>
      </c>
      <c r="E4518" t="inlineStr">
        <is>
          <t>ÖSTHAMMAR</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49066-2023</t>
        </is>
      </c>
      <c r="B4519" s="1" t="n">
        <v>45210</v>
      </c>
      <c r="C4519" s="1" t="n">
        <v>45705</v>
      </c>
      <c r="D4519" t="inlineStr">
        <is>
          <t>UPPSALA LÄN</t>
        </is>
      </c>
      <c r="E4519" t="inlineStr">
        <is>
          <t>ÖSTHAMMAR</t>
        </is>
      </c>
      <c r="F4519" t="inlineStr">
        <is>
          <t>Bergvik skog öst AB</t>
        </is>
      </c>
      <c r="G4519" t="n">
        <v>13.1</v>
      </c>
      <c r="H4519" t="n">
        <v>0</v>
      </c>
      <c r="I4519" t="n">
        <v>0</v>
      </c>
      <c r="J4519" t="n">
        <v>0</v>
      </c>
      <c r="K4519" t="n">
        <v>0</v>
      </c>
      <c r="L4519" t="n">
        <v>0</v>
      </c>
      <c r="M4519" t="n">
        <v>0</v>
      </c>
      <c r="N4519" t="n">
        <v>0</v>
      </c>
      <c r="O4519" t="n">
        <v>0</v>
      </c>
      <c r="P4519" t="n">
        <v>0</v>
      </c>
      <c r="Q4519" t="n">
        <v>0</v>
      </c>
      <c r="R4519" s="2" t="inlineStr"/>
    </row>
    <row r="4520" ht="15" customHeight="1">
      <c r="A4520" t="inlineStr">
        <is>
          <t>A 49088-2023</t>
        </is>
      </c>
      <c r="B4520" s="1" t="n">
        <v>45210</v>
      </c>
      <c r="C4520" s="1" t="n">
        <v>45705</v>
      </c>
      <c r="D4520" t="inlineStr">
        <is>
          <t>UPPSALA LÄN</t>
        </is>
      </c>
      <c r="E4520" t="inlineStr">
        <is>
          <t>HEBY</t>
        </is>
      </c>
      <c r="F4520" t="inlineStr">
        <is>
          <t>Bergvik skog öst AB</t>
        </is>
      </c>
      <c r="G4520" t="n">
        <v>5.1</v>
      </c>
      <c r="H4520" t="n">
        <v>0</v>
      </c>
      <c r="I4520" t="n">
        <v>0</v>
      </c>
      <c r="J4520" t="n">
        <v>0</v>
      </c>
      <c r="K4520" t="n">
        <v>0</v>
      </c>
      <c r="L4520" t="n">
        <v>0</v>
      </c>
      <c r="M4520" t="n">
        <v>0</v>
      </c>
      <c r="N4520" t="n">
        <v>0</v>
      </c>
      <c r="O4520" t="n">
        <v>0</v>
      </c>
      <c r="P4520" t="n">
        <v>0</v>
      </c>
      <c r="Q4520" t="n">
        <v>0</v>
      </c>
      <c r="R4520" s="2" t="inlineStr"/>
    </row>
    <row r="4521" ht="15" customHeight="1">
      <c r="A4521" t="inlineStr">
        <is>
          <t>A 49172-2023</t>
        </is>
      </c>
      <c r="B4521" s="1" t="n">
        <v>45210</v>
      </c>
      <c r="C4521" s="1" t="n">
        <v>45705</v>
      </c>
      <c r="D4521" t="inlineStr">
        <is>
          <t>UPPSALA LÄN</t>
        </is>
      </c>
      <c r="E4521" t="inlineStr">
        <is>
          <t>ÖSTHAMMAR</t>
        </is>
      </c>
      <c r="F4521" t="inlineStr">
        <is>
          <t>Övriga Aktiebolag</t>
        </is>
      </c>
      <c r="G4521" t="n">
        <v>13.1</v>
      </c>
      <c r="H4521" t="n">
        <v>0</v>
      </c>
      <c r="I4521" t="n">
        <v>0</v>
      </c>
      <c r="J4521" t="n">
        <v>0</v>
      </c>
      <c r="K4521" t="n">
        <v>0</v>
      </c>
      <c r="L4521" t="n">
        <v>0</v>
      </c>
      <c r="M4521" t="n">
        <v>0</v>
      </c>
      <c r="N4521" t="n">
        <v>0</v>
      </c>
      <c r="O4521" t="n">
        <v>0</v>
      </c>
      <c r="P4521" t="n">
        <v>0</v>
      </c>
      <c r="Q4521" t="n">
        <v>0</v>
      </c>
      <c r="R4521" s="2" t="inlineStr"/>
    </row>
    <row r="4522" ht="15" customHeight="1">
      <c r="A4522" t="inlineStr">
        <is>
          <t>A 49201-2023</t>
        </is>
      </c>
      <c r="B4522" s="1" t="n">
        <v>45210</v>
      </c>
      <c r="C4522" s="1" t="n">
        <v>45705</v>
      </c>
      <c r="D4522" t="inlineStr">
        <is>
          <t>UPPSALA LÄN</t>
        </is>
      </c>
      <c r="E4522" t="inlineStr">
        <is>
          <t>UPPSALA</t>
        </is>
      </c>
      <c r="G4522" t="n">
        <v>3.4</v>
      </c>
      <c r="H4522" t="n">
        <v>0</v>
      </c>
      <c r="I4522" t="n">
        <v>0</v>
      </c>
      <c r="J4522" t="n">
        <v>0</v>
      </c>
      <c r="K4522" t="n">
        <v>0</v>
      </c>
      <c r="L4522" t="n">
        <v>0</v>
      </c>
      <c r="M4522" t="n">
        <v>0</v>
      </c>
      <c r="N4522" t="n">
        <v>0</v>
      </c>
      <c r="O4522" t="n">
        <v>0</v>
      </c>
      <c r="P4522" t="n">
        <v>0</v>
      </c>
      <c r="Q4522" t="n">
        <v>0</v>
      </c>
      <c r="R4522" s="2" t="inlineStr"/>
    </row>
    <row r="4523" ht="15" customHeight="1">
      <c r="A4523" t="inlineStr">
        <is>
          <t>A 49138-2023</t>
        </is>
      </c>
      <c r="B4523" s="1" t="n">
        <v>45210</v>
      </c>
      <c r="C4523" s="1" t="n">
        <v>45705</v>
      </c>
      <c r="D4523" t="inlineStr">
        <is>
          <t>UPPSALA LÄN</t>
        </is>
      </c>
      <c r="E4523" t="inlineStr">
        <is>
          <t>HEBY</t>
        </is>
      </c>
      <c r="F4523" t="inlineStr">
        <is>
          <t>Bergvik skog öst AB</t>
        </is>
      </c>
      <c r="G4523" t="n">
        <v>5.2</v>
      </c>
      <c r="H4523" t="n">
        <v>0</v>
      </c>
      <c r="I4523" t="n">
        <v>0</v>
      </c>
      <c r="J4523" t="n">
        <v>0</v>
      </c>
      <c r="K4523" t="n">
        <v>0</v>
      </c>
      <c r="L4523" t="n">
        <v>0</v>
      </c>
      <c r="M4523" t="n">
        <v>0</v>
      </c>
      <c r="N4523" t="n">
        <v>0</v>
      </c>
      <c r="O4523" t="n">
        <v>0</v>
      </c>
      <c r="P4523" t="n">
        <v>0</v>
      </c>
      <c r="Q4523" t="n">
        <v>0</v>
      </c>
      <c r="R4523" s="2" t="inlineStr"/>
    </row>
    <row r="4524" ht="15" customHeight="1">
      <c r="A4524" t="inlineStr">
        <is>
          <t>A 49266-2023</t>
        </is>
      </c>
      <c r="B4524" s="1" t="n">
        <v>45210</v>
      </c>
      <c r="C4524" s="1" t="n">
        <v>45705</v>
      </c>
      <c r="D4524" t="inlineStr">
        <is>
          <t>UPPSALA LÄN</t>
        </is>
      </c>
      <c r="E4524" t="inlineStr">
        <is>
          <t>ÖSTHAMMAR</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49432-2023</t>
        </is>
      </c>
      <c r="B4525" s="1" t="n">
        <v>45211</v>
      </c>
      <c r="C4525" s="1" t="n">
        <v>45705</v>
      </c>
      <c r="D4525" t="inlineStr">
        <is>
          <t>UPPSALA LÄN</t>
        </is>
      </c>
      <c r="E4525" t="inlineStr">
        <is>
          <t>ÄLVKARLEBY</t>
        </is>
      </c>
      <c r="F4525" t="inlineStr">
        <is>
          <t>Bergvik skog väst AB</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49682-2023</t>
        </is>
      </c>
      <c r="B4526" s="1" t="n">
        <v>45212</v>
      </c>
      <c r="C4526" s="1" t="n">
        <v>45705</v>
      </c>
      <c r="D4526" t="inlineStr">
        <is>
          <t>UPPSALA LÄN</t>
        </is>
      </c>
      <c r="E4526" t="inlineStr">
        <is>
          <t>UPPSALA</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49829-2023</t>
        </is>
      </c>
      <c r="B4527" s="1" t="n">
        <v>45212</v>
      </c>
      <c r="C4527" s="1" t="n">
        <v>45705</v>
      </c>
      <c r="D4527" t="inlineStr">
        <is>
          <t>UPPSALA LÄN</t>
        </is>
      </c>
      <c r="E4527" t="inlineStr">
        <is>
          <t>ÖSTHAMMAR</t>
        </is>
      </c>
      <c r="F4527" t="inlineStr">
        <is>
          <t>Bergvik skog öst AB</t>
        </is>
      </c>
      <c r="G4527" t="n">
        <v>13.8</v>
      </c>
      <c r="H4527" t="n">
        <v>0</v>
      </c>
      <c r="I4527" t="n">
        <v>0</v>
      </c>
      <c r="J4527" t="n">
        <v>0</v>
      </c>
      <c r="K4527" t="n">
        <v>0</v>
      </c>
      <c r="L4527" t="n">
        <v>0</v>
      </c>
      <c r="M4527" t="n">
        <v>0</v>
      </c>
      <c r="N4527" t="n">
        <v>0</v>
      </c>
      <c r="O4527" t="n">
        <v>0</v>
      </c>
      <c r="P4527" t="n">
        <v>0</v>
      </c>
      <c r="Q4527" t="n">
        <v>0</v>
      </c>
      <c r="R4527" s="2" t="inlineStr"/>
    </row>
    <row r="4528" ht="15" customHeight="1">
      <c r="A4528" t="inlineStr">
        <is>
          <t>A 49833-2023</t>
        </is>
      </c>
      <c r="B4528" s="1" t="n">
        <v>45212</v>
      </c>
      <c r="C4528" s="1" t="n">
        <v>45705</v>
      </c>
      <c r="D4528" t="inlineStr">
        <is>
          <t>UPPSALA LÄN</t>
        </is>
      </c>
      <c r="E4528" t="inlineStr">
        <is>
          <t>ÖSTHAMMAR</t>
        </is>
      </c>
      <c r="F4528" t="inlineStr">
        <is>
          <t>Bergvik skog öst AB</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49831-2023</t>
        </is>
      </c>
      <c r="B4529" s="1" t="n">
        <v>45212</v>
      </c>
      <c r="C4529" s="1" t="n">
        <v>45705</v>
      </c>
      <c r="D4529" t="inlineStr">
        <is>
          <t>UPPSALA LÄN</t>
        </is>
      </c>
      <c r="E4529" t="inlineStr">
        <is>
          <t>ÖSTHAMMAR</t>
        </is>
      </c>
      <c r="F4529" t="inlineStr">
        <is>
          <t>Bergvik skog öst AB</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49897-2023</t>
        </is>
      </c>
      <c r="B4530" s="1" t="n">
        <v>45213</v>
      </c>
      <c r="C4530" s="1" t="n">
        <v>45705</v>
      </c>
      <c r="D4530" t="inlineStr">
        <is>
          <t>UPPSALA LÄN</t>
        </is>
      </c>
      <c r="E4530" t="inlineStr">
        <is>
          <t>ÖSTHAMMAR</t>
        </is>
      </c>
      <c r="G4530" t="n">
        <v>9.199999999999999</v>
      </c>
      <c r="H4530" t="n">
        <v>0</v>
      </c>
      <c r="I4530" t="n">
        <v>0</v>
      </c>
      <c r="J4530" t="n">
        <v>0</v>
      </c>
      <c r="K4530" t="n">
        <v>0</v>
      </c>
      <c r="L4530" t="n">
        <v>0</v>
      </c>
      <c r="M4530" t="n">
        <v>0</v>
      </c>
      <c r="N4530" t="n">
        <v>0</v>
      </c>
      <c r="O4530" t="n">
        <v>0</v>
      </c>
      <c r="P4530" t="n">
        <v>0</v>
      </c>
      <c r="Q4530" t="n">
        <v>0</v>
      </c>
      <c r="R4530" s="2" t="inlineStr"/>
    </row>
    <row r="4531" ht="15" customHeight="1">
      <c r="A4531" t="inlineStr">
        <is>
          <t>A 49899-2023</t>
        </is>
      </c>
      <c r="B4531" s="1" t="n">
        <v>45213</v>
      </c>
      <c r="C4531" s="1" t="n">
        <v>45705</v>
      </c>
      <c r="D4531" t="inlineStr">
        <is>
          <t>UPPSALA LÄN</t>
        </is>
      </c>
      <c r="E4531" t="inlineStr">
        <is>
          <t>ÖSTHAMMAR</t>
        </is>
      </c>
      <c r="G4531" t="n">
        <v>6.2</v>
      </c>
      <c r="H4531" t="n">
        <v>0</v>
      </c>
      <c r="I4531" t="n">
        <v>0</v>
      </c>
      <c r="J4531" t="n">
        <v>0</v>
      </c>
      <c r="K4531" t="n">
        <v>0</v>
      </c>
      <c r="L4531" t="n">
        <v>0</v>
      </c>
      <c r="M4531" t="n">
        <v>0</v>
      </c>
      <c r="N4531" t="n">
        <v>0</v>
      </c>
      <c r="O4531" t="n">
        <v>0</v>
      </c>
      <c r="P4531" t="n">
        <v>0</v>
      </c>
      <c r="Q4531" t="n">
        <v>0</v>
      </c>
      <c r="R4531" s="2" t="inlineStr"/>
    </row>
    <row r="4532" ht="15" customHeight="1">
      <c r="A4532" t="inlineStr">
        <is>
          <t>A 49892-2023</t>
        </is>
      </c>
      <c r="B4532" s="1" t="n">
        <v>45213</v>
      </c>
      <c r="C4532" s="1" t="n">
        <v>45705</v>
      </c>
      <c r="D4532" t="inlineStr">
        <is>
          <t>UPPSALA LÄN</t>
        </is>
      </c>
      <c r="E4532" t="inlineStr">
        <is>
          <t>ÖSTHAMMAR</t>
        </is>
      </c>
      <c r="F4532" t="inlineStr">
        <is>
          <t>Bergvik skog öst AB</t>
        </is>
      </c>
      <c r="G4532" t="n">
        <v>3.8</v>
      </c>
      <c r="H4532" t="n">
        <v>0</v>
      </c>
      <c r="I4532" t="n">
        <v>0</v>
      </c>
      <c r="J4532" t="n">
        <v>0</v>
      </c>
      <c r="K4532" t="n">
        <v>0</v>
      </c>
      <c r="L4532" t="n">
        <v>0</v>
      </c>
      <c r="M4532" t="n">
        <v>0</v>
      </c>
      <c r="N4532" t="n">
        <v>0</v>
      </c>
      <c r="O4532" t="n">
        <v>0</v>
      </c>
      <c r="P4532" t="n">
        <v>0</v>
      </c>
      <c r="Q4532" t="n">
        <v>0</v>
      </c>
      <c r="R4532" s="2" t="inlineStr"/>
    </row>
    <row r="4533" ht="15" customHeight="1">
      <c r="A4533" t="inlineStr">
        <is>
          <t>A 49996-2023</t>
        </is>
      </c>
      <c r="B4533" s="1" t="n">
        <v>45215</v>
      </c>
      <c r="C4533" s="1" t="n">
        <v>45705</v>
      </c>
      <c r="D4533" t="inlineStr">
        <is>
          <t>UPPSALA LÄN</t>
        </is>
      </c>
      <c r="E4533" t="inlineStr">
        <is>
          <t>UPPSALA</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50048-2023</t>
        </is>
      </c>
      <c r="B4534" s="1" t="n">
        <v>45215</v>
      </c>
      <c r="C4534" s="1" t="n">
        <v>45705</v>
      </c>
      <c r="D4534" t="inlineStr">
        <is>
          <t>UPPSALA LÄN</t>
        </is>
      </c>
      <c r="E4534" t="inlineStr">
        <is>
          <t>ÄLVKARLEBY</t>
        </is>
      </c>
      <c r="F4534" t="inlineStr">
        <is>
          <t>Bergvik skog väst AB</t>
        </is>
      </c>
      <c r="G4534" t="n">
        <v>5.8</v>
      </c>
      <c r="H4534" t="n">
        <v>0</v>
      </c>
      <c r="I4534" t="n">
        <v>0</v>
      </c>
      <c r="J4534" t="n">
        <v>0</v>
      </c>
      <c r="K4534" t="n">
        <v>0</v>
      </c>
      <c r="L4534" t="n">
        <v>0</v>
      </c>
      <c r="M4534" t="n">
        <v>0</v>
      </c>
      <c r="N4534" t="n">
        <v>0</v>
      </c>
      <c r="O4534" t="n">
        <v>0</v>
      </c>
      <c r="P4534" t="n">
        <v>0</v>
      </c>
      <c r="Q4534" t="n">
        <v>0</v>
      </c>
      <c r="R4534" s="2" t="inlineStr"/>
    </row>
    <row r="4535" ht="15" customHeight="1">
      <c r="A4535" t="inlineStr">
        <is>
          <t>A 50006-2023</t>
        </is>
      </c>
      <c r="B4535" s="1" t="n">
        <v>45215</v>
      </c>
      <c r="C4535" s="1" t="n">
        <v>45705</v>
      </c>
      <c r="D4535" t="inlineStr">
        <is>
          <t>UPPSALA LÄN</t>
        </is>
      </c>
      <c r="E4535" t="inlineStr">
        <is>
          <t>ENKÖPING</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50118-2023</t>
        </is>
      </c>
      <c r="B4536" s="1" t="n">
        <v>45215</v>
      </c>
      <c r="C4536" s="1" t="n">
        <v>45705</v>
      </c>
      <c r="D4536" t="inlineStr">
        <is>
          <t>UPPSALA LÄN</t>
        </is>
      </c>
      <c r="E4536" t="inlineStr">
        <is>
          <t>UPPSALA</t>
        </is>
      </c>
      <c r="G4536" t="n">
        <v>12.7</v>
      </c>
      <c r="H4536" t="n">
        <v>0</v>
      </c>
      <c r="I4536" t="n">
        <v>0</v>
      </c>
      <c r="J4536" t="n">
        <v>0</v>
      </c>
      <c r="K4536" t="n">
        <v>0</v>
      </c>
      <c r="L4536" t="n">
        <v>0</v>
      </c>
      <c r="M4536" t="n">
        <v>0</v>
      </c>
      <c r="N4536" t="n">
        <v>0</v>
      </c>
      <c r="O4536" t="n">
        <v>0</v>
      </c>
      <c r="P4536" t="n">
        <v>0</v>
      </c>
      <c r="Q4536" t="n">
        <v>0</v>
      </c>
      <c r="R4536" s="2" t="inlineStr"/>
    </row>
    <row r="4537" ht="15" customHeight="1">
      <c r="A4537" t="inlineStr">
        <is>
          <t>A 50128-2023</t>
        </is>
      </c>
      <c r="B4537" s="1" t="n">
        <v>45215</v>
      </c>
      <c r="C4537" s="1" t="n">
        <v>45705</v>
      </c>
      <c r="D4537" t="inlineStr">
        <is>
          <t>UPPSALA LÄN</t>
        </is>
      </c>
      <c r="E4537" t="inlineStr">
        <is>
          <t>ÖSTHAMMAR</t>
        </is>
      </c>
      <c r="G4537" t="n">
        <v>7.8</v>
      </c>
      <c r="H4537" t="n">
        <v>0</v>
      </c>
      <c r="I4537" t="n">
        <v>0</v>
      </c>
      <c r="J4537" t="n">
        <v>0</v>
      </c>
      <c r="K4537" t="n">
        <v>0</v>
      </c>
      <c r="L4537" t="n">
        <v>0</v>
      </c>
      <c r="M4537" t="n">
        <v>0</v>
      </c>
      <c r="N4537" t="n">
        <v>0</v>
      </c>
      <c r="O4537" t="n">
        <v>0</v>
      </c>
      <c r="P4537" t="n">
        <v>0</v>
      </c>
      <c r="Q4537" t="n">
        <v>0</v>
      </c>
      <c r="R4537" s="2" t="inlineStr"/>
    </row>
    <row r="4538" ht="15" customHeight="1">
      <c r="A4538" t="inlineStr">
        <is>
          <t>A 50189-2023</t>
        </is>
      </c>
      <c r="B4538" s="1" t="n">
        <v>45215</v>
      </c>
      <c r="C4538" s="1" t="n">
        <v>45705</v>
      </c>
      <c r="D4538" t="inlineStr">
        <is>
          <t>UPPSALA LÄN</t>
        </is>
      </c>
      <c r="E4538" t="inlineStr">
        <is>
          <t>ÖSTHAMMAR</t>
        </is>
      </c>
      <c r="F4538" t="inlineStr">
        <is>
          <t>Bergvik skog öst AB</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50116-2023</t>
        </is>
      </c>
      <c r="B4539" s="1" t="n">
        <v>45215</v>
      </c>
      <c r="C4539" s="1" t="n">
        <v>45705</v>
      </c>
      <c r="D4539" t="inlineStr">
        <is>
          <t>UPPSALA LÄN</t>
        </is>
      </c>
      <c r="E4539" t="inlineStr">
        <is>
          <t>HEBY</t>
        </is>
      </c>
      <c r="F4539" t="inlineStr">
        <is>
          <t>Kyrkan</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50120-2023</t>
        </is>
      </c>
      <c r="B4540" s="1" t="n">
        <v>45215</v>
      </c>
      <c r="C4540" s="1" t="n">
        <v>45705</v>
      </c>
      <c r="D4540" t="inlineStr">
        <is>
          <t>UPPSALA LÄN</t>
        </is>
      </c>
      <c r="E4540" t="inlineStr">
        <is>
          <t>ÖSTHAMMAR</t>
        </is>
      </c>
      <c r="F4540" t="inlineStr">
        <is>
          <t>Övriga Aktiebolag</t>
        </is>
      </c>
      <c r="G4540" t="n">
        <v>14.2</v>
      </c>
      <c r="H4540" t="n">
        <v>0</v>
      </c>
      <c r="I4540" t="n">
        <v>0</v>
      </c>
      <c r="J4540" t="n">
        <v>0</v>
      </c>
      <c r="K4540" t="n">
        <v>0</v>
      </c>
      <c r="L4540" t="n">
        <v>0</v>
      </c>
      <c r="M4540" t="n">
        <v>0</v>
      </c>
      <c r="N4540" t="n">
        <v>0</v>
      </c>
      <c r="O4540" t="n">
        <v>0</v>
      </c>
      <c r="P4540" t="n">
        <v>0</v>
      </c>
      <c r="Q4540" t="n">
        <v>0</v>
      </c>
      <c r="R4540" s="2" t="inlineStr"/>
    </row>
    <row r="4541" ht="15" customHeight="1">
      <c r="A4541" t="inlineStr">
        <is>
          <t>A 50188-2023</t>
        </is>
      </c>
      <c r="B4541" s="1" t="n">
        <v>45215</v>
      </c>
      <c r="C4541" s="1" t="n">
        <v>45705</v>
      </c>
      <c r="D4541" t="inlineStr">
        <is>
          <t>UPPSALA LÄN</t>
        </is>
      </c>
      <c r="E4541" t="inlineStr">
        <is>
          <t>ÖSTHAMMAR</t>
        </is>
      </c>
      <c r="F4541" t="inlineStr">
        <is>
          <t>Bergvik skog öst AB</t>
        </is>
      </c>
      <c r="G4541" t="n">
        <v>8.4</v>
      </c>
      <c r="H4541" t="n">
        <v>0</v>
      </c>
      <c r="I4541" t="n">
        <v>0</v>
      </c>
      <c r="J4541" t="n">
        <v>0</v>
      </c>
      <c r="K4541" t="n">
        <v>0</v>
      </c>
      <c r="L4541" t="n">
        <v>0</v>
      </c>
      <c r="M4541" t="n">
        <v>0</v>
      </c>
      <c r="N4541" t="n">
        <v>0</v>
      </c>
      <c r="O4541" t="n">
        <v>0</v>
      </c>
      <c r="P4541" t="n">
        <v>0</v>
      </c>
      <c r="Q4541" t="n">
        <v>0</v>
      </c>
      <c r="R4541" s="2" t="inlineStr"/>
    </row>
    <row r="4542" ht="15" customHeight="1">
      <c r="A4542" t="inlineStr">
        <is>
          <t>A 51521-2023</t>
        </is>
      </c>
      <c r="B4542" s="1" t="n">
        <v>45215</v>
      </c>
      <c r="C4542" s="1" t="n">
        <v>45705</v>
      </c>
      <c r="D4542" t="inlineStr">
        <is>
          <t>UPPSALA LÄN</t>
        </is>
      </c>
      <c r="E4542" t="inlineStr">
        <is>
          <t>HEBY</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51843-2023</t>
        </is>
      </c>
      <c r="B4543" s="1" t="n">
        <v>45215</v>
      </c>
      <c r="C4543" s="1" t="n">
        <v>45705</v>
      </c>
      <c r="D4543" t="inlineStr">
        <is>
          <t>UPPSALA LÄN</t>
        </is>
      </c>
      <c r="E4543" t="inlineStr">
        <is>
          <t>UPPSALA</t>
        </is>
      </c>
      <c r="G4543" t="n">
        <v>5.6</v>
      </c>
      <c r="H4543" t="n">
        <v>0</v>
      </c>
      <c r="I4543" t="n">
        <v>0</v>
      </c>
      <c r="J4543" t="n">
        <v>0</v>
      </c>
      <c r="K4543" t="n">
        <v>0</v>
      </c>
      <c r="L4543" t="n">
        <v>0</v>
      </c>
      <c r="M4543" t="n">
        <v>0</v>
      </c>
      <c r="N4543" t="n">
        <v>0</v>
      </c>
      <c r="O4543" t="n">
        <v>0</v>
      </c>
      <c r="P4543" t="n">
        <v>0</v>
      </c>
      <c r="Q4543" t="n">
        <v>0</v>
      </c>
      <c r="R4543" s="2" t="inlineStr"/>
    </row>
    <row r="4544" ht="15" customHeight="1">
      <c r="A4544" t="inlineStr">
        <is>
          <t>A 50267-2023</t>
        </is>
      </c>
      <c r="B4544" s="1" t="n">
        <v>45216</v>
      </c>
      <c r="C4544" s="1" t="n">
        <v>45705</v>
      </c>
      <c r="D4544" t="inlineStr">
        <is>
          <t>UPPSALA LÄN</t>
        </is>
      </c>
      <c r="E4544" t="inlineStr">
        <is>
          <t>UPPSALA</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50281-2023</t>
        </is>
      </c>
      <c r="B4545" s="1" t="n">
        <v>45216</v>
      </c>
      <c r="C4545" s="1" t="n">
        <v>45705</v>
      </c>
      <c r="D4545" t="inlineStr">
        <is>
          <t>UPPSALA LÄN</t>
        </is>
      </c>
      <c r="E4545" t="inlineStr">
        <is>
          <t>HEBY</t>
        </is>
      </c>
      <c r="G4545" t="n">
        <v>10.9</v>
      </c>
      <c r="H4545" t="n">
        <v>0</v>
      </c>
      <c r="I4545" t="n">
        <v>0</v>
      </c>
      <c r="J4545" t="n">
        <v>0</v>
      </c>
      <c r="K4545" t="n">
        <v>0</v>
      </c>
      <c r="L4545" t="n">
        <v>0</v>
      </c>
      <c r="M4545" t="n">
        <v>0</v>
      </c>
      <c r="N4545" t="n">
        <v>0</v>
      </c>
      <c r="O4545" t="n">
        <v>0</v>
      </c>
      <c r="P4545" t="n">
        <v>0</v>
      </c>
      <c r="Q4545" t="n">
        <v>0</v>
      </c>
      <c r="R4545" s="2" t="inlineStr"/>
    </row>
    <row r="4546" ht="15" customHeight="1">
      <c r="A4546" t="inlineStr">
        <is>
          <t>A 50442-2023</t>
        </is>
      </c>
      <c r="B4546" s="1" t="n">
        <v>45216</v>
      </c>
      <c r="C4546" s="1" t="n">
        <v>45705</v>
      </c>
      <c r="D4546" t="inlineStr">
        <is>
          <t>UPPSALA LÄN</t>
        </is>
      </c>
      <c r="E4546" t="inlineStr">
        <is>
          <t>HEBY</t>
        </is>
      </c>
      <c r="F4546" t="inlineStr">
        <is>
          <t>Kyrkan</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50473-2023</t>
        </is>
      </c>
      <c r="B4547" s="1" t="n">
        <v>45216</v>
      </c>
      <c r="C4547" s="1" t="n">
        <v>45705</v>
      </c>
      <c r="D4547" t="inlineStr">
        <is>
          <t>UPPSALA LÄN</t>
        </is>
      </c>
      <c r="E4547" t="inlineStr">
        <is>
          <t>UPPSALA</t>
        </is>
      </c>
      <c r="F4547" t="inlineStr">
        <is>
          <t>Allmännings- och besparingsskogar</t>
        </is>
      </c>
      <c r="G4547" t="n">
        <v>7.6</v>
      </c>
      <c r="H4547" t="n">
        <v>0</v>
      </c>
      <c r="I4547" t="n">
        <v>0</v>
      </c>
      <c r="J4547" t="n">
        <v>0</v>
      </c>
      <c r="K4547" t="n">
        <v>0</v>
      </c>
      <c r="L4547" t="n">
        <v>0</v>
      </c>
      <c r="M4547" t="n">
        <v>0</v>
      </c>
      <c r="N4547" t="n">
        <v>0</v>
      </c>
      <c r="O4547" t="n">
        <v>0</v>
      </c>
      <c r="P4547" t="n">
        <v>0</v>
      </c>
      <c r="Q4547" t="n">
        <v>0</v>
      </c>
      <c r="R4547" s="2" t="inlineStr"/>
    </row>
    <row r="4548" ht="15" customHeight="1">
      <c r="A4548" t="inlineStr">
        <is>
          <t>A 50419-2023</t>
        </is>
      </c>
      <c r="B4548" s="1" t="n">
        <v>45216</v>
      </c>
      <c r="C4548" s="1" t="n">
        <v>45705</v>
      </c>
      <c r="D4548" t="inlineStr">
        <is>
          <t>UPPSALA LÄN</t>
        </is>
      </c>
      <c r="E4548" t="inlineStr">
        <is>
          <t>ENKÖPING</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50395-2023</t>
        </is>
      </c>
      <c r="B4549" s="1" t="n">
        <v>45216</v>
      </c>
      <c r="C4549" s="1" t="n">
        <v>45705</v>
      </c>
      <c r="D4549" t="inlineStr">
        <is>
          <t>UPPSALA LÄN</t>
        </is>
      </c>
      <c r="E4549" t="inlineStr">
        <is>
          <t>UPPSALA</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50644-2023</t>
        </is>
      </c>
      <c r="B4550" s="1" t="n">
        <v>45217</v>
      </c>
      <c r="C4550" s="1" t="n">
        <v>45705</v>
      </c>
      <c r="D4550" t="inlineStr">
        <is>
          <t>UPPSALA LÄN</t>
        </is>
      </c>
      <c r="E4550" t="inlineStr">
        <is>
          <t>TIERP</t>
        </is>
      </c>
      <c r="F4550" t="inlineStr">
        <is>
          <t>Bergvik skog väst AB</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50683-2023</t>
        </is>
      </c>
      <c r="B4551" s="1" t="n">
        <v>45217</v>
      </c>
      <c r="C4551" s="1" t="n">
        <v>45705</v>
      </c>
      <c r="D4551" t="inlineStr">
        <is>
          <t>UPPSALA LÄN</t>
        </is>
      </c>
      <c r="E4551" t="inlineStr">
        <is>
          <t>TIERP</t>
        </is>
      </c>
      <c r="F4551" t="inlineStr">
        <is>
          <t>Övriga Aktiebolag</t>
        </is>
      </c>
      <c r="G4551" t="n">
        <v>28.8</v>
      </c>
      <c r="H4551" t="n">
        <v>0</v>
      </c>
      <c r="I4551" t="n">
        <v>0</v>
      </c>
      <c r="J4551" t="n">
        <v>0</v>
      </c>
      <c r="K4551" t="n">
        <v>0</v>
      </c>
      <c r="L4551" t="n">
        <v>0</v>
      </c>
      <c r="M4551" t="n">
        <v>0</v>
      </c>
      <c r="N4551" t="n">
        <v>0</v>
      </c>
      <c r="O4551" t="n">
        <v>0</v>
      </c>
      <c r="P4551" t="n">
        <v>0</v>
      </c>
      <c r="Q4551" t="n">
        <v>0</v>
      </c>
      <c r="R4551" s="2" t="inlineStr"/>
    </row>
    <row r="4552" ht="15" customHeight="1">
      <c r="A4552" t="inlineStr">
        <is>
          <t>A 50574-2023</t>
        </is>
      </c>
      <c r="B4552" s="1" t="n">
        <v>45217</v>
      </c>
      <c r="C4552" s="1" t="n">
        <v>45705</v>
      </c>
      <c r="D4552" t="inlineStr">
        <is>
          <t>UPPSALA LÄN</t>
        </is>
      </c>
      <c r="E4552" t="inlineStr">
        <is>
          <t>TIERP</t>
        </is>
      </c>
      <c r="G4552" t="n">
        <v>5</v>
      </c>
      <c r="H4552" t="n">
        <v>0</v>
      </c>
      <c r="I4552" t="n">
        <v>0</v>
      </c>
      <c r="J4552" t="n">
        <v>0</v>
      </c>
      <c r="K4552" t="n">
        <v>0</v>
      </c>
      <c r="L4552" t="n">
        <v>0</v>
      </c>
      <c r="M4552" t="n">
        <v>0</v>
      </c>
      <c r="N4552" t="n">
        <v>0</v>
      </c>
      <c r="O4552" t="n">
        <v>0</v>
      </c>
      <c r="P4552" t="n">
        <v>0</v>
      </c>
      <c r="Q4552" t="n">
        <v>0</v>
      </c>
      <c r="R4552" s="2" t="inlineStr"/>
    </row>
    <row r="4553" ht="15" customHeight="1">
      <c r="A4553" t="inlineStr">
        <is>
          <t>A 50656-2023</t>
        </is>
      </c>
      <c r="B4553" s="1" t="n">
        <v>45217</v>
      </c>
      <c r="C4553" s="1" t="n">
        <v>45705</v>
      </c>
      <c r="D4553" t="inlineStr">
        <is>
          <t>UPPSALA LÄN</t>
        </is>
      </c>
      <c r="E4553" t="inlineStr">
        <is>
          <t>TIERP</t>
        </is>
      </c>
      <c r="F4553" t="inlineStr">
        <is>
          <t>Bergvik skog väst AB</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50998-2023</t>
        </is>
      </c>
      <c r="B4554" s="1" t="n">
        <v>45218</v>
      </c>
      <c r="C4554" s="1" t="n">
        <v>45705</v>
      </c>
      <c r="D4554" t="inlineStr">
        <is>
          <t>UPPSALA LÄN</t>
        </is>
      </c>
      <c r="E4554" t="inlineStr">
        <is>
          <t>ÖSTHAMMAR</t>
        </is>
      </c>
      <c r="G4554" t="n">
        <v>3.6</v>
      </c>
      <c r="H4554" t="n">
        <v>0</v>
      </c>
      <c r="I4554" t="n">
        <v>0</v>
      </c>
      <c r="J4554" t="n">
        <v>0</v>
      </c>
      <c r="K4554" t="n">
        <v>0</v>
      </c>
      <c r="L4554" t="n">
        <v>0</v>
      </c>
      <c r="M4554" t="n">
        <v>0</v>
      </c>
      <c r="N4554" t="n">
        <v>0</v>
      </c>
      <c r="O4554" t="n">
        <v>0</v>
      </c>
      <c r="P4554" t="n">
        <v>0</v>
      </c>
      <c r="Q4554" t="n">
        <v>0</v>
      </c>
      <c r="R4554" s="2" t="inlineStr"/>
    </row>
    <row r="4555" ht="15" customHeight="1">
      <c r="A4555" t="inlineStr">
        <is>
          <t>A 51016-2023</t>
        </is>
      </c>
      <c r="B4555" s="1" t="n">
        <v>45218</v>
      </c>
      <c r="C4555" s="1" t="n">
        <v>45705</v>
      </c>
      <c r="D4555" t="inlineStr">
        <is>
          <t>UPPSALA LÄN</t>
        </is>
      </c>
      <c r="E4555" t="inlineStr">
        <is>
          <t>UPPSALA</t>
        </is>
      </c>
      <c r="G4555" t="n">
        <v>3.3</v>
      </c>
      <c r="H4555" t="n">
        <v>0</v>
      </c>
      <c r="I4555" t="n">
        <v>0</v>
      </c>
      <c r="J4555" t="n">
        <v>0</v>
      </c>
      <c r="K4555" t="n">
        <v>0</v>
      </c>
      <c r="L4555" t="n">
        <v>0</v>
      </c>
      <c r="M4555" t="n">
        <v>0</v>
      </c>
      <c r="N4555" t="n">
        <v>0</v>
      </c>
      <c r="O4555" t="n">
        <v>0</v>
      </c>
      <c r="P4555" t="n">
        <v>0</v>
      </c>
      <c r="Q4555" t="n">
        <v>0</v>
      </c>
      <c r="R4555" s="2" t="inlineStr"/>
    </row>
    <row r="4556" ht="15" customHeight="1">
      <c r="A4556" t="inlineStr">
        <is>
          <t>A 51091-2023</t>
        </is>
      </c>
      <c r="B4556" s="1" t="n">
        <v>45218</v>
      </c>
      <c r="C4556" s="1" t="n">
        <v>45705</v>
      </c>
      <c r="D4556" t="inlineStr">
        <is>
          <t>UPPSALA LÄN</t>
        </is>
      </c>
      <c r="E4556" t="inlineStr">
        <is>
          <t>HEBY</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51082-2023</t>
        </is>
      </c>
      <c r="B4557" s="1" t="n">
        <v>45218</v>
      </c>
      <c r="C4557" s="1" t="n">
        <v>45705</v>
      </c>
      <c r="D4557" t="inlineStr">
        <is>
          <t>UPPSALA LÄN</t>
        </is>
      </c>
      <c r="E4557" t="inlineStr">
        <is>
          <t>HEBY</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51080-2023</t>
        </is>
      </c>
      <c r="B4558" s="1" t="n">
        <v>45218</v>
      </c>
      <c r="C4558" s="1" t="n">
        <v>45705</v>
      </c>
      <c r="D4558" t="inlineStr">
        <is>
          <t>UPPSALA LÄN</t>
        </is>
      </c>
      <c r="E4558" t="inlineStr">
        <is>
          <t>HEBY</t>
        </is>
      </c>
      <c r="G4558" t="n">
        <v>5.1</v>
      </c>
      <c r="H4558" t="n">
        <v>0</v>
      </c>
      <c r="I4558" t="n">
        <v>0</v>
      </c>
      <c r="J4558" t="n">
        <v>0</v>
      </c>
      <c r="K4558" t="n">
        <v>0</v>
      </c>
      <c r="L4558" t="n">
        <v>0</v>
      </c>
      <c r="M4558" t="n">
        <v>0</v>
      </c>
      <c r="N4558" t="n">
        <v>0</v>
      </c>
      <c r="O4558" t="n">
        <v>0</v>
      </c>
      <c r="P4558" t="n">
        <v>0</v>
      </c>
      <c r="Q4558" t="n">
        <v>0</v>
      </c>
      <c r="R4558" s="2" t="inlineStr"/>
    </row>
    <row r="4559" ht="15" customHeight="1">
      <c r="A4559" t="inlineStr">
        <is>
          <t>A 51006-2023</t>
        </is>
      </c>
      <c r="B4559" s="1" t="n">
        <v>45218</v>
      </c>
      <c r="C4559" s="1" t="n">
        <v>45705</v>
      </c>
      <c r="D4559" t="inlineStr">
        <is>
          <t>UPPSALA LÄN</t>
        </is>
      </c>
      <c r="E4559" t="inlineStr">
        <is>
          <t>UPPSALA</t>
        </is>
      </c>
      <c r="G4559" t="n">
        <v>7.5</v>
      </c>
      <c r="H4559" t="n">
        <v>0</v>
      </c>
      <c r="I4559" t="n">
        <v>0</v>
      </c>
      <c r="J4559" t="n">
        <v>0</v>
      </c>
      <c r="K4559" t="n">
        <v>0</v>
      </c>
      <c r="L4559" t="n">
        <v>0</v>
      </c>
      <c r="M4559" t="n">
        <v>0</v>
      </c>
      <c r="N4559" t="n">
        <v>0</v>
      </c>
      <c r="O4559" t="n">
        <v>0</v>
      </c>
      <c r="P4559" t="n">
        <v>0</v>
      </c>
      <c r="Q4559" t="n">
        <v>0</v>
      </c>
      <c r="R4559" s="2" t="inlineStr"/>
    </row>
    <row r="4560" ht="15" customHeight="1">
      <c r="A4560" t="inlineStr">
        <is>
          <t>A 51030-2023</t>
        </is>
      </c>
      <c r="B4560" s="1" t="n">
        <v>45218</v>
      </c>
      <c r="C4560" s="1" t="n">
        <v>45705</v>
      </c>
      <c r="D4560" t="inlineStr">
        <is>
          <t>UPPSALA LÄN</t>
        </is>
      </c>
      <c r="E4560" t="inlineStr">
        <is>
          <t>TIERP</t>
        </is>
      </c>
      <c r="F4560" t="inlineStr">
        <is>
          <t>Bergvik skog öst AB</t>
        </is>
      </c>
      <c r="G4560" t="n">
        <v>4.7</v>
      </c>
      <c r="H4560" t="n">
        <v>0</v>
      </c>
      <c r="I4560" t="n">
        <v>0</v>
      </c>
      <c r="J4560" t="n">
        <v>0</v>
      </c>
      <c r="K4560" t="n">
        <v>0</v>
      </c>
      <c r="L4560" t="n">
        <v>0</v>
      </c>
      <c r="M4560" t="n">
        <v>0</v>
      </c>
      <c r="N4560" t="n">
        <v>0</v>
      </c>
      <c r="O4560" t="n">
        <v>0</v>
      </c>
      <c r="P4560" t="n">
        <v>0</v>
      </c>
      <c r="Q4560" t="n">
        <v>0</v>
      </c>
      <c r="R4560" s="2" t="inlineStr"/>
    </row>
    <row r="4561" ht="15" customHeight="1">
      <c r="A4561" t="inlineStr">
        <is>
          <t>A 51085-2023</t>
        </is>
      </c>
      <c r="B4561" s="1" t="n">
        <v>45218</v>
      </c>
      <c r="C4561" s="1" t="n">
        <v>45705</v>
      </c>
      <c r="D4561" t="inlineStr">
        <is>
          <t>UPPSALA LÄN</t>
        </is>
      </c>
      <c r="E4561" t="inlineStr">
        <is>
          <t>HEBY</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51120-2023</t>
        </is>
      </c>
      <c r="B4562" s="1" t="n">
        <v>45219</v>
      </c>
      <c r="C4562" s="1" t="n">
        <v>45705</v>
      </c>
      <c r="D4562" t="inlineStr">
        <is>
          <t>UPPSALA LÄN</t>
        </is>
      </c>
      <c r="E4562" t="inlineStr">
        <is>
          <t>ENKÖPING</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51354-2023</t>
        </is>
      </c>
      <c r="B4563" s="1" t="n">
        <v>45219</v>
      </c>
      <c r="C4563" s="1" t="n">
        <v>45705</v>
      </c>
      <c r="D4563" t="inlineStr">
        <is>
          <t>UPPSALA LÄN</t>
        </is>
      </c>
      <c r="E4563" t="inlineStr">
        <is>
          <t>HEBY</t>
        </is>
      </c>
      <c r="F4563" t="inlineStr">
        <is>
          <t>Bergvik skog väst AB</t>
        </is>
      </c>
      <c r="G4563" t="n">
        <v>11.3</v>
      </c>
      <c r="H4563" t="n">
        <v>0</v>
      </c>
      <c r="I4563" t="n">
        <v>0</v>
      </c>
      <c r="J4563" t="n">
        <v>0</v>
      </c>
      <c r="K4563" t="n">
        <v>0</v>
      </c>
      <c r="L4563" t="n">
        <v>0</v>
      </c>
      <c r="M4563" t="n">
        <v>0</v>
      </c>
      <c r="N4563" t="n">
        <v>0</v>
      </c>
      <c r="O4563" t="n">
        <v>0</v>
      </c>
      <c r="P4563" t="n">
        <v>0</v>
      </c>
      <c r="Q4563" t="n">
        <v>0</v>
      </c>
      <c r="R4563" s="2" t="inlineStr"/>
    </row>
    <row r="4564" ht="15" customHeight="1">
      <c r="A4564" t="inlineStr">
        <is>
          <t>A 51361-2023</t>
        </is>
      </c>
      <c r="B4564" s="1" t="n">
        <v>45219</v>
      </c>
      <c r="C4564" s="1" t="n">
        <v>45705</v>
      </c>
      <c r="D4564" t="inlineStr">
        <is>
          <t>UPPSALA LÄN</t>
        </is>
      </c>
      <c r="E4564" t="inlineStr">
        <is>
          <t>TIERP</t>
        </is>
      </c>
      <c r="F4564" t="inlineStr">
        <is>
          <t>Bergvik skog väst AB</t>
        </is>
      </c>
      <c r="G4564" t="n">
        <v>8.300000000000001</v>
      </c>
      <c r="H4564" t="n">
        <v>0</v>
      </c>
      <c r="I4564" t="n">
        <v>0</v>
      </c>
      <c r="J4564" t="n">
        <v>0</v>
      </c>
      <c r="K4564" t="n">
        <v>0</v>
      </c>
      <c r="L4564" t="n">
        <v>0</v>
      </c>
      <c r="M4564" t="n">
        <v>0</v>
      </c>
      <c r="N4564" t="n">
        <v>0</v>
      </c>
      <c r="O4564" t="n">
        <v>0</v>
      </c>
      <c r="P4564" t="n">
        <v>0</v>
      </c>
      <c r="Q4564" t="n">
        <v>0</v>
      </c>
      <c r="R4564" s="2" t="inlineStr"/>
    </row>
    <row r="4565" ht="15" customHeight="1">
      <c r="A4565" t="inlineStr">
        <is>
          <t>A 51313-2023</t>
        </is>
      </c>
      <c r="B4565" s="1" t="n">
        <v>45219</v>
      </c>
      <c r="C4565" s="1" t="n">
        <v>45705</v>
      </c>
      <c r="D4565" t="inlineStr">
        <is>
          <t>UPPSALA LÄN</t>
        </is>
      </c>
      <c r="E4565" t="inlineStr">
        <is>
          <t>ENKÖPING</t>
        </is>
      </c>
      <c r="F4565" t="inlineStr">
        <is>
          <t>Allmännings- och besparingsskogar</t>
        </is>
      </c>
      <c r="G4565" t="n">
        <v>7.7</v>
      </c>
      <c r="H4565" t="n">
        <v>0</v>
      </c>
      <c r="I4565" t="n">
        <v>0</v>
      </c>
      <c r="J4565" t="n">
        <v>0</v>
      </c>
      <c r="K4565" t="n">
        <v>0</v>
      </c>
      <c r="L4565" t="n">
        <v>0</v>
      </c>
      <c r="M4565" t="n">
        <v>0</v>
      </c>
      <c r="N4565" t="n">
        <v>0</v>
      </c>
      <c r="O4565" t="n">
        <v>0</v>
      </c>
      <c r="P4565" t="n">
        <v>0</v>
      </c>
      <c r="Q4565" t="n">
        <v>0</v>
      </c>
      <c r="R4565" s="2" t="inlineStr"/>
    </row>
    <row r="4566" ht="15" customHeight="1">
      <c r="A4566" t="inlineStr">
        <is>
          <t>A 51364-2023</t>
        </is>
      </c>
      <c r="B4566" s="1" t="n">
        <v>45219</v>
      </c>
      <c r="C4566" s="1" t="n">
        <v>45705</v>
      </c>
      <c r="D4566" t="inlineStr">
        <is>
          <t>UPPSALA LÄN</t>
        </is>
      </c>
      <c r="E4566" t="inlineStr">
        <is>
          <t>TIERP</t>
        </is>
      </c>
      <c r="F4566" t="inlineStr">
        <is>
          <t>Bergvik skog väst AB</t>
        </is>
      </c>
      <c r="G4566" t="n">
        <v>9.699999999999999</v>
      </c>
      <c r="H4566" t="n">
        <v>0</v>
      </c>
      <c r="I4566" t="n">
        <v>0</v>
      </c>
      <c r="J4566" t="n">
        <v>0</v>
      </c>
      <c r="K4566" t="n">
        <v>0</v>
      </c>
      <c r="L4566" t="n">
        <v>0</v>
      </c>
      <c r="M4566" t="n">
        <v>0</v>
      </c>
      <c r="N4566" t="n">
        <v>0</v>
      </c>
      <c r="O4566" t="n">
        <v>0</v>
      </c>
      <c r="P4566" t="n">
        <v>0</v>
      </c>
      <c r="Q4566" t="n">
        <v>0</v>
      </c>
      <c r="R4566" s="2" t="inlineStr"/>
    </row>
    <row r="4567" ht="15" customHeight="1">
      <c r="A4567" t="inlineStr">
        <is>
          <t>A 51542-2023</t>
        </is>
      </c>
      <c r="B4567" s="1" t="n">
        <v>45222</v>
      </c>
      <c r="C4567" s="1" t="n">
        <v>45705</v>
      </c>
      <c r="D4567" t="inlineStr">
        <is>
          <t>UPPSALA LÄN</t>
        </is>
      </c>
      <c r="E4567" t="inlineStr">
        <is>
          <t>UPPSALA</t>
        </is>
      </c>
      <c r="G4567" t="n">
        <v>4.9</v>
      </c>
      <c r="H4567" t="n">
        <v>0</v>
      </c>
      <c r="I4567" t="n">
        <v>0</v>
      </c>
      <c r="J4567" t="n">
        <v>0</v>
      </c>
      <c r="K4567" t="n">
        <v>0</v>
      </c>
      <c r="L4567" t="n">
        <v>0</v>
      </c>
      <c r="M4567" t="n">
        <v>0</v>
      </c>
      <c r="N4567" t="n">
        <v>0</v>
      </c>
      <c r="O4567" t="n">
        <v>0</v>
      </c>
      <c r="P4567" t="n">
        <v>0</v>
      </c>
      <c r="Q4567" t="n">
        <v>0</v>
      </c>
      <c r="R4567" s="2" t="inlineStr"/>
    </row>
    <row r="4568" ht="15" customHeight="1">
      <c r="A4568" t="inlineStr">
        <is>
          <t>A 51622-2023</t>
        </is>
      </c>
      <c r="B4568" s="1" t="n">
        <v>45222</v>
      </c>
      <c r="C4568" s="1" t="n">
        <v>45705</v>
      </c>
      <c r="D4568" t="inlineStr">
        <is>
          <t>UPPSALA LÄN</t>
        </is>
      </c>
      <c r="E4568" t="inlineStr">
        <is>
          <t>KNIVSTA</t>
        </is>
      </c>
      <c r="G4568" t="n">
        <v>5.6</v>
      </c>
      <c r="H4568" t="n">
        <v>0</v>
      </c>
      <c r="I4568" t="n">
        <v>0</v>
      </c>
      <c r="J4568" t="n">
        <v>0</v>
      </c>
      <c r="K4568" t="n">
        <v>0</v>
      </c>
      <c r="L4568" t="n">
        <v>0</v>
      </c>
      <c r="M4568" t="n">
        <v>0</v>
      </c>
      <c r="N4568" t="n">
        <v>0</v>
      </c>
      <c r="O4568" t="n">
        <v>0</v>
      </c>
      <c r="P4568" t="n">
        <v>0</v>
      </c>
      <c r="Q4568" t="n">
        <v>0</v>
      </c>
      <c r="R4568" s="2" t="inlineStr"/>
    </row>
    <row r="4569" ht="15" customHeight="1">
      <c r="A4569" t="inlineStr">
        <is>
          <t>A 51688-2023</t>
        </is>
      </c>
      <c r="B4569" s="1" t="n">
        <v>45222</v>
      </c>
      <c r="C4569" s="1" t="n">
        <v>45705</v>
      </c>
      <c r="D4569" t="inlineStr">
        <is>
          <t>UPPSALA LÄN</t>
        </is>
      </c>
      <c r="E4569" t="inlineStr">
        <is>
          <t>ENKÖPING</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51707-2023</t>
        </is>
      </c>
      <c r="B4570" s="1" t="n">
        <v>45222</v>
      </c>
      <c r="C4570" s="1" t="n">
        <v>45705</v>
      </c>
      <c r="D4570" t="inlineStr">
        <is>
          <t>UPPSALA LÄN</t>
        </is>
      </c>
      <c r="E4570" t="inlineStr">
        <is>
          <t>TIERP</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51716-2023</t>
        </is>
      </c>
      <c r="B4571" s="1" t="n">
        <v>45222</v>
      </c>
      <c r="C4571" s="1" t="n">
        <v>45705</v>
      </c>
      <c r="D4571" t="inlineStr">
        <is>
          <t>UPPSALA LÄN</t>
        </is>
      </c>
      <c r="E4571" t="inlineStr">
        <is>
          <t>TIERP</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51734-2023</t>
        </is>
      </c>
      <c r="B4572" s="1" t="n">
        <v>45222</v>
      </c>
      <c r="C4572" s="1" t="n">
        <v>45705</v>
      </c>
      <c r="D4572" t="inlineStr">
        <is>
          <t>UPPSALA LÄN</t>
        </is>
      </c>
      <c r="E4572" t="inlineStr">
        <is>
          <t>UPPSALA</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51755-2023</t>
        </is>
      </c>
      <c r="B4573" s="1" t="n">
        <v>45222</v>
      </c>
      <c r="C4573" s="1" t="n">
        <v>45705</v>
      </c>
      <c r="D4573" t="inlineStr">
        <is>
          <t>UPPSALA LÄN</t>
        </is>
      </c>
      <c r="E4573" t="inlineStr">
        <is>
          <t>TIERP</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51767-2023</t>
        </is>
      </c>
      <c r="B4574" s="1" t="n">
        <v>45222</v>
      </c>
      <c r="C4574" s="1" t="n">
        <v>45705</v>
      </c>
      <c r="D4574" t="inlineStr">
        <is>
          <t>UPPSALA LÄN</t>
        </is>
      </c>
      <c r="E4574" t="inlineStr">
        <is>
          <t>TIERP</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51731-2023</t>
        </is>
      </c>
      <c r="B4575" s="1" t="n">
        <v>45222</v>
      </c>
      <c r="C4575" s="1" t="n">
        <v>45705</v>
      </c>
      <c r="D4575" t="inlineStr">
        <is>
          <t>UPPSALA LÄN</t>
        </is>
      </c>
      <c r="E4575" t="inlineStr">
        <is>
          <t>UPPSALA</t>
        </is>
      </c>
      <c r="G4575" t="n">
        <v>4.5</v>
      </c>
      <c r="H4575" t="n">
        <v>0</v>
      </c>
      <c r="I4575" t="n">
        <v>0</v>
      </c>
      <c r="J4575" t="n">
        <v>0</v>
      </c>
      <c r="K4575" t="n">
        <v>0</v>
      </c>
      <c r="L4575" t="n">
        <v>0</v>
      </c>
      <c r="M4575" t="n">
        <v>0</v>
      </c>
      <c r="N4575" t="n">
        <v>0</v>
      </c>
      <c r="O4575" t="n">
        <v>0</v>
      </c>
      <c r="P4575" t="n">
        <v>0</v>
      </c>
      <c r="Q4575" t="n">
        <v>0</v>
      </c>
      <c r="R4575" s="2" t="inlineStr"/>
    </row>
    <row r="4576" ht="15" customHeight="1">
      <c r="A4576" t="inlineStr">
        <is>
          <t>A 51756-2023</t>
        </is>
      </c>
      <c r="B4576" s="1" t="n">
        <v>45222</v>
      </c>
      <c r="C4576" s="1" t="n">
        <v>45705</v>
      </c>
      <c r="D4576" t="inlineStr">
        <is>
          <t>UPPSALA LÄN</t>
        </is>
      </c>
      <c r="E4576" t="inlineStr">
        <is>
          <t>TIERP</t>
        </is>
      </c>
      <c r="G4576" t="n">
        <v>0.3</v>
      </c>
      <c r="H4576" t="n">
        <v>0</v>
      </c>
      <c r="I4576" t="n">
        <v>0</v>
      </c>
      <c r="J4576" t="n">
        <v>0</v>
      </c>
      <c r="K4576" t="n">
        <v>0</v>
      </c>
      <c r="L4576" t="n">
        <v>0</v>
      </c>
      <c r="M4576" t="n">
        <v>0</v>
      </c>
      <c r="N4576" t="n">
        <v>0</v>
      </c>
      <c r="O4576" t="n">
        <v>0</v>
      </c>
      <c r="P4576" t="n">
        <v>0</v>
      </c>
      <c r="Q4576" t="n">
        <v>0</v>
      </c>
      <c r="R4576" s="2" t="inlineStr"/>
    </row>
    <row r="4577" ht="15" customHeight="1">
      <c r="A4577" t="inlineStr">
        <is>
          <t>A 51633-2023</t>
        </is>
      </c>
      <c r="B4577" s="1" t="n">
        <v>45222</v>
      </c>
      <c r="C4577" s="1" t="n">
        <v>45705</v>
      </c>
      <c r="D4577" t="inlineStr">
        <is>
          <t>UPPSALA LÄN</t>
        </is>
      </c>
      <c r="E4577" t="inlineStr">
        <is>
          <t>KNIVSTA</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51741-2023</t>
        </is>
      </c>
      <c r="B4578" s="1" t="n">
        <v>45222</v>
      </c>
      <c r="C4578" s="1" t="n">
        <v>45705</v>
      </c>
      <c r="D4578" t="inlineStr">
        <is>
          <t>UPPSALA LÄN</t>
        </is>
      </c>
      <c r="E4578" t="inlineStr">
        <is>
          <t>TIERP</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51769-2023</t>
        </is>
      </c>
      <c r="B4579" s="1" t="n">
        <v>45222</v>
      </c>
      <c r="C4579" s="1" t="n">
        <v>45705</v>
      </c>
      <c r="D4579" t="inlineStr">
        <is>
          <t>UPPSALA LÄN</t>
        </is>
      </c>
      <c r="E4579" t="inlineStr">
        <is>
          <t>TIERP</t>
        </is>
      </c>
      <c r="G4579" t="n">
        <v>7.3</v>
      </c>
      <c r="H4579" t="n">
        <v>0</v>
      </c>
      <c r="I4579" t="n">
        <v>0</v>
      </c>
      <c r="J4579" t="n">
        <v>0</v>
      </c>
      <c r="K4579" t="n">
        <v>0</v>
      </c>
      <c r="L4579" t="n">
        <v>0</v>
      </c>
      <c r="M4579" t="n">
        <v>0</v>
      </c>
      <c r="N4579" t="n">
        <v>0</v>
      </c>
      <c r="O4579" t="n">
        <v>0</v>
      </c>
      <c r="P4579" t="n">
        <v>0</v>
      </c>
      <c r="Q4579" t="n">
        <v>0</v>
      </c>
      <c r="R4579" s="2" t="inlineStr"/>
    </row>
    <row r="4580" ht="15" customHeight="1">
      <c r="A4580" t="inlineStr">
        <is>
          <t>A 51576-2023</t>
        </is>
      </c>
      <c r="B4580" s="1" t="n">
        <v>45222</v>
      </c>
      <c r="C4580" s="1" t="n">
        <v>45705</v>
      </c>
      <c r="D4580" t="inlineStr">
        <is>
          <t>UPPSALA LÄN</t>
        </is>
      </c>
      <c r="E4580" t="inlineStr">
        <is>
          <t>UPPSALA</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51697-2023</t>
        </is>
      </c>
      <c r="B4581" s="1" t="n">
        <v>45222</v>
      </c>
      <c r="C4581" s="1" t="n">
        <v>45705</v>
      </c>
      <c r="D4581" t="inlineStr">
        <is>
          <t>UPPSALA LÄN</t>
        </is>
      </c>
      <c r="E4581" t="inlineStr">
        <is>
          <t>UPPSALA</t>
        </is>
      </c>
      <c r="G4581" t="n">
        <v>6.5</v>
      </c>
      <c r="H4581" t="n">
        <v>0</v>
      </c>
      <c r="I4581" t="n">
        <v>0</v>
      </c>
      <c r="J4581" t="n">
        <v>0</v>
      </c>
      <c r="K4581" t="n">
        <v>0</v>
      </c>
      <c r="L4581" t="n">
        <v>0</v>
      </c>
      <c r="M4581" t="n">
        <v>0</v>
      </c>
      <c r="N4581" t="n">
        <v>0</v>
      </c>
      <c r="O4581" t="n">
        <v>0</v>
      </c>
      <c r="P4581" t="n">
        <v>0</v>
      </c>
      <c r="Q4581" t="n">
        <v>0</v>
      </c>
      <c r="R4581" s="2" t="inlineStr"/>
    </row>
    <row r="4582" ht="15" customHeight="1">
      <c r="A4582" t="inlineStr">
        <is>
          <t>A 51706-2023</t>
        </is>
      </c>
      <c r="B4582" s="1" t="n">
        <v>45222</v>
      </c>
      <c r="C4582" s="1" t="n">
        <v>45705</v>
      </c>
      <c r="D4582" t="inlineStr">
        <is>
          <t>UPPSALA LÄN</t>
        </is>
      </c>
      <c r="E4582" t="inlineStr">
        <is>
          <t>TIERP</t>
        </is>
      </c>
      <c r="F4582" t="inlineStr">
        <is>
          <t>Bergvik skog öst AB</t>
        </is>
      </c>
      <c r="G4582" t="n">
        <v>20.4</v>
      </c>
      <c r="H4582" t="n">
        <v>0</v>
      </c>
      <c r="I4582" t="n">
        <v>0</v>
      </c>
      <c r="J4582" t="n">
        <v>0</v>
      </c>
      <c r="K4582" t="n">
        <v>0</v>
      </c>
      <c r="L4582" t="n">
        <v>0</v>
      </c>
      <c r="M4582" t="n">
        <v>0</v>
      </c>
      <c r="N4582" t="n">
        <v>0</v>
      </c>
      <c r="O4582" t="n">
        <v>0</v>
      </c>
      <c r="P4582" t="n">
        <v>0</v>
      </c>
      <c r="Q4582" t="n">
        <v>0</v>
      </c>
      <c r="R4582" s="2" t="inlineStr"/>
    </row>
    <row r="4583" ht="15" customHeight="1">
      <c r="A4583" t="inlineStr">
        <is>
          <t>A 51738-2023</t>
        </is>
      </c>
      <c r="B4583" s="1" t="n">
        <v>45222</v>
      </c>
      <c r="C4583" s="1" t="n">
        <v>45705</v>
      </c>
      <c r="D4583" t="inlineStr">
        <is>
          <t>UPPSALA LÄN</t>
        </is>
      </c>
      <c r="E4583" t="inlineStr">
        <is>
          <t>TIERP</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51944-2023</t>
        </is>
      </c>
      <c r="B4584" s="1" t="n">
        <v>45223</v>
      </c>
      <c r="C4584" s="1" t="n">
        <v>45705</v>
      </c>
      <c r="D4584" t="inlineStr">
        <is>
          <t>UPPSALA LÄN</t>
        </is>
      </c>
      <c r="E4584" t="inlineStr">
        <is>
          <t>HEBY</t>
        </is>
      </c>
      <c r="G4584" t="n">
        <v>3.8</v>
      </c>
      <c r="H4584" t="n">
        <v>0</v>
      </c>
      <c r="I4584" t="n">
        <v>0</v>
      </c>
      <c r="J4584" t="n">
        <v>0</v>
      </c>
      <c r="K4584" t="n">
        <v>0</v>
      </c>
      <c r="L4584" t="n">
        <v>0</v>
      </c>
      <c r="M4584" t="n">
        <v>0</v>
      </c>
      <c r="N4584" t="n">
        <v>0</v>
      </c>
      <c r="O4584" t="n">
        <v>0</v>
      </c>
      <c r="P4584" t="n">
        <v>0</v>
      </c>
      <c r="Q4584" t="n">
        <v>0</v>
      </c>
      <c r="R4584" s="2" t="inlineStr"/>
    </row>
    <row r="4585" ht="15" customHeight="1">
      <c r="A4585" t="inlineStr">
        <is>
          <t>A 51974-2023</t>
        </is>
      </c>
      <c r="B4585" s="1" t="n">
        <v>45223</v>
      </c>
      <c r="C4585" s="1" t="n">
        <v>45705</v>
      </c>
      <c r="D4585" t="inlineStr">
        <is>
          <t>UPPSALA LÄN</t>
        </is>
      </c>
      <c r="E4585" t="inlineStr">
        <is>
          <t>TIERP</t>
        </is>
      </c>
      <c r="G4585" t="n">
        <v>5</v>
      </c>
      <c r="H4585" t="n">
        <v>0</v>
      </c>
      <c r="I4585" t="n">
        <v>0</v>
      </c>
      <c r="J4585" t="n">
        <v>0</v>
      </c>
      <c r="K4585" t="n">
        <v>0</v>
      </c>
      <c r="L4585" t="n">
        <v>0</v>
      </c>
      <c r="M4585" t="n">
        <v>0</v>
      </c>
      <c r="N4585" t="n">
        <v>0</v>
      </c>
      <c r="O4585" t="n">
        <v>0</v>
      </c>
      <c r="P4585" t="n">
        <v>0</v>
      </c>
      <c r="Q4585" t="n">
        <v>0</v>
      </c>
      <c r="R4585" s="2" t="inlineStr"/>
    </row>
    <row r="4586" ht="15" customHeight="1">
      <c r="A4586" t="inlineStr">
        <is>
          <t>A 51835-2023</t>
        </is>
      </c>
      <c r="B4586" s="1" t="n">
        <v>45223</v>
      </c>
      <c r="C4586" s="1" t="n">
        <v>45705</v>
      </c>
      <c r="D4586" t="inlineStr">
        <is>
          <t>UPPSALA LÄN</t>
        </is>
      </c>
      <c r="E4586" t="inlineStr">
        <is>
          <t>ENKÖPING</t>
        </is>
      </c>
      <c r="G4586" t="n">
        <v>4.7</v>
      </c>
      <c r="H4586" t="n">
        <v>0</v>
      </c>
      <c r="I4586" t="n">
        <v>0</v>
      </c>
      <c r="J4586" t="n">
        <v>0</v>
      </c>
      <c r="K4586" t="n">
        <v>0</v>
      </c>
      <c r="L4586" t="n">
        <v>0</v>
      </c>
      <c r="M4586" t="n">
        <v>0</v>
      </c>
      <c r="N4586" t="n">
        <v>0</v>
      </c>
      <c r="O4586" t="n">
        <v>0</v>
      </c>
      <c r="P4586" t="n">
        <v>0</v>
      </c>
      <c r="Q4586" t="n">
        <v>0</v>
      </c>
      <c r="R4586" s="2" t="inlineStr"/>
    </row>
    <row r="4587" ht="15" customHeight="1">
      <c r="A4587" t="inlineStr">
        <is>
          <t>A 51849-2023</t>
        </is>
      </c>
      <c r="B4587" s="1" t="n">
        <v>45223</v>
      </c>
      <c r="C4587" s="1" t="n">
        <v>45705</v>
      </c>
      <c r="D4587" t="inlineStr">
        <is>
          <t>UPPSALA LÄN</t>
        </is>
      </c>
      <c r="E4587" t="inlineStr">
        <is>
          <t>KNIVSTA</t>
        </is>
      </c>
      <c r="G4587" t="n">
        <v>16.3</v>
      </c>
      <c r="H4587" t="n">
        <v>0</v>
      </c>
      <c r="I4587" t="n">
        <v>0</v>
      </c>
      <c r="J4587" t="n">
        <v>0</v>
      </c>
      <c r="K4587" t="n">
        <v>0</v>
      </c>
      <c r="L4587" t="n">
        <v>0</v>
      </c>
      <c r="M4587" t="n">
        <v>0</v>
      </c>
      <c r="N4587" t="n">
        <v>0</v>
      </c>
      <c r="O4587" t="n">
        <v>0</v>
      </c>
      <c r="P4587" t="n">
        <v>0</v>
      </c>
      <c r="Q4587" t="n">
        <v>0</v>
      </c>
      <c r="R4587" s="2" t="inlineStr"/>
    </row>
    <row r="4588" ht="15" customHeight="1">
      <c r="A4588" t="inlineStr">
        <is>
          <t>A 51885-2023</t>
        </is>
      </c>
      <c r="B4588" s="1" t="n">
        <v>45223</v>
      </c>
      <c r="C4588" s="1" t="n">
        <v>45705</v>
      </c>
      <c r="D4588" t="inlineStr">
        <is>
          <t>UPPSALA LÄN</t>
        </is>
      </c>
      <c r="E4588" t="inlineStr">
        <is>
          <t>HEBY</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51984-2023</t>
        </is>
      </c>
      <c r="B4589" s="1" t="n">
        <v>45223</v>
      </c>
      <c r="C4589" s="1" t="n">
        <v>45705</v>
      </c>
      <c r="D4589" t="inlineStr">
        <is>
          <t>UPPSALA LÄN</t>
        </is>
      </c>
      <c r="E4589" t="inlineStr">
        <is>
          <t>TIERP</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51935-2023</t>
        </is>
      </c>
      <c r="B4590" s="1" t="n">
        <v>45223</v>
      </c>
      <c r="C4590" s="1" t="n">
        <v>45705</v>
      </c>
      <c r="D4590" t="inlineStr">
        <is>
          <t>UPPSALA LÄN</t>
        </is>
      </c>
      <c r="E4590" t="inlineStr">
        <is>
          <t>UPPSALA</t>
        </is>
      </c>
      <c r="G4590" t="n">
        <v>4.8</v>
      </c>
      <c r="H4590" t="n">
        <v>0</v>
      </c>
      <c r="I4590" t="n">
        <v>0</v>
      </c>
      <c r="J4590" t="n">
        <v>0</v>
      </c>
      <c r="K4590" t="n">
        <v>0</v>
      </c>
      <c r="L4590" t="n">
        <v>0</v>
      </c>
      <c r="M4590" t="n">
        <v>0</v>
      </c>
      <c r="N4590" t="n">
        <v>0</v>
      </c>
      <c r="O4590" t="n">
        <v>0</v>
      </c>
      <c r="P4590" t="n">
        <v>0</v>
      </c>
      <c r="Q4590" t="n">
        <v>0</v>
      </c>
      <c r="R4590" s="2" t="inlineStr"/>
    </row>
    <row r="4591" ht="15" customHeight="1">
      <c r="A4591" t="inlineStr">
        <is>
          <t>A 53595-2023</t>
        </is>
      </c>
      <c r="B4591" s="1" t="n">
        <v>45223</v>
      </c>
      <c r="C4591" s="1" t="n">
        <v>45705</v>
      </c>
      <c r="D4591" t="inlineStr">
        <is>
          <t>UPPSALA LÄN</t>
        </is>
      </c>
      <c r="E4591" t="inlineStr">
        <is>
          <t>ENKÖPING</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52273-2023</t>
        </is>
      </c>
      <c r="B4592" s="1" t="n">
        <v>45224</v>
      </c>
      <c r="C4592" s="1" t="n">
        <v>45705</v>
      </c>
      <c r="D4592" t="inlineStr">
        <is>
          <t>UPPSALA LÄN</t>
        </is>
      </c>
      <c r="E4592" t="inlineStr">
        <is>
          <t>UPPSALA</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52299-2023</t>
        </is>
      </c>
      <c r="B4593" s="1" t="n">
        <v>45224</v>
      </c>
      <c r="C4593" s="1" t="n">
        <v>45705</v>
      </c>
      <c r="D4593" t="inlineStr">
        <is>
          <t>UPPSALA LÄN</t>
        </is>
      </c>
      <c r="E4593" t="inlineStr">
        <is>
          <t>ENKÖPING</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52380-2023</t>
        </is>
      </c>
      <c r="B4594" s="1" t="n">
        <v>45224</v>
      </c>
      <c r="C4594" s="1" t="n">
        <v>45705</v>
      </c>
      <c r="D4594" t="inlineStr">
        <is>
          <t>UPPSALA LÄN</t>
        </is>
      </c>
      <c r="E4594" t="inlineStr">
        <is>
          <t>TIERP</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52366-2023</t>
        </is>
      </c>
      <c r="B4595" s="1" t="n">
        <v>45224</v>
      </c>
      <c r="C4595" s="1" t="n">
        <v>45705</v>
      </c>
      <c r="D4595" t="inlineStr">
        <is>
          <t>UPPSALA LÄN</t>
        </is>
      </c>
      <c r="E4595" t="inlineStr">
        <is>
          <t>ENKÖPING</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52492-2023</t>
        </is>
      </c>
      <c r="B4596" s="1" t="n">
        <v>45225</v>
      </c>
      <c r="C4596" s="1" t="n">
        <v>45705</v>
      </c>
      <c r="D4596" t="inlineStr">
        <is>
          <t>UPPSALA LÄN</t>
        </is>
      </c>
      <c r="E4596" t="inlineStr">
        <is>
          <t>UPPSALA</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52503-2023</t>
        </is>
      </c>
      <c r="B4597" s="1" t="n">
        <v>45225</v>
      </c>
      <c r="C4597" s="1" t="n">
        <v>45705</v>
      </c>
      <c r="D4597" t="inlineStr">
        <is>
          <t>UPPSALA LÄN</t>
        </is>
      </c>
      <c r="E4597" t="inlineStr">
        <is>
          <t>UPPSALA</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52518-2023</t>
        </is>
      </c>
      <c r="B4598" s="1" t="n">
        <v>45225</v>
      </c>
      <c r="C4598" s="1" t="n">
        <v>45705</v>
      </c>
      <c r="D4598" t="inlineStr">
        <is>
          <t>UPPSALA LÄN</t>
        </is>
      </c>
      <c r="E4598" t="inlineStr">
        <is>
          <t>UPPSALA</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52495-2023</t>
        </is>
      </c>
      <c r="B4599" s="1" t="n">
        <v>45225</v>
      </c>
      <c r="C4599" s="1" t="n">
        <v>45705</v>
      </c>
      <c r="D4599" t="inlineStr">
        <is>
          <t>UPPSALA LÄN</t>
        </is>
      </c>
      <c r="E4599" t="inlineStr">
        <is>
          <t>HEBY</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52670-2023</t>
        </is>
      </c>
      <c r="B4600" s="1" t="n">
        <v>45225</v>
      </c>
      <c r="C4600" s="1" t="n">
        <v>45705</v>
      </c>
      <c r="D4600" t="inlineStr">
        <is>
          <t>UPPSALA LÄN</t>
        </is>
      </c>
      <c r="E4600" t="inlineStr">
        <is>
          <t>HEBY</t>
        </is>
      </c>
      <c r="G4600" t="n">
        <v>5.8</v>
      </c>
      <c r="H4600" t="n">
        <v>0</v>
      </c>
      <c r="I4600" t="n">
        <v>0</v>
      </c>
      <c r="J4600" t="n">
        <v>0</v>
      </c>
      <c r="K4600" t="n">
        <v>0</v>
      </c>
      <c r="L4600" t="n">
        <v>0</v>
      </c>
      <c r="M4600" t="n">
        <v>0</v>
      </c>
      <c r="N4600" t="n">
        <v>0</v>
      </c>
      <c r="O4600" t="n">
        <v>0</v>
      </c>
      <c r="P4600" t="n">
        <v>0</v>
      </c>
      <c r="Q4600" t="n">
        <v>0</v>
      </c>
      <c r="R4600" s="2" t="inlineStr"/>
    </row>
    <row r="4601" ht="15" customHeight="1">
      <c r="A4601" t="inlineStr">
        <is>
          <t>A 52695-2023</t>
        </is>
      </c>
      <c r="B4601" s="1" t="n">
        <v>45225</v>
      </c>
      <c r="C4601" s="1" t="n">
        <v>45705</v>
      </c>
      <c r="D4601" t="inlineStr">
        <is>
          <t>UPPSALA LÄN</t>
        </is>
      </c>
      <c r="E4601" t="inlineStr">
        <is>
          <t>ÖSTHAMMAR</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52629-2023</t>
        </is>
      </c>
      <c r="B4602" s="1" t="n">
        <v>45225</v>
      </c>
      <c r="C4602" s="1" t="n">
        <v>45705</v>
      </c>
      <c r="D4602" t="inlineStr">
        <is>
          <t>UPPSALA LÄN</t>
        </is>
      </c>
      <c r="E4602" t="inlineStr">
        <is>
          <t>ÖSTHAMMAR</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52698-2023</t>
        </is>
      </c>
      <c r="B4603" s="1" t="n">
        <v>45225</v>
      </c>
      <c r="C4603" s="1" t="n">
        <v>45705</v>
      </c>
      <c r="D4603" t="inlineStr">
        <is>
          <t>UPPSALA LÄN</t>
        </is>
      </c>
      <c r="E4603" t="inlineStr">
        <is>
          <t>ÖSTHAMMAR</t>
        </is>
      </c>
      <c r="F4603" t="inlineStr">
        <is>
          <t>Bergvik skog öst AB</t>
        </is>
      </c>
      <c r="G4603" t="n">
        <v>3.8</v>
      </c>
      <c r="H4603" t="n">
        <v>0</v>
      </c>
      <c r="I4603" t="n">
        <v>0</v>
      </c>
      <c r="J4603" t="n">
        <v>0</v>
      </c>
      <c r="K4603" t="n">
        <v>0</v>
      </c>
      <c r="L4603" t="n">
        <v>0</v>
      </c>
      <c r="M4603" t="n">
        <v>0</v>
      </c>
      <c r="N4603" t="n">
        <v>0</v>
      </c>
      <c r="O4603" t="n">
        <v>0</v>
      </c>
      <c r="P4603" t="n">
        <v>0</v>
      </c>
      <c r="Q4603" t="n">
        <v>0</v>
      </c>
      <c r="R4603" s="2" t="inlineStr"/>
    </row>
    <row r="4604" ht="15" customHeight="1">
      <c r="A4604" t="inlineStr">
        <is>
          <t>A 52694-2023</t>
        </is>
      </c>
      <c r="B4604" s="1" t="n">
        <v>45225</v>
      </c>
      <c r="C4604" s="1" t="n">
        <v>45705</v>
      </c>
      <c r="D4604" t="inlineStr">
        <is>
          <t>UPPSALA LÄN</t>
        </is>
      </c>
      <c r="E4604" t="inlineStr">
        <is>
          <t>ÖSTHAMMAR</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52699-2023</t>
        </is>
      </c>
      <c r="B4605" s="1" t="n">
        <v>45225</v>
      </c>
      <c r="C4605" s="1" t="n">
        <v>45705</v>
      </c>
      <c r="D4605" t="inlineStr">
        <is>
          <t>UPPSALA LÄN</t>
        </is>
      </c>
      <c r="E4605" t="inlineStr">
        <is>
          <t>ÖSTHAMMAR</t>
        </is>
      </c>
      <c r="F4605" t="inlineStr">
        <is>
          <t>Bergvik skog öst AB</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54314-2023</t>
        </is>
      </c>
      <c r="B4606" s="1" t="n">
        <v>45225</v>
      </c>
      <c r="C4606" s="1" t="n">
        <v>45705</v>
      </c>
      <c r="D4606" t="inlineStr">
        <is>
          <t>UPPSALA LÄN</t>
        </is>
      </c>
      <c r="E4606" t="inlineStr">
        <is>
          <t>ÖSTHAMMAR</t>
        </is>
      </c>
      <c r="G4606" t="n">
        <v>5.1</v>
      </c>
      <c r="H4606" t="n">
        <v>0</v>
      </c>
      <c r="I4606" t="n">
        <v>0</v>
      </c>
      <c r="J4606" t="n">
        <v>0</v>
      </c>
      <c r="K4606" t="n">
        <v>0</v>
      </c>
      <c r="L4606" t="n">
        <v>0</v>
      </c>
      <c r="M4606" t="n">
        <v>0</v>
      </c>
      <c r="N4606" t="n">
        <v>0</v>
      </c>
      <c r="O4606" t="n">
        <v>0</v>
      </c>
      <c r="P4606" t="n">
        <v>0</v>
      </c>
      <c r="Q4606" t="n">
        <v>0</v>
      </c>
      <c r="R4606" s="2" t="inlineStr"/>
    </row>
    <row r="4607" ht="15" customHeight="1">
      <c r="A4607" t="inlineStr">
        <is>
          <t>A 54356-2023</t>
        </is>
      </c>
      <c r="B4607" s="1" t="n">
        <v>45225</v>
      </c>
      <c r="C4607" s="1" t="n">
        <v>45705</v>
      </c>
      <c r="D4607" t="inlineStr">
        <is>
          <t>UPPSALA LÄN</t>
        </is>
      </c>
      <c r="E4607" t="inlineStr">
        <is>
          <t>ENKÖPING</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54357-2023</t>
        </is>
      </c>
      <c r="B4608" s="1" t="n">
        <v>45225</v>
      </c>
      <c r="C4608" s="1" t="n">
        <v>45705</v>
      </c>
      <c r="D4608" t="inlineStr">
        <is>
          <t>UPPSALA LÄN</t>
        </is>
      </c>
      <c r="E4608" t="inlineStr">
        <is>
          <t>ENKÖPING</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52969-2023</t>
        </is>
      </c>
      <c r="B4609" s="1" t="n">
        <v>45226</v>
      </c>
      <c r="C4609" s="1" t="n">
        <v>45705</v>
      </c>
      <c r="D4609" t="inlineStr">
        <is>
          <t>UPPSALA LÄN</t>
        </is>
      </c>
      <c r="E4609" t="inlineStr">
        <is>
          <t>TIERP</t>
        </is>
      </c>
      <c r="G4609" t="n">
        <v>5.3</v>
      </c>
      <c r="H4609" t="n">
        <v>0</v>
      </c>
      <c r="I4609" t="n">
        <v>0</v>
      </c>
      <c r="J4609" t="n">
        <v>0</v>
      </c>
      <c r="K4609" t="n">
        <v>0</v>
      </c>
      <c r="L4609" t="n">
        <v>0</v>
      </c>
      <c r="M4609" t="n">
        <v>0</v>
      </c>
      <c r="N4609" t="n">
        <v>0</v>
      </c>
      <c r="O4609" t="n">
        <v>0</v>
      </c>
      <c r="P4609" t="n">
        <v>0</v>
      </c>
      <c r="Q4609" t="n">
        <v>0</v>
      </c>
      <c r="R4609" s="2" t="inlineStr"/>
    </row>
    <row r="4610" ht="15" customHeight="1">
      <c r="A4610" t="inlineStr">
        <is>
          <t>A 53208-2023</t>
        </is>
      </c>
      <c r="B4610" s="1" t="n">
        <v>45226</v>
      </c>
      <c r="C4610" s="1" t="n">
        <v>45705</v>
      </c>
      <c r="D4610" t="inlineStr">
        <is>
          <t>UPPSALA LÄN</t>
        </is>
      </c>
      <c r="E4610" t="inlineStr">
        <is>
          <t>ENKÖPING</t>
        </is>
      </c>
      <c r="G4610" t="n">
        <v>4.3</v>
      </c>
      <c r="H4610" t="n">
        <v>0</v>
      </c>
      <c r="I4610" t="n">
        <v>0</v>
      </c>
      <c r="J4610" t="n">
        <v>0</v>
      </c>
      <c r="K4610" t="n">
        <v>0</v>
      </c>
      <c r="L4610" t="n">
        <v>0</v>
      </c>
      <c r="M4610" t="n">
        <v>0</v>
      </c>
      <c r="N4610" t="n">
        <v>0</v>
      </c>
      <c r="O4610" t="n">
        <v>0</v>
      </c>
      <c r="P4610" t="n">
        <v>0</v>
      </c>
      <c r="Q4610" t="n">
        <v>0</v>
      </c>
      <c r="R4610" s="2" t="inlineStr"/>
    </row>
    <row r="4611" ht="15" customHeight="1">
      <c r="A4611" t="inlineStr">
        <is>
          <t>A 52966-2023</t>
        </is>
      </c>
      <c r="B4611" s="1" t="n">
        <v>45226</v>
      </c>
      <c r="C4611" s="1" t="n">
        <v>45705</v>
      </c>
      <c r="D4611" t="inlineStr">
        <is>
          <t>UPPSALA LÄN</t>
        </is>
      </c>
      <c r="E4611" t="inlineStr">
        <is>
          <t>TIERP</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53467-2023</t>
        </is>
      </c>
      <c r="B4612" s="1" t="n">
        <v>45229</v>
      </c>
      <c r="C4612" s="1" t="n">
        <v>45705</v>
      </c>
      <c r="D4612" t="inlineStr">
        <is>
          <t>UPPSALA LÄN</t>
        </is>
      </c>
      <c r="E4612" t="inlineStr">
        <is>
          <t>ÖSTHAMMAR</t>
        </is>
      </c>
      <c r="G4612" t="n">
        <v>26.1</v>
      </c>
      <c r="H4612" t="n">
        <v>0</v>
      </c>
      <c r="I4612" t="n">
        <v>0</v>
      </c>
      <c r="J4612" t="n">
        <v>0</v>
      </c>
      <c r="K4612" t="n">
        <v>0</v>
      </c>
      <c r="L4612" t="n">
        <v>0</v>
      </c>
      <c r="M4612" t="n">
        <v>0</v>
      </c>
      <c r="N4612" t="n">
        <v>0</v>
      </c>
      <c r="O4612" t="n">
        <v>0</v>
      </c>
      <c r="P4612" t="n">
        <v>0</v>
      </c>
      <c r="Q4612" t="n">
        <v>0</v>
      </c>
      <c r="R4612" s="2" t="inlineStr"/>
    </row>
    <row r="4613" ht="15" customHeight="1">
      <c r="A4613" t="inlineStr">
        <is>
          <t>A 53333-2023</t>
        </is>
      </c>
      <c r="B4613" s="1" t="n">
        <v>45229</v>
      </c>
      <c r="C4613" s="1" t="n">
        <v>45705</v>
      </c>
      <c r="D4613" t="inlineStr">
        <is>
          <t>UPPSALA LÄN</t>
        </is>
      </c>
      <c r="E4613" t="inlineStr">
        <is>
          <t>ENKÖPING</t>
        </is>
      </c>
      <c r="G4613" t="n">
        <v>3.6</v>
      </c>
      <c r="H4613" t="n">
        <v>0</v>
      </c>
      <c r="I4613" t="n">
        <v>0</v>
      </c>
      <c r="J4613" t="n">
        <v>0</v>
      </c>
      <c r="K4613" t="n">
        <v>0</v>
      </c>
      <c r="L4613" t="n">
        <v>0</v>
      </c>
      <c r="M4613" t="n">
        <v>0</v>
      </c>
      <c r="N4613" t="n">
        <v>0</v>
      </c>
      <c r="O4613" t="n">
        <v>0</v>
      </c>
      <c r="P4613" t="n">
        <v>0</v>
      </c>
      <c r="Q4613" t="n">
        <v>0</v>
      </c>
      <c r="R4613" s="2" t="inlineStr"/>
    </row>
    <row r="4614" ht="15" customHeight="1">
      <c r="A4614" t="inlineStr">
        <is>
          <t>A 53338-2023</t>
        </is>
      </c>
      <c r="B4614" s="1" t="n">
        <v>45229</v>
      </c>
      <c r="C4614" s="1" t="n">
        <v>45705</v>
      </c>
      <c r="D4614" t="inlineStr">
        <is>
          <t>UPPSALA LÄN</t>
        </is>
      </c>
      <c r="E4614" t="inlineStr">
        <is>
          <t>ENKÖPING</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53360-2023</t>
        </is>
      </c>
      <c r="B4615" s="1" t="n">
        <v>45229</v>
      </c>
      <c r="C4615" s="1" t="n">
        <v>45705</v>
      </c>
      <c r="D4615" t="inlineStr">
        <is>
          <t>UPPSALA LÄN</t>
        </is>
      </c>
      <c r="E4615" t="inlineStr">
        <is>
          <t>ÖSTHAMMAR</t>
        </is>
      </c>
      <c r="G4615" t="n">
        <v>4.8</v>
      </c>
      <c r="H4615" t="n">
        <v>0</v>
      </c>
      <c r="I4615" t="n">
        <v>0</v>
      </c>
      <c r="J4615" t="n">
        <v>0</v>
      </c>
      <c r="K4615" t="n">
        <v>0</v>
      </c>
      <c r="L4615" t="n">
        <v>0</v>
      </c>
      <c r="M4615" t="n">
        <v>0</v>
      </c>
      <c r="N4615" t="n">
        <v>0</v>
      </c>
      <c r="O4615" t="n">
        <v>0</v>
      </c>
      <c r="P4615" t="n">
        <v>0</v>
      </c>
      <c r="Q4615" t="n">
        <v>0</v>
      </c>
      <c r="R4615" s="2" t="inlineStr"/>
    </row>
    <row r="4616" ht="15" customHeight="1">
      <c r="A4616" t="inlineStr">
        <is>
          <t>A 53490-2023</t>
        </is>
      </c>
      <c r="B4616" s="1" t="n">
        <v>45229</v>
      </c>
      <c r="C4616" s="1" t="n">
        <v>45705</v>
      </c>
      <c r="D4616" t="inlineStr">
        <is>
          <t>UPPSALA LÄN</t>
        </is>
      </c>
      <c r="E4616" t="inlineStr">
        <is>
          <t>TIERP</t>
        </is>
      </c>
      <c r="G4616" t="n">
        <v>9.6</v>
      </c>
      <c r="H4616" t="n">
        <v>0</v>
      </c>
      <c r="I4616" t="n">
        <v>0</v>
      </c>
      <c r="J4616" t="n">
        <v>0</v>
      </c>
      <c r="K4616" t="n">
        <v>0</v>
      </c>
      <c r="L4616" t="n">
        <v>0</v>
      </c>
      <c r="M4616" t="n">
        <v>0</v>
      </c>
      <c r="N4616" t="n">
        <v>0</v>
      </c>
      <c r="O4616" t="n">
        <v>0</v>
      </c>
      <c r="P4616" t="n">
        <v>0</v>
      </c>
      <c r="Q4616" t="n">
        <v>0</v>
      </c>
      <c r="R4616" s="2" t="inlineStr"/>
    </row>
    <row r="4617" ht="15" customHeight="1">
      <c r="A4617" t="inlineStr">
        <is>
          <t>A 54737-2023</t>
        </is>
      </c>
      <c r="B4617" s="1" t="n">
        <v>45229</v>
      </c>
      <c r="C4617" s="1" t="n">
        <v>45705</v>
      </c>
      <c r="D4617" t="inlineStr">
        <is>
          <t>UPPSALA LÄN</t>
        </is>
      </c>
      <c r="E4617" t="inlineStr">
        <is>
          <t>TIERP</t>
        </is>
      </c>
      <c r="F4617" t="inlineStr">
        <is>
          <t>Bergvik skog väst AB</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53735-2023</t>
        </is>
      </c>
      <c r="B4618" s="1" t="n">
        <v>45230</v>
      </c>
      <c r="C4618" s="1" t="n">
        <v>45705</v>
      </c>
      <c r="D4618" t="inlineStr">
        <is>
          <t>UPPSALA LÄN</t>
        </is>
      </c>
      <c r="E4618" t="inlineStr">
        <is>
          <t>ÖSTHAMMAR</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53732-2023</t>
        </is>
      </c>
      <c r="B4619" s="1" t="n">
        <v>45230</v>
      </c>
      <c r="C4619" s="1" t="n">
        <v>45705</v>
      </c>
      <c r="D4619" t="inlineStr">
        <is>
          <t>UPPSALA LÄN</t>
        </is>
      </c>
      <c r="E4619" t="inlineStr">
        <is>
          <t>ÖSTHAMMAR</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53670-2023</t>
        </is>
      </c>
      <c r="B4620" s="1" t="n">
        <v>45230</v>
      </c>
      <c r="C4620" s="1" t="n">
        <v>45705</v>
      </c>
      <c r="D4620" t="inlineStr">
        <is>
          <t>UPPSALA LÄN</t>
        </is>
      </c>
      <c r="E4620" t="inlineStr">
        <is>
          <t>ÖSTHAMMAR</t>
        </is>
      </c>
      <c r="F4620" t="inlineStr">
        <is>
          <t>Bergvik skog öst AB</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53607-2023</t>
        </is>
      </c>
      <c r="B4621" s="1" t="n">
        <v>45230</v>
      </c>
      <c r="C4621" s="1" t="n">
        <v>45705</v>
      </c>
      <c r="D4621" t="inlineStr">
        <is>
          <t>UPPSALA LÄN</t>
        </is>
      </c>
      <c r="E4621" t="inlineStr">
        <is>
          <t>ENKÖPING</t>
        </is>
      </c>
      <c r="F4621" t="inlineStr">
        <is>
          <t>Allmännings- och besparingsskogar</t>
        </is>
      </c>
      <c r="G4621" t="n">
        <v>6.3</v>
      </c>
      <c r="H4621" t="n">
        <v>0</v>
      </c>
      <c r="I4621" t="n">
        <v>0</v>
      </c>
      <c r="J4621" t="n">
        <v>0</v>
      </c>
      <c r="K4621" t="n">
        <v>0</v>
      </c>
      <c r="L4621" t="n">
        <v>0</v>
      </c>
      <c r="M4621" t="n">
        <v>0</v>
      </c>
      <c r="N4621" t="n">
        <v>0</v>
      </c>
      <c r="O4621" t="n">
        <v>0</v>
      </c>
      <c r="P4621" t="n">
        <v>0</v>
      </c>
      <c r="Q4621" t="n">
        <v>0</v>
      </c>
      <c r="R4621" s="2" t="inlineStr"/>
    </row>
    <row r="4622" ht="15" customHeight="1">
      <c r="A4622" t="inlineStr">
        <is>
          <t>A 53646-2023</t>
        </is>
      </c>
      <c r="B4622" s="1" t="n">
        <v>45230</v>
      </c>
      <c r="C4622" s="1" t="n">
        <v>45705</v>
      </c>
      <c r="D4622" t="inlineStr">
        <is>
          <t>UPPSALA LÄN</t>
        </is>
      </c>
      <c r="E4622" t="inlineStr">
        <is>
          <t>TIERP</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53733-2023</t>
        </is>
      </c>
      <c r="B4623" s="1" t="n">
        <v>45230</v>
      </c>
      <c r="C4623" s="1" t="n">
        <v>45705</v>
      </c>
      <c r="D4623" t="inlineStr">
        <is>
          <t>UPPSALA LÄN</t>
        </is>
      </c>
      <c r="E4623" t="inlineStr">
        <is>
          <t>ÖSTHAMMAR</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53737-2023</t>
        </is>
      </c>
      <c r="B4624" s="1" t="n">
        <v>45230</v>
      </c>
      <c r="C4624" s="1" t="n">
        <v>45705</v>
      </c>
      <c r="D4624" t="inlineStr">
        <is>
          <t>UPPSALA LÄN</t>
        </is>
      </c>
      <c r="E4624" t="inlineStr">
        <is>
          <t>ÖSTHAMMAR</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53702-2023</t>
        </is>
      </c>
      <c r="B4625" s="1" t="n">
        <v>45230</v>
      </c>
      <c r="C4625" s="1" t="n">
        <v>45705</v>
      </c>
      <c r="D4625" t="inlineStr">
        <is>
          <t>UPPSALA LÄN</t>
        </is>
      </c>
      <c r="E4625" t="inlineStr">
        <is>
          <t>ÖSTHAMMAR</t>
        </is>
      </c>
      <c r="F4625" t="inlineStr">
        <is>
          <t>Övriga Aktiebolag</t>
        </is>
      </c>
      <c r="G4625" t="n">
        <v>6.6</v>
      </c>
      <c r="H4625" t="n">
        <v>0</v>
      </c>
      <c r="I4625" t="n">
        <v>0</v>
      </c>
      <c r="J4625" t="n">
        <v>0</v>
      </c>
      <c r="K4625" t="n">
        <v>0</v>
      </c>
      <c r="L4625" t="n">
        <v>0</v>
      </c>
      <c r="M4625" t="n">
        <v>0</v>
      </c>
      <c r="N4625" t="n">
        <v>0</v>
      </c>
      <c r="O4625" t="n">
        <v>0</v>
      </c>
      <c r="P4625" t="n">
        <v>0</v>
      </c>
      <c r="Q4625" t="n">
        <v>0</v>
      </c>
      <c r="R4625" s="2" t="inlineStr"/>
    </row>
    <row r="4626" ht="15" customHeight="1">
      <c r="A4626" t="inlineStr">
        <is>
          <t>A 53676-2023</t>
        </is>
      </c>
      <c r="B4626" s="1" t="n">
        <v>45230</v>
      </c>
      <c r="C4626" s="1" t="n">
        <v>45705</v>
      </c>
      <c r="D4626" t="inlineStr">
        <is>
          <t>UPPSALA LÄN</t>
        </is>
      </c>
      <c r="E4626" t="inlineStr">
        <is>
          <t>ÖSTHAMMAR</t>
        </is>
      </c>
      <c r="F4626" t="inlineStr">
        <is>
          <t>Bergvik skog öst AB</t>
        </is>
      </c>
      <c r="G4626" t="n">
        <v>9.300000000000001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53893-2023</t>
        </is>
      </c>
      <c r="B4627" s="1" t="n">
        <v>45231</v>
      </c>
      <c r="C4627" s="1" t="n">
        <v>45705</v>
      </c>
      <c r="D4627" t="inlineStr">
        <is>
          <t>UPPSALA LÄN</t>
        </is>
      </c>
      <c r="E4627" t="inlineStr">
        <is>
          <t>UPPSALA</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53911-2023</t>
        </is>
      </c>
      <c r="B4628" s="1" t="n">
        <v>45231</v>
      </c>
      <c r="C4628" s="1" t="n">
        <v>45705</v>
      </c>
      <c r="D4628" t="inlineStr">
        <is>
          <t>UPPSALA LÄN</t>
        </is>
      </c>
      <c r="E4628" t="inlineStr">
        <is>
          <t>HEBY</t>
        </is>
      </c>
      <c r="G4628" t="n">
        <v>10.3</v>
      </c>
      <c r="H4628" t="n">
        <v>0</v>
      </c>
      <c r="I4628" t="n">
        <v>0</v>
      </c>
      <c r="J4628" t="n">
        <v>0</v>
      </c>
      <c r="K4628" t="n">
        <v>0</v>
      </c>
      <c r="L4628" t="n">
        <v>0</v>
      </c>
      <c r="M4628" t="n">
        <v>0</v>
      </c>
      <c r="N4628" t="n">
        <v>0</v>
      </c>
      <c r="O4628" t="n">
        <v>0</v>
      </c>
      <c r="P4628" t="n">
        <v>0</v>
      </c>
      <c r="Q4628" t="n">
        <v>0</v>
      </c>
      <c r="R4628" s="2" t="inlineStr"/>
    </row>
    <row r="4629" ht="15" customHeight="1">
      <c r="A4629" t="inlineStr">
        <is>
          <t>A 53919-2023</t>
        </is>
      </c>
      <c r="B4629" s="1" t="n">
        <v>45231</v>
      </c>
      <c r="C4629" s="1" t="n">
        <v>45705</v>
      </c>
      <c r="D4629" t="inlineStr">
        <is>
          <t>UPPSALA LÄN</t>
        </is>
      </c>
      <c r="E4629" t="inlineStr">
        <is>
          <t>UPPSALA</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53982-2023</t>
        </is>
      </c>
      <c r="B4630" s="1" t="n">
        <v>45231</v>
      </c>
      <c r="C4630" s="1" t="n">
        <v>45705</v>
      </c>
      <c r="D4630" t="inlineStr">
        <is>
          <t>UPPSALA LÄN</t>
        </is>
      </c>
      <c r="E4630" t="inlineStr">
        <is>
          <t>UPPSALA</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53824-2023</t>
        </is>
      </c>
      <c r="B4631" s="1" t="n">
        <v>45231</v>
      </c>
      <c r="C4631" s="1" t="n">
        <v>45705</v>
      </c>
      <c r="D4631" t="inlineStr">
        <is>
          <t>UPPSALA LÄN</t>
        </is>
      </c>
      <c r="E4631" t="inlineStr">
        <is>
          <t>HEBY</t>
        </is>
      </c>
      <c r="G4631" t="n">
        <v>15.6</v>
      </c>
      <c r="H4631" t="n">
        <v>0</v>
      </c>
      <c r="I4631" t="n">
        <v>0</v>
      </c>
      <c r="J4631" t="n">
        <v>0</v>
      </c>
      <c r="K4631" t="n">
        <v>0</v>
      </c>
      <c r="L4631" t="n">
        <v>0</v>
      </c>
      <c r="M4631" t="n">
        <v>0</v>
      </c>
      <c r="N4631" t="n">
        <v>0</v>
      </c>
      <c r="O4631" t="n">
        <v>0</v>
      </c>
      <c r="P4631" t="n">
        <v>0</v>
      </c>
      <c r="Q4631" t="n">
        <v>0</v>
      </c>
      <c r="R4631" s="2" t="inlineStr"/>
    </row>
    <row r="4632" ht="15" customHeight="1">
      <c r="A4632" t="inlineStr">
        <is>
          <t>A 53882-2023</t>
        </is>
      </c>
      <c r="B4632" s="1" t="n">
        <v>45231</v>
      </c>
      <c r="C4632" s="1" t="n">
        <v>45705</v>
      </c>
      <c r="D4632" t="inlineStr">
        <is>
          <t>UPPSALA LÄN</t>
        </is>
      </c>
      <c r="E4632" t="inlineStr">
        <is>
          <t>UPPSALA</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53900-2023</t>
        </is>
      </c>
      <c r="B4633" s="1" t="n">
        <v>45231</v>
      </c>
      <c r="C4633" s="1" t="n">
        <v>45705</v>
      </c>
      <c r="D4633" t="inlineStr">
        <is>
          <t>UPPSALA LÄN</t>
        </is>
      </c>
      <c r="E4633" t="inlineStr">
        <is>
          <t>UPPSALA</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53963-2023</t>
        </is>
      </c>
      <c r="B4634" s="1" t="n">
        <v>45231</v>
      </c>
      <c r="C4634" s="1" t="n">
        <v>45705</v>
      </c>
      <c r="D4634" t="inlineStr">
        <is>
          <t>UPPSALA LÄN</t>
        </is>
      </c>
      <c r="E4634" t="inlineStr">
        <is>
          <t>UPPSALA</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53967-2023</t>
        </is>
      </c>
      <c r="B4635" s="1" t="n">
        <v>45231</v>
      </c>
      <c r="C4635" s="1" t="n">
        <v>45705</v>
      </c>
      <c r="D4635" t="inlineStr">
        <is>
          <t>UPPSALA LÄN</t>
        </is>
      </c>
      <c r="E4635" t="inlineStr">
        <is>
          <t>UPPSALA</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53803-2023</t>
        </is>
      </c>
      <c r="B4636" s="1" t="n">
        <v>45231</v>
      </c>
      <c r="C4636" s="1" t="n">
        <v>45705</v>
      </c>
      <c r="D4636" t="inlineStr">
        <is>
          <t>UPPSALA LÄN</t>
        </is>
      </c>
      <c r="E4636" t="inlineStr">
        <is>
          <t>UPPSALA</t>
        </is>
      </c>
      <c r="G4636" t="n">
        <v>17.6</v>
      </c>
      <c r="H4636" t="n">
        <v>0</v>
      </c>
      <c r="I4636" t="n">
        <v>0</v>
      </c>
      <c r="J4636" t="n">
        <v>0</v>
      </c>
      <c r="K4636" t="n">
        <v>0</v>
      </c>
      <c r="L4636" t="n">
        <v>0</v>
      </c>
      <c r="M4636" t="n">
        <v>0</v>
      </c>
      <c r="N4636" t="n">
        <v>0</v>
      </c>
      <c r="O4636" t="n">
        <v>0</v>
      </c>
      <c r="P4636" t="n">
        <v>0</v>
      </c>
      <c r="Q4636" t="n">
        <v>0</v>
      </c>
      <c r="R4636" s="2" t="inlineStr"/>
    </row>
    <row r="4637" ht="15" customHeight="1">
      <c r="A4637" t="inlineStr">
        <is>
          <t>A 53906-2023</t>
        </is>
      </c>
      <c r="B4637" s="1" t="n">
        <v>45231</v>
      </c>
      <c r="C4637" s="1" t="n">
        <v>45705</v>
      </c>
      <c r="D4637" t="inlineStr">
        <is>
          <t>UPPSALA LÄN</t>
        </is>
      </c>
      <c r="E4637" t="inlineStr">
        <is>
          <t>UPPSALA</t>
        </is>
      </c>
      <c r="G4637" t="n">
        <v>13.2</v>
      </c>
      <c r="H4637" t="n">
        <v>0</v>
      </c>
      <c r="I4637" t="n">
        <v>0</v>
      </c>
      <c r="J4637" t="n">
        <v>0</v>
      </c>
      <c r="K4637" t="n">
        <v>0</v>
      </c>
      <c r="L4637" t="n">
        <v>0</v>
      </c>
      <c r="M4637" t="n">
        <v>0</v>
      </c>
      <c r="N4637" t="n">
        <v>0</v>
      </c>
      <c r="O4637" t="n">
        <v>0</v>
      </c>
      <c r="P4637" t="n">
        <v>0</v>
      </c>
      <c r="Q4637" t="n">
        <v>0</v>
      </c>
      <c r="R4637" s="2" t="inlineStr"/>
    </row>
    <row r="4638" ht="15" customHeight="1">
      <c r="A4638" t="inlineStr">
        <is>
          <t>A 54018-2023</t>
        </is>
      </c>
      <c r="B4638" s="1" t="n">
        <v>45231</v>
      </c>
      <c r="C4638" s="1" t="n">
        <v>45705</v>
      </c>
      <c r="D4638" t="inlineStr">
        <is>
          <t>UPPSALA LÄN</t>
        </is>
      </c>
      <c r="E4638" t="inlineStr">
        <is>
          <t>HEBY</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54104-2023</t>
        </is>
      </c>
      <c r="B4639" s="1" t="n">
        <v>45232</v>
      </c>
      <c r="C4639" s="1" t="n">
        <v>45705</v>
      </c>
      <c r="D4639" t="inlineStr">
        <is>
          <t>UPPSALA LÄN</t>
        </is>
      </c>
      <c r="E4639" t="inlineStr">
        <is>
          <t>TIERP</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54208-2023</t>
        </is>
      </c>
      <c r="B4640" s="1" t="n">
        <v>45232</v>
      </c>
      <c r="C4640" s="1" t="n">
        <v>45705</v>
      </c>
      <c r="D4640" t="inlineStr">
        <is>
          <t>UPPSALA LÄN</t>
        </is>
      </c>
      <c r="E4640" t="inlineStr">
        <is>
          <t>ENKÖPING</t>
        </is>
      </c>
      <c r="G4640" t="n">
        <v>4.3</v>
      </c>
      <c r="H4640" t="n">
        <v>0</v>
      </c>
      <c r="I4640" t="n">
        <v>0</v>
      </c>
      <c r="J4640" t="n">
        <v>0</v>
      </c>
      <c r="K4640" t="n">
        <v>0</v>
      </c>
      <c r="L4640" t="n">
        <v>0</v>
      </c>
      <c r="M4640" t="n">
        <v>0</v>
      </c>
      <c r="N4640" t="n">
        <v>0</v>
      </c>
      <c r="O4640" t="n">
        <v>0</v>
      </c>
      <c r="P4640" t="n">
        <v>0</v>
      </c>
      <c r="Q4640" t="n">
        <v>0</v>
      </c>
      <c r="R4640" s="2" t="inlineStr"/>
    </row>
    <row r="4641" ht="15" customHeight="1">
      <c r="A4641" t="inlineStr">
        <is>
          <t>A 54231-2023</t>
        </is>
      </c>
      <c r="B4641" s="1" t="n">
        <v>45232</v>
      </c>
      <c r="C4641" s="1" t="n">
        <v>45705</v>
      </c>
      <c r="D4641" t="inlineStr">
        <is>
          <t>UPPSALA LÄN</t>
        </is>
      </c>
      <c r="E4641" t="inlineStr">
        <is>
          <t>UPPSALA</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54224-2023</t>
        </is>
      </c>
      <c r="B4642" s="1" t="n">
        <v>45232</v>
      </c>
      <c r="C4642" s="1" t="n">
        <v>45705</v>
      </c>
      <c r="D4642" t="inlineStr">
        <is>
          <t>UPPSALA LÄN</t>
        </is>
      </c>
      <c r="E4642" t="inlineStr">
        <is>
          <t>ENKÖPING</t>
        </is>
      </c>
      <c r="G4642" t="n">
        <v>5.4</v>
      </c>
      <c r="H4642" t="n">
        <v>0</v>
      </c>
      <c r="I4642" t="n">
        <v>0</v>
      </c>
      <c r="J4642" t="n">
        <v>0</v>
      </c>
      <c r="K4642" t="n">
        <v>0</v>
      </c>
      <c r="L4642" t="n">
        <v>0</v>
      </c>
      <c r="M4642" t="n">
        <v>0</v>
      </c>
      <c r="N4642" t="n">
        <v>0</v>
      </c>
      <c r="O4642" t="n">
        <v>0</v>
      </c>
      <c r="P4642" t="n">
        <v>0</v>
      </c>
      <c r="Q4642" t="n">
        <v>0</v>
      </c>
      <c r="R4642" s="2" t="inlineStr"/>
    </row>
    <row r="4643" ht="15" customHeight="1">
      <c r="A4643" t="inlineStr">
        <is>
          <t>A 54228-2023</t>
        </is>
      </c>
      <c r="B4643" s="1" t="n">
        <v>45232</v>
      </c>
      <c r="C4643" s="1" t="n">
        <v>45705</v>
      </c>
      <c r="D4643" t="inlineStr">
        <is>
          <t>UPPSALA LÄN</t>
        </is>
      </c>
      <c r="E4643" t="inlineStr">
        <is>
          <t>ÖSTHAMMAR</t>
        </is>
      </c>
      <c r="G4643" t="n">
        <v>4</v>
      </c>
      <c r="H4643" t="n">
        <v>0</v>
      </c>
      <c r="I4643" t="n">
        <v>0</v>
      </c>
      <c r="J4643" t="n">
        <v>0</v>
      </c>
      <c r="K4643" t="n">
        <v>0</v>
      </c>
      <c r="L4643" t="n">
        <v>0</v>
      </c>
      <c r="M4643" t="n">
        <v>0</v>
      </c>
      <c r="N4643" t="n">
        <v>0</v>
      </c>
      <c r="O4643" t="n">
        <v>0</v>
      </c>
      <c r="P4643" t="n">
        <v>0</v>
      </c>
      <c r="Q4643" t="n">
        <v>0</v>
      </c>
      <c r="R4643" s="2" t="inlineStr"/>
    </row>
    <row r="4644" ht="15" customHeight="1">
      <c r="A4644" t="inlineStr">
        <is>
          <t>A 55529-2023</t>
        </is>
      </c>
      <c r="B4644" s="1" t="n">
        <v>45232</v>
      </c>
      <c r="C4644" s="1" t="n">
        <v>45705</v>
      </c>
      <c r="D4644" t="inlineStr">
        <is>
          <t>UPPSALA LÄN</t>
        </is>
      </c>
      <c r="E4644" t="inlineStr">
        <is>
          <t>UPPSALA</t>
        </is>
      </c>
      <c r="G4644" t="n">
        <v>3.8</v>
      </c>
      <c r="H4644" t="n">
        <v>0</v>
      </c>
      <c r="I4644" t="n">
        <v>0</v>
      </c>
      <c r="J4644" t="n">
        <v>0</v>
      </c>
      <c r="K4644" t="n">
        <v>0</v>
      </c>
      <c r="L4644" t="n">
        <v>0</v>
      </c>
      <c r="M4644" t="n">
        <v>0</v>
      </c>
      <c r="N4644" t="n">
        <v>0</v>
      </c>
      <c r="O4644" t="n">
        <v>0</v>
      </c>
      <c r="P4644" t="n">
        <v>0</v>
      </c>
      <c r="Q4644" t="n">
        <v>0</v>
      </c>
      <c r="R4644" s="2" t="inlineStr"/>
    </row>
    <row r="4645" ht="15" customHeight="1">
      <c r="A4645" t="inlineStr">
        <is>
          <t>A 54375-2023</t>
        </is>
      </c>
      <c r="B4645" s="1" t="n">
        <v>45233</v>
      </c>
      <c r="C4645" s="1" t="n">
        <v>45705</v>
      </c>
      <c r="D4645" t="inlineStr">
        <is>
          <t>UPPSALA LÄN</t>
        </is>
      </c>
      <c r="E4645" t="inlineStr">
        <is>
          <t>UPPSALA</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54366-2023</t>
        </is>
      </c>
      <c r="B4646" s="1" t="n">
        <v>45233</v>
      </c>
      <c r="C4646" s="1" t="n">
        <v>45705</v>
      </c>
      <c r="D4646" t="inlineStr">
        <is>
          <t>UPPSALA LÄN</t>
        </is>
      </c>
      <c r="E4646" t="inlineStr">
        <is>
          <t>ÖSTHAMMAR</t>
        </is>
      </c>
      <c r="F4646" t="inlineStr">
        <is>
          <t>Bergvik skog öst AB</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54474-2023</t>
        </is>
      </c>
      <c r="B4647" s="1" t="n">
        <v>45233</v>
      </c>
      <c r="C4647" s="1" t="n">
        <v>45705</v>
      </c>
      <c r="D4647" t="inlineStr">
        <is>
          <t>UPPSALA LÄN</t>
        </is>
      </c>
      <c r="E4647" t="inlineStr">
        <is>
          <t>UPPSALA</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54461-2023</t>
        </is>
      </c>
      <c r="B4648" s="1" t="n">
        <v>45233</v>
      </c>
      <c r="C4648" s="1" t="n">
        <v>45705</v>
      </c>
      <c r="D4648" t="inlineStr">
        <is>
          <t>UPPSALA LÄN</t>
        </is>
      </c>
      <c r="E4648" t="inlineStr">
        <is>
          <t>UPPSALA</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54369-2023</t>
        </is>
      </c>
      <c r="B4649" s="1" t="n">
        <v>45233</v>
      </c>
      <c r="C4649" s="1" t="n">
        <v>45705</v>
      </c>
      <c r="D4649" t="inlineStr">
        <is>
          <t>UPPSALA LÄN</t>
        </is>
      </c>
      <c r="E4649" t="inlineStr">
        <is>
          <t>ÖSTHAMMAR</t>
        </is>
      </c>
      <c r="F4649" t="inlineStr">
        <is>
          <t>Bergvik skog öst AB</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54368-2023</t>
        </is>
      </c>
      <c r="B4650" s="1" t="n">
        <v>45233</v>
      </c>
      <c r="C4650" s="1" t="n">
        <v>45705</v>
      </c>
      <c r="D4650" t="inlineStr">
        <is>
          <t>UPPSALA LÄN</t>
        </is>
      </c>
      <c r="E4650" t="inlineStr">
        <is>
          <t>ÖSTHAMMAR</t>
        </is>
      </c>
      <c r="F4650" t="inlineStr">
        <is>
          <t>Bergvik skog öst AB</t>
        </is>
      </c>
      <c r="G4650" t="n">
        <v>3</v>
      </c>
      <c r="H4650" t="n">
        <v>0</v>
      </c>
      <c r="I4650" t="n">
        <v>0</v>
      </c>
      <c r="J4650" t="n">
        <v>0</v>
      </c>
      <c r="K4650" t="n">
        <v>0</v>
      </c>
      <c r="L4650" t="n">
        <v>0</v>
      </c>
      <c r="M4650" t="n">
        <v>0</v>
      </c>
      <c r="N4650" t="n">
        <v>0</v>
      </c>
      <c r="O4650" t="n">
        <v>0</v>
      </c>
      <c r="P4650" t="n">
        <v>0</v>
      </c>
      <c r="Q4650" t="n">
        <v>0</v>
      </c>
      <c r="R4650" s="2" t="inlineStr"/>
    </row>
    <row r="4651" ht="15" customHeight="1">
      <c r="A4651" t="inlineStr">
        <is>
          <t>A 54808-2023</t>
        </is>
      </c>
      <c r="B4651" s="1" t="n">
        <v>45236</v>
      </c>
      <c r="C4651" s="1" t="n">
        <v>45705</v>
      </c>
      <c r="D4651" t="inlineStr">
        <is>
          <t>UPPSALA LÄN</t>
        </is>
      </c>
      <c r="E4651" t="inlineStr">
        <is>
          <t>UPPSALA</t>
        </is>
      </c>
      <c r="G4651" t="n">
        <v>4.1</v>
      </c>
      <c r="H4651" t="n">
        <v>0</v>
      </c>
      <c r="I4651" t="n">
        <v>0</v>
      </c>
      <c r="J4651" t="n">
        <v>0</v>
      </c>
      <c r="K4651" t="n">
        <v>0</v>
      </c>
      <c r="L4651" t="n">
        <v>0</v>
      </c>
      <c r="M4651" t="n">
        <v>0</v>
      </c>
      <c r="N4651" t="n">
        <v>0</v>
      </c>
      <c r="O4651" t="n">
        <v>0</v>
      </c>
      <c r="P4651" t="n">
        <v>0</v>
      </c>
      <c r="Q4651" t="n">
        <v>0</v>
      </c>
      <c r="R4651" s="2" t="inlineStr"/>
    </row>
    <row r="4652" ht="15" customHeight="1">
      <c r="A4652" t="inlineStr">
        <is>
          <t>A 54704-2023</t>
        </is>
      </c>
      <c r="B4652" s="1" t="n">
        <v>45236</v>
      </c>
      <c r="C4652" s="1" t="n">
        <v>45705</v>
      </c>
      <c r="D4652" t="inlineStr">
        <is>
          <t>UPPSALA LÄN</t>
        </is>
      </c>
      <c r="E4652" t="inlineStr">
        <is>
          <t>UPPSALA</t>
        </is>
      </c>
      <c r="G4652" t="n">
        <v>4.9</v>
      </c>
      <c r="H4652" t="n">
        <v>0</v>
      </c>
      <c r="I4652" t="n">
        <v>0</v>
      </c>
      <c r="J4652" t="n">
        <v>0</v>
      </c>
      <c r="K4652" t="n">
        <v>0</v>
      </c>
      <c r="L4652" t="n">
        <v>0</v>
      </c>
      <c r="M4652" t="n">
        <v>0</v>
      </c>
      <c r="N4652" t="n">
        <v>0</v>
      </c>
      <c r="O4652" t="n">
        <v>0</v>
      </c>
      <c r="P4652" t="n">
        <v>0</v>
      </c>
      <c r="Q4652" t="n">
        <v>0</v>
      </c>
      <c r="R4652" s="2" t="inlineStr"/>
    </row>
    <row r="4653" ht="15" customHeight="1">
      <c r="A4653" t="inlineStr">
        <is>
          <t>A 54783-2023</t>
        </is>
      </c>
      <c r="B4653" s="1" t="n">
        <v>45236</v>
      </c>
      <c r="C4653" s="1" t="n">
        <v>45705</v>
      </c>
      <c r="D4653" t="inlineStr">
        <is>
          <t>UPPSALA LÄN</t>
        </is>
      </c>
      <c r="E4653" t="inlineStr">
        <is>
          <t>UPPSALA</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54858-2023</t>
        </is>
      </c>
      <c r="B4654" s="1" t="n">
        <v>45236</v>
      </c>
      <c r="C4654" s="1" t="n">
        <v>45705</v>
      </c>
      <c r="D4654" t="inlineStr">
        <is>
          <t>UPPSALA LÄN</t>
        </is>
      </c>
      <c r="E4654" t="inlineStr">
        <is>
          <t>ÄLVKARLEBY</t>
        </is>
      </c>
      <c r="F4654" t="inlineStr">
        <is>
          <t>Bergvik skog öst AB</t>
        </is>
      </c>
      <c r="G4654" t="n">
        <v>13.3</v>
      </c>
      <c r="H4654" t="n">
        <v>0</v>
      </c>
      <c r="I4654" t="n">
        <v>0</v>
      </c>
      <c r="J4654" t="n">
        <v>0</v>
      </c>
      <c r="K4654" t="n">
        <v>0</v>
      </c>
      <c r="L4654" t="n">
        <v>0</v>
      </c>
      <c r="M4654" t="n">
        <v>0</v>
      </c>
      <c r="N4654" t="n">
        <v>0</v>
      </c>
      <c r="O4654" t="n">
        <v>0</v>
      </c>
      <c r="P4654" t="n">
        <v>0</v>
      </c>
      <c r="Q4654" t="n">
        <v>0</v>
      </c>
      <c r="R4654" s="2" t="inlineStr"/>
    </row>
    <row r="4655" ht="15" customHeight="1">
      <c r="A4655" t="inlineStr">
        <is>
          <t>A 56364-2023</t>
        </is>
      </c>
      <c r="B4655" s="1" t="n">
        <v>45236</v>
      </c>
      <c r="C4655" s="1" t="n">
        <v>45705</v>
      </c>
      <c r="D4655" t="inlineStr">
        <is>
          <t>UPPSALA LÄN</t>
        </is>
      </c>
      <c r="E4655" t="inlineStr">
        <is>
          <t>KNIVSTA</t>
        </is>
      </c>
      <c r="G4655" t="n">
        <v>5.4</v>
      </c>
      <c r="H4655" t="n">
        <v>0</v>
      </c>
      <c r="I4655" t="n">
        <v>0</v>
      </c>
      <c r="J4655" t="n">
        <v>0</v>
      </c>
      <c r="K4655" t="n">
        <v>0</v>
      </c>
      <c r="L4655" t="n">
        <v>0</v>
      </c>
      <c r="M4655" t="n">
        <v>0</v>
      </c>
      <c r="N4655" t="n">
        <v>0</v>
      </c>
      <c r="O4655" t="n">
        <v>0</v>
      </c>
      <c r="P4655" t="n">
        <v>0</v>
      </c>
      <c r="Q4655" t="n">
        <v>0</v>
      </c>
      <c r="R4655" s="2" t="inlineStr"/>
    </row>
    <row r="4656" ht="15" customHeight="1">
      <c r="A4656" t="inlineStr">
        <is>
          <t>A 55230-2023</t>
        </is>
      </c>
      <c r="B4656" s="1" t="n">
        <v>45237</v>
      </c>
      <c r="C4656" s="1" t="n">
        <v>45705</v>
      </c>
      <c r="D4656" t="inlineStr">
        <is>
          <t>UPPSALA LÄN</t>
        </is>
      </c>
      <c r="E4656" t="inlineStr">
        <is>
          <t>ÖSTHAMMAR</t>
        </is>
      </c>
      <c r="F4656" t="inlineStr">
        <is>
          <t>Övriga Aktiebolag</t>
        </is>
      </c>
      <c r="G4656" t="n">
        <v>19.7</v>
      </c>
      <c r="H4656" t="n">
        <v>0</v>
      </c>
      <c r="I4656" t="n">
        <v>0</v>
      </c>
      <c r="J4656" t="n">
        <v>0</v>
      </c>
      <c r="K4656" t="n">
        <v>0</v>
      </c>
      <c r="L4656" t="n">
        <v>0</v>
      </c>
      <c r="M4656" t="n">
        <v>0</v>
      </c>
      <c r="N4656" t="n">
        <v>0</v>
      </c>
      <c r="O4656" t="n">
        <v>0</v>
      </c>
      <c r="P4656" t="n">
        <v>0</v>
      </c>
      <c r="Q4656" t="n">
        <v>0</v>
      </c>
      <c r="R4656" s="2" t="inlineStr"/>
    </row>
    <row r="4657" ht="15" customHeight="1">
      <c r="A4657" t="inlineStr">
        <is>
          <t>A 55252-2023</t>
        </is>
      </c>
      <c r="B4657" s="1" t="n">
        <v>45237</v>
      </c>
      <c r="C4657" s="1" t="n">
        <v>45705</v>
      </c>
      <c r="D4657" t="inlineStr">
        <is>
          <t>UPPSALA LÄN</t>
        </is>
      </c>
      <c r="E4657" t="inlineStr">
        <is>
          <t>TIERP</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55387-2023</t>
        </is>
      </c>
      <c r="B4658" s="1" t="n">
        <v>45238</v>
      </c>
      <c r="C4658" s="1" t="n">
        <v>45705</v>
      </c>
      <c r="D4658" t="inlineStr">
        <is>
          <t>UPPSALA LÄN</t>
        </is>
      </c>
      <c r="E4658" t="inlineStr">
        <is>
          <t>ÖSTHAMMAR</t>
        </is>
      </c>
      <c r="F4658" t="inlineStr">
        <is>
          <t>Bergvik skog öst AB</t>
        </is>
      </c>
      <c r="G4658" t="n">
        <v>8.199999999999999</v>
      </c>
      <c r="H4658" t="n">
        <v>0</v>
      </c>
      <c r="I4658" t="n">
        <v>0</v>
      </c>
      <c r="J4658" t="n">
        <v>0</v>
      </c>
      <c r="K4658" t="n">
        <v>0</v>
      </c>
      <c r="L4658" t="n">
        <v>0</v>
      </c>
      <c r="M4658" t="n">
        <v>0</v>
      </c>
      <c r="N4658" t="n">
        <v>0</v>
      </c>
      <c r="O4658" t="n">
        <v>0</v>
      </c>
      <c r="P4658" t="n">
        <v>0</v>
      </c>
      <c r="Q4658" t="n">
        <v>0</v>
      </c>
      <c r="R4658" s="2" t="inlineStr"/>
    </row>
    <row r="4659" ht="15" customHeight="1">
      <c r="A4659" t="inlineStr">
        <is>
          <t>A 55598-2023</t>
        </is>
      </c>
      <c r="B4659" s="1" t="n">
        <v>45238</v>
      </c>
      <c r="C4659" s="1" t="n">
        <v>45705</v>
      </c>
      <c r="D4659" t="inlineStr">
        <is>
          <t>UPPSALA LÄN</t>
        </is>
      </c>
      <c r="E4659" t="inlineStr">
        <is>
          <t>UPPSALA</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55609-2023</t>
        </is>
      </c>
      <c r="B4660" s="1" t="n">
        <v>45238</v>
      </c>
      <c r="C4660" s="1" t="n">
        <v>45705</v>
      </c>
      <c r="D4660" t="inlineStr">
        <is>
          <t>UPPSALA LÄN</t>
        </is>
      </c>
      <c r="E4660" t="inlineStr">
        <is>
          <t>ENKÖPING</t>
        </is>
      </c>
      <c r="F4660" t="inlineStr">
        <is>
          <t>Allmännings- och besparingsskogar</t>
        </is>
      </c>
      <c r="G4660" t="n">
        <v>13.3</v>
      </c>
      <c r="H4660" t="n">
        <v>0</v>
      </c>
      <c r="I4660" t="n">
        <v>0</v>
      </c>
      <c r="J4660" t="n">
        <v>0</v>
      </c>
      <c r="K4660" t="n">
        <v>0</v>
      </c>
      <c r="L4660" t="n">
        <v>0</v>
      </c>
      <c r="M4660" t="n">
        <v>0</v>
      </c>
      <c r="N4660" t="n">
        <v>0</v>
      </c>
      <c r="O4660" t="n">
        <v>0</v>
      </c>
      <c r="P4660" t="n">
        <v>0</v>
      </c>
      <c r="Q4660" t="n">
        <v>0</v>
      </c>
      <c r="R4660" s="2" t="inlineStr"/>
    </row>
    <row r="4661" ht="15" customHeight="1">
      <c r="A4661" t="inlineStr">
        <is>
          <t>A 55530-2023</t>
        </is>
      </c>
      <c r="B4661" s="1" t="n">
        <v>45238</v>
      </c>
      <c r="C4661" s="1" t="n">
        <v>45705</v>
      </c>
      <c r="D4661" t="inlineStr">
        <is>
          <t>UPPSALA LÄN</t>
        </is>
      </c>
      <c r="E4661" t="inlineStr">
        <is>
          <t>TIERP</t>
        </is>
      </c>
      <c r="F4661" t="inlineStr">
        <is>
          <t>Bergvik skog väst AB</t>
        </is>
      </c>
      <c r="G4661" t="n">
        <v>9.199999999999999</v>
      </c>
      <c r="H4661" t="n">
        <v>0</v>
      </c>
      <c r="I4661" t="n">
        <v>0</v>
      </c>
      <c r="J4661" t="n">
        <v>0</v>
      </c>
      <c r="K4661" t="n">
        <v>0</v>
      </c>
      <c r="L4661" t="n">
        <v>0</v>
      </c>
      <c r="M4661" t="n">
        <v>0</v>
      </c>
      <c r="N4661" t="n">
        <v>0</v>
      </c>
      <c r="O4661" t="n">
        <v>0</v>
      </c>
      <c r="P4661" t="n">
        <v>0</v>
      </c>
      <c r="Q4661" t="n">
        <v>0</v>
      </c>
      <c r="R4661" s="2" t="inlineStr"/>
    </row>
    <row r="4662" ht="15" customHeight="1">
      <c r="A4662" t="inlineStr">
        <is>
          <t>A 55711-2023</t>
        </is>
      </c>
      <c r="B4662" s="1" t="n">
        <v>45239</v>
      </c>
      <c r="C4662" s="1" t="n">
        <v>45705</v>
      </c>
      <c r="D4662" t="inlineStr">
        <is>
          <t>UPPSALA LÄN</t>
        </is>
      </c>
      <c r="E4662" t="inlineStr">
        <is>
          <t>TIERP</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55807-2023</t>
        </is>
      </c>
      <c r="B4663" s="1" t="n">
        <v>45239</v>
      </c>
      <c r="C4663" s="1" t="n">
        <v>45705</v>
      </c>
      <c r="D4663" t="inlineStr">
        <is>
          <t>UPPSALA LÄN</t>
        </is>
      </c>
      <c r="E4663" t="inlineStr">
        <is>
          <t>TIERP</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55837-2023</t>
        </is>
      </c>
      <c r="B4664" s="1" t="n">
        <v>45239</v>
      </c>
      <c r="C4664" s="1" t="n">
        <v>45705</v>
      </c>
      <c r="D4664" t="inlineStr">
        <is>
          <t>UPPSALA LÄN</t>
        </is>
      </c>
      <c r="E4664" t="inlineStr">
        <is>
          <t>ÖSTHAMMAR</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56886-2023</t>
        </is>
      </c>
      <c r="B4665" s="1" t="n">
        <v>45239</v>
      </c>
      <c r="C4665" s="1" t="n">
        <v>45705</v>
      </c>
      <c r="D4665" t="inlineStr">
        <is>
          <t>UPPSALA LÄN</t>
        </is>
      </c>
      <c r="E4665" t="inlineStr">
        <is>
          <t>ENKÖPING</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57201-2023</t>
        </is>
      </c>
      <c r="B4666" s="1" t="n">
        <v>45239</v>
      </c>
      <c r="C4666" s="1" t="n">
        <v>45705</v>
      </c>
      <c r="D4666" t="inlineStr">
        <is>
          <t>UPPSALA LÄN</t>
        </is>
      </c>
      <c r="E4666" t="inlineStr">
        <is>
          <t>TIERP</t>
        </is>
      </c>
      <c r="F4666" t="inlineStr">
        <is>
          <t>Bergvik skog väst AB</t>
        </is>
      </c>
      <c r="G4666" t="n">
        <v>4.5</v>
      </c>
      <c r="H4666" t="n">
        <v>0</v>
      </c>
      <c r="I4666" t="n">
        <v>0</v>
      </c>
      <c r="J4666" t="n">
        <v>0</v>
      </c>
      <c r="K4666" t="n">
        <v>0</v>
      </c>
      <c r="L4666" t="n">
        <v>0</v>
      </c>
      <c r="M4666" t="n">
        <v>0</v>
      </c>
      <c r="N4666" t="n">
        <v>0</v>
      </c>
      <c r="O4666" t="n">
        <v>0</v>
      </c>
      <c r="P4666" t="n">
        <v>0</v>
      </c>
      <c r="Q4666" t="n">
        <v>0</v>
      </c>
      <c r="R4666" s="2" t="inlineStr"/>
    </row>
    <row r="4667" ht="15" customHeight="1">
      <c r="A4667" t="inlineStr">
        <is>
          <t>A 55818-2023</t>
        </is>
      </c>
      <c r="B4667" s="1" t="n">
        <v>45239</v>
      </c>
      <c r="C4667" s="1" t="n">
        <v>45705</v>
      </c>
      <c r="D4667" t="inlineStr">
        <is>
          <t>UPPSALA LÄN</t>
        </is>
      </c>
      <c r="E4667" t="inlineStr">
        <is>
          <t>TIERP</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56084-2023</t>
        </is>
      </c>
      <c r="B4668" s="1" t="n">
        <v>45240</v>
      </c>
      <c r="C4668" s="1" t="n">
        <v>45705</v>
      </c>
      <c r="D4668" t="inlineStr">
        <is>
          <t>UPPSALA LÄN</t>
        </is>
      </c>
      <c r="E4668" t="inlineStr">
        <is>
          <t>UPPSALA</t>
        </is>
      </c>
      <c r="G4668" t="n">
        <v>3.4</v>
      </c>
      <c r="H4668" t="n">
        <v>0</v>
      </c>
      <c r="I4668" t="n">
        <v>0</v>
      </c>
      <c r="J4668" t="n">
        <v>0</v>
      </c>
      <c r="K4668" t="n">
        <v>0</v>
      </c>
      <c r="L4668" t="n">
        <v>0</v>
      </c>
      <c r="M4668" t="n">
        <v>0</v>
      </c>
      <c r="N4668" t="n">
        <v>0</v>
      </c>
      <c r="O4668" t="n">
        <v>0</v>
      </c>
      <c r="P4668" t="n">
        <v>0</v>
      </c>
      <c r="Q4668" t="n">
        <v>0</v>
      </c>
      <c r="R4668" s="2" t="inlineStr"/>
    </row>
    <row r="4669" ht="15" customHeight="1">
      <c r="A4669" t="inlineStr">
        <is>
          <t>A 56082-2023</t>
        </is>
      </c>
      <c r="B4669" s="1" t="n">
        <v>45240</v>
      </c>
      <c r="C4669" s="1" t="n">
        <v>45705</v>
      </c>
      <c r="D4669" t="inlineStr">
        <is>
          <t>UPPSALA LÄN</t>
        </is>
      </c>
      <c r="E4669" t="inlineStr">
        <is>
          <t>UPPSALA</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55962-2023</t>
        </is>
      </c>
      <c r="B4670" s="1" t="n">
        <v>45240</v>
      </c>
      <c r="C4670" s="1" t="n">
        <v>45705</v>
      </c>
      <c r="D4670" t="inlineStr">
        <is>
          <t>UPPSALA LÄN</t>
        </is>
      </c>
      <c r="E4670" t="inlineStr">
        <is>
          <t>HÅBO</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56105-2023</t>
        </is>
      </c>
      <c r="B4671" s="1" t="n">
        <v>45240</v>
      </c>
      <c r="C4671" s="1" t="n">
        <v>45705</v>
      </c>
      <c r="D4671" t="inlineStr">
        <is>
          <t>UPPSALA LÄN</t>
        </is>
      </c>
      <c r="E4671" t="inlineStr">
        <is>
          <t>UPPSALA</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55970-2023</t>
        </is>
      </c>
      <c r="B4672" s="1" t="n">
        <v>45240</v>
      </c>
      <c r="C4672" s="1" t="n">
        <v>45705</v>
      </c>
      <c r="D4672" t="inlineStr">
        <is>
          <t>UPPSALA LÄN</t>
        </is>
      </c>
      <c r="E4672" t="inlineStr">
        <is>
          <t>HEBY</t>
        </is>
      </c>
      <c r="G4672" t="n">
        <v>6.2</v>
      </c>
      <c r="H4672" t="n">
        <v>0</v>
      </c>
      <c r="I4672" t="n">
        <v>0</v>
      </c>
      <c r="J4672" t="n">
        <v>0</v>
      </c>
      <c r="K4672" t="n">
        <v>0</v>
      </c>
      <c r="L4672" t="n">
        <v>0</v>
      </c>
      <c r="M4672" t="n">
        <v>0</v>
      </c>
      <c r="N4672" t="n">
        <v>0</v>
      </c>
      <c r="O4672" t="n">
        <v>0</v>
      </c>
      <c r="P4672" t="n">
        <v>0</v>
      </c>
      <c r="Q4672" t="n">
        <v>0</v>
      </c>
      <c r="R4672" s="2" t="inlineStr"/>
      <c r="U4672">
        <f>HYPERLINK("https://klasma.github.io/Logging_0331/knärot/A 55970-2023 karta knärot.png", "A 55970-2023")</f>
        <v/>
      </c>
      <c r="V4672">
        <f>HYPERLINK("https://klasma.github.io/Logging_0331/klagomål/A 55970-2023 FSC-klagomål.docx", "A 55970-2023")</f>
        <v/>
      </c>
      <c r="W4672">
        <f>HYPERLINK("https://klasma.github.io/Logging_0331/klagomålsmail/A 55970-2023 FSC-klagomål mail.docx", "A 55970-2023")</f>
        <v/>
      </c>
      <c r="X4672">
        <f>HYPERLINK("https://klasma.github.io/Logging_0331/tillsyn/A 55970-2023 tillsynsbegäran.docx", "A 55970-2023")</f>
        <v/>
      </c>
      <c r="Y4672">
        <f>HYPERLINK("https://klasma.github.io/Logging_0331/tillsynsmail/A 55970-2023 tillsynsbegäran mail.docx", "A 55970-2023")</f>
        <v/>
      </c>
    </row>
    <row r="4673" ht="15" customHeight="1">
      <c r="A4673" t="inlineStr">
        <is>
          <t>A 56102-2023</t>
        </is>
      </c>
      <c r="B4673" s="1" t="n">
        <v>45240</v>
      </c>
      <c r="C4673" s="1" t="n">
        <v>45705</v>
      </c>
      <c r="D4673" t="inlineStr">
        <is>
          <t>UPPSALA LÄN</t>
        </is>
      </c>
      <c r="E4673" t="inlineStr">
        <is>
          <t>ÖSTHAMMAR</t>
        </is>
      </c>
      <c r="F4673" t="inlineStr">
        <is>
          <t>Bergvik skog öst AB</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56077-2023</t>
        </is>
      </c>
      <c r="B4674" s="1" t="n">
        <v>45240</v>
      </c>
      <c r="C4674" s="1" t="n">
        <v>45705</v>
      </c>
      <c r="D4674" t="inlineStr">
        <is>
          <t>UPPSALA LÄN</t>
        </is>
      </c>
      <c r="E4674" t="inlineStr">
        <is>
          <t>UPPSALA</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56278-2023</t>
        </is>
      </c>
      <c r="B4675" s="1" t="n">
        <v>45241</v>
      </c>
      <c r="C4675" s="1" t="n">
        <v>45705</v>
      </c>
      <c r="D4675" t="inlineStr">
        <is>
          <t>UPPSALA LÄN</t>
        </is>
      </c>
      <c r="E4675" t="inlineStr">
        <is>
          <t>UPPSALA</t>
        </is>
      </c>
      <c r="G4675" t="n">
        <v>3.8</v>
      </c>
      <c r="H4675" t="n">
        <v>0</v>
      </c>
      <c r="I4675" t="n">
        <v>0</v>
      </c>
      <c r="J4675" t="n">
        <v>0</v>
      </c>
      <c r="K4675" t="n">
        <v>0</v>
      </c>
      <c r="L4675" t="n">
        <v>0</v>
      </c>
      <c r="M4675" t="n">
        <v>0</v>
      </c>
      <c r="N4675" t="n">
        <v>0</v>
      </c>
      <c r="O4675" t="n">
        <v>0</v>
      </c>
      <c r="P4675" t="n">
        <v>0</v>
      </c>
      <c r="Q4675" t="n">
        <v>0</v>
      </c>
      <c r="R4675" s="2" t="inlineStr"/>
    </row>
    <row r="4676" ht="15" customHeight="1">
      <c r="A4676" t="inlineStr">
        <is>
          <t>A 56292-2023</t>
        </is>
      </c>
      <c r="B4676" s="1" t="n">
        <v>45242</v>
      </c>
      <c r="C4676" s="1" t="n">
        <v>45705</v>
      </c>
      <c r="D4676" t="inlineStr">
        <is>
          <t>UPPSALA LÄN</t>
        </is>
      </c>
      <c r="E4676" t="inlineStr">
        <is>
          <t>TIERP</t>
        </is>
      </c>
      <c r="G4676" t="n">
        <v>11.5</v>
      </c>
      <c r="H4676" t="n">
        <v>0</v>
      </c>
      <c r="I4676" t="n">
        <v>0</v>
      </c>
      <c r="J4676" t="n">
        <v>0</v>
      </c>
      <c r="K4676" t="n">
        <v>0</v>
      </c>
      <c r="L4676" t="n">
        <v>0</v>
      </c>
      <c r="M4676" t="n">
        <v>0</v>
      </c>
      <c r="N4676" t="n">
        <v>0</v>
      </c>
      <c r="O4676" t="n">
        <v>0</v>
      </c>
      <c r="P4676" t="n">
        <v>0</v>
      </c>
      <c r="Q4676" t="n">
        <v>0</v>
      </c>
      <c r="R4676" s="2" t="inlineStr"/>
    </row>
    <row r="4677" ht="15" customHeight="1">
      <c r="A4677" t="inlineStr">
        <is>
          <t>A 56642-2023</t>
        </is>
      </c>
      <c r="B4677" s="1" t="n">
        <v>45243</v>
      </c>
      <c r="C4677" s="1" t="n">
        <v>45705</v>
      </c>
      <c r="D4677" t="inlineStr">
        <is>
          <t>UPPSALA LÄN</t>
        </is>
      </c>
      <c r="E4677" t="inlineStr">
        <is>
          <t>UPPSALA</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56398-2023</t>
        </is>
      </c>
      <c r="B4678" s="1" t="n">
        <v>45243</v>
      </c>
      <c r="C4678" s="1" t="n">
        <v>45705</v>
      </c>
      <c r="D4678" t="inlineStr">
        <is>
          <t>UPPSALA LÄN</t>
        </is>
      </c>
      <c r="E4678" t="inlineStr">
        <is>
          <t>HEBY</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56418-2023</t>
        </is>
      </c>
      <c r="B4679" s="1" t="n">
        <v>45243</v>
      </c>
      <c r="C4679" s="1" t="n">
        <v>45705</v>
      </c>
      <c r="D4679" t="inlineStr">
        <is>
          <t>UPPSALA LÄN</t>
        </is>
      </c>
      <c r="E4679" t="inlineStr">
        <is>
          <t>ÖSTHAMMAR</t>
        </is>
      </c>
      <c r="F4679" t="inlineStr">
        <is>
          <t>Bergvik skog öst AB</t>
        </is>
      </c>
      <c r="G4679" t="n">
        <v>5.7</v>
      </c>
      <c r="H4679" t="n">
        <v>0</v>
      </c>
      <c r="I4679" t="n">
        <v>0</v>
      </c>
      <c r="J4679" t="n">
        <v>0</v>
      </c>
      <c r="K4679" t="n">
        <v>0</v>
      </c>
      <c r="L4679" t="n">
        <v>0</v>
      </c>
      <c r="M4679" t="n">
        <v>0</v>
      </c>
      <c r="N4679" t="n">
        <v>0</v>
      </c>
      <c r="O4679" t="n">
        <v>0</v>
      </c>
      <c r="P4679" t="n">
        <v>0</v>
      </c>
      <c r="Q4679" t="n">
        <v>0</v>
      </c>
      <c r="R4679" s="2" t="inlineStr"/>
    </row>
    <row r="4680" ht="15" customHeight="1">
      <c r="A4680" t="inlineStr">
        <is>
          <t>A 56497-2023</t>
        </is>
      </c>
      <c r="B4680" s="1" t="n">
        <v>45243</v>
      </c>
      <c r="C4680" s="1" t="n">
        <v>45705</v>
      </c>
      <c r="D4680" t="inlineStr">
        <is>
          <t>UPPSALA LÄN</t>
        </is>
      </c>
      <c r="E4680" t="inlineStr">
        <is>
          <t>TIERP</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56620-2023</t>
        </is>
      </c>
      <c r="B4681" s="1" t="n">
        <v>45243</v>
      </c>
      <c r="C4681" s="1" t="n">
        <v>45705</v>
      </c>
      <c r="D4681" t="inlineStr">
        <is>
          <t>UPPSALA LÄN</t>
        </is>
      </c>
      <c r="E4681" t="inlineStr">
        <is>
          <t>HEBY</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56434-2023</t>
        </is>
      </c>
      <c r="B4682" s="1" t="n">
        <v>45243</v>
      </c>
      <c r="C4682" s="1" t="n">
        <v>45705</v>
      </c>
      <c r="D4682" t="inlineStr">
        <is>
          <t>UPPSALA LÄN</t>
        </is>
      </c>
      <c r="E4682" t="inlineStr">
        <is>
          <t>ÖSTHAMMAR</t>
        </is>
      </c>
      <c r="F4682" t="inlineStr">
        <is>
          <t>Bergvik skog öst AB</t>
        </is>
      </c>
      <c r="G4682" t="n">
        <v>5.7</v>
      </c>
      <c r="H4682" t="n">
        <v>0</v>
      </c>
      <c r="I4682" t="n">
        <v>0</v>
      </c>
      <c r="J4682" t="n">
        <v>0</v>
      </c>
      <c r="K4682" t="n">
        <v>0</v>
      </c>
      <c r="L4682" t="n">
        <v>0</v>
      </c>
      <c r="M4682" t="n">
        <v>0</v>
      </c>
      <c r="N4682" t="n">
        <v>0</v>
      </c>
      <c r="O4682" t="n">
        <v>0</v>
      </c>
      <c r="P4682" t="n">
        <v>0</v>
      </c>
      <c r="Q4682" t="n">
        <v>0</v>
      </c>
      <c r="R4682" s="2" t="inlineStr"/>
    </row>
    <row r="4683" ht="15" customHeight="1">
      <c r="A4683" t="inlineStr">
        <is>
          <t>A 56623-2023</t>
        </is>
      </c>
      <c r="B4683" s="1" t="n">
        <v>45243</v>
      </c>
      <c r="C4683" s="1" t="n">
        <v>45705</v>
      </c>
      <c r="D4683" t="inlineStr">
        <is>
          <t>UPPSALA LÄN</t>
        </is>
      </c>
      <c r="E4683" t="inlineStr">
        <is>
          <t>HEBY</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56583-2023</t>
        </is>
      </c>
      <c r="B4684" s="1" t="n">
        <v>45243</v>
      </c>
      <c r="C4684" s="1" t="n">
        <v>45705</v>
      </c>
      <c r="D4684" t="inlineStr">
        <is>
          <t>UPPSALA LÄN</t>
        </is>
      </c>
      <c r="E4684" t="inlineStr">
        <is>
          <t>TIERP</t>
        </is>
      </c>
      <c r="F4684" t="inlineStr">
        <is>
          <t>Bergvik skog väst AB</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56616-2023</t>
        </is>
      </c>
      <c r="B4685" s="1" t="n">
        <v>45243</v>
      </c>
      <c r="C4685" s="1" t="n">
        <v>45705</v>
      </c>
      <c r="D4685" t="inlineStr">
        <is>
          <t>UPPSALA LÄN</t>
        </is>
      </c>
      <c r="E4685" t="inlineStr">
        <is>
          <t>HEBY</t>
        </is>
      </c>
      <c r="G4685" t="n">
        <v>4.6</v>
      </c>
      <c r="H4685" t="n">
        <v>0</v>
      </c>
      <c r="I4685" t="n">
        <v>0</v>
      </c>
      <c r="J4685" t="n">
        <v>0</v>
      </c>
      <c r="K4685" t="n">
        <v>0</v>
      </c>
      <c r="L4685" t="n">
        <v>0</v>
      </c>
      <c r="M4685" t="n">
        <v>0</v>
      </c>
      <c r="N4685" t="n">
        <v>0</v>
      </c>
      <c r="O4685" t="n">
        <v>0</v>
      </c>
      <c r="P4685" t="n">
        <v>0</v>
      </c>
      <c r="Q4685" t="n">
        <v>0</v>
      </c>
      <c r="R4685" s="2" t="inlineStr"/>
    </row>
    <row r="4686" ht="15" customHeight="1">
      <c r="A4686" t="inlineStr">
        <is>
          <t>A 56790-2023</t>
        </is>
      </c>
      <c r="B4686" s="1" t="n">
        <v>45244</v>
      </c>
      <c r="C4686" s="1" t="n">
        <v>45705</v>
      </c>
      <c r="D4686" t="inlineStr">
        <is>
          <t>UPPSALA LÄN</t>
        </is>
      </c>
      <c r="E4686" t="inlineStr">
        <is>
          <t>ÖSTHAMMAR</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56798-2023</t>
        </is>
      </c>
      <c r="B4687" s="1" t="n">
        <v>45244</v>
      </c>
      <c r="C4687" s="1" t="n">
        <v>45705</v>
      </c>
      <c r="D4687" t="inlineStr">
        <is>
          <t>UPPSALA LÄN</t>
        </is>
      </c>
      <c r="E4687" t="inlineStr">
        <is>
          <t>ÖSTHAMMAR</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56834-2023</t>
        </is>
      </c>
      <c r="B4688" s="1" t="n">
        <v>45244</v>
      </c>
      <c r="C4688" s="1" t="n">
        <v>45705</v>
      </c>
      <c r="D4688" t="inlineStr">
        <is>
          <t>UPPSALA LÄN</t>
        </is>
      </c>
      <c r="E4688" t="inlineStr">
        <is>
          <t>HEBY</t>
        </is>
      </c>
      <c r="F4688" t="inlineStr">
        <is>
          <t>Kyrkan</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56852-2023</t>
        </is>
      </c>
      <c r="B4689" s="1" t="n">
        <v>45244</v>
      </c>
      <c r="C4689" s="1" t="n">
        <v>45705</v>
      </c>
      <c r="D4689" t="inlineStr">
        <is>
          <t>UPPSALA LÄN</t>
        </is>
      </c>
      <c r="E4689" t="inlineStr">
        <is>
          <t>UPPSALA</t>
        </is>
      </c>
      <c r="F4689" t="inlineStr">
        <is>
          <t>Holmen skog AB</t>
        </is>
      </c>
      <c r="G4689" t="n">
        <v>9.1</v>
      </c>
      <c r="H4689" t="n">
        <v>0</v>
      </c>
      <c r="I4689" t="n">
        <v>0</v>
      </c>
      <c r="J4689" t="n">
        <v>0</v>
      </c>
      <c r="K4689" t="n">
        <v>0</v>
      </c>
      <c r="L4689" t="n">
        <v>0</v>
      </c>
      <c r="M4689" t="n">
        <v>0</v>
      </c>
      <c r="N4689" t="n">
        <v>0</v>
      </c>
      <c r="O4689" t="n">
        <v>0</v>
      </c>
      <c r="P4689" t="n">
        <v>0</v>
      </c>
      <c r="Q4689" t="n">
        <v>0</v>
      </c>
      <c r="R4689" s="2" t="inlineStr"/>
    </row>
    <row r="4690" ht="15" customHeight="1">
      <c r="A4690" t="inlineStr">
        <is>
          <t>A 56872-2023</t>
        </is>
      </c>
      <c r="B4690" s="1" t="n">
        <v>45244</v>
      </c>
      <c r="C4690" s="1" t="n">
        <v>45705</v>
      </c>
      <c r="D4690" t="inlineStr">
        <is>
          <t>UPPSALA LÄN</t>
        </is>
      </c>
      <c r="E4690" t="inlineStr">
        <is>
          <t>UPPSALA</t>
        </is>
      </c>
      <c r="F4690" t="inlineStr">
        <is>
          <t>Holmen skog AB</t>
        </is>
      </c>
      <c r="G4690" t="n">
        <v>3.5</v>
      </c>
      <c r="H4690" t="n">
        <v>0</v>
      </c>
      <c r="I4690" t="n">
        <v>0</v>
      </c>
      <c r="J4690" t="n">
        <v>0</v>
      </c>
      <c r="K4690" t="n">
        <v>0</v>
      </c>
      <c r="L4690" t="n">
        <v>0</v>
      </c>
      <c r="M4690" t="n">
        <v>0</v>
      </c>
      <c r="N4690" t="n">
        <v>0</v>
      </c>
      <c r="O4690" t="n">
        <v>0</v>
      </c>
      <c r="P4690" t="n">
        <v>0</v>
      </c>
      <c r="Q4690" t="n">
        <v>0</v>
      </c>
      <c r="R4690" s="2" t="inlineStr"/>
    </row>
    <row r="4691" ht="15" customHeight="1">
      <c r="A4691" t="inlineStr">
        <is>
          <t>A 57018-2023</t>
        </is>
      </c>
      <c r="B4691" s="1" t="n">
        <v>45244</v>
      </c>
      <c r="C4691" s="1" t="n">
        <v>45705</v>
      </c>
      <c r="D4691" t="inlineStr">
        <is>
          <t>UPPSALA LÄN</t>
        </is>
      </c>
      <c r="E4691" t="inlineStr">
        <is>
          <t>ENKÖPING</t>
        </is>
      </c>
      <c r="G4691" t="n">
        <v>3.9</v>
      </c>
      <c r="H4691" t="n">
        <v>0</v>
      </c>
      <c r="I4691" t="n">
        <v>0</v>
      </c>
      <c r="J4691" t="n">
        <v>0</v>
      </c>
      <c r="K4691" t="n">
        <v>0</v>
      </c>
      <c r="L4691" t="n">
        <v>0</v>
      </c>
      <c r="M4691" t="n">
        <v>0</v>
      </c>
      <c r="N4691" t="n">
        <v>0</v>
      </c>
      <c r="O4691" t="n">
        <v>0</v>
      </c>
      <c r="P4691" t="n">
        <v>0</v>
      </c>
      <c r="Q4691" t="n">
        <v>0</v>
      </c>
      <c r="R4691" s="2" t="inlineStr"/>
    </row>
    <row r="4692" ht="15" customHeight="1">
      <c r="A4692" t="inlineStr">
        <is>
          <t>A 56903-2023</t>
        </is>
      </c>
      <c r="B4692" s="1" t="n">
        <v>45244</v>
      </c>
      <c r="C4692" s="1" t="n">
        <v>45705</v>
      </c>
      <c r="D4692" t="inlineStr">
        <is>
          <t>UPPSALA LÄN</t>
        </is>
      </c>
      <c r="E4692" t="inlineStr">
        <is>
          <t>ÖSTHAMMAR</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56939-2023</t>
        </is>
      </c>
      <c r="B4693" s="1" t="n">
        <v>45244</v>
      </c>
      <c r="C4693" s="1" t="n">
        <v>45705</v>
      </c>
      <c r="D4693" t="inlineStr">
        <is>
          <t>UPPSALA LÄN</t>
        </is>
      </c>
      <c r="E4693" t="inlineStr">
        <is>
          <t>TIERP</t>
        </is>
      </c>
      <c r="G4693" t="n">
        <v>5.3</v>
      </c>
      <c r="H4693" t="n">
        <v>0</v>
      </c>
      <c r="I4693" t="n">
        <v>0</v>
      </c>
      <c r="J4693" t="n">
        <v>0</v>
      </c>
      <c r="K4693" t="n">
        <v>0</v>
      </c>
      <c r="L4693" t="n">
        <v>0</v>
      </c>
      <c r="M4693" t="n">
        <v>0</v>
      </c>
      <c r="N4693" t="n">
        <v>0</v>
      </c>
      <c r="O4693" t="n">
        <v>0</v>
      </c>
      <c r="P4693" t="n">
        <v>0</v>
      </c>
      <c r="Q4693" t="n">
        <v>0</v>
      </c>
      <c r="R4693" s="2" t="inlineStr"/>
    </row>
    <row r="4694" ht="15" customHeight="1">
      <c r="A4694" t="inlineStr">
        <is>
          <t>A 56920-2023</t>
        </is>
      </c>
      <c r="B4694" s="1" t="n">
        <v>45244</v>
      </c>
      <c r="C4694" s="1" t="n">
        <v>45705</v>
      </c>
      <c r="D4694" t="inlineStr">
        <is>
          <t>UPPSALA LÄN</t>
        </is>
      </c>
      <c r="E4694" t="inlineStr">
        <is>
          <t>ÖSTHAMMAR</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56946-2023</t>
        </is>
      </c>
      <c r="B4695" s="1" t="n">
        <v>45244</v>
      </c>
      <c r="C4695" s="1" t="n">
        <v>45705</v>
      </c>
      <c r="D4695" t="inlineStr">
        <is>
          <t>UPPSALA LÄN</t>
        </is>
      </c>
      <c r="E4695" t="inlineStr">
        <is>
          <t>TIERP</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56959-2023</t>
        </is>
      </c>
      <c r="B4696" s="1" t="n">
        <v>45244</v>
      </c>
      <c r="C4696" s="1" t="n">
        <v>45705</v>
      </c>
      <c r="D4696" t="inlineStr">
        <is>
          <t>UPPSALA LÄN</t>
        </is>
      </c>
      <c r="E4696" t="inlineStr">
        <is>
          <t>ÖSTHAMMAR</t>
        </is>
      </c>
      <c r="G4696" t="n">
        <v>5</v>
      </c>
      <c r="H4696" t="n">
        <v>0</v>
      </c>
      <c r="I4696" t="n">
        <v>0</v>
      </c>
      <c r="J4696" t="n">
        <v>0</v>
      </c>
      <c r="K4696" t="n">
        <v>0</v>
      </c>
      <c r="L4696" t="n">
        <v>0</v>
      </c>
      <c r="M4696" t="n">
        <v>0</v>
      </c>
      <c r="N4696" t="n">
        <v>0</v>
      </c>
      <c r="O4696" t="n">
        <v>0</v>
      </c>
      <c r="P4696" t="n">
        <v>0</v>
      </c>
      <c r="Q4696" t="n">
        <v>0</v>
      </c>
      <c r="R4696" s="2" t="inlineStr"/>
    </row>
    <row r="4697" ht="15" customHeight="1">
      <c r="A4697" t="inlineStr">
        <is>
          <t>A 56971-2023</t>
        </is>
      </c>
      <c r="B4697" s="1" t="n">
        <v>45244</v>
      </c>
      <c r="C4697" s="1" t="n">
        <v>45705</v>
      </c>
      <c r="D4697" t="inlineStr">
        <is>
          <t>UPPSALA LÄN</t>
        </is>
      </c>
      <c r="E4697" t="inlineStr">
        <is>
          <t>TIERP</t>
        </is>
      </c>
      <c r="F4697" t="inlineStr">
        <is>
          <t>Bergvik skog öst AB</t>
        </is>
      </c>
      <c r="G4697" t="n">
        <v>8.5</v>
      </c>
      <c r="H4697" t="n">
        <v>0</v>
      </c>
      <c r="I4697" t="n">
        <v>0</v>
      </c>
      <c r="J4697" t="n">
        <v>0</v>
      </c>
      <c r="K4697" t="n">
        <v>0</v>
      </c>
      <c r="L4697" t="n">
        <v>0</v>
      </c>
      <c r="M4697" t="n">
        <v>0</v>
      </c>
      <c r="N4697" t="n">
        <v>0</v>
      </c>
      <c r="O4697" t="n">
        <v>0</v>
      </c>
      <c r="P4697" t="n">
        <v>0</v>
      </c>
      <c r="Q4697" t="n">
        <v>0</v>
      </c>
      <c r="R4697" s="2" t="inlineStr"/>
    </row>
    <row r="4698" ht="15" customHeight="1">
      <c r="A4698" t="inlineStr">
        <is>
          <t>A 57351-2023</t>
        </is>
      </c>
      <c r="B4698" s="1" t="n">
        <v>45245</v>
      </c>
      <c r="C4698" s="1" t="n">
        <v>45705</v>
      </c>
      <c r="D4698" t="inlineStr">
        <is>
          <t>UPPSALA LÄN</t>
        </is>
      </c>
      <c r="E4698" t="inlineStr">
        <is>
          <t>KNIVSTA</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57142-2023</t>
        </is>
      </c>
      <c r="B4699" s="1" t="n">
        <v>45245</v>
      </c>
      <c r="C4699" s="1" t="n">
        <v>45705</v>
      </c>
      <c r="D4699" t="inlineStr">
        <is>
          <t>UPPSALA LÄN</t>
        </is>
      </c>
      <c r="E4699" t="inlineStr">
        <is>
          <t>TIERP</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57144-2023</t>
        </is>
      </c>
      <c r="B4700" s="1" t="n">
        <v>45245</v>
      </c>
      <c r="C4700" s="1" t="n">
        <v>45705</v>
      </c>
      <c r="D4700" t="inlineStr">
        <is>
          <t>UPPSALA LÄN</t>
        </is>
      </c>
      <c r="E4700" t="inlineStr">
        <is>
          <t>TIERP</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57186-2023</t>
        </is>
      </c>
      <c r="B4701" s="1" t="n">
        <v>45245</v>
      </c>
      <c r="C4701" s="1" t="n">
        <v>45705</v>
      </c>
      <c r="D4701" t="inlineStr">
        <is>
          <t>UPPSALA LÄN</t>
        </is>
      </c>
      <c r="E4701" t="inlineStr">
        <is>
          <t>UPPSALA</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57182-2023</t>
        </is>
      </c>
      <c r="B4702" s="1" t="n">
        <v>45245</v>
      </c>
      <c r="C4702" s="1" t="n">
        <v>45705</v>
      </c>
      <c r="D4702" t="inlineStr">
        <is>
          <t>UPPSALA LÄN</t>
        </is>
      </c>
      <c r="E4702" t="inlineStr">
        <is>
          <t>UPPSALA</t>
        </is>
      </c>
      <c r="F4702" t="inlineStr">
        <is>
          <t>Övriga Aktiebolag</t>
        </is>
      </c>
      <c r="G4702" t="n">
        <v>6.6</v>
      </c>
      <c r="H4702" t="n">
        <v>0</v>
      </c>
      <c r="I4702" t="n">
        <v>0</v>
      </c>
      <c r="J4702" t="n">
        <v>0</v>
      </c>
      <c r="K4702" t="n">
        <v>0</v>
      </c>
      <c r="L4702" t="n">
        <v>0</v>
      </c>
      <c r="M4702" t="n">
        <v>0</v>
      </c>
      <c r="N4702" t="n">
        <v>0</v>
      </c>
      <c r="O4702" t="n">
        <v>0</v>
      </c>
      <c r="P4702" t="n">
        <v>0</v>
      </c>
      <c r="Q4702" t="n">
        <v>0</v>
      </c>
      <c r="R4702" s="2" t="inlineStr"/>
    </row>
    <row r="4703" ht="15" customHeight="1">
      <c r="A4703" t="inlineStr">
        <is>
          <t>A 57358-2023</t>
        </is>
      </c>
      <c r="B4703" s="1" t="n">
        <v>45245</v>
      </c>
      <c r="C4703" s="1" t="n">
        <v>45705</v>
      </c>
      <c r="D4703" t="inlineStr">
        <is>
          <t>UPPSALA LÄN</t>
        </is>
      </c>
      <c r="E4703" t="inlineStr">
        <is>
          <t>TIERP</t>
        </is>
      </c>
      <c r="G4703" t="n">
        <v>4.6</v>
      </c>
      <c r="H4703" t="n">
        <v>0</v>
      </c>
      <c r="I4703" t="n">
        <v>0</v>
      </c>
      <c r="J4703" t="n">
        <v>0</v>
      </c>
      <c r="K4703" t="n">
        <v>0</v>
      </c>
      <c r="L4703" t="n">
        <v>0</v>
      </c>
      <c r="M4703" t="n">
        <v>0</v>
      </c>
      <c r="N4703" t="n">
        <v>0</v>
      </c>
      <c r="O4703" t="n">
        <v>0</v>
      </c>
      <c r="P4703" t="n">
        <v>0</v>
      </c>
      <c r="Q4703" t="n">
        <v>0</v>
      </c>
      <c r="R4703" s="2" t="inlineStr"/>
    </row>
    <row r="4704" ht="15" customHeight="1">
      <c r="A4704" t="inlineStr">
        <is>
          <t>A 57502-2023</t>
        </is>
      </c>
      <c r="B4704" s="1" t="n">
        <v>45246</v>
      </c>
      <c r="C4704" s="1" t="n">
        <v>45705</v>
      </c>
      <c r="D4704" t="inlineStr">
        <is>
          <t>UPPSALA LÄN</t>
        </is>
      </c>
      <c r="E4704" t="inlineStr">
        <is>
          <t>TIERP</t>
        </is>
      </c>
      <c r="F4704" t="inlineStr">
        <is>
          <t>Kyrkan</t>
        </is>
      </c>
      <c r="G4704" t="n">
        <v>15.9</v>
      </c>
      <c r="H4704" t="n">
        <v>0</v>
      </c>
      <c r="I4704" t="n">
        <v>0</v>
      </c>
      <c r="J4704" t="n">
        <v>0</v>
      </c>
      <c r="K4704" t="n">
        <v>0</v>
      </c>
      <c r="L4704" t="n">
        <v>0</v>
      </c>
      <c r="M4704" t="n">
        <v>0</v>
      </c>
      <c r="N4704" t="n">
        <v>0</v>
      </c>
      <c r="O4704" t="n">
        <v>0</v>
      </c>
      <c r="P4704" t="n">
        <v>0</v>
      </c>
      <c r="Q4704" t="n">
        <v>0</v>
      </c>
      <c r="R4704" s="2" t="inlineStr"/>
    </row>
    <row r="4705" ht="15" customHeight="1">
      <c r="A4705" t="inlineStr">
        <is>
          <t>A 57526-2023</t>
        </is>
      </c>
      <c r="B4705" s="1" t="n">
        <v>45246</v>
      </c>
      <c r="C4705" s="1" t="n">
        <v>45705</v>
      </c>
      <c r="D4705" t="inlineStr">
        <is>
          <t>UPPSALA LÄN</t>
        </is>
      </c>
      <c r="E4705" t="inlineStr">
        <is>
          <t>TIERP</t>
        </is>
      </c>
      <c r="F4705" t="inlineStr">
        <is>
          <t>Kyrkan</t>
        </is>
      </c>
      <c r="G4705" t="n">
        <v>8.699999999999999</v>
      </c>
      <c r="H4705" t="n">
        <v>0</v>
      </c>
      <c r="I4705" t="n">
        <v>0</v>
      </c>
      <c r="J4705" t="n">
        <v>0</v>
      </c>
      <c r="K4705" t="n">
        <v>0</v>
      </c>
      <c r="L4705" t="n">
        <v>0</v>
      </c>
      <c r="M4705" t="n">
        <v>0</v>
      </c>
      <c r="N4705" t="n">
        <v>0</v>
      </c>
      <c r="O4705" t="n">
        <v>0</v>
      </c>
      <c r="P4705" t="n">
        <v>0</v>
      </c>
      <c r="Q4705" t="n">
        <v>0</v>
      </c>
      <c r="R4705" s="2" t="inlineStr"/>
    </row>
    <row r="4706" ht="15" customHeight="1">
      <c r="A4706" t="inlineStr">
        <is>
          <t>A 57662-2023</t>
        </is>
      </c>
      <c r="B4706" s="1" t="n">
        <v>45246</v>
      </c>
      <c r="C4706" s="1" t="n">
        <v>45705</v>
      </c>
      <c r="D4706" t="inlineStr">
        <is>
          <t>UPPSALA LÄN</t>
        </is>
      </c>
      <c r="E4706" t="inlineStr">
        <is>
          <t>ENKÖPING</t>
        </is>
      </c>
      <c r="G4706" t="n">
        <v>10.9</v>
      </c>
      <c r="H4706" t="n">
        <v>0</v>
      </c>
      <c r="I4706" t="n">
        <v>0</v>
      </c>
      <c r="J4706" t="n">
        <v>0</v>
      </c>
      <c r="K4706" t="n">
        <v>0</v>
      </c>
      <c r="L4706" t="n">
        <v>0</v>
      </c>
      <c r="M4706" t="n">
        <v>0</v>
      </c>
      <c r="N4706" t="n">
        <v>0</v>
      </c>
      <c r="O4706" t="n">
        <v>0</v>
      </c>
      <c r="P4706" t="n">
        <v>0</v>
      </c>
      <c r="Q4706" t="n">
        <v>0</v>
      </c>
      <c r="R4706" s="2" t="inlineStr"/>
    </row>
    <row r="4707" ht="15" customHeight="1">
      <c r="A4707" t="inlineStr">
        <is>
          <t>A 57959-2023</t>
        </is>
      </c>
      <c r="B4707" s="1" t="n">
        <v>45247</v>
      </c>
      <c r="C4707" s="1" t="n">
        <v>45705</v>
      </c>
      <c r="D4707" t="inlineStr">
        <is>
          <t>UPPSALA LÄN</t>
        </is>
      </c>
      <c r="E4707" t="inlineStr">
        <is>
          <t>TIERP</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57826-2023</t>
        </is>
      </c>
      <c r="B4708" s="1" t="n">
        <v>45247</v>
      </c>
      <c r="C4708" s="1" t="n">
        <v>45705</v>
      </c>
      <c r="D4708" t="inlineStr">
        <is>
          <t>UPPSALA LÄN</t>
        </is>
      </c>
      <c r="E4708" t="inlineStr">
        <is>
          <t>TIERP</t>
        </is>
      </c>
      <c r="G4708" t="n">
        <v>4.3</v>
      </c>
      <c r="H4708" t="n">
        <v>0</v>
      </c>
      <c r="I4708" t="n">
        <v>0</v>
      </c>
      <c r="J4708" t="n">
        <v>0</v>
      </c>
      <c r="K4708" t="n">
        <v>0</v>
      </c>
      <c r="L4708" t="n">
        <v>0</v>
      </c>
      <c r="M4708" t="n">
        <v>0</v>
      </c>
      <c r="N4708" t="n">
        <v>0</v>
      </c>
      <c r="O4708" t="n">
        <v>0</v>
      </c>
      <c r="P4708" t="n">
        <v>0</v>
      </c>
      <c r="Q4708" t="n">
        <v>0</v>
      </c>
      <c r="R4708" s="2" t="inlineStr"/>
    </row>
    <row r="4709" ht="15" customHeight="1">
      <c r="A4709" t="inlineStr">
        <is>
          <t>A 57969-2023</t>
        </is>
      </c>
      <c r="B4709" s="1" t="n">
        <v>45247</v>
      </c>
      <c r="C4709" s="1" t="n">
        <v>45705</v>
      </c>
      <c r="D4709" t="inlineStr">
        <is>
          <t>UPPSALA LÄN</t>
        </is>
      </c>
      <c r="E4709" t="inlineStr">
        <is>
          <t>TIERP</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58042-2023</t>
        </is>
      </c>
      <c r="B4710" s="1" t="n">
        <v>45247</v>
      </c>
      <c r="C4710" s="1" t="n">
        <v>45705</v>
      </c>
      <c r="D4710" t="inlineStr">
        <is>
          <t>UPPSALA LÄN</t>
        </is>
      </c>
      <c r="E4710" t="inlineStr">
        <is>
          <t>TIERP</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58034-2023</t>
        </is>
      </c>
      <c r="B4711" s="1" t="n">
        <v>45247</v>
      </c>
      <c r="C4711" s="1" t="n">
        <v>45705</v>
      </c>
      <c r="D4711" t="inlineStr">
        <is>
          <t>UPPSALA LÄN</t>
        </is>
      </c>
      <c r="E4711" t="inlineStr">
        <is>
          <t>TIERP</t>
        </is>
      </c>
      <c r="G4711" t="n">
        <v>7.8</v>
      </c>
      <c r="H4711" t="n">
        <v>0</v>
      </c>
      <c r="I4711" t="n">
        <v>0</v>
      </c>
      <c r="J4711" t="n">
        <v>0</v>
      </c>
      <c r="K4711" t="n">
        <v>0</v>
      </c>
      <c r="L4711" t="n">
        <v>0</v>
      </c>
      <c r="M4711" t="n">
        <v>0</v>
      </c>
      <c r="N4711" t="n">
        <v>0</v>
      </c>
      <c r="O4711" t="n">
        <v>0</v>
      </c>
      <c r="P4711" t="n">
        <v>0</v>
      </c>
      <c r="Q4711" t="n">
        <v>0</v>
      </c>
      <c r="R4711" s="2" t="inlineStr"/>
    </row>
    <row r="4712" ht="15" customHeight="1">
      <c r="A4712" t="inlineStr">
        <is>
          <t>A 57828-2023</t>
        </is>
      </c>
      <c r="B4712" s="1" t="n">
        <v>45247</v>
      </c>
      <c r="C4712" s="1" t="n">
        <v>45705</v>
      </c>
      <c r="D4712" t="inlineStr">
        <is>
          <t>UPPSALA LÄN</t>
        </is>
      </c>
      <c r="E4712" t="inlineStr">
        <is>
          <t>TIERP</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58114-2023</t>
        </is>
      </c>
      <c r="B4713" s="1" t="n">
        <v>45249</v>
      </c>
      <c r="C4713" s="1" t="n">
        <v>45705</v>
      </c>
      <c r="D4713" t="inlineStr">
        <is>
          <t>UPPSALA LÄN</t>
        </is>
      </c>
      <c r="E4713" t="inlineStr">
        <is>
          <t>ENKÖPING</t>
        </is>
      </c>
      <c r="G4713" t="n">
        <v>15.4</v>
      </c>
      <c r="H4713" t="n">
        <v>0</v>
      </c>
      <c r="I4713" t="n">
        <v>0</v>
      </c>
      <c r="J4713" t="n">
        <v>0</v>
      </c>
      <c r="K4713" t="n">
        <v>0</v>
      </c>
      <c r="L4713" t="n">
        <v>0</v>
      </c>
      <c r="M4713" t="n">
        <v>0</v>
      </c>
      <c r="N4713" t="n">
        <v>0</v>
      </c>
      <c r="O4713" t="n">
        <v>0</v>
      </c>
      <c r="P4713" t="n">
        <v>0</v>
      </c>
      <c r="Q4713" t="n">
        <v>0</v>
      </c>
      <c r="R4713" s="2" t="inlineStr"/>
    </row>
    <row r="4714" ht="15" customHeight="1">
      <c r="A4714" t="inlineStr">
        <is>
          <t>A 58176-2023</t>
        </is>
      </c>
      <c r="B4714" s="1" t="n">
        <v>45250</v>
      </c>
      <c r="C4714" s="1" t="n">
        <v>45705</v>
      </c>
      <c r="D4714" t="inlineStr">
        <is>
          <t>UPPSALA LÄN</t>
        </is>
      </c>
      <c r="E4714" t="inlineStr">
        <is>
          <t>ÖSTHAMMAR</t>
        </is>
      </c>
      <c r="F4714" t="inlineStr">
        <is>
          <t>Allmännings- och besparingsskogar</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58295-2023</t>
        </is>
      </c>
      <c r="B4715" s="1" t="n">
        <v>45250</v>
      </c>
      <c r="C4715" s="1" t="n">
        <v>45705</v>
      </c>
      <c r="D4715" t="inlineStr">
        <is>
          <t>UPPSALA LÄN</t>
        </is>
      </c>
      <c r="E4715" t="inlineStr">
        <is>
          <t>ÖSTHAMMAR</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58270-2023</t>
        </is>
      </c>
      <c r="B4716" s="1" t="n">
        <v>45250</v>
      </c>
      <c r="C4716" s="1" t="n">
        <v>45705</v>
      </c>
      <c r="D4716" t="inlineStr">
        <is>
          <t>UPPSALA LÄN</t>
        </is>
      </c>
      <c r="E4716" t="inlineStr">
        <is>
          <t>ÖSTHAMMAR</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58301-2023</t>
        </is>
      </c>
      <c r="B4717" s="1" t="n">
        <v>45250</v>
      </c>
      <c r="C4717" s="1" t="n">
        <v>45705</v>
      </c>
      <c r="D4717" t="inlineStr">
        <is>
          <t>UPPSALA LÄN</t>
        </is>
      </c>
      <c r="E4717" t="inlineStr">
        <is>
          <t>ÖSTHAMMAR</t>
        </is>
      </c>
      <c r="G4717" t="n">
        <v>5.9</v>
      </c>
      <c r="H4717" t="n">
        <v>0</v>
      </c>
      <c r="I4717" t="n">
        <v>0</v>
      </c>
      <c r="J4717" t="n">
        <v>0</v>
      </c>
      <c r="K4717" t="n">
        <v>0</v>
      </c>
      <c r="L4717" t="n">
        <v>0</v>
      </c>
      <c r="M4717" t="n">
        <v>0</v>
      </c>
      <c r="N4717" t="n">
        <v>0</v>
      </c>
      <c r="O4717" t="n">
        <v>0</v>
      </c>
      <c r="P4717" t="n">
        <v>0</v>
      </c>
      <c r="Q4717" t="n">
        <v>0</v>
      </c>
      <c r="R4717" s="2" t="inlineStr"/>
    </row>
    <row r="4718" ht="15" customHeight="1">
      <c r="A4718" t="inlineStr">
        <is>
          <t>A 58324-2023</t>
        </is>
      </c>
      <c r="B4718" s="1" t="n">
        <v>45250</v>
      </c>
      <c r="C4718" s="1" t="n">
        <v>45705</v>
      </c>
      <c r="D4718" t="inlineStr">
        <is>
          <t>UPPSALA LÄN</t>
        </is>
      </c>
      <c r="E4718" t="inlineStr">
        <is>
          <t>ÖSTHAMMAR</t>
        </is>
      </c>
      <c r="G4718" t="n">
        <v>5.1</v>
      </c>
      <c r="H4718" t="n">
        <v>0</v>
      </c>
      <c r="I4718" t="n">
        <v>0</v>
      </c>
      <c r="J4718" t="n">
        <v>0</v>
      </c>
      <c r="K4718" t="n">
        <v>0</v>
      </c>
      <c r="L4718" t="n">
        <v>0</v>
      </c>
      <c r="M4718" t="n">
        <v>0</v>
      </c>
      <c r="N4718" t="n">
        <v>0</v>
      </c>
      <c r="O4718" t="n">
        <v>0</v>
      </c>
      <c r="P4718" t="n">
        <v>0</v>
      </c>
      <c r="Q4718" t="n">
        <v>0</v>
      </c>
      <c r="R4718" s="2" t="inlineStr"/>
    </row>
    <row r="4719" ht="15" customHeight="1">
      <c r="A4719" t="inlineStr">
        <is>
          <t>A 58914-2023</t>
        </is>
      </c>
      <c r="B4719" s="1" t="n">
        <v>45250</v>
      </c>
      <c r="C4719" s="1" t="n">
        <v>45705</v>
      </c>
      <c r="D4719" t="inlineStr">
        <is>
          <t>UPPSALA LÄN</t>
        </is>
      </c>
      <c r="E4719" t="inlineStr">
        <is>
          <t>HEBY</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58332-2023</t>
        </is>
      </c>
      <c r="B4720" s="1" t="n">
        <v>45250</v>
      </c>
      <c r="C4720" s="1" t="n">
        <v>45705</v>
      </c>
      <c r="D4720" t="inlineStr">
        <is>
          <t>UPPSALA LÄN</t>
        </is>
      </c>
      <c r="E4720" t="inlineStr">
        <is>
          <t>HEBY</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58913-2023</t>
        </is>
      </c>
      <c r="B4721" s="1" t="n">
        <v>45250</v>
      </c>
      <c r="C4721" s="1" t="n">
        <v>45705</v>
      </c>
      <c r="D4721" t="inlineStr">
        <is>
          <t>UPPSALA LÄN</t>
        </is>
      </c>
      <c r="E4721" t="inlineStr">
        <is>
          <t>HEBY</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58431-2023</t>
        </is>
      </c>
      <c r="B4722" s="1" t="n">
        <v>45250</v>
      </c>
      <c r="C4722" s="1" t="n">
        <v>45705</v>
      </c>
      <c r="D4722" t="inlineStr">
        <is>
          <t>UPPSALA LÄN</t>
        </is>
      </c>
      <c r="E4722" t="inlineStr">
        <is>
          <t>ÖSTHAMMAR</t>
        </is>
      </c>
      <c r="F4722" t="inlineStr">
        <is>
          <t>Bergvik skog öst AB</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58492-2023</t>
        </is>
      </c>
      <c r="B4723" s="1" t="n">
        <v>45251</v>
      </c>
      <c r="C4723" s="1" t="n">
        <v>45705</v>
      </c>
      <c r="D4723" t="inlineStr">
        <is>
          <t>UPPSALA LÄN</t>
        </is>
      </c>
      <c r="E4723" t="inlineStr">
        <is>
          <t>TIERP</t>
        </is>
      </c>
      <c r="F4723" t="inlineStr">
        <is>
          <t>Bergvik skog väst AB</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58596-2023</t>
        </is>
      </c>
      <c r="B4724" s="1" t="n">
        <v>45251</v>
      </c>
      <c r="C4724" s="1" t="n">
        <v>45705</v>
      </c>
      <c r="D4724" t="inlineStr">
        <is>
          <t>UPPSALA LÄN</t>
        </is>
      </c>
      <c r="E4724" t="inlineStr">
        <is>
          <t>HEBY</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59169-2023</t>
        </is>
      </c>
      <c r="B4725" s="1" t="n">
        <v>45251</v>
      </c>
      <c r="C4725" s="1" t="n">
        <v>45705</v>
      </c>
      <c r="D4725" t="inlineStr">
        <is>
          <t>UPPSALA LÄN</t>
        </is>
      </c>
      <c r="E4725" t="inlineStr">
        <is>
          <t>HÅBO</t>
        </is>
      </c>
      <c r="G4725" t="n">
        <v>4.5</v>
      </c>
      <c r="H4725" t="n">
        <v>0</v>
      </c>
      <c r="I4725" t="n">
        <v>0</v>
      </c>
      <c r="J4725" t="n">
        <v>0</v>
      </c>
      <c r="K4725" t="n">
        <v>0</v>
      </c>
      <c r="L4725" t="n">
        <v>0</v>
      </c>
      <c r="M4725" t="n">
        <v>0</v>
      </c>
      <c r="N4725" t="n">
        <v>0</v>
      </c>
      <c r="O4725" t="n">
        <v>0</v>
      </c>
      <c r="P4725" t="n">
        <v>0</v>
      </c>
      <c r="Q4725" t="n">
        <v>0</v>
      </c>
      <c r="R4725" s="2" t="inlineStr"/>
    </row>
    <row r="4726" ht="15" customHeight="1">
      <c r="A4726" t="inlineStr">
        <is>
          <t>A 58855-2023</t>
        </is>
      </c>
      <c r="B4726" s="1" t="n">
        <v>45252</v>
      </c>
      <c r="C4726" s="1" t="n">
        <v>45705</v>
      </c>
      <c r="D4726" t="inlineStr">
        <is>
          <t>UPPSALA LÄN</t>
        </is>
      </c>
      <c r="E4726" t="inlineStr">
        <is>
          <t>ÖSTHAMMAR</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58947-2023</t>
        </is>
      </c>
      <c r="B4727" s="1" t="n">
        <v>45252</v>
      </c>
      <c r="C4727" s="1" t="n">
        <v>45705</v>
      </c>
      <c r="D4727" t="inlineStr">
        <is>
          <t>UPPSALA LÄN</t>
        </is>
      </c>
      <c r="E4727" t="inlineStr">
        <is>
          <t>TIERP</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58854-2023</t>
        </is>
      </c>
      <c r="B4728" s="1" t="n">
        <v>45252</v>
      </c>
      <c r="C4728" s="1" t="n">
        <v>45705</v>
      </c>
      <c r="D4728" t="inlineStr">
        <is>
          <t>UPPSALA LÄN</t>
        </is>
      </c>
      <c r="E4728" t="inlineStr">
        <is>
          <t>ÖSTHAMMAR</t>
        </is>
      </c>
      <c r="G4728" t="n">
        <v>3.9</v>
      </c>
      <c r="H4728" t="n">
        <v>0</v>
      </c>
      <c r="I4728" t="n">
        <v>0</v>
      </c>
      <c r="J4728" t="n">
        <v>0</v>
      </c>
      <c r="K4728" t="n">
        <v>0</v>
      </c>
      <c r="L4728" t="n">
        <v>0</v>
      </c>
      <c r="M4728" t="n">
        <v>0</v>
      </c>
      <c r="N4728" t="n">
        <v>0</v>
      </c>
      <c r="O4728" t="n">
        <v>0</v>
      </c>
      <c r="P4728" t="n">
        <v>0</v>
      </c>
      <c r="Q4728" t="n">
        <v>0</v>
      </c>
      <c r="R4728" s="2" t="inlineStr"/>
    </row>
    <row r="4729" ht="15" customHeight="1">
      <c r="A4729" t="inlineStr">
        <is>
          <t>A 58900-2023</t>
        </is>
      </c>
      <c r="B4729" s="1" t="n">
        <v>45252</v>
      </c>
      <c r="C4729" s="1" t="n">
        <v>45705</v>
      </c>
      <c r="D4729" t="inlineStr">
        <is>
          <t>UPPSALA LÄN</t>
        </is>
      </c>
      <c r="E4729" t="inlineStr">
        <is>
          <t>TIERP</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59004-2023</t>
        </is>
      </c>
      <c r="B4730" s="1" t="n">
        <v>45252</v>
      </c>
      <c r="C4730" s="1" t="n">
        <v>45705</v>
      </c>
      <c r="D4730" t="inlineStr">
        <is>
          <t>UPPSALA LÄN</t>
        </is>
      </c>
      <c r="E4730" t="inlineStr">
        <is>
          <t>ÄLVKARLEBY</t>
        </is>
      </c>
      <c r="F4730" t="inlineStr">
        <is>
          <t>Bergvik skog öst AB</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58859-2023</t>
        </is>
      </c>
      <c r="B4731" s="1" t="n">
        <v>45252</v>
      </c>
      <c r="C4731" s="1" t="n">
        <v>45705</v>
      </c>
      <c r="D4731" t="inlineStr">
        <is>
          <t>UPPSALA LÄN</t>
        </is>
      </c>
      <c r="E4731" t="inlineStr">
        <is>
          <t>ÖSTHAMMAR</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58931-2023</t>
        </is>
      </c>
      <c r="B4732" s="1" t="n">
        <v>45252</v>
      </c>
      <c r="C4732" s="1" t="n">
        <v>45705</v>
      </c>
      <c r="D4732" t="inlineStr">
        <is>
          <t>UPPSALA LÄN</t>
        </is>
      </c>
      <c r="E4732" t="inlineStr">
        <is>
          <t>TIERP</t>
        </is>
      </c>
      <c r="F4732" t="inlineStr">
        <is>
          <t>Bergvik skog öst AB</t>
        </is>
      </c>
      <c r="G4732" t="n">
        <v>4.6</v>
      </c>
      <c r="H4732" t="n">
        <v>0</v>
      </c>
      <c r="I4732" t="n">
        <v>0</v>
      </c>
      <c r="J4732" t="n">
        <v>0</v>
      </c>
      <c r="K4732" t="n">
        <v>0</v>
      </c>
      <c r="L4732" t="n">
        <v>0</v>
      </c>
      <c r="M4732" t="n">
        <v>0</v>
      </c>
      <c r="N4732" t="n">
        <v>0</v>
      </c>
      <c r="O4732" t="n">
        <v>0</v>
      </c>
      <c r="P4732" t="n">
        <v>0</v>
      </c>
      <c r="Q4732" t="n">
        <v>0</v>
      </c>
      <c r="R4732" s="2" t="inlineStr"/>
    </row>
    <row r="4733" ht="15" customHeight="1">
      <c r="A4733" t="inlineStr">
        <is>
          <t>A 59207-2023</t>
        </is>
      </c>
      <c r="B4733" s="1" t="n">
        <v>45252</v>
      </c>
      <c r="C4733" s="1" t="n">
        <v>45705</v>
      </c>
      <c r="D4733" t="inlineStr">
        <is>
          <t>UPPSALA LÄN</t>
        </is>
      </c>
      <c r="E4733" t="inlineStr">
        <is>
          <t>HEBY</t>
        </is>
      </c>
      <c r="F4733" t="inlineStr">
        <is>
          <t>Bergvik skog väst AB</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59218-2023</t>
        </is>
      </c>
      <c r="B4734" s="1" t="n">
        <v>45252</v>
      </c>
      <c r="C4734" s="1" t="n">
        <v>45705</v>
      </c>
      <c r="D4734" t="inlineStr">
        <is>
          <t>UPPSALA LÄN</t>
        </is>
      </c>
      <c r="E4734" t="inlineStr">
        <is>
          <t>HEBY</t>
        </is>
      </c>
      <c r="F4734" t="inlineStr">
        <is>
          <t>Bergvik skog väst AB</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59112-2023</t>
        </is>
      </c>
      <c r="B4735" s="1" t="n">
        <v>45253</v>
      </c>
      <c r="C4735" s="1" t="n">
        <v>45705</v>
      </c>
      <c r="D4735" t="inlineStr">
        <is>
          <t>UPPSALA LÄN</t>
        </is>
      </c>
      <c r="E4735" t="inlineStr">
        <is>
          <t>HEBY</t>
        </is>
      </c>
      <c r="F4735" t="inlineStr">
        <is>
          <t>Bergvik skog öst AB</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59176-2023</t>
        </is>
      </c>
      <c r="B4736" s="1" t="n">
        <v>45253</v>
      </c>
      <c r="C4736" s="1" t="n">
        <v>45705</v>
      </c>
      <c r="D4736" t="inlineStr">
        <is>
          <t>UPPSALA LÄN</t>
        </is>
      </c>
      <c r="E4736" t="inlineStr">
        <is>
          <t>HEBY</t>
        </is>
      </c>
      <c r="F4736" t="inlineStr">
        <is>
          <t>Kyrkan</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59244-2023</t>
        </is>
      </c>
      <c r="B4737" s="1" t="n">
        <v>45253</v>
      </c>
      <c r="C4737" s="1" t="n">
        <v>45705</v>
      </c>
      <c r="D4737" t="inlineStr">
        <is>
          <t>UPPSALA LÄN</t>
        </is>
      </c>
      <c r="E4737" t="inlineStr">
        <is>
          <t>ÖSTHAMMAR</t>
        </is>
      </c>
      <c r="G4737" t="n">
        <v>12.9</v>
      </c>
      <c r="H4737" t="n">
        <v>0</v>
      </c>
      <c r="I4737" t="n">
        <v>0</v>
      </c>
      <c r="J4737" t="n">
        <v>0</v>
      </c>
      <c r="K4737" t="n">
        <v>0</v>
      </c>
      <c r="L4737" t="n">
        <v>0</v>
      </c>
      <c r="M4737" t="n">
        <v>0</v>
      </c>
      <c r="N4737" t="n">
        <v>0</v>
      </c>
      <c r="O4737" t="n">
        <v>0</v>
      </c>
      <c r="P4737" t="n">
        <v>0</v>
      </c>
      <c r="Q4737" t="n">
        <v>0</v>
      </c>
      <c r="R4737" s="2" t="inlineStr"/>
    </row>
    <row r="4738" ht="15" customHeight="1">
      <c r="A4738" t="inlineStr">
        <is>
          <t>A 59288-2023</t>
        </is>
      </c>
      <c r="B4738" s="1" t="n">
        <v>45253</v>
      </c>
      <c r="C4738" s="1" t="n">
        <v>45705</v>
      </c>
      <c r="D4738" t="inlineStr">
        <is>
          <t>UPPSALA LÄN</t>
        </is>
      </c>
      <c r="E4738" t="inlineStr">
        <is>
          <t>ÖSTHAMMAR</t>
        </is>
      </c>
      <c r="G4738" t="n">
        <v>7</v>
      </c>
      <c r="H4738" t="n">
        <v>0</v>
      </c>
      <c r="I4738" t="n">
        <v>0</v>
      </c>
      <c r="J4738" t="n">
        <v>0</v>
      </c>
      <c r="K4738" t="n">
        <v>0</v>
      </c>
      <c r="L4738" t="n">
        <v>0</v>
      </c>
      <c r="M4738" t="n">
        <v>0</v>
      </c>
      <c r="N4738" t="n">
        <v>0</v>
      </c>
      <c r="O4738" t="n">
        <v>0</v>
      </c>
      <c r="P4738" t="n">
        <v>0</v>
      </c>
      <c r="Q4738" t="n">
        <v>0</v>
      </c>
      <c r="R4738" s="2" t="inlineStr"/>
    </row>
    <row r="4739" ht="15" customHeight="1">
      <c r="A4739" t="inlineStr">
        <is>
          <t>A 59314-2023</t>
        </is>
      </c>
      <c r="B4739" s="1" t="n">
        <v>45253</v>
      </c>
      <c r="C4739" s="1" t="n">
        <v>45705</v>
      </c>
      <c r="D4739" t="inlineStr">
        <is>
          <t>UPPSALA LÄN</t>
        </is>
      </c>
      <c r="E4739" t="inlineStr">
        <is>
          <t>ÖSTHAMMAR</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59318-2023</t>
        </is>
      </c>
      <c r="B4740" s="1" t="n">
        <v>45253</v>
      </c>
      <c r="C4740" s="1" t="n">
        <v>45705</v>
      </c>
      <c r="D4740" t="inlineStr">
        <is>
          <t>UPPSALA LÄN</t>
        </is>
      </c>
      <c r="E4740" t="inlineStr">
        <is>
          <t>ÖSTHAMMAR</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59327-2023</t>
        </is>
      </c>
      <c r="B4741" s="1" t="n">
        <v>45253</v>
      </c>
      <c r="C4741" s="1" t="n">
        <v>45705</v>
      </c>
      <c r="D4741" t="inlineStr">
        <is>
          <t>UPPSALA LÄN</t>
        </is>
      </c>
      <c r="E4741" t="inlineStr">
        <is>
          <t>ÖSTHAMMAR</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59105-2023</t>
        </is>
      </c>
      <c r="B4742" s="1" t="n">
        <v>45253</v>
      </c>
      <c r="C4742" s="1" t="n">
        <v>45705</v>
      </c>
      <c r="D4742" t="inlineStr">
        <is>
          <t>UPPSALA LÄN</t>
        </is>
      </c>
      <c r="E4742" t="inlineStr">
        <is>
          <t>HEBY</t>
        </is>
      </c>
      <c r="F4742" t="inlineStr">
        <is>
          <t>Bergvik skog öst AB</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59240-2023</t>
        </is>
      </c>
      <c r="B4743" s="1" t="n">
        <v>45253</v>
      </c>
      <c r="C4743" s="1" t="n">
        <v>45705</v>
      </c>
      <c r="D4743" t="inlineStr">
        <is>
          <t>UPPSALA LÄN</t>
        </is>
      </c>
      <c r="E4743" t="inlineStr">
        <is>
          <t>UPPSALA</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59291-2023</t>
        </is>
      </c>
      <c r="B4744" s="1" t="n">
        <v>45253</v>
      </c>
      <c r="C4744" s="1" t="n">
        <v>45705</v>
      </c>
      <c r="D4744" t="inlineStr">
        <is>
          <t>UPPSALA LÄN</t>
        </is>
      </c>
      <c r="E4744" t="inlineStr">
        <is>
          <t>ÖSTHAMMAR</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59473-2023</t>
        </is>
      </c>
      <c r="B4745" s="1" t="n">
        <v>45253</v>
      </c>
      <c r="C4745" s="1" t="n">
        <v>45705</v>
      </c>
      <c r="D4745" t="inlineStr">
        <is>
          <t>UPPSALA LÄN</t>
        </is>
      </c>
      <c r="E4745" t="inlineStr">
        <is>
          <t>TIERP</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59493-2023</t>
        </is>
      </c>
      <c r="B4746" s="1" t="n">
        <v>45253</v>
      </c>
      <c r="C4746" s="1" t="n">
        <v>45705</v>
      </c>
      <c r="D4746" t="inlineStr">
        <is>
          <t>UPPSALA LÄN</t>
        </is>
      </c>
      <c r="E4746" t="inlineStr">
        <is>
          <t>TIERP</t>
        </is>
      </c>
      <c r="G4746" t="n">
        <v>14.9</v>
      </c>
      <c r="H4746" t="n">
        <v>0</v>
      </c>
      <c r="I4746" t="n">
        <v>0</v>
      </c>
      <c r="J4746" t="n">
        <v>0</v>
      </c>
      <c r="K4746" t="n">
        <v>0</v>
      </c>
      <c r="L4746" t="n">
        <v>0</v>
      </c>
      <c r="M4746" t="n">
        <v>0</v>
      </c>
      <c r="N4746" t="n">
        <v>0</v>
      </c>
      <c r="O4746" t="n">
        <v>0</v>
      </c>
      <c r="P4746" t="n">
        <v>0</v>
      </c>
      <c r="Q4746" t="n">
        <v>0</v>
      </c>
      <c r="R4746" s="2" t="inlineStr"/>
    </row>
    <row r="4747" ht="15" customHeight="1">
      <c r="A4747" t="inlineStr">
        <is>
          <t>A 59482-2023</t>
        </is>
      </c>
      <c r="B4747" s="1" t="n">
        <v>45253</v>
      </c>
      <c r="C4747" s="1" t="n">
        <v>45705</v>
      </c>
      <c r="D4747" t="inlineStr">
        <is>
          <t>UPPSALA LÄN</t>
        </is>
      </c>
      <c r="E4747" t="inlineStr">
        <is>
          <t>TIERP</t>
        </is>
      </c>
      <c r="G4747" t="n">
        <v>11.3</v>
      </c>
      <c r="H4747" t="n">
        <v>0</v>
      </c>
      <c r="I4747" t="n">
        <v>0</v>
      </c>
      <c r="J4747" t="n">
        <v>0</v>
      </c>
      <c r="K4747" t="n">
        <v>0</v>
      </c>
      <c r="L4747" t="n">
        <v>0</v>
      </c>
      <c r="M4747" t="n">
        <v>0</v>
      </c>
      <c r="N4747" t="n">
        <v>0</v>
      </c>
      <c r="O4747" t="n">
        <v>0</v>
      </c>
      <c r="P4747" t="n">
        <v>0</v>
      </c>
      <c r="Q4747" t="n">
        <v>0</v>
      </c>
      <c r="R4747" s="2" t="inlineStr"/>
    </row>
    <row r="4748" ht="15" customHeight="1">
      <c r="A4748" t="inlineStr">
        <is>
          <t>A 59511-2023</t>
        </is>
      </c>
      <c r="B4748" s="1" t="n">
        <v>45254</v>
      </c>
      <c r="C4748" s="1" t="n">
        <v>45705</v>
      </c>
      <c r="D4748" t="inlineStr">
        <is>
          <t>UPPSALA LÄN</t>
        </is>
      </c>
      <c r="E4748" t="inlineStr">
        <is>
          <t>UPPSALA</t>
        </is>
      </c>
      <c r="G4748" t="n">
        <v>14.6</v>
      </c>
      <c r="H4748" t="n">
        <v>0</v>
      </c>
      <c r="I4748" t="n">
        <v>0</v>
      </c>
      <c r="J4748" t="n">
        <v>0</v>
      </c>
      <c r="K4748" t="n">
        <v>0</v>
      </c>
      <c r="L4748" t="n">
        <v>0</v>
      </c>
      <c r="M4748" t="n">
        <v>0</v>
      </c>
      <c r="N4748" t="n">
        <v>0</v>
      </c>
      <c r="O4748" t="n">
        <v>0</v>
      </c>
      <c r="P4748" t="n">
        <v>0</v>
      </c>
      <c r="Q4748" t="n">
        <v>0</v>
      </c>
      <c r="R4748" s="2" t="inlineStr"/>
    </row>
    <row r="4749" ht="15" customHeight="1">
      <c r="A4749" t="inlineStr">
        <is>
          <t>A 59521-2023</t>
        </is>
      </c>
      <c r="B4749" s="1" t="n">
        <v>45254</v>
      </c>
      <c r="C4749" s="1" t="n">
        <v>45705</v>
      </c>
      <c r="D4749" t="inlineStr">
        <is>
          <t>UPPSALA LÄN</t>
        </is>
      </c>
      <c r="E4749" t="inlineStr">
        <is>
          <t>UPPSALA</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59564-2023</t>
        </is>
      </c>
      <c r="B4750" s="1" t="n">
        <v>45254</v>
      </c>
      <c r="C4750" s="1" t="n">
        <v>45705</v>
      </c>
      <c r="D4750" t="inlineStr">
        <is>
          <t>UPPSALA LÄN</t>
        </is>
      </c>
      <c r="E4750" t="inlineStr">
        <is>
          <t>UPPSALA</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59570-2023</t>
        </is>
      </c>
      <c r="B4751" s="1" t="n">
        <v>45254</v>
      </c>
      <c r="C4751" s="1" t="n">
        <v>45705</v>
      </c>
      <c r="D4751" t="inlineStr">
        <is>
          <t>UPPSALA LÄN</t>
        </is>
      </c>
      <c r="E4751" t="inlineStr">
        <is>
          <t>UPPSALA</t>
        </is>
      </c>
      <c r="G4751" t="n">
        <v>6.7</v>
      </c>
      <c r="H4751" t="n">
        <v>0</v>
      </c>
      <c r="I4751" t="n">
        <v>0</v>
      </c>
      <c r="J4751" t="n">
        <v>0</v>
      </c>
      <c r="K4751" t="n">
        <v>0</v>
      </c>
      <c r="L4751" t="n">
        <v>0</v>
      </c>
      <c r="M4751" t="n">
        <v>0</v>
      </c>
      <c r="N4751" t="n">
        <v>0</v>
      </c>
      <c r="O4751" t="n">
        <v>0</v>
      </c>
      <c r="P4751" t="n">
        <v>0</v>
      </c>
      <c r="Q4751" t="n">
        <v>0</v>
      </c>
      <c r="R4751" s="2" t="inlineStr"/>
    </row>
    <row r="4752" ht="15" customHeight="1">
      <c r="A4752" t="inlineStr">
        <is>
          <t>A 59585-2023</t>
        </is>
      </c>
      <c r="B4752" s="1" t="n">
        <v>45254</v>
      </c>
      <c r="C4752" s="1" t="n">
        <v>45705</v>
      </c>
      <c r="D4752" t="inlineStr">
        <is>
          <t>UPPSALA LÄN</t>
        </is>
      </c>
      <c r="E4752" t="inlineStr">
        <is>
          <t>UPPSALA</t>
        </is>
      </c>
      <c r="G4752" t="n">
        <v>4.4</v>
      </c>
      <c r="H4752" t="n">
        <v>0</v>
      </c>
      <c r="I4752" t="n">
        <v>0</v>
      </c>
      <c r="J4752" t="n">
        <v>0</v>
      </c>
      <c r="K4752" t="n">
        <v>0</v>
      </c>
      <c r="L4752" t="n">
        <v>0</v>
      </c>
      <c r="M4752" t="n">
        <v>0</v>
      </c>
      <c r="N4752" t="n">
        <v>0</v>
      </c>
      <c r="O4752" t="n">
        <v>0</v>
      </c>
      <c r="P4752" t="n">
        <v>0</v>
      </c>
      <c r="Q4752" t="n">
        <v>0</v>
      </c>
      <c r="R4752" s="2" t="inlineStr"/>
    </row>
    <row r="4753" ht="15" customHeight="1">
      <c r="A4753" t="inlineStr">
        <is>
          <t>A 59489-2023</t>
        </is>
      </c>
      <c r="B4753" s="1" t="n">
        <v>45254</v>
      </c>
      <c r="C4753" s="1" t="n">
        <v>45705</v>
      </c>
      <c r="D4753" t="inlineStr">
        <is>
          <t>UPPSALA LÄN</t>
        </is>
      </c>
      <c r="E4753" t="inlineStr">
        <is>
          <t>UPPSALA</t>
        </is>
      </c>
      <c r="G4753" t="n">
        <v>6.5</v>
      </c>
      <c r="H4753" t="n">
        <v>0</v>
      </c>
      <c r="I4753" t="n">
        <v>0</v>
      </c>
      <c r="J4753" t="n">
        <v>0</v>
      </c>
      <c r="K4753" t="n">
        <v>0</v>
      </c>
      <c r="L4753" t="n">
        <v>0</v>
      </c>
      <c r="M4753" t="n">
        <v>0</v>
      </c>
      <c r="N4753" t="n">
        <v>0</v>
      </c>
      <c r="O4753" t="n">
        <v>0</v>
      </c>
      <c r="P4753" t="n">
        <v>0</v>
      </c>
      <c r="Q4753" t="n">
        <v>0</v>
      </c>
      <c r="R4753" s="2" t="inlineStr"/>
    </row>
    <row r="4754" ht="15" customHeight="1">
      <c r="A4754" t="inlineStr">
        <is>
          <t>A 59706-2023</t>
        </is>
      </c>
      <c r="B4754" s="1" t="n">
        <v>45256</v>
      </c>
      <c r="C4754" s="1" t="n">
        <v>45705</v>
      </c>
      <c r="D4754" t="inlineStr">
        <is>
          <t>UPPSALA LÄN</t>
        </is>
      </c>
      <c r="E4754" t="inlineStr">
        <is>
          <t>HEBY</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59702-2023</t>
        </is>
      </c>
      <c r="B4755" s="1" t="n">
        <v>45256</v>
      </c>
      <c r="C4755" s="1" t="n">
        <v>45705</v>
      </c>
      <c r="D4755" t="inlineStr">
        <is>
          <t>UPPSALA LÄN</t>
        </is>
      </c>
      <c r="E4755" t="inlineStr">
        <is>
          <t>HEBY</t>
        </is>
      </c>
      <c r="G4755" t="n">
        <v>6.4</v>
      </c>
      <c r="H4755" t="n">
        <v>0</v>
      </c>
      <c r="I4755" t="n">
        <v>0</v>
      </c>
      <c r="J4755" t="n">
        <v>0</v>
      </c>
      <c r="K4755" t="n">
        <v>0</v>
      </c>
      <c r="L4755" t="n">
        <v>0</v>
      </c>
      <c r="M4755" t="n">
        <v>0</v>
      </c>
      <c r="N4755" t="n">
        <v>0</v>
      </c>
      <c r="O4755" t="n">
        <v>0</v>
      </c>
      <c r="P4755" t="n">
        <v>0</v>
      </c>
      <c r="Q4755" t="n">
        <v>0</v>
      </c>
      <c r="R4755" s="2" t="inlineStr"/>
    </row>
    <row r="4756" ht="15" customHeight="1">
      <c r="A4756" t="inlineStr">
        <is>
          <t>A 59856-2023</t>
        </is>
      </c>
      <c r="B4756" s="1" t="n">
        <v>45257</v>
      </c>
      <c r="C4756" s="1" t="n">
        <v>45705</v>
      </c>
      <c r="D4756" t="inlineStr">
        <is>
          <t>UPPSALA LÄN</t>
        </is>
      </c>
      <c r="E4756" t="inlineStr">
        <is>
          <t>UPPSALA</t>
        </is>
      </c>
      <c r="F4756" t="inlineStr">
        <is>
          <t>Allmännings- och besparingsskogar</t>
        </is>
      </c>
      <c r="G4756" t="n">
        <v>4.9</v>
      </c>
      <c r="H4756" t="n">
        <v>0</v>
      </c>
      <c r="I4756" t="n">
        <v>0</v>
      </c>
      <c r="J4756" t="n">
        <v>0</v>
      </c>
      <c r="K4756" t="n">
        <v>0</v>
      </c>
      <c r="L4756" t="n">
        <v>0</v>
      </c>
      <c r="M4756" t="n">
        <v>0</v>
      </c>
      <c r="N4756" t="n">
        <v>0</v>
      </c>
      <c r="O4756" t="n">
        <v>0</v>
      </c>
      <c r="P4756" t="n">
        <v>0</v>
      </c>
      <c r="Q4756" t="n">
        <v>0</v>
      </c>
      <c r="R4756" s="2" t="inlineStr"/>
    </row>
    <row r="4757" ht="15" customHeight="1">
      <c r="A4757" t="inlineStr">
        <is>
          <t>A 59810-2023</t>
        </is>
      </c>
      <c r="B4757" s="1" t="n">
        <v>45257</v>
      </c>
      <c r="C4757" s="1" t="n">
        <v>45705</v>
      </c>
      <c r="D4757" t="inlineStr">
        <is>
          <t>UPPSALA LÄN</t>
        </is>
      </c>
      <c r="E4757" t="inlineStr">
        <is>
          <t>UPPSALA</t>
        </is>
      </c>
      <c r="F4757" t="inlineStr">
        <is>
          <t>Allmännings- och besparingsskogar</t>
        </is>
      </c>
      <c r="G4757" t="n">
        <v>8.1</v>
      </c>
      <c r="H4757" t="n">
        <v>0</v>
      </c>
      <c r="I4757" t="n">
        <v>0</v>
      </c>
      <c r="J4757" t="n">
        <v>0</v>
      </c>
      <c r="K4757" t="n">
        <v>0</v>
      </c>
      <c r="L4757" t="n">
        <v>0</v>
      </c>
      <c r="M4757" t="n">
        <v>0</v>
      </c>
      <c r="N4757" t="n">
        <v>0</v>
      </c>
      <c r="O4757" t="n">
        <v>0</v>
      </c>
      <c r="P4757" t="n">
        <v>0</v>
      </c>
      <c r="Q4757" t="n">
        <v>0</v>
      </c>
      <c r="R4757" s="2" t="inlineStr"/>
    </row>
    <row r="4758" ht="15" customHeight="1">
      <c r="A4758" t="inlineStr">
        <is>
          <t>A 59961-2023</t>
        </is>
      </c>
      <c r="B4758" s="1" t="n">
        <v>45257</v>
      </c>
      <c r="C4758" s="1" t="n">
        <v>45705</v>
      </c>
      <c r="D4758" t="inlineStr">
        <is>
          <t>UPPSALA LÄN</t>
        </is>
      </c>
      <c r="E4758" t="inlineStr">
        <is>
          <t>TIERP</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59731-2023</t>
        </is>
      </c>
      <c r="B4759" s="1" t="n">
        <v>45257</v>
      </c>
      <c r="C4759" s="1" t="n">
        <v>45705</v>
      </c>
      <c r="D4759" t="inlineStr">
        <is>
          <t>UPPSALA LÄN</t>
        </is>
      </c>
      <c r="E4759" t="inlineStr">
        <is>
          <t>ÖSTHAMMAR</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59866-2023</t>
        </is>
      </c>
      <c r="B4760" s="1" t="n">
        <v>45257</v>
      </c>
      <c r="C4760" s="1" t="n">
        <v>45705</v>
      </c>
      <c r="D4760" t="inlineStr">
        <is>
          <t>UPPSALA LÄN</t>
        </is>
      </c>
      <c r="E4760" t="inlineStr">
        <is>
          <t>ENKÖPING</t>
        </is>
      </c>
      <c r="G4760" t="n">
        <v>3.5</v>
      </c>
      <c r="H4760" t="n">
        <v>0</v>
      </c>
      <c r="I4760" t="n">
        <v>0</v>
      </c>
      <c r="J4760" t="n">
        <v>0</v>
      </c>
      <c r="K4760" t="n">
        <v>0</v>
      </c>
      <c r="L4760" t="n">
        <v>0</v>
      </c>
      <c r="M4760" t="n">
        <v>0</v>
      </c>
      <c r="N4760" t="n">
        <v>0</v>
      </c>
      <c r="O4760" t="n">
        <v>0</v>
      </c>
      <c r="P4760" t="n">
        <v>0</v>
      </c>
      <c r="Q4760" t="n">
        <v>0</v>
      </c>
      <c r="R4760" s="2" t="inlineStr"/>
    </row>
    <row r="4761" ht="15" customHeight="1">
      <c r="A4761" t="inlineStr">
        <is>
          <t>A 59923-2023</t>
        </is>
      </c>
      <c r="B4761" s="1" t="n">
        <v>45257</v>
      </c>
      <c r="C4761" s="1" t="n">
        <v>45705</v>
      </c>
      <c r="D4761" t="inlineStr">
        <is>
          <t>UPPSALA LÄN</t>
        </is>
      </c>
      <c r="E4761" t="inlineStr">
        <is>
          <t>TIERP</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59942-2023</t>
        </is>
      </c>
      <c r="B4762" s="1" t="n">
        <v>45257</v>
      </c>
      <c r="C4762" s="1" t="n">
        <v>45705</v>
      </c>
      <c r="D4762" t="inlineStr">
        <is>
          <t>UPPSALA LÄN</t>
        </is>
      </c>
      <c r="E4762" t="inlineStr">
        <is>
          <t>TIERP</t>
        </is>
      </c>
      <c r="G4762" t="n">
        <v>4</v>
      </c>
      <c r="H4762" t="n">
        <v>0</v>
      </c>
      <c r="I4762" t="n">
        <v>0</v>
      </c>
      <c r="J4762" t="n">
        <v>0</v>
      </c>
      <c r="K4762" t="n">
        <v>0</v>
      </c>
      <c r="L4762" t="n">
        <v>0</v>
      </c>
      <c r="M4762" t="n">
        <v>0</v>
      </c>
      <c r="N4762" t="n">
        <v>0</v>
      </c>
      <c r="O4762" t="n">
        <v>0</v>
      </c>
      <c r="P4762" t="n">
        <v>0</v>
      </c>
      <c r="Q4762" t="n">
        <v>0</v>
      </c>
      <c r="R4762" s="2" t="inlineStr"/>
    </row>
    <row r="4763" ht="15" customHeight="1">
      <c r="A4763" t="inlineStr">
        <is>
          <t>A 60079-2023</t>
        </is>
      </c>
      <c r="B4763" s="1" t="n">
        <v>45258</v>
      </c>
      <c r="C4763" s="1" t="n">
        <v>45705</v>
      </c>
      <c r="D4763" t="inlineStr">
        <is>
          <t>UPPSALA LÄN</t>
        </is>
      </c>
      <c r="E4763" t="inlineStr">
        <is>
          <t>TIERP</t>
        </is>
      </c>
      <c r="G4763" t="n">
        <v>7.5</v>
      </c>
      <c r="H4763" t="n">
        <v>0</v>
      </c>
      <c r="I4763" t="n">
        <v>0</v>
      </c>
      <c r="J4763" t="n">
        <v>0</v>
      </c>
      <c r="K4763" t="n">
        <v>0</v>
      </c>
      <c r="L4763" t="n">
        <v>0</v>
      </c>
      <c r="M4763" t="n">
        <v>0</v>
      </c>
      <c r="N4763" t="n">
        <v>0</v>
      </c>
      <c r="O4763" t="n">
        <v>0</v>
      </c>
      <c r="P4763" t="n">
        <v>0</v>
      </c>
      <c r="Q4763" t="n">
        <v>0</v>
      </c>
      <c r="R4763" s="2" t="inlineStr"/>
    </row>
    <row r="4764" ht="15" customHeight="1">
      <c r="A4764" t="inlineStr">
        <is>
          <t>A 60151-2023</t>
        </is>
      </c>
      <c r="B4764" s="1" t="n">
        <v>45258</v>
      </c>
      <c r="C4764" s="1" t="n">
        <v>45705</v>
      </c>
      <c r="D4764" t="inlineStr">
        <is>
          <t>UPPSALA LÄN</t>
        </is>
      </c>
      <c r="E4764" t="inlineStr">
        <is>
          <t>ÄLVKARLEBY</t>
        </is>
      </c>
      <c r="F4764" t="inlineStr">
        <is>
          <t>Bergvik skog väst AB</t>
        </is>
      </c>
      <c r="G4764" t="n">
        <v>32.2</v>
      </c>
      <c r="H4764" t="n">
        <v>0</v>
      </c>
      <c r="I4764" t="n">
        <v>0</v>
      </c>
      <c r="J4764" t="n">
        <v>0</v>
      </c>
      <c r="K4764" t="n">
        <v>0</v>
      </c>
      <c r="L4764" t="n">
        <v>0</v>
      </c>
      <c r="M4764" t="n">
        <v>0</v>
      </c>
      <c r="N4764" t="n">
        <v>0</v>
      </c>
      <c r="O4764" t="n">
        <v>0</v>
      </c>
      <c r="P4764" t="n">
        <v>0</v>
      </c>
      <c r="Q4764" t="n">
        <v>0</v>
      </c>
      <c r="R4764" s="2" t="inlineStr"/>
    </row>
    <row r="4765" ht="15" customHeight="1">
      <c r="A4765" t="inlineStr">
        <is>
          <t>A 60203-2023</t>
        </is>
      </c>
      <c r="B4765" s="1" t="n">
        <v>45258</v>
      </c>
      <c r="C4765" s="1" t="n">
        <v>45705</v>
      </c>
      <c r="D4765" t="inlineStr">
        <is>
          <t>UPPSALA LÄN</t>
        </is>
      </c>
      <c r="E4765" t="inlineStr">
        <is>
          <t>HEBY</t>
        </is>
      </c>
      <c r="F4765" t="inlineStr">
        <is>
          <t>Bergvik skog öst AB</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60200-2023</t>
        </is>
      </c>
      <c r="B4766" s="1" t="n">
        <v>45258</v>
      </c>
      <c r="C4766" s="1" t="n">
        <v>45705</v>
      </c>
      <c r="D4766" t="inlineStr">
        <is>
          <t>UPPSALA LÄN</t>
        </is>
      </c>
      <c r="E4766" t="inlineStr">
        <is>
          <t>ENKÖPING</t>
        </is>
      </c>
      <c r="F4766" t="inlineStr">
        <is>
          <t>Allmännings- och besparingsskogar</t>
        </is>
      </c>
      <c r="G4766" t="n">
        <v>9.4</v>
      </c>
      <c r="H4766" t="n">
        <v>0</v>
      </c>
      <c r="I4766" t="n">
        <v>0</v>
      </c>
      <c r="J4766" t="n">
        <v>0</v>
      </c>
      <c r="K4766" t="n">
        <v>0</v>
      </c>
      <c r="L4766" t="n">
        <v>0</v>
      </c>
      <c r="M4766" t="n">
        <v>0</v>
      </c>
      <c r="N4766" t="n">
        <v>0</v>
      </c>
      <c r="O4766" t="n">
        <v>0</v>
      </c>
      <c r="P4766" t="n">
        <v>0</v>
      </c>
      <c r="Q4766" t="n">
        <v>0</v>
      </c>
      <c r="R4766" s="2" t="inlineStr"/>
    </row>
    <row r="4767" ht="15" customHeight="1">
      <c r="A4767" t="inlineStr">
        <is>
          <t>A 60212-2023</t>
        </is>
      </c>
      <c r="B4767" s="1" t="n">
        <v>45258</v>
      </c>
      <c r="C4767" s="1" t="n">
        <v>45705</v>
      </c>
      <c r="D4767" t="inlineStr">
        <is>
          <t>UPPSALA LÄN</t>
        </is>
      </c>
      <c r="E4767" t="inlineStr">
        <is>
          <t>TIERP</t>
        </is>
      </c>
      <c r="F4767" t="inlineStr">
        <is>
          <t>Bergvik skog väst AB</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60243-2023</t>
        </is>
      </c>
      <c r="B4768" s="1" t="n">
        <v>45258</v>
      </c>
      <c r="C4768" s="1" t="n">
        <v>45705</v>
      </c>
      <c r="D4768" t="inlineStr">
        <is>
          <t>UPPSALA LÄN</t>
        </is>
      </c>
      <c r="E4768" t="inlineStr">
        <is>
          <t>HEBY</t>
        </is>
      </c>
      <c r="F4768" t="inlineStr">
        <is>
          <t>Bergvik skog öst AB</t>
        </is>
      </c>
      <c r="G4768" t="n">
        <v>5.5</v>
      </c>
      <c r="H4768" t="n">
        <v>0</v>
      </c>
      <c r="I4768" t="n">
        <v>0</v>
      </c>
      <c r="J4768" t="n">
        <v>0</v>
      </c>
      <c r="K4768" t="n">
        <v>0</v>
      </c>
      <c r="L4768" t="n">
        <v>0</v>
      </c>
      <c r="M4768" t="n">
        <v>0</v>
      </c>
      <c r="N4768" t="n">
        <v>0</v>
      </c>
      <c r="O4768" t="n">
        <v>0</v>
      </c>
      <c r="P4768" t="n">
        <v>0</v>
      </c>
      <c r="Q4768" t="n">
        <v>0</v>
      </c>
      <c r="R4768" s="2" t="inlineStr"/>
    </row>
    <row r="4769" ht="15" customHeight="1">
      <c r="A4769" t="inlineStr">
        <is>
          <t>A 60303-2023</t>
        </is>
      </c>
      <c r="B4769" s="1" t="n">
        <v>45258</v>
      </c>
      <c r="C4769" s="1" t="n">
        <v>45705</v>
      </c>
      <c r="D4769" t="inlineStr">
        <is>
          <t>UPPSALA LÄN</t>
        </is>
      </c>
      <c r="E4769" t="inlineStr">
        <is>
          <t>ÖSTHAMMAR</t>
        </is>
      </c>
      <c r="F4769" t="inlineStr">
        <is>
          <t>Bergvik skog öst AB</t>
        </is>
      </c>
      <c r="G4769" t="n">
        <v>10.8</v>
      </c>
      <c r="H4769" t="n">
        <v>0</v>
      </c>
      <c r="I4769" t="n">
        <v>0</v>
      </c>
      <c r="J4769" t="n">
        <v>0</v>
      </c>
      <c r="K4769" t="n">
        <v>0</v>
      </c>
      <c r="L4769" t="n">
        <v>0</v>
      </c>
      <c r="M4769" t="n">
        <v>0</v>
      </c>
      <c r="N4769" t="n">
        <v>0</v>
      </c>
      <c r="O4769" t="n">
        <v>0</v>
      </c>
      <c r="P4769" t="n">
        <v>0</v>
      </c>
      <c r="Q4769" t="n">
        <v>0</v>
      </c>
      <c r="R4769" s="2" t="inlineStr"/>
    </row>
    <row r="4770" ht="15" customHeight="1">
      <c r="A4770" t="inlineStr">
        <is>
          <t>A 60444-2023</t>
        </is>
      </c>
      <c r="B4770" s="1" t="n">
        <v>45259</v>
      </c>
      <c r="C4770" s="1" t="n">
        <v>45705</v>
      </c>
      <c r="D4770" t="inlineStr">
        <is>
          <t>UPPSALA LÄN</t>
        </is>
      </c>
      <c r="E4770" t="inlineStr">
        <is>
          <t>UPPSALA</t>
        </is>
      </c>
      <c r="F4770" t="inlineStr">
        <is>
          <t>Bergvik skog öst AB</t>
        </is>
      </c>
      <c r="G4770" t="n">
        <v>0.4</v>
      </c>
      <c r="H4770" t="n">
        <v>0</v>
      </c>
      <c r="I4770" t="n">
        <v>0</v>
      </c>
      <c r="J4770" t="n">
        <v>0</v>
      </c>
      <c r="K4770" t="n">
        <v>0</v>
      </c>
      <c r="L4770" t="n">
        <v>0</v>
      </c>
      <c r="M4770" t="n">
        <v>0</v>
      </c>
      <c r="N4770" t="n">
        <v>0</v>
      </c>
      <c r="O4770" t="n">
        <v>0</v>
      </c>
      <c r="P4770" t="n">
        <v>0</v>
      </c>
      <c r="Q4770" t="n">
        <v>0</v>
      </c>
      <c r="R4770" s="2" t="inlineStr"/>
    </row>
    <row r="4771" ht="15" customHeight="1">
      <c r="A4771" t="inlineStr">
        <is>
          <t>A 60455-2023</t>
        </is>
      </c>
      <c r="B4771" s="1" t="n">
        <v>45259</v>
      </c>
      <c r="C4771" s="1" t="n">
        <v>45705</v>
      </c>
      <c r="D4771" t="inlineStr">
        <is>
          <t>UPPSALA LÄN</t>
        </is>
      </c>
      <c r="E4771" t="inlineStr">
        <is>
          <t>ÄLVKARLEBY</t>
        </is>
      </c>
      <c r="F4771" t="inlineStr">
        <is>
          <t>Bergvik skog öst AB</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60447-2023</t>
        </is>
      </c>
      <c r="B4772" s="1" t="n">
        <v>45259</v>
      </c>
      <c r="C4772" s="1" t="n">
        <v>45705</v>
      </c>
      <c r="D4772" t="inlineStr">
        <is>
          <t>UPPSALA LÄN</t>
        </is>
      </c>
      <c r="E4772" t="inlineStr">
        <is>
          <t>UPPSALA</t>
        </is>
      </c>
      <c r="F4772" t="inlineStr">
        <is>
          <t>Bergvik skog öst AB</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60555-2023</t>
        </is>
      </c>
      <c r="B4773" s="1" t="n">
        <v>45259</v>
      </c>
      <c r="C4773" s="1" t="n">
        <v>45705</v>
      </c>
      <c r="D4773" t="inlineStr">
        <is>
          <t>UPPSALA LÄN</t>
        </is>
      </c>
      <c r="E4773" t="inlineStr">
        <is>
          <t>ÖSTHAMMAR</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60714-2023</t>
        </is>
      </c>
      <c r="B4774" s="1" t="n">
        <v>45259</v>
      </c>
      <c r="C4774" s="1" t="n">
        <v>45705</v>
      </c>
      <c r="D4774" t="inlineStr">
        <is>
          <t>UPPSALA LÄN</t>
        </is>
      </c>
      <c r="E4774" t="inlineStr">
        <is>
          <t>UPPSALA</t>
        </is>
      </c>
      <c r="G4774" t="n">
        <v>3.3</v>
      </c>
      <c r="H4774" t="n">
        <v>0</v>
      </c>
      <c r="I4774" t="n">
        <v>0</v>
      </c>
      <c r="J4774" t="n">
        <v>0</v>
      </c>
      <c r="K4774" t="n">
        <v>0</v>
      </c>
      <c r="L4774" t="n">
        <v>0</v>
      </c>
      <c r="M4774" t="n">
        <v>0</v>
      </c>
      <c r="N4774" t="n">
        <v>0</v>
      </c>
      <c r="O4774" t="n">
        <v>0</v>
      </c>
      <c r="P4774" t="n">
        <v>0</v>
      </c>
      <c r="Q4774" t="n">
        <v>0</v>
      </c>
      <c r="R4774" s="2" t="inlineStr"/>
    </row>
    <row r="4775" ht="15" customHeight="1">
      <c r="A4775" t="inlineStr">
        <is>
          <t>A 60814-2023</t>
        </is>
      </c>
      <c r="B4775" s="1" t="n">
        <v>45259</v>
      </c>
      <c r="C4775" s="1" t="n">
        <v>45705</v>
      </c>
      <c r="D4775" t="inlineStr">
        <is>
          <t>UPPSALA LÄN</t>
        </is>
      </c>
      <c r="E4775" t="inlineStr">
        <is>
          <t>UPPSALA</t>
        </is>
      </c>
      <c r="G4775" t="n">
        <v>5.9</v>
      </c>
      <c r="H4775" t="n">
        <v>0</v>
      </c>
      <c r="I4775" t="n">
        <v>0</v>
      </c>
      <c r="J4775" t="n">
        <v>0</v>
      </c>
      <c r="K4775" t="n">
        <v>0</v>
      </c>
      <c r="L4775" t="n">
        <v>0</v>
      </c>
      <c r="M4775" t="n">
        <v>0</v>
      </c>
      <c r="N4775" t="n">
        <v>0</v>
      </c>
      <c r="O4775" t="n">
        <v>0</v>
      </c>
      <c r="P4775" t="n">
        <v>0</v>
      </c>
      <c r="Q4775" t="n">
        <v>0</v>
      </c>
      <c r="R4775" s="2" t="inlineStr"/>
    </row>
    <row r="4776" ht="15" customHeight="1">
      <c r="A4776" t="inlineStr">
        <is>
          <t>A 60781-2023</t>
        </is>
      </c>
      <c r="B4776" s="1" t="n">
        <v>45259</v>
      </c>
      <c r="C4776" s="1" t="n">
        <v>45705</v>
      </c>
      <c r="D4776" t="inlineStr">
        <is>
          <t>UPPSALA LÄN</t>
        </is>
      </c>
      <c r="E4776" t="inlineStr">
        <is>
          <t>UPPSALA</t>
        </is>
      </c>
      <c r="G4776" t="n">
        <v>4.1</v>
      </c>
      <c r="H4776" t="n">
        <v>0</v>
      </c>
      <c r="I4776" t="n">
        <v>0</v>
      </c>
      <c r="J4776" t="n">
        <v>0</v>
      </c>
      <c r="K4776" t="n">
        <v>0</v>
      </c>
      <c r="L4776" t="n">
        <v>0</v>
      </c>
      <c r="M4776" t="n">
        <v>0</v>
      </c>
      <c r="N4776" t="n">
        <v>0</v>
      </c>
      <c r="O4776" t="n">
        <v>0</v>
      </c>
      <c r="P4776" t="n">
        <v>0</v>
      </c>
      <c r="Q4776" t="n">
        <v>0</v>
      </c>
      <c r="R4776" s="2" t="inlineStr"/>
    </row>
    <row r="4777" ht="15" customHeight="1">
      <c r="A4777" t="inlineStr">
        <is>
          <t>A 60989-2023</t>
        </is>
      </c>
      <c r="B4777" s="1" t="n">
        <v>45259</v>
      </c>
      <c r="C4777" s="1" t="n">
        <v>45705</v>
      </c>
      <c r="D4777" t="inlineStr">
        <is>
          <t>UPPSALA LÄN</t>
        </is>
      </c>
      <c r="E4777" t="inlineStr">
        <is>
          <t>TIERP</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61062-2023</t>
        </is>
      </c>
      <c r="B4778" s="1" t="n">
        <v>45259</v>
      </c>
      <c r="C4778" s="1" t="n">
        <v>45705</v>
      </c>
      <c r="D4778" t="inlineStr">
        <is>
          <t>UPPSALA LÄN</t>
        </is>
      </c>
      <c r="E4778" t="inlineStr">
        <is>
          <t>ÖSTHAMMAR</t>
        </is>
      </c>
      <c r="G4778" t="n">
        <v>5.3</v>
      </c>
      <c r="H4778" t="n">
        <v>0</v>
      </c>
      <c r="I4778" t="n">
        <v>0</v>
      </c>
      <c r="J4778" t="n">
        <v>0</v>
      </c>
      <c r="K4778" t="n">
        <v>0</v>
      </c>
      <c r="L4778" t="n">
        <v>0</v>
      </c>
      <c r="M4778" t="n">
        <v>0</v>
      </c>
      <c r="N4778" t="n">
        <v>0</v>
      </c>
      <c r="O4778" t="n">
        <v>0</v>
      </c>
      <c r="P4778" t="n">
        <v>0</v>
      </c>
      <c r="Q4778" t="n">
        <v>0</v>
      </c>
      <c r="R4778" s="2" t="inlineStr"/>
    </row>
    <row r="4779" ht="15" customHeight="1">
      <c r="A4779" t="inlineStr">
        <is>
          <t>A 61067-2023</t>
        </is>
      </c>
      <c r="B4779" s="1" t="n">
        <v>45259</v>
      </c>
      <c r="C4779" s="1" t="n">
        <v>45705</v>
      </c>
      <c r="D4779" t="inlineStr">
        <is>
          <t>UPPSALA LÄN</t>
        </is>
      </c>
      <c r="E4779" t="inlineStr">
        <is>
          <t>UPPSALA</t>
        </is>
      </c>
      <c r="G4779" t="n">
        <v>3.8</v>
      </c>
      <c r="H4779" t="n">
        <v>0</v>
      </c>
      <c r="I4779" t="n">
        <v>0</v>
      </c>
      <c r="J4779" t="n">
        <v>0</v>
      </c>
      <c r="K4779" t="n">
        <v>0</v>
      </c>
      <c r="L4779" t="n">
        <v>0</v>
      </c>
      <c r="M4779" t="n">
        <v>0</v>
      </c>
      <c r="N4779" t="n">
        <v>0</v>
      </c>
      <c r="O4779" t="n">
        <v>0</v>
      </c>
      <c r="P4779" t="n">
        <v>0</v>
      </c>
      <c r="Q4779" t="n">
        <v>0</v>
      </c>
      <c r="R4779" s="2" t="inlineStr"/>
    </row>
    <row r="4780" ht="15" customHeight="1">
      <c r="A4780" t="inlineStr">
        <is>
          <t>A 61063-2023</t>
        </is>
      </c>
      <c r="B4780" s="1" t="n">
        <v>45259</v>
      </c>
      <c r="C4780" s="1" t="n">
        <v>45705</v>
      </c>
      <c r="D4780" t="inlineStr">
        <is>
          <t>UPPSALA LÄN</t>
        </is>
      </c>
      <c r="E4780" t="inlineStr">
        <is>
          <t>ÖSTHAMMAR</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60993-2023</t>
        </is>
      </c>
      <c r="B4781" s="1" t="n">
        <v>45259</v>
      </c>
      <c r="C4781" s="1" t="n">
        <v>45705</v>
      </c>
      <c r="D4781" t="inlineStr">
        <is>
          <t>UPPSALA LÄN</t>
        </is>
      </c>
      <c r="E4781" t="inlineStr">
        <is>
          <t>TIERP</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60707-2023</t>
        </is>
      </c>
      <c r="B4782" s="1" t="n">
        <v>45260</v>
      </c>
      <c r="C4782" s="1" t="n">
        <v>45705</v>
      </c>
      <c r="D4782" t="inlineStr">
        <is>
          <t>UPPSALA LÄN</t>
        </is>
      </c>
      <c r="E4782" t="inlineStr">
        <is>
          <t>UPPSALA</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60702-2023</t>
        </is>
      </c>
      <c r="B4783" s="1" t="n">
        <v>45260</v>
      </c>
      <c r="C4783" s="1" t="n">
        <v>45705</v>
      </c>
      <c r="D4783" t="inlineStr">
        <is>
          <t>UPPSALA LÄN</t>
        </is>
      </c>
      <c r="E4783" t="inlineStr">
        <is>
          <t>HEBY</t>
        </is>
      </c>
      <c r="G4783" t="n">
        <v>4.3</v>
      </c>
      <c r="H4783" t="n">
        <v>0</v>
      </c>
      <c r="I4783" t="n">
        <v>0</v>
      </c>
      <c r="J4783" t="n">
        <v>0</v>
      </c>
      <c r="K4783" t="n">
        <v>0</v>
      </c>
      <c r="L4783" t="n">
        <v>0</v>
      </c>
      <c r="M4783" t="n">
        <v>0</v>
      </c>
      <c r="N4783" t="n">
        <v>0</v>
      </c>
      <c r="O4783" t="n">
        <v>0</v>
      </c>
      <c r="P4783" t="n">
        <v>0</v>
      </c>
      <c r="Q4783" t="n">
        <v>0</v>
      </c>
      <c r="R4783" s="2" t="inlineStr"/>
    </row>
    <row r="4784" ht="15" customHeight="1">
      <c r="A4784" t="inlineStr">
        <is>
          <t>A 60722-2023</t>
        </is>
      </c>
      <c r="B4784" s="1" t="n">
        <v>45260</v>
      </c>
      <c r="C4784" s="1" t="n">
        <v>45705</v>
      </c>
      <c r="D4784" t="inlineStr">
        <is>
          <t>UPPSALA LÄN</t>
        </is>
      </c>
      <c r="E4784" t="inlineStr">
        <is>
          <t>ÖSTHAMMAR</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60784-2023</t>
        </is>
      </c>
      <c r="B4785" s="1" t="n">
        <v>45260</v>
      </c>
      <c r="C4785" s="1" t="n">
        <v>45705</v>
      </c>
      <c r="D4785" t="inlineStr">
        <is>
          <t>UPPSALA LÄN</t>
        </is>
      </c>
      <c r="E4785" t="inlineStr">
        <is>
          <t>HEBY</t>
        </is>
      </c>
      <c r="G4785" t="n">
        <v>4.8</v>
      </c>
      <c r="H4785" t="n">
        <v>0</v>
      </c>
      <c r="I4785" t="n">
        <v>0</v>
      </c>
      <c r="J4785" t="n">
        <v>0</v>
      </c>
      <c r="K4785" t="n">
        <v>0</v>
      </c>
      <c r="L4785" t="n">
        <v>0</v>
      </c>
      <c r="M4785" t="n">
        <v>0</v>
      </c>
      <c r="N4785" t="n">
        <v>0</v>
      </c>
      <c r="O4785" t="n">
        <v>0</v>
      </c>
      <c r="P4785" t="n">
        <v>0</v>
      </c>
      <c r="Q4785" t="n">
        <v>0</v>
      </c>
      <c r="R4785" s="2" t="inlineStr"/>
    </row>
    <row r="4786" ht="15" customHeight="1">
      <c r="A4786" t="inlineStr">
        <is>
          <t>A 60641-2023</t>
        </is>
      </c>
      <c r="B4786" s="1" t="n">
        <v>45260</v>
      </c>
      <c r="C4786" s="1" t="n">
        <v>45705</v>
      </c>
      <c r="D4786" t="inlineStr">
        <is>
          <t>UPPSALA LÄN</t>
        </is>
      </c>
      <c r="E4786" t="inlineStr">
        <is>
          <t>ENKÖPING</t>
        </is>
      </c>
      <c r="G4786" t="n">
        <v>13.1</v>
      </c>
      <c r="H4786" t="n">
        <v>0</v>
      </c>
      <c r="I4786" t="n">
        <v>0</v>
      </c>
      <c r="J4786" t="n">
        <v>0</v>
      </c>
      <c r="K4786" t="n">
        <v>0</v>
      </c>
      <c r="L4786" t="n">
        <v>0</v>
      </c>
      <c r="M4786" t="n">
        <v>0</v>
      </c>
      <c r="N4786" t="n">
        <v>0</v>
      </c>
      <c r="O4786" t="n">
        <v>0</v>
      </c>
      <c r="P4786" t="n">
        <v>0</v>
      </c>
      <c r="Q4786" t="n">
        <v>0</v>
      </c>
      <c r="R4786" s="2" t="inlineStr"/>
    </row>
    <row r="4787" ht="15" customHeight="1">
      <c r="A4787" t="inlineStr">
        <is>
          <t>A 60787-2023</t>
        </is>
      </c>
      <c r="B4787" s="1" t="n">
        <v>45260</v>
      </c>
      <c r="C4787" s="1" t="n">
        <v>45705</v>
      </c>
      <c r="D4787" t="inlineStr">
        <is>
          <t>UPPSALA LÄN</t>
        </is>
      </c>
      <c r="E4787" t="inlineStr">
        <is>
          <t>HEBY</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60792-2023</t>
        </is>
      </c>
      <c r="B4788" s="1" t="n">
        <v>45260</v>
      </c>
      <c r="C4788" s="1" t="n">
        <v>45705</v>
      </c>
      <c r="D4788" t="inlineStr">
        <is>
          <t>UPPSALA LÄN</t>
        </is>
      </c>
      <c r="E4788" t="inlineStr">
        <is>
          <t>HEBY</t>
        </is>
      </c>
      <c r="G4788" t="n">
        <v>2.9</v>
      </c>
      <c r="H4788" t="n">
        <v>0</v>
      </c>
      <c r="I4788" t="n">
        <v>0</v>
      </c>
      <c r="J4788" t="n">
        <v>0</v>
      </c>
      <c r="K4788" t="n">
        <v>0</v>
      </c>
      <c r="L4788" t="n">
        <v>0</v>
      </c>
      <c r="M4788" t="n">
        <v>0</v>
      </c>
      <c r="N4788" t="n">
        <v>0</v>
      </c>
      <c r="O4788" t="n">
        <v>0</v>
      </c>
      <c r="P4788" t="n">
        <v>0</v>
      </c>
      <c r="Q4788" t="n">
        <v>0</v>
      </c>
      <c r="R4788" s="2" t="inlineStr"/>
    </row>
    <row r="4789" ht="15" customHeight="1">
      <c r="A4789" t="inlineStr">
        <is>
          <t>A 61040-2023</t>
        </is>
      </c>
      <c r="B4789" s="1" t="n">
        <v>45260</v>
      </c>
      <c r="C4789" s="1" t="n">
        <v>45705</v>
      </c>
      <c r="D4789" t="inlineStr">
        <is>
          <t>UPPSALA LÄN</t>
        </is>
      </c>
      <c r="E4789" t="inlineStr">
        <is>
          <t>ENKÖPING</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60874-2023</t>
        </is>
      </c>
      <c r="B4790" s="1" t="n">
        <v>45261</v>
      </c>
      <c r="C4790" s="1" t="n">
        <v>45705</v>
      </c>
      <c r="D4790" t="inlineStr">
        <is>
          <t>UPPSALA LÄN</t>
        </is>
      </c>
      <c r="E4790" t="inlineStr">
        <is>
          <t>ENKÖPING</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60924-2023</t>
        </is>
      </c>
      <c r="B4791" s="1" t="n">
        <v>45261</v>
      </c>
      <c r="C4791" s="1" t="n">
        <v>45705</v>
      </c>
      <c r="D4791" t="inlineStr">
        <is>
          <t>UPPSALA LÄN</t>
        </is>
      </c>
      <c r="E4791" t="inlineStr">
        <is>
          <t>TIERP</t>
        </is>
      </c>
      <c r="F4791" t="inlineStr">
        <is>
          <t>Bergvik skog öst AB</t>
        </is>
      </c>
      <c r="G4791" t="n">
        <v>6.8</v>
      </c>
      <c r="H4791" t="n">
        <v>0</v>
      </c>
      <c r="I4791" t="n">
        <v>0</v>
      </c>
      <c r="J4791" t="n">
        <v>0</v>
      </c>
      <c r="K4791" t="n">
        <v>0</v>
      </c>
      <c r="L4791" t="n">
        <v>0</v>
      </c>
      <c r="M4791" t="n">
        <v>0</v>
      </c>
      <c r="N4791" t="n">
        <v>0</v>
      </c>
      <c r="O4791" t="n">
        <v>0</v>
      </c>
      <c r="P4791" t="n">
        <v>0</v>
      </c>
      <c r="Q4791" t="n">
        <v>0</v>
      </c>
      <c r="R4791" s="2" t="inlineStr"/>
    </row>
    <row r="4792" ht="15" customHeight="1">
      <c r="A4792" t="inlineStr">
        <is>
          <t>A 61109-2023</t>
        </is>
      </c>
      <c r="B4792" s="1" t="n">
        <v>45261</v>
      </c>
      <c r="C4792" s="1" t="n">
        <v>45705</v>
      </c>
      <c r="D4792" t="inlineStr">
        <is>
          <t>UPPSALA LÄN</t>
        </is>
      </c>
      <c r="E4792" t="inlineStr">
        <is>
          <t>ÖSTHAMMAR</t>
        </is>
      </c>
      <c r="G4792" t="n">
        <v>3.9</v>
      </c>
      <c r="H4792" t="n">
        <v>0</v>
      </c>
      <c r="I4792" t="n">
        <v>0</v>
      </c>
      <c r="J4792" t="n">
        <v>0</v>
      </c>
      <c r="K4792" t="n">
        <v>0</v>
      </c>
      <c r="L4792" t="n">
        <v>0</v>
      </c>
      <c r="M4792" t="n">
        <v>0</v>
      </c>
      <c r="N4792" t="n">
        <v>0</v>
      </c>
      <c r="O4792" t="n">
        <v>0</v>
      </c>
      <c r="P4792" t="n">
        <v>0</v>
      </c>
      <c r="Q4792" t="n">
        <v>0</v>
      </c>
      <c r="R4792" s="2" t="inlineStr"/>
    </row>
    <row r="4793" ht="15" customHeight="1">
      <c r="A4793" t="inlineStr">
        <is>
          <t>A 61246-2023</t>
        </is>
      </c>
      <c r="B4793" s="1" t="n">
        <v>45264</v>
      </c>
      <c r="C4793" s="1" t="n">
        <v>45705</v>
      </c>
      <c r="D4793" t="inlineStr">
        <is>
          <t>UPPSALA LÄN</t>
        </is>
      </c>
      <c r="E4793" t="inlineStr">
        <is>
          <t>ÖSTHAMMAR</t>
        </is>
      </c>
      <c r="F4793" t="inlineStr">
        <is>
          <t>Allmännings- och besparingsskogar</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61207-2023</t>
        </is>
      </c>
      <c r="B4794" s="1" t="n">
        <v>45264</v>
      </c>
      <c r="C4794" s="1" t="n">
        <v>45705</v>
      </c>
      <c r="D4794" t="inlineStr">
        <is>
          <t>UPPSALA LÄN</t>
        </is>
      </c>
      <c r="E4794" t="inlineStr">
        <is>
          <t>ENKÖPING</t>
        </is>
      </c>
      <c r="G4794" t="n">
        <v>10.8</v>
      </c>
      <c r="H4794" t="n">
        <v>0</v>
      </c>
      <c r="I4794" t="n">
        <v>0</v>
      </c>
      <c r="J4794" t="n">
        <v>0</v>
      </c>
      <c r="K4794" t="n">
        <v>0</v>
      </c>
      <c r="L4794" t="n">
        <v>0</v>
      </c>
      <c r="M4794" t="n">
        <v>0</v>
      </c>
      <c r="N4794" t="n">
        <v>0</v>
      </c>
      <c r="O4794" t="n">
        <v>0</v>
      </c>
      <c r="P4794" t="n">
        <v>0</v>
      </c>
      <c r="Q4794" t="n">
        <v>0</v>
      </c>
      <c r="R4794" s="2" t="inlineStr"/>
    </row>
    <row r="4795" ht="15" customHeight="1">
      <c r="A4795" t="inlineStr">
        <is>
          <t>A 61428-2023</t>
        </is>
      </c>
      <c r="B4795" s="1" t="n">
        <v>45264</v>
      </c>
      <c r="C4795" s="1" t="n">
        <v>45705</v>
      </c>
      <c r="D4795" t="inlineStr">
        <is>
          <t>UPPSALA LÄN</t>
        </is>
      </c>
      <c r="E4795" t="inlineStr">
        <is>
          <t>ÖSTHAMMAR</t>
        </is>
      </c>
      <c r="F4795" t="inlineStr">
        <is>
          <t>Allmännings- och besparingsskogar</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61724-2023</t>
        </is>
      </c>
      <c r="B4796" s="1" t="n">
        <v>45264</v>
      </c>
      <c r="C4796" s="1" t="n">
        <v>45705</v>
      </c>
      <c r="D4796" t="inlineStr">
        <is>
          <t>UPPSALA LÄN</t>
        </is>
      </c>
      <c r="E4796" t="inlineStr">
        <is>
          <t>KNIVSTA</t>
        </is>
      </c>
      <c r="G4796" t="n">
        <v>8.699999999999999</v>
      </c>
      <c r="H4796" t="n">
        <v>0</v>
      </c>
      <c r="I4796" t="n">
        <v>0</v>
      </c>
      <c r="J4796" t="n">
        <v>0</v>
      </c>
      <c r="K4796" t="n">
        <v>0</v>
      </c>
      <c r="L4796" t="n">
        <v>0</v>
      </c>
      <c r="M4796" t="n">
        <v>0</v>
      </c>
      <c r="N4796" t="n">
        <v>0</v>
      </c>
      <c r="O4796" t="n">
        <v>0</v>
      </c>
      <c r="P4796" t="n">
        <v>0</v>
      </c>
      <c r="Q4796" t="n">
        <v>0</v>
      </c>
      <c r="R4796" s="2" t="inlineStr"/>
    </row>
    <row r="4797" ht="15" customHeight="1">
      <c r="A4797" t="inlineStr">
        <is>
          <t>A 61710-2023</t>
        </is>
      </c>
      <c r="B4797" s="1" t="n">
        <v>45265</v>
      </c>
      <c r="C4797" s="1" t="n">
        <v>45705</v>
      </c>
      <c r="D4797" t="inlineStr">
        <is>
          <t>UPPSALA LÄN</t>
        </is>
      </c>
      <c r="E4797" t="inlineStr">
        <is>
          <t>ENKÖPING</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61612-2023</t>
        </is>
      </c>
      <c r="B4798" s="1" t="n">
        <v>45265</v>
      </c>
      <c r="C4798" s="1" t="n">
        <v>45705</v>
      </c>
      <c r="D4798" t="inlineStr">
        <is>
          <t>UPPSALA LÄN</t>
        </is>
      </c>
      <c r="E4798" t="inlineStr">
        <is>
          <t>TIERP</t>
        </is>
      </c>
      <c r="G4798" t="n">
        <v>6.1</v>
      </c>
      <c r="H4798" t="n">
        <v>0</v>
      </c>
      <c r="I4798" t="n">
        <v>0</v>
      </c>
      <c r="J4798" t="n">
        <v>0</v>
      </c>
      <c r="K4798" t="n">
        <v>0</v>
      </c>
      <c r="L4798" t="n">
        <v>0</v>
      </c>
      <c r="M4798" t="n">
        <v>0</v>
      </c>
      <c r="N4798" t="n">
        <v>0</v>
      </c>
      <c r="O4798" t="n">
        <v>0</v>
      </c>
      <c r="P4798" t="n">
        <v>0</v>
      </c>
      <c r="Q4798" t="n">
        <v>0</v>
      </c>
      <c r="R4798" s="2" t="inlineStr"/>
    </row>
    <row r="4799" ht="15" customHeight="1">
      <c r="A4799" t="inlineStr">
        <is>
          <t>A 61640-2023</t>
        </is>
      </c>
      <c r="B4799" s="1" t="n">
        <v>45265</v>
      </c>
      <c r="C4799" s="1" t="n">
        <v>45705</v>
      </c>
      <c r="D4799" t="inlineStr">
        <is>
          <t>UPPSALA LÄN</t>
        </is>
      </c>
      <c r="E4799" t="inlineStr">
        <is>
          <t>TIERP</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61677-2023</t>
        </is>
      </c>
      <c r="B4800" s="1" t="n">
        <v>45265</v>
      </c>
      <c r="C4800" s="1" t="n">
        <v>45705</v>
      </c>
      <c r="D4800" t="inlineStr">
        <is>
          <t>UPPSALA LÄN</t>
        </is>
      </c>
      <c r="E4800" t="inlineStr">
        <is>
          <t>TIERP</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61913-2023</t>
        </is>
      </c>
      <c r="B4801" s="1" t="n">
        <v>45266</v>
      </c>
      <c r="C4801" s="1" t="n">
        <v>45705</v>
      </c>
      <c r="D4801" t="inlineStr">
        <is>
          <t>UPPSALA LÄN</t>
        </is>
      </c>
      <c r="E4801" t="inlineStr">
        <is>
          <t>HEBY</t>
        </is>
      </c>
      <c r="G4801" t="n">
        <v>4.8</v>
      </c>
      <c r="H4801" t="n">
        <v>0</v>
      </c>
      <c r="I4801" t="n">
        <v>0</v>
      </c>
      <c r="J4801" t="n">
        <v>0</v>
      </c>
      <c r="K4801" t="n">
        <v>0</v>
      </c>
      <c r="L4801" t="n">
        <v>0</v>
      </c>
      <c r="M4801" t="n">
        <v>0</v>
      </c>
      <c r="N4801" t="n">
        <v>0</v>
      </c>
      <c r="O4801" t="n">
        <v>0</v>
      </c>
      <c r="P4801" t="n">
        <v>0</v>
      </c>
      <c r="Q4801" t="n">
        <v>0</v>
      </c>
      <c r="R4801" s="2" t="inlineStr"/>
    </row>
    <row r="4802" ht="15" customHeight="1">
      <c r="A4802" t="inlineStr">
        <is>
          <t>A 61916-2023</t>
        </is>
      </c>
      <c r="B4802" s="1" t="n">
        <v>45266</v>
      </c>
      <c r="C4802" s="1" t="n">
        <v>45705</v>
      </c>
      <c r="D4802" t="inlineStr">
        <is>
          <t>UPPSALA LÄN</t>
        </is>
      </c>
      <c r="E4802" t="inlineStr">
        <is>
          <t>HEBY</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61931-2023</t>
        </is>
      </c>
      <c r="B4803" s="1" t="n">
        <v>45266</v>
      </c>
      <c r="C4803" s="1" t="n">
        <v>45705</v>
      </c>
      <c r="D4803" t="inlineStr">
        <is>
          <t>UPPSALA LÄN</t>
        </is>
      </c>
      <c r="E4803" t="inlineStr">
        <is>
          <t>HEBY</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61947-2023</t>
        </is>
      </c>
      <c r="B4804" s="1" t="n">
        <v>45266</v>
      </c>
      <c r="C4804" s="1" t="n">
        <v>45705</v>
      </c>
      <c r="D4804" t="inlineStr">
        <is>
          <t>UPPSALA LÄN</t>
        </is>
      </c>
      <c r="E4804" t="inlineStr">
        <is>
          <t>UPPSALA</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61959-2023</t>
        </is>
      </c>
      <c r="B4805" s="1" t="n">
        <v>45266</v>
      </c>
      <c r="C4805" s="1" t="n">
        <v>45705</v>
      </c>
      <c r="D4805" t="inlineStr">
        <is>
          <t>UPPSALA LÄN</t>
        </is>
      </c>
      <c r="E4805" t="inlineStr">
        <is>
          <t>HEBY</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62004-2023</t>
        </is>
      </c>
      <c r="B4806" s="1" t="n">
        <v>45266</v>
      </c>
      <c r="C4806" s="1" t="n">
        <v>45705</v>
      </c>
      <c r="D4806" t="inlineStr">
        <is>
          <t>UPPSALA LÄN</t>
        </is>
      </c>
      <c r="E4806" t="inlineStr">
        <is>
          <t>HEBY</t>
        </is>
      </c>
      <c r="G4806" t="n">
        <v>13.5</v>
      </c>
      <c r="H4806" t="n">
        <v>0</v>
      </c>
      <c r="I4806" t="n">
        <v>0</v>
      </c>
      <c r="J4806" t="n">
        <v>0</v>
      </c>
      <c r="K4806" t="n">
        <v>0</v>
      </c>
      <c r="L4806" t="n">
        <v>0</v>
      </c>
      <c r="M4806" t="n">
        <v>0</v>
      </c>
      <c r="N4806" t="n">
        <v>0</v>
      </c>
      <c r="O4806" t="n">
        <v>0</v>
      </c>
      <c r="P4806" t="n">
        <v>0</v>
      </c>
      <c r="Q4806" t="n">
        <v>0</v>
      </c>
      <c r="R4806" s="2" t="inlineStr"/>
    </row>
    <row r="4807" ht="15" customHeight="1">
      <c r="A4807" t="inlineStr">
        <is>
          <t>A 61917-2023</t>
        </is>
      </c>
      <c r="B4807" s="1" t="n">
        <v>45266</v>
      </c>
      <c r="C4807" s="1" t="n">
        <v>45705</v>
      </c>
      <c r="D4807" t="inlineStr">
        <is>
          <t>UPPSALA LÄN</t>
        </is>
      </c>
      <c r="E4807" t="inlineStr">
        <is>
          <t>HEBY</t>
        </is>
      </c>
      <c r="G4807" t="n">
        <v>7.1</v>
      </c>
      <c r="H4807" t="n">
        <v>0</v>
      </c>
      <c r="I4807" t="n">
        <v>0</v>
      </c>
      <c r="J4807" t="n">
        <v>0</v>
      </c>
      <c r="K4807" t="n">
        <v>0</v>
      </c>
      <c r="L4807" t="n">
        <v>0</v>
      </c>
      <c r="M4807" t="n">
        <v>0</v>
      </c>
      <c r="N4807" t="n">
        <v>0</v>
      </c>
      <c r="O4807" t="n">
        <v>0</v>
      </c>
      <c r="P4807" t="n">
        <v>0</v>
      </c>
      <c r="Q4807" t="n">
        <v>0</v>
      </c>
      <c r="R4807" s="2" t="inlineStr"/>
    </row>
    <row r="4808" ht="15" customHeight="1">
      <c r="A4808" t="inlineStr">
        <is>
          <t>A 61960-2023</t>
        </is>
      </c>
      <c r="B4808" s="1" t="n">
        <v>45266</v>
      </c>
      <c r="C4808" s="1" t="n">
        <v>45705</v>
      </c>
      <c r="D4808" t="inlineStr">
        <is>
          <t>UPPSALA LÄN</t>
        </is>
      </c>
      <c r="E4808" t="inlineStr">
        <is>
          <t>HEBY</t>
        </is>
      </c>
      <c r="F4808" t="inlineStr">
        <is>
          <t>Kyrkan</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62086-2023</t>
        </is>
      </c>
      <c r="B4809" s="1" t="n">
        <v>45266</v>
      </c>
      <c r="C4809" s="1" t="n">
        <v>45705</v>
      </c>
      <c r="D4809" t="inlineStr">
        <is>
          <t>UPPSALA LÄN</t>
        </is>
      </c>
      <c r="E4809" t="inlineStr">
        <is>
          <t>HEBY</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62083-2023</t>
        </is>
      </c>
      <c r="B4810" s="1" t="n">
        <v>45266</v>
      </c>
      <c r="C4810" s="1" t="n">
        <v>45705</v>
      </c>
      <c r="D4810" t="inlineStr">
        <is>
          <t>UPPSALA LÄN</t>
        </is>
      </c>
      <c r="E4810" t="inlineStr">
        <is>
          <t>HEBY</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62084-2023</t>
        </is>
      </c>
      <c r="B4811" s="1" t="n">
        <v>45266</v>
      </c>
      <c r="C4811" s="1" t="n">
        <v>45705</v>
      </c>
      <c r="D4811" t="inlineStr">
        <is>
          <t>UPPSALA LÄN</t>
        </is>
      </c>
      <c r="E4811" t="inlineStr">
        <is>
          <t>HEBY</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62085-2023</t>
        </is>
      </c>
      <c r="B4812" s="1" t="n">
        <v>45266</v>
      </c>
      <c r="C4812" s="1" t="n">
        <v>45705</v>
      </c>
      <c r="D4812" t="inlineStr">
        <is>
          <t>UPPSALA LÄN</t>
        </is>
      </c>
      <c r="E4812" t="inlineStr">
        <is>
          <t>HEBY</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62158-2023</t>
        </is>
      </c>
      <c r="B4813" s="1" t="n">
        <v>45267</v>
      </c>
      <c r="C4813" s="1" t="n">
        <v>45705</v>
      </c>
      <c r="D4813" t="inlineStr">
        <is>
          <t>UPPSALA LÄN</t>
        </is>
      </c>
      <c r="E4813" t="inlineStr">
        <is>
          <t>ENKÖPING</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62287-2023</t>
        </is>
      </c>
      <c r="B4814" s="1" t="n">
        <v>45267</v>
      </c>
      <c r="C4814" s="1" t="n">
        <v>45705</v>
      </c>
      <c r="D4814" t="inlineStr">
        <is>
          <t>UPPSALA LÄN</t>
        </is>
      </c>
      <c r="E4814" t="inlineStr">
        <is>
          <t>UPPSALA</t>
        </is>
      </c>
      <c r="F4814" t="inlineStr">
        <is>
          <t>Allmännings- och besparingsskogar</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62310-2023</t>
        </is>
      </c>
      <c r="B4815" s="1" t="n">
        <v>45267</v>
      </c>
      <c r="C4815" s="1" t="n">
        <v>45705</v>
      </c>
      <c r="D4815" t="inlineStr">
        <is>
          <t>UPPSALA LÄN</t>
        </is>
      </c>
      <c r="E4815" t="inlineStr">
        <is>
          <t>HEBY</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62265-2023</t>
        </is>
      </c>
      <c r="B4816" s="1" t="n">
        <v>45267</v>
      </c>
      <c r="C4816" s="1" t="n">
        <v>45705</v>
      </c>
      <c r="D4816" t="inlineStr">
        <is>
          <t>UPPSALA LÄN</t>
        </is>
      </c>
      <c r="E4816" t="inlineStr">
        <is>
          <t>ENKÖPING</t>
        </is>
      </c>
      <c r="G4816" t="n">
        <v>4.5</v>
      </c>
      <c r="H4816" t="n">
        <v>0</v>
      </c>
      <c r="I4816" t="n">
        <v>0</v>
      </c>
      <c r="J4816" t="n">
        <v>0</v>
      </c>
      <c r="K4816" t="n">
        <v>0</v>
      </c>
      <c r="L4816" t="n">
        <v>0</v>
      </c>
      <c r="M4816" t="n">
        <v>0</v>
      </c>
      <c r="N4816" t="n">
        <v>0</v>
      </c>
      <c r="O4816" t="n">
        <v>0</v>
      </c>
      <c r="P4816" t="n">
        <v>0</v>
      </c>
      <c r="Q4816" t="n">
        <v>0</v>
      </c>
      <c r="R4816" s="2" t="inlineStr"/>
    </row>
    <row r="4817" ht="15" customHeight="1">
      <c r="A4817" t="inlineStr">
        <is>
          <t>A 62627-2023</t>
        </is>
      </c>
      <c r="B4817" s="1" t="n">
        <v>45268</v>
      </c>
      <c r="C4817" s="1" t="n">
        <v>45705</v>
      </c>
      <c r="D4817" t="inlineStr">
        <is>
          <t>UPPSALA LÄN</t>
        </is>
      </c>
      <c r="E4817" t="inlineStr">
        <is>
          <t>UPPSALA</t>
        </is>
      </c>
      <c r="G4817" t="n">
        <v>7.6</v>
      </c>
      <c r="H4817" t="n">
        <v>0</v>
      </c>
      <c r="I4817" t="n">
        <v>0</v>
      </c>
      <c r="J4817" t="n">
        <v>0</v>
      </c>
      <c r="K4817" t="n">
        <v>0</v>
      </c>
      <c r="L4817" t="n">
        <v>0</v>
      </c>
      <c r="M4817" t="n">
        <v>0</v>
      </c>
      <c r="N4817" t="n">
        <v>0</v>
      </c>
      <c r="O4817" t="n">
        <v>0</v>
      </c>
      <c r="P4817" t="n">
        <v>0</v>
      </c>
      <c r="Q4817" t="n">
        <v>0</v>
      </c>
      <c r="R4817" s="2" t="inlineStr"/>
      <c r="U4817">
        <f>HYPERLINK("https://klasma.github.io/Logging_0380/knärot/A 62627-2023 karta knärot.png", "A 62627-2023")</f>
        <v/>
      </c>
      <c r="V4817">
        <f>HYPERLINK("https://klasma.github.io/Logging_0380/klagomål/A 62627-2023 FSC-klagomål.docx", "A 62627-2023")</f>
        <v/>
      </c>
      <c r="W4817">
        <f>HYPERLINK("https://klasma.github.io/Logging_0380/klagomålsmail/A 62627-2023 FSC-klagomål mail.docx", "A 62627-2023")</f>
        <v/>
      </c>
      <c r="X4817">
        <f>HYPERLINK("https://klasma.github.io/Logging_0380/tillsyn/A 62627-2023 tillsynsbegäran.docx", "A 62627-2023")</f>
        <v/>
      </c>
      <c r="Y4817">
        <f>HYPERLINK("https://klasma.github.io/Logging_0380/tillsynsmail/A 62627-2023 tillsynsbegäran mail.docx", "A 62627-2023")</f>
        <v/>
      </c>
    </row>
    <row r="4818" ht="15" customHeight="1">
      <c r="A4818" t="inlineStr">
        <is>
          <t>A 62636-2023</t>
        </is>
      </c>
      <c r="B4818" s="1" t="n">
        <v>45268</v>
      </c>
      <c r="C4818" s="1" t="n">
        <v>45705</v>
      </c>
      <c r="D4818" t="inlineStr">
        <is>
          <t>UPPSALA LÄN</t>
        </is>
      </c>
      <c r="E4818" t="inlineStr">
        <is>
          <t>UPPSALA</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62691-2023</t>
        </is>
      </c>
      <c r="B4819" s="1" t="n">
        <v>45268</v>
      </c>
      <c r="C4819" s="1" t="n">
        <v>45705</v>
      </c>
      <c r="D4819" t="inlineStr">
        <is>
          <t>UPPSALA LÄN</t>
        </is>
      </c>
      <c r="E4819" t="inlineStr">
        <is>
          <t>UPPSALA</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62694-2023</t>
        </is>
      </c>
      <c r="B4820" s="1" t="n">
        <v>45268</v>
      </c>
      <c r="C4820" s="1" t="n">
        <v>45705</v>
      </c>
      <c r="D4820" t="inlineStr">
        <is>
          <t>UPPSALA LÄN</t>
        </is>
      </c>
      <c r="E4820" t="inlineStr">
        <is>
          <t>UPPSALA</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62695-2023</t>
        </is>
      </c>
      <c r="B4821" s="1" t="n">
        <v>45271</v>
      </c>
      <c r="C4821" s="1" t="n">
        <v>45705</v>
      </c>
      <c r="D4821" t="inlineStr">
        <is>
          <t>UPPSALA LÄN</t>
        </is>
      </c>
      <c r="E4821" t="inlineStr">
        <is>
          <t>ÖSTHAMMAR</t>
        </is>
      </c>
      <c r="G4821" t="n">
        <v>5.3</v>
      </c>
      <c r="H4821" t="n">
        <v>0</v>
      </c>
      <c r="I4821" t="n">
        <v>0</v>
      </c>
      <c r="J4821" t="n">
        <v>0</v>
      </c>
      <c r="K4821" t="n">
        <v>0</v>
      </c>
      <c r="L4821" t="n">
        <v>0</v>
      </c>
      <c r="M4821" t="n">
        <v>0</v>
      </c>
      <c r="N4821" t="n">
        <v>0</v>
      </c>
      <c r="O4821" t="n">
        <v>0</v>
      </c>
      <c r="P4821" t="n">
        <v>0</v>
      </c>
      <c r="Q4821" t="n">
        <v>0</v>
      </c>
      <c r="R4821" s="2" t="inlineStr"/>
    </row>
    <row r="4822" ht="15" customHeight="1">
      <c r="A4822" t="inlineStr">
        <is>
          <t>A 62714-2023</t>
        </is>
      </c>
      <c r="B4822" s="1" t="n">
        <v>45271</v>
      </c>
      <c r="C4822" s="1" t="n">
        <v>45705</v>
      </c>
      <c r="D4822" t="inlineStr">
        <is>
          <t>UPPSALA LÄN</t>
        </is>
      </c>
      <c r="E4822" t="inlineStr">
        <is>
          <t>UPPSALA</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62973-2023</t>
        </is>
      </c>
      <c r="B4823" s="1" t="n">
        <v>45272</v>
      </c>
      <c r="C4823" s="1" t="n">
        <v>45705</v>
      </c>
      <c r="D4823" t="inlineStr">
        <is>
          <t>UPPSALA LÄN</t>
        </is>
      </c>
      <c r="E4823" t="inlineStr">
        <is>
          <t>HEBY</t>
        </is>
      </c>
      <c r="G4823" t="n">
        <v>4.3</v>
      </c>
      <c r="H4823" t="n">
        <v>0</v>
      </c>
      <c r="I4823" t="n">
        <v>0</v>
      </c>
      <c r="J4823" t="n">
        <v>0</v>
      </c>
      <c r="K4823" t="n">
        <v>0</v>
      </c>
      <c r="L4823" t="n">
        <v>0</v>
      </c>
      <c r="M4823" t="n">
        <v>0</v>
      </c>
      <c r="N4823" t="n">
        <v>0</v>
      </c>
      <c r="O4823" t="n">
        <v>0</v>
      </c>
      <c r="P4823" t="n">
        <v>0</v>
      </c>
      <c r="Q4823" t="n">
        <v>0</v>
      </c>
      <c r="R4823" s="2" t="inlineStr"/>
    </row>
    <row r="4824" ht="15" customHeight="1">
      <c r="A4824" t="inlineStr">
        <is>
          <t>A 62872-2023</t>
        </is>
      </c>
      <c r="B4824" s="1" t="n">
        <v>45272</v>
      </c>
      <c r="C4824" s="1" t="n">
        <v>45705</v>
      </c>
      <c r="D4824" t="inlineStr">
        <is>
          <t>UPPSALA LÄN</t>
        </is>
      </c>
      <c r="E4824" t="inlineStr">
        <is>
          <t>HEBY</t>
        </is>
      </c>
      <c r="G4824" t="n">
        <v>3.9</v>
      </c>
      <c r="H4824" t="n">
        <v>0</v>
      </c>
      <c r="I4824" t="n">
        <v>0</v>
      </c>
      <c r="J4824" t="n">
        <v>0</v>
      </c>
      <c r="K4824" t="n">
        <v>0</v>
      </c>
      <c r="L4824" t="n">
        <v>0</v>
      </c>
      <c r="M4824" t="n">
        <v>0</v>
      </c>
      <c r="N4824" t="n">
        <v>0</v>
      </c>
      <c r="O4824" t="n">
        <v>0</v>
      </c>
      <c r="P4824" t="n">
        <v>0</v>
      </c>
      <c r="Q4824" t="n">
        <v>0</v>
      </c>
      <c r="R4824" s="2" t="inlineStr"/>
    </row>
    <row r="4825" ht="15" customHeight="1">
      <c r="A4825" t="inlineStr">
        <is>
          <t>A 62974-2023</t>
        </is>
      </c>
      <c r="B4825" s="1" t="n">
        <v>45272</v>
      </c>
      <c r="C4825" s="1" t="n">
        <v>45705</v>
      </c>
      <c r="D4825" t="inlineStr">
        <is>
          <t>UPPSALA LÄN</t>
        </is>
      </c>
      <c r="E4825" t="inlineStr">
        <is>
          <t>HEBY</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63037-2023</t>
        </is>
      </c>
      <c r="B4826" s="1" t="n">
        <v>45272</v>
      </c>
      <c r="C4826" s="1" t="n">
        <v>45705</v>
      </c>
      <c r="D4826" t="inlineStr">
        <is>
          <t>UPPSALA LÄN</t>
        </is>
      </c>
      <c r="E4826" t="inlineStr">
        <is>
          <t>HEBY</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63112-2023</t>
        </is>
      </c>
      <c r="B4827" s="1" t="n">
        <v>45273</v>
      </c>
      <c r="C4827" s="1" t="n">
        <v>45705</v>
      </c>
      <c r="D4827" t="inlineStr">
        <is>
          <t>UPPSALA LÄN</t>
        </is>
      </c>
      <c r="E4827" t="inlineStr">
        <is>
          <t>HEBY</t>
        </is>
      </c>
      <c r="G4827" t="n">
        <v>10.8</v>
      </c>
      <c r="H4827" t="n">
        <v>0</v>
      </c>
      <c r="I4827" t="n">
        <v>0</v>
      </c>
      <c r="J4827" t="n">
        <v>0</v>
      </c>
      <c r="K4827" t="n">
        <v>0</v>
      </c>
      <c r="L4827" t="n">
        <v>0</v>
      </c>
      <c r="M4827" t="n">
        <v>0</v>
      </c>
      <c r="N4827" t="n">
        <v>0</v>
      </c>
      <c r="O4827" t="n">
        <v>0</v>
      </c>
      <c r="P4827" t="n">
        <v>0</v>
      </c>
      <c r="Q4827" t="n">
        <v>0</v>
      </c>
      <c r="R4827" s="2" t="inlineStr"/>
    </row>
    <row r="4828" ht="15" customHeight="1">
      <c r="A4828" t="inlineStr">
        <is>
          <t>A 63163-2023</t>
        </is>
      </c>
      <c r="B4828" s="1" t="n">
        <v>45273</v>
      </c>
      <c r="C4828" s="1" t="n">
        <v>45705</v>
      </c>
      <c r="D4828" t="inlineStr">
        <is>
          <t>UPPSALA LÄN</t>
        </is>
      </c>
      <c r="E4828" t="inlineStr">
        <is>
          <t>UPPSALA</t>
        </is>
      </c>
      <c r="G4828" t="n">
        <v>5.6</v>
      </c>
      <c r="H4828" t="n">
        <v>0</v>
      </c>
      <c r="I4828" t="n">
        <v>0</v>
      </c>
      <c r="J4828" t="n">
        <v>0</v>
      </c>
      <c r="K4828" t="n">
        <v>0</v>
      </c>
      <c r="L4828" t="n">
        <v>0</v>
      </c>
      <c r="M4828" t="n">
        <v>0</v>
      </c>
      <c r="N4828" t="n">
        <v>0</v>
      </c>
      <c r="O4828" t="n">
        <v>0</v>
      </c>
      <c r="P4828" t="n">
        <v>0</v>
      </c>
      <c r="Q4828" t="n">
        <v>0</v>
      </c>
      <c r="R4828" s="2" t="inlineStr"/>
    </row>
    <row r="4829" ht="15" customHeight="1">
      <c r="A4829" t="inlineStr">
        <is>
          <t>A 63474-2023</t>
        </is>
      </c>
      <c r="B4829" s="1" t="n">
        <v>45273</v>
      </c>
      <c r="C4829" s="1" t="n">
        <v>45705</v>
      </c>
      <c r="D4829" t="inlineStr">
        <is>
          <t>UPPSALA LÄN</t>
        </is>
      </c>
      <c r="E4829" t="inlineStr">
        <is>
          <t>HÅBO</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63431-2023</t>
        </is>
      </c>
      <c r="B4830" s="1" t="n">
        <v>45274</v>
      </c>
      <c r="C4830" s="1" t="n">
        <v>45705</v>
      </c>
      <c r="D4830" t="inlineStr">
        <is>
          <t>UPPSALA LÄN</t>
        </is>
      </c>
      <c r="E4830" t="inlineStr">
        <is>
          <t>ENKÖPING</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63404-2023</t>
        </is>
      </c>
      <c r="B4831" s="1" t="n">
        <v>45274</v>
      </c>
      <c r="C4831" s="1" t="n">
        <v>45705</v>
      </c>
      <c r="D4831" t="inlineStr">
        <is>
          <t>UPPSALA LÄN</t>
        </is>
      </c>
      <c r="E4831" t="inlineStr">
        <is>
          <t>ENKÖPING</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63402-2023</t>
        </is>
      </c>
      <c r="B4832" s="1" t="n">
        <v>45274</v>
      </c>
      <c r="C4832" s="1" t="n">
        <v>45705</v>
      </c>
      <c r="D4832" t="inlineStr">
        <is>
          <t>UPPSALA LÄN</t>
        </is>
      </c>
      <c r="E4832" t="inlineStr">
        <is>
          <t>ENKÖPING</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63406-2023</t>
        </is>
      </c>
      <c r="B4833" s="1" t="n">
        <v>45274</v>
      </c>
      <c r="C4833" s="1" t="n">
        <v>45705</v>
      </c>
      <c r="D4833" t="inlineStr">
        <is>
          <t>UPPSALA LÄN</t>
        </is>
      </c>
      <c r="E4833" t="inlineStr">
        <is>
          <t>ENKÖPING</t>
        </is>
      </c>
      <c r="G4833" t="n">
        <v>0.3</v>
      </c>
      <c r="H4833" t="n">
        <v>0</v>
      </c>
      <c r="I4833" t="n">
        <v>0</v>
      </c>
      <c r="J4833" t="n">
        <v>0</v>
      </c>
      <c r="K4833" t="n">
        <v>0</v>
      </c>
      <c r="L4833" t="n">
        <v>0</v>
      </c>
      <c r="M4833" t="n">
        <v>0</v>
      </c>
      <c r="N4833" t="n">
        <v>0</v>
      </c>
      <c r="O4833" t="n">
        <v>0</v>
      </c>
      <c r="P4833" t="n">
        <v>0</v>
      </c>
      <c r="Q4833" t="n">
        <v>0</v>
      </c>
      <c r="R4833" s="2" t="inlineStr"/>
    </row>
    <row r="4834" ht="15" customHeight="1">
      <c r="A4834" t="inlineStr">
        <is>
          <t>A 63578-2023</t>
        </is>
      </c>
      <c r="B4834" s="1" t="n">
        <v>45275</v>
      </c>
      <c r="C4834" s="1" t="n">
        <v>45705</v>
      </c>
      <c r="D4834" t="inlineStr">
        <is>
          <t>UPPSALA LÄN</t>
        </is>
      </c>
      <c r="E4834" t="inlineStr">
        <is>
          <t>UPPSALA</t>
        </is>
      </c>
      <c r="G4834" t="n">
        <v>4.2</v>
      </c>
      <c r="H4834" t="n">
        <v>0</v>
      </c>
      <c r="I4834" t="n">
        <v>0</v>
      </c>
      <c r="J4834" t="n">
        <v>0</v>
      </c>
      <c r="K4834" t="n">
        <v>0</v>
      </c>
      <c r="L4834" t="n">
        <v>0</v>
      </c>
      <c r="M4834" t="n">
        <v>0</v>
      </c>
      <c r="N4834" t="n">
        <v>0</v>
      </c>
      <c r="O4834" t="n">
        <v>0</v>
      </c>
      <c r="P4834" t="n">
        <v>0</v>
      </c>
      <c r="Q4834" t="n">
        <v>0</v>
      </c>
      <c r="R4834" s="2" t="inlineStr"/>
    </row>
    <row r="4835" ht="15" customHeight="1">
      <c r="A4835" t="inlineStr">
        <is>
          <t>A 63646-2023</t>
        </is>
      </c>
      <c r="B4835" s="1" t="n">
        <v>45275</v>
      </c>
      <c r="C4835" s="1" t="n">
        <v>45705</v>
      </c>
      <c r="D4835" t="inlineStr">
        <is>
          <t>UPPSALA LÄN</t>
        </is>
      </c>
      <c r="E4835" t="inlineStr">
        <is>
          <t>TIERP</t>
        </is>
      </c>
      <c r="F4835" t="inlineStr">
        <is>
          <t>Övriga Aktiebolag</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63579-2023</t>
        </is>
      </c>
      <c r="B4836" s="1" t="n">
        <v>45275</v>
      </c>
      <c r="C4836" s="1" t="n">
        <v>45705</v>
      </c>
      <c r="D4836" t="inlineStr">
        <is>
          <t>UPPSALA LÄN</t>
        </is>
      </c>
      <c r="E4836" t="inlineStr">
        <is>
          <t>UPPSALA</t>
        </is>
      </c>
      <c r="G4836" t="n">
        <v>2.9</v>
      </c>
      <c r="H4836" t="n">
        <v>0</v>
      </c>
      <c r="I4836" t="n">
        <v>0</v>
      </c>
      <c r="J4836" t="n">
        <v>0</v>
      </c>
      <c r="K4836" t="n">
        <v>0</v>
      </c>
      <c r="L4836" t="n">
        <v>0</v>
      </c>
      <c r="M4836" t="n">
        <v>0</v>
      </c>
      <c r="N4836" t="n">
        <v>0</v>
      </c>
      <c r="O4836" t="n">
        <v>0</v>
      </c>
      <c r="P4836" t="n">
        <v>0</v>
      </c>
      <c r="Q4836" t="n">
        <v>0</v>
      </c>
      <c r="R4836" s="2" t="inlineStr"/>
    </row>
    <row r="4837" ht="15" customHeight="1">
      <c r="A4837" t="inlineStr">
        <is>
          <t>A 63663-2023</t>
        </is>
      </c>
      <c r="B4837" s="1" t="n">
        <v>45275</v>
      </c>
      <c r="C4837" s="1" t="n">
        <v>45705</v>
      </c>
      <c r="D4837" t="inlineStr">
        <is>
          <t>UPPSALA LÄN</t>
        </is>
      </c>
      <c r="E4837" t="inlineStr">
        <is>
          <t>TIERP</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63641-2023</t>
        </is>
      </c>
      <c r="B4838" s="1" t="n">
        <v>45275</v>
      </c>
      <c r="C4838" s="1" t="n">
        <v>45705</v>
      </c>
      <c r="D4838" t="inlineStr">
        <is>
          <t>UPPSALA LÄN</t>
        </is>
      </c>
      <c r="E4838" t="inlineStr">
        <is>
          <t>TIERP</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63649-2023</t>
        </is>
      </c>
      <c r="B4839" s="1" t="n">
        <v>45275</v>
      </c>
      <c r="C4839" s="1" t="n">
        <v>45705</v>
      </c>
      <c r="D4839" t="inlineStr">
        <is>
          <t>UPPSALA LÄN</t>
        </is>
      </c>
      <c r="E4839" t="inlineStr">
        <is>
          <t>TIERP</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63576-2023</t>
        </is>
      </c>
      <c r="B4840" s="1" t="n">
        <v>45275</v>
      </c>
      <c r="C4840" s="1" t="n">
        <v>45705</v>
      </c>
      <c r="D4840" t="inlineStr">
        <is>
          <t>UPPSALA LÄN</t>
        </is>
      </c>
      <c r="E4840" t="inlineStr">
        <is>
          <t>UPPSALA</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63588-2023</t>
        </is>
      </c>
      <c r="B4841" s="1" t="n">
        <v>45275</v>
      </c>
      <c r="C4841" s="1" t="n">
        <v>45705</v>
      </c>
      <c r="D4841" t="inlineStr">
        <is>
          <t>UPPSALA LÄN</t>
        </is>
      </c>
      <c r="E4841" t="inlineStr">
        <is>
          <t>UPPSALA</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63698-2023</t>
        </is>
      </c>
      <c r="B4842" s="1" t="n">
        <v>45275</v>
      </c>
      <c r="C4842" s="1" t="n">
        <v>45705</v>
      </c>
      <c r="D4842" t="inlineStr">
        <is>
          <t>UPPSALA LÄN</t>
        </is>
      </c>
      <c r="E4842" t="inlineStr">
        <is>
          <t>UPPSALA</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63940-2023</t>
        </is>
      </c>
      <c r="B4843" s="1" t="n">
        <v>45278</v>
      </c>
      <c r="C4843" s="1" t="n">
        <v>45705</v>
      </c>
      <c r="D4843" t="inlineStr">
        <is>
          <t>UPPSALA LÄN</t>
        </is>
      </c>
      <c r="E4843" t="inlineStr">
        <is>
          <t>HEBY</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63982-2023</t>
        </is>
      </c>
      <c r="B4844" s="1" t="n">
        <v>45278</v>
      </c>
      <c r="C4844" s="1" t="n">
        <v>45705</v>
      </c>
      <c r="D4844" t="inlineStr">
        <is>
          <t>UPPSALA LÄN</t>
        </is>
      </c>
      <c r="E4844" t="inlineStr">
        <is>
          <t>HEBY</t>
        </is>
      </c>
      <c r="F4844" t="inlineStr">
        <is>
          <t>Kyrkan</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63980-2023</t>
        </is>
      </c>
      <c r="B4845" s="1" t="n">
        <v>45278</v>
      </c>
      <c r="C4845" s="1" t="n">
        <v>45705</v>
      </c>
      <c r="D4845" t="inlineStr">
        <is>
          <t>UPPSALA LÄN</t>
        </is>
      </c>
      <c r="E4845" t="inlineStr">
        <is>
          <t>HEBY</t>
        </is>
      </c>
      <c r="F4845" t="inlineStr">
        <is>
          <t>Kyrkan</t>
        </is>
      </c>
      <c r="G4845" t="n">
        <v>16.3</v>
      </c>
      <c r="H4845" t="n">
        <v>0</v>
      </c>
      <c r="I4845" t="n">
        <v>0</v>
      </c>
      <c r="J4845" t="n">
        <v>0</v>
      </c>
      <c r="K4845" t="n">
        <v>0</v>
      </c>
      <c r="L4845" t="n">
        <v>0</v>
      </c>
      <c r="M4845" t="n">
        <v>0</v>
      </c>
      <c r="N4845" t="n">
        <v>0</v>
      </c>
      <c r="O4845" t="n">
        <v>0</v>
      </c>
      <c r="P4845" t="n">
        <v>0</v>
      </c>
      <c r="Q4845" t="n">
        <v>0</v>
      </c>
      <c r="R4845" s="2" t="inlineStr"/>
    </row>
    <row r="4846" ht="15" customHeight="1">
      <c r="A4846" t="inlineStr">
        <is>
          <t>A 63983-2023</t>
        </is>
      </c>
      <c r="B4846" s="1" t="n">
        <v>45278</v>
      </c>
      <c r="C4846" s="1" t="n">
        <v>45705</v>
      </c>
      <c r="D4846" t="inlineStr">
        <is>
          <t>UPPSALA LÄN</t>
        </is>
      </c>
      <c r="E4846" t="inlineStr">
        <is>
          <t>HEBY</t>
        </is>
      </c>
      <c r="F4846" t="inlineStr">
        <is>
          <t>Kyrkan</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64079-2023</t>
        </is>
      </c>
      <c r="B4847" s="1" t="n">
        <v>45279</v>
      </c>
      <c r="C4847" s="1" t="n">
        <v>45705</v>
      </c>
      <c r="D4847" t="inlineStr">
        <is>
          <t>UPPSALA LÄN</t>
        </is>
      </c>
      <c r="E4847" t="inlineStr">
        <is>
          <t>UPPSALA</t>
        </is>
      </c>
      <c r="G4847" t="n">
        <v>4.2</v>
      </c>
      <c r="H4847" t="n">
        <v>0</v>
      </c>
      <c r="I4847" t="n">
        <v>0</v>
      </c>
      <c r="J4847" t="n">
        <v>0</v>
      </c>
      <c r="K4847" t="n">
        <v>0</v>
      </c>
      <c r="L4847" t="n">
        <v>0</v>
      </c>
      <c r="M4847" t="n">
        <v>0</v>
      </c>
      <c r="N4847" t="n">
        <v>0</v>
      </c>
      <c r="O4847" t="n">
        <v>0</v>
      </c>
      <c r="P4847" t="n">
        <v>0</v>
      </c>
      <c r="Q4847" t="n">
        <v>0</v>
      </c>
      <c r="R4847" s="2" t="inlineStr"/>
    </row>
    <row r="4848" ht="15" customHeight="1">
      <c r="A4848" t="inlineStr">
        <is>
          <t>A 64128-2023</t>
        </is>
      </c>
      <c r="B4848" s="1" t="n">
        <v>45279</v>
      </c>
      <c r="C4848" s="1" t="n">
        <v>45705</v>
      </c>
      <c r="D4848" t="inlineStr">
        <is>
          <t>UPPSALA LÄN</t>
        </is>
      </c>
      <c r="E4848" t="inlineStr">
        <is>
          <t>TIERP</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64132-2023</t>
        </is>
      </c>
      <c r="B4849" s="1" t="n">
        <v>45279</v>
      </c>
      <c r="C4849" s="1" t="n">
        <v>45705</v>
      </c>
      <c r="D4849" t="inlineStr">
        <is>
          <t>UPPSALA LÄN</t>
        </is>
      </c>
      <c r="E4849" t="inlineStr">
        <is>
          <t>TIERP</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64129-2023</t>
        </is>
      </c>
      <c r="B4850" s="1" t="n">
        <v>45279</v>
      </c>
      <c r="C4850" s="1" t="n">
        <v>45705</v>
      </c>
      <c r="D4850" t="inlineStr">
        <is>
          <t>UPPSALA LÄN</t>
        </is>
      </c>
      <c r="E4850" t="inlineStr">
        <is>
          <t>TIERP</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64135-2023</t>
        </is>
      </c>
      <c r="B4851" s="1" t="n">
        <v>45279</v>
      </c>
      <c r="C4851" s="1" t="n">
        <v>45705</v>
      </c>
      <c r="D4851" t="inlineStr">
        <is>
          <t>UPPSALA LÄN</t>
        </is>
      </c>
      <c r="E4851" t="inlineStr">
        <is>
          <t>TIERP</t>
        </is>
      </c>
      <c r="G4851" t="n">
        <v>4.8</v>
      </c>
      <c r="H4851" t="n">
        <v>0</v>
      </c>
      <c r="I4851" t="n">
        <v>0</v>
      </c>
      <c r="J4851" t="n">
        <v>0</v>
      </c>
      <c r="K4851" t="n">
        <v>0</v>
      </c>
      <c r="L4851" t="n">
        <v>0</v>
      </c>
      <c r="M4851" t="n">
        <v>0</v>
      </c>
      <c r="N4851" t="n">
        <v>0</v>
      </c>
      <c r="O4851" t="n">
        <v>0</v>
      </c>
      <c r="P4851" t="n">
        <v>0</v>
      </c>
      <c r="Q4851" t="n">
        <v>0</v>
      </c>
      <c r="R4851" s="2" t="inlineStr"/>
    </row>
    <row r="4852" ht="15" customHeight="1">
      <c r="A4852" t="inlineStr">
        <is>
          <t>A 64180-2023</t>
        </is>
      </c>
      <c r="B4852" s="1" t="n">
        <v>45279</v>
      </c>
      <c r="C4852" s="1" t="n">
        <v>45705</v>
      </c>
      <c r="D4852" t="inlineStr">
        <is>
          <t>UPPSALA LÄN</t>
        </is>
      </c>
      <c r="E4852" t="inlineStr">
        <is>
          <t>TIERP</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64191-2023</t>
        </is>
      </c>
      <c r="B4853" s="1" t="n">
        <v>45279</v>
      </c>
      <c r="C4853" s="1" t="n">
        <v>45705</v>
      </c>
      <c r="D4853" t="inlineStr">
        <is>
          <t>UPPSALA LÄN</t>
        </is>
      </c>
      <c r="E4853" t="inlineStr">
        <is>
          <t>HEBY</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64540-2023</t>
        </is>
      </c>
      <c r="B4854" s="1" t="n">
        <v>45281</v>
      </c>
      <c r="C4854" s="1" t="n">
        <v>45705</v>
      </c>
      <c r="D4854" t="inlineStr">
        <is>
          <t>UPPSALA LÄN</t>
        </is>
      </c>
      <c r="E4854" t="inlineStr">
        <is>
          <t>TIERP</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64557-2023</t>
        </is>
      </c>
      <c r="B4855" s="1" t="n">
        <v>45281</v>
      </c>
      <c r="C4855" s="1" t="n">
        <v>45705</v>
      </c>
      <c r="D4855" t="inlineStr">
        <is>
          <t>UPPSALA LÄN</t>
        </is>
      </c>
      <c r="E4855" t="inlineStr">
        <is>
          <t>TIERP</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64624-2023</t>
        </is>
      </c>
      <c r="B4856" s="1" t="n">
        <v>45281</v>
      </c>
      <c r="C4856" s="1" t="n">
        <v>45705</v>
      </c>
      <c r="D4856" t="inlineStr">
        <is>
          <t>UPPSALA LÄN</t>
        </is>
      </c>
      <c r="E4856" t="inlineStr">
        <is>
          <t>TIERP</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64628-2023</t>
        </is>
      </c>
      <c r="B4857" s="1" t="n">
        <v>45281</v>
      </c>
      <c r="C4857" s="1" t="n">
        <v>45705</v>
      </c>
      <c r="D4857" t="inlineStr">
        <is>
          <t>UPPSALA LÄN</t>
        </is>
      </c>
      <c r="E4857" t="inlineStr">
        <is>
          <t>TIERP</t>
        </is>
      </c>
      <c r="G4857" t="n">
        <v>3.2</v>
      </c>
      <c r="H4857" t="n">
        <v>0</v>
      </c>
      <c r="I4857" t="n">
        <v>0</v>
      </c>
      <c r="J4857" t="n">
        <v>0</v>
      </c>
      <c r="K4857" t="n">
        <v>0</v>
      </c>
      <c r="L4857" t="n">
        <v>0</v>
      </c>
      <c r="M4857" t="n">
        <v>0</v>
      </c>
      <c r="N4857" t="n">
        <v>0</v>
      </c>
      <c r="O4857" t="n">
        <v>0</v>
      </c>
      <c r="P4857" t="n">
        <v>0</v>
      </c>
      <c r="Q4857" t="n">
        <v>0</v>
      </c>
      <c r="R4857" s="2" t="inlineStr"/>
    </row>
    <row r="4858" ht="15" customHeight="1">
      <c r="A4858" t="inlineStr">
        <is>
          <t>A 64782-2023</t>
        </is>
      </c>
      <c r="B4858" s="1" t="n">
        <v>45282</v>
      </c>
      <c r="C4858" s="1" t="n">
        <v>45705</v>
      </c>
      <c r="D4858" t="inlineStr">
        <is>
          <t>UPPSALA LÄN</t>
        </is>
      </c>
      <c r="E4858" t="inlineStr">
        <is>
          <t>TIERP</t>
        </is>
      </c>
      <c r="G4858" t="n">
        <v>8.5</v>
      </c>
      <c r="H4858" t="n">
        <v>0</v>
      </c>
      <c r="I4858" t="n">
        <v>0</v>
      </c>
      <c r="J4858" t="n">
        <v>0</v>
      </c>
      <c r="K4858" t="n">
        <v>0</v>
      </c>
      <c r="L4858" t="n">
        <v>0</v>
      </c>
      <c r="M4858" t="n">
        <v>0</v>
      </c>
      <c r="N4858" t="n">
        <v>0</v>
      </c>
      <c r="O4858" t="n">
        <v>0</v>
      </c>
      <c r="P4858" t="n">
        <v>0</v>
      </c>
      <c r="Q4858" t="n">
        <v>0</v>
      </c>
      <c r="R4858" s="2" t="inlineStr"/>
    </row>
    <row r="4859" ht="15" customHeight="1">
      <c r="A4859" t="inlineStr">
        <is>
          <t>A 64774-2023</t>
        </is>
      </c>
      <c r="B4859" s="1" t="n">
        <v>45282</v>
      </c>
      <c r="C4859" s="1" t="n">
        <v>45705</v>
      </c>
      <c r="D4859" t="inlineStr">
        <is>
          <t>UPPSALA LÄN</t>
        </is>
      </c>
      <c r="E4859" t="inlineStr">
        <is>
          <t>ÖSTHAMMAR</t>
        </is>
      </c>
      <c r="F4859" t="inlineStr">
        <is>
          <t>Övriga Aktiebolag</t>
        </is>
      </c>
      <c r="G4859" t="n">
        <v>3.7</v>
      </c>
      <c r="H4859" t="n">
        <v>0</v>
      </c>
      <c r="I4859" t="n">
        <v>0</v>
      </c>
      <c r="J4859" t="n">
        <v>0</v>
      </c>
      <c r="K4859" t="n">
        <v>0</v>
      </c>
      <c r="L4859" t="n">
        <v>0</v>
      </c>
      <c r="M4859" t="n">
        <v>0</v>
      </c>
      <c r="N4859" t="n">
        <v>0</v>
      </c>
      <c r="O4859" t="n">
        <v>0</v>
      </c>
      <c r="P4859" t="n">
        <v>0</v>
      </c>
      <c r="Q4859" t="n">
        <v>0</v>
      </c>
      <c r="R4859" s="2" t="inlineStr"/>
    </row>
    <row r="4860" ht="15" customHeight="1">
      <c r="A4860" t="inlineStr">
        <is>
          <t>A 64800-2023</t>
        </is>
      </c>
      <c r="B4860" s="1" t="n">
        <v>45282</v>
      </c>
      <c r="C4860" s="1" t="n">
        <v>45705</v>
      </c>
      <c r="D4860" t="inlineStr">
        <is>
          <t>UPPSALA LÄN</t>
        </is>
      </c>
      <c r="E4860" t="inlineStr">
        <is>
          <t>ENKÖPING</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64806-2023</t>
        </is>
      </c>
      <c r="B4861" s="1" t="n">
        <v>45282</v>
      </c>
      <c r="C4861" s="1" t="n">
        <v>45705</v>
      </c>
      <c r="D4861" t="inlineStr">
        <is>
          <t>UPPSALA LÄN</t>
        </is>
      </c>
      <c r="E4861" t="inlineStr">
        <is>
          <t>UPPSALA</t>
        </is>
      </c>
      <c r="F4861" t="inlineStr">
        <is>
          <t>Kyrkan</t>
        </is>
      </c>
      <c r="G4861" t="n">
        <v>19.3</v>
      </c>
      <c r="H4861" t="n">
        <v>0</v>
      </c>
      <c r="I4861" t="n">
        <v>0</v>
      </c>
      <c r="J4861" t="n">
        <v>0</v>
      </c>
      <c r="K4861" t="n">
        <v>0</v>
      </c>
      <c r="L4861" t="n">
        <v>0</v>
      </c>
      <c r="M4861" t="n">
        <v>0</v>
      </c>
      <c r="N4861" t="n">
        <v>0</v>
      </c>
      <c r="O4861" t="n">
        <v>0</v>
      </c>
      <c r="P4861" t="n">
        <v>0</v>
      </c>
      <c r="Q4861" t="n">
        <v>0</v>
      </c>
      <c r="R4861" s="2" t="inlineStr"/>
    </row>
    <row r="4862" ht="15" customHeight="1">
      <c r="A4862" t="inlineStr">
        <is>
          <t>A 64880-2023</t>
        </is>
      </c>
      <c r="B4862" s="1" t="n">
        <v>45282</v>
      </c>
      <c r="C4862" s="1" t="n">
        <v>45705</v>
      </c>
      <c r="D4862" t="inlineStr">
        <is>
          <t>UPPSALA LÄN</t>
        </is>
      </c>
      <c r="E4862" t="inlineStr">
        <is>
          <t>UPPSALA</t>
        </is>
      </c>
      <c r="F4862" t="inlineStr">
        <is>
          <t>Kommuner</t>
        </is>
      </c>
      <c r="G4862" t="n">
        <v>5.6</v>
      </c>
      <c r="H4862" t="n">
        <v>0</v>
      </c>
      <c r="I4862" t="n">
        <v>0</v>
      </c>
      <c r="J4862" t="n">
        <v>0</v>
      </c>
      <c r="K4862" t="n">
        <v>0</v>
      </c>
      <c r="L4862" t="n">
        <v>0</v>
      </c>
      <c r="M4862" t="n">
        <v>0</v>
      </c>
      <c r="N4862" t="n">
        <v>0</v>
      </c>
      <c r="O4862" t="n">
        <v>0</v>
      </c>
      <c r="P4862" t="n">
        <v>0</v>
      </c>
      <c r="Q4862" t="n">
        <v>0</v>
      </c>
      <c r="R4862" s="2" t="inlineStr"/>
    </row>
    <row r="4863" ht="15" customHeight="1">
      <c r="A4863" t="inlineStr">
        <is>
          <t>A 64888-2023</t>
        </is>
      </c>
      <c r="B4863" s="1" t="n">
        <v>45282</v>
      </c>
      <c r="C4863" s="1" t="n">
        <v>45705</v>
      </c>
      <c r="D4863" t="inlineStr">
        <is>
          <t>UPPSALA LÄN</t>
        </is>
      </c>
      <c r="E4863" t="inlineStr">
        <is>
          <t>HEBY</t>
        </is>
      </c>
      <c r="G4863" t="n">
        <v>5.9</v>
      </c>
      <c r="H4863" t="n">
        <v>0</v>
      </c>
      <c r="I4863" t="n">
        <v>0</v>
      </c>
      <c r="J4863" t="n">
        <v>0</v>
      </c>
      <c r="K4863" t="n">
        <v>0</v>
      </c>
      <c r="L4863" t="n">
        <v>0</v>
      </c>
      <c r="M4863" t="n">
        <v>0</v>
      </c>
      <c r="N4863" t="n">
        <v>0</v>
      </c>
      <c r="O4863" t="n">
        <v>0</v>
      </c>
      <c r="P4863" t="n">
        <v>0</v>
      </c>
      <c r="Q4863" t="n">
        <v>0</v>
      </c>
      <c r="R4863" s="2" t="inlineStr"/>
    </row>
    <row r="4864" ht="15" customHeight="1">
      <c r="A4864" t="inlineStr">
        <is>
          <t>A 64914-2023</t>
        </is>
      </c>
      <c r="B4864" s="1" t="n">
        <v>45282</v>
      </c>
      <c r="C4864" s="1" t="n">
        <v>45705</v>
      </c>
      <c r="D4864" t="inlineStr">
        <is>
          <t>UPPSALA LÄN</t>
        </is>
      </c>
      <c r="E4864" t="inlineStr">
        <is>
          <t>TIERP</t>
        </is>
      </c>
      <c r="G4864" t="n">
        <v>3.5</v>
      </c>
      <c r="H4864" t="n">
        <v>0</v>
      </c>
      <c r="I4864" t="n">
        <v>0</v>
      </c>
      <c r="J4864" t="n">
        <v>0</v>
      </c>
      <c r="K4864" t="n">
        <v>0</v>
      </c>
      <c r="L4864" t="n">
        <v>0</v>
      </c>
      <c r="M4864" t="n">
        <v>0</v>
      </c>
      <c r="N4864" t="n">
        <v>0</v>
      </c>
      <c r="O4864" t="n">
        <v>0</v>
      </c>
      <c r="P4864" t="n">
        <v>0</v>
      </c>
      <c r="Q4864" t="n">
        <v>0</v>
      </c>
      <c r="R4864" s="2" t="inlineStr"/>
    </row>
    <row r="4865" ht="15" customHeight="1">
      <c r="A4865" t="inlineStr">
        <is>
          <t>A 64911-2023</t>
        </is>
      </c>
      <c r="B4865" s="1" t="n">
        <v>45282</v>
      </c>
      <c r="C4865" s="1" t="n">
        <v>45705</v>
      </c>
      <c r="D4865" t="inlineStr">
        <is>
          <t>UPPSALA LÄN</t>
        </is>
      </c>
      <c r="E4865" t="inlineStr">
        <is>
          <t>TIERP</t>
        </is>
      </c>
      <c r="G4865" t="n">
        <v>5.6</v>
      </c>
      <c r="H4865" t="n">
        <v>0</v>
      </c>
      <c r="I4865" t="n">
        <v>0</v>
      </c>
      <c r="J4865" t="n">
        <v>0</v>
      </c>
      <c r="K4865" t="n">
        <v>0</v>
      </c>
      <c r="L4865" t="n">
        <v>0</v>
      </c>
      <c r="M4865" t="n">
        <v>0</v>
      </c>
      <c r="N4865" t="n">
        <v>0</v>
      </c>
      <c r="O4865" t="n">
        <v>0</v>
      </c>
      <c r="P4865" t="n">
        <v>0</v>
      </c>
      <c r="Q4865" t="n">
        <v>0</v>
      </c>
      <c r="R4865" s="2" t="inlineStr"/>
    </row>
    <row r="4866" ht="15" customHeight="1">
      <c r="A4866" t="inlineStr">
        <is>
          <t>A 65149-2023</t>
        </is>
      </c>
      <c r="B4866" s="1" t="n">
        <v>45288</v>
      </c>
      <c r="C4866" s="1" t="n">
        <v>45705</v>
      </c>
      <c r="D4866" t="inlineStr">
        <is>
          <t>UPPSALA LÄN</t>
        </is>
      </c>
      <c r="E4866" t="inlineStr">
        <is>
          <t>UPPSALA</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17-2024</t>
        </is>
      </c>
      <c r="B4867" s="1" t="n">
        <v>45293</v>
      </c>
      <c r="C4867" s="1" t="n">
        <v>45705</v>
      </c>
      <c r="D4867" t="inlineStr">
        <is>
          <t>UPPSALA LÄN</t>
        </is>
      </c>
      <c r="E4867" t="inlineStr">
        <is>
          <t>HEBY</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15-2024</t>
        </is>
      </c>
      <c r="B4868" s="1" t="n">
        <v>45293</v>
      </c>
      <c r="C4868" s="1" t="n">
        <v>45705</v>
      </c>
      <c r="D4868" t="inlineStr">
        <is>
          <t>UPPSALA LÄN</t>
        </is>
      </c>
      <c r="E4868" t="inlineStr">
        <is>
          <t>HEBY</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45-2024</t>
        </is>
      </c>
      <c r="B4869" s="1" t="n">
        <v>45293</v>
      </c>
      <c r="C4869" s="1" t="n">
        <v>45705</v>
      </c>
      <c r="D4869" t="inlineStr">
        <is>
          <t>UPPSALA LÄN</t>
        </is>
      </c>
      <c r="E4869" t="inlineStr">
        <is>
          <t>UPPSALA</t>
        </is>
      </c>
      <c r="G4869" t="n">
        <v>12.5</v>
      </c>
      <c r="H4869" t="n">
        <v>0</v>
      </c>
      <c r="I4869" t="n">
        <v>0</v>
      </c>
      <c r="J4869" t="n">
        <v>0</v>
      </c>
      <c r="K4869" t="n">
        <v>0</v>
      </c>
      <c r="L4869" t="n">
        <v>0</v>
      </c>
      <c r="M4869" t="n">
        <v>0</v>
      </c>
      <c r="N4869" t="n">
        <v>0</v>
      </c>
      <c r="O4869" t="n">
        <v>0</v>
      </c>
      <c r="P4869" t="n">
        <v>0</v>
      </c>
      <c r="Q4869" t="n">
        <v>0</v>
      </c>
      <c r="R4869" s="2" t="inlineStr"/>
    </row>
    <row r="4870" ht="15" customHeight="1">
      <c r="A4870" t="inlineStr">
        <is>
          <t>A 43-2024</t>
        </is>
      </c>
      <c r="B4870" s="1" t="n">
        <v>45293</v>
      </c>
      <c r="C4870" s="1" t="n">
        <v>45705</v>
      </c>
      <c r="D4870" t="inlineStr">
        <is>
          <t>UPPSALA LÄN</t>
        </is>
      </c>
      <c r="E4870" t="inlineStr">
        <is>
          <t>UPPSALA</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179-2024</t>
        </is>
      </c>
      <c r="B4871" s="1" t="n">
        <v>45294</v>
      </c>
      <c r="C4871" s="1" t="n">
        <v>45705</v>
      </c>
      <c r="D4871" t="inlineStr">
        <is>
          <t>UPPSALA LÄN</t>
        </is>
      </c>
      <c r="E4871" t="inlineStr">
        <is>
          <t>UPPSALA</t>
        </is>
      </c>
      <c r="F4871" t="inlineStr">
        <is>
          <t>Bergvik skog öst AB</t>
        </is>
      </c>
      <c r="G4871" t="n">
        <v>12.7</v>
      </c>
      <c r="H4871" t="n">
        <v>0</v>
      </c>
      <c r="I4871" t="n">
        <v>0</v>
      </c>
      <c r="J4871" t="n">
        <v>0</v>
      </c>
      <c r="K4871" t="n">
        <v>0</v>
      </c>
      <c r="L4871" t="n">
        <v>0</v>
      </c>
      <c r="M4871" t="n">
        <v>0</v>
      </c>
      <c r="N4871" t="n">
        <v>0</v>
      </c>
      <c r="O4871" t="n">
        <v>0</v>
      </c>
      <c r="P4871" t="n">
        <v>0</v>
      </c>
      <c r="Q4871" t="n">
        <v>0</v>
      </c>
      <c r="R4871" s="2" t="inlineStr"/>
    </row>
    <row r="4872" ht="15" customHeight="1">
      <c r="A4872" t="inlineStr">
        <is>
          <t>A 191-2024</t>
        </is>
      </c>
      <c r="B4872" s="1" t="n">
        <v>45294</v>
      </c>
      <c r="C4872" s="1" t="n">
        <v>45705</v>
      </c>
      <c r="D4872" t="inlineStr">
        <is>
          <t>UPPSALA LÄN</t>
        </is>
      </c>
      <c r="E4872" t="inlineStr">
        <is>
          <t>HEBY</t>
        </is>
      </c>
      <c r="F4872" t="inlineStr">
        <is>
          <t>Kommuner</t>
        </is>
      </c>
      <c r="G4872" t="n">
        <v>4.9</v>
      </c>
      <c r="H4872" t="n">
        <v>0</v>
      </c>
      <c r="I4872" t="n">
        <v>0</v>
      </c>
      <c r="J4872" t="n">
        <v>0</v>
      </c>
      <c r="K4872" t="n">
        <v>0</v>
      </c>
      <c r="L4872" t="n">
        <v>0</v>
      </c>
      <c r="M4872" t="n">
        <v>0</v>
      </c>
      <c r="N4872" t="n">
        <v>0</v>
      </c>
      <c r="O4872" t="n">
        <v>0</v>
      </c>
      <c r="P4872" t="n">
        <v>0</v>
      </c>
      <c r="Q4872" t="n">
        <v>0</v>
      </c>
      <c r="R4872" s="2" t="inlineStr"/>
    </row>
    <row r="4873" ht="15" customHeight="1">
      <c r="A4873" t="inlineStr">
        <is>
          <t>A 189-2024</t>
        </is>
      </c>
      <c r="B4873" s="1" t="n">
        <v>45294</v>
      </c>
      <c r="C4873" s="1" t="n">
        <v>45705</v>
      </c>
      <c r="D4873" t="inlineStr">
        <is>
          <t>UPPSALA LÄN</t>
        </is>
      </c>
      <c r="E4873" t="inlineStr">
        <is>
          <t>HEBY</t>
        </is>
      </c>
      <c r="G4873" t="n">
        <v>4.9</v>
      </c>
      <c r="H4873" t="n">
        <v>0</v>
      </c>
      <c r="I4873" t="n">
        <v>0</v>
      </c>
      <c r="J4873" t="n">
        <v>0</v>
      </c>
      <c r="K4873" t="n">
        <v>0</v>
      </c>
      <c r="L4873" t="n">
        <v>0</v>
      </c>
      <c r="M4873" t="n">
        <v>0</v>
      </c>
      <c r="N4873" t="n">
        <v>0</v>
      </c>
      <c r="O4873" t="n">
        <v>0</v>
      </c>
      <c r="P4873" t="n">
        <v>0</v>
      </c>
      <c r="Q4873" t="n">
        <v>0</v>
      </c>
      <c r="R4873" s="2" t="inlineStr"/>
    </row>
    <row r="4874" ht="15" customHeight="1">
      <c r="A4874" t="inlineStr">
        <is>
          <t>A 193-2024</t>
        </is>
      </c>
      <c r="B4874" s="1" t="n">
        <v>45294</v>
      </c>
      <c r="C4874" s="1" t="n">
        <v>45705</v>
      </c>
      <c r="D4874" t="inlineStr">
        <is>
          <t>UPPSALA LÄN</t>
        </is>
      </c>
      <c r="E4874" t="inlineStr">
        <is>
          <t>HEBY</t>
        </is>
      </c>
      <c r="G4874" t="n">
        <v>5.7</v>
      </c>
      <c r="H4874" t="n">
        <v>0</v>
      </c>
      <c r="I4874" t="n">
        <v>0</v>
      </c>
      <c r="J4874" t="n">
        <v>0</v>
      </c>
      <c r="K4874" t="n">
        <v>0</v>
      </c>
      <c r="L4874" t="n">
        <v>0</v>
      </c>
      <c r="M4874" t="n">
        <v>0</v>
      </c>
      <c r="N4874" t="n">
        <v>0</v>
      </c>
      <c r="O4874" t="n">
        <v>0</v>
      </c>
      <c r="P4874" t="n">
        <v>0</v>
      </c>
      <c r="Q4874" t="n">
        <v>0</v>
      </c>
      <c r="R4874" s="2" t="inlineStr"/>
    </row>
    <row r="4875" ht="15" customHeight="1">
      <c r="A4875" t="inlineStr">
        <is>
          <t>A 206-2024</t>
        </is>
      </c>
      <c r="B4875" s="1" t="n">
        <v>45294</v>
      </c>
      <c r="C4875" s="1" t="n">
        <v>45705</v>
      </c>
      <c r="D4875" t="inlineStr">
        <is>
          <t>UPPSALA LÄN</t>
        </is>
      </c>
      <c r="E4875" t="inlineStr">
        <is>
          <t>HEBY</t>
        </is>
      </c>
      <c r="G4875" t="n">
        <v>0.3</v>
      </c>
      <c r="H4875" t="n">
        <v>0</v>
      </c>
      <c r="I4875" t="n">
        <v>0</v>
      </c>
      <c r="J4875" t="n">
        <v>0</v>
      </c>
      <c r="K4875" t="n">
        <v>0</v>
      </c>
      <c r="L4875" t="n">
        <v>0</v>
      </c>
      <c r="M4875" t="n">
        <v>0</v>
      </c>
      <c r="N4875" t="n">
        <v>0</v>
      </c>
      <c r="O4875" t="n">
        <v>0</v>
      </c>
      <c r="P4875" t="n">
        <v>0</v>
      </c>
      <c r="Q4875" t="n">
        <v>0</v>
      </c>
      <c r="R4875" s="2" t="inlineStr"/>
    </row>
    <row r="4876" ht="15" customHeight="1">
      <c r="A4876" t="inlineStr">
        <is>
          <t>A 203-2024</t>
        </is>
      </c>
      <c r="B4876" s="1" t="n">
        <v>45294</v>
      </c>
      <c r="C4876" s="1" t="n">
        <v>45705</v>
      </c>
      <c r="D4876" t="inlineStr">
        <is>
          <t>UPPSALA LÄN</t>
        </is>
      </c>
      <c r="E4876" t="inlineStr">
        <is>
          <t>HEBY</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351-2024</t>
        </is>
      </c>
      <c r="B4877" s="1" t="n">
        <v>45295</v>
      </c>
      <c r="C4877" s="1" t="n">
        <v>45705</v>
      </c>
      <c r="D4877" t="inlineStr">
        <is>
          <t>UPPSALA LÄN</t>
        </is>
      </c>
      <c r="E4877" t="inlineStr">
        <is>
          <t>ENKÖPING</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337-2024</t>
        </is>
      </c>
      <c r="B4878" s="1" t="n">
        <v>45295</v>
      </c>
      <c r="C4878" s="1" t="n">
        <v>45705</v>
      </c>
      <c r="D4878" t="inlineStr">
        <is>
          <t>UPPSALA LÄN</t>
        </is>
      </c>
      <c r="E4878" t="inlineStr">
        <is>
          <t>HEBY</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341-2024</t>
        </is>
      </c>
      <c r="B4879" s="1" t="n">
        <v>45295</v>
      </c>
      <c r="C4879" s="1" t="n">
        <v>45705</v>
      </c>
      <c r="D4879" t="inlineStr">
        <is>
          <t>UPPSALA LÄN</t>
        </is>
      </c>
      <c r="E4879" t="inlineStr">
        <is>
          <t>UPPSALA</t>
        </is>
      </c>
      <c r="F4879" t="inlineStr">
        <is>
          <t>Allmännings- och besparingsskogar</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358-2024</t>
        </is>
      </c>
      <c r="B4880" s="1" t="n">
        <v>45295</v>
      </c>
      <c r="C4880" s="1" t="n">
        <v>45705</v>
      </c>
      <c r="D4880" t="inlineStr">
        <is>
          <t>UPPSALA LÄN</t>
        </is>
      </c>
      <c r="E4880" t="inlineStr">
        <is>
          <t>UPPSALA</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352-2024</t>
        </is>
      </c>
      <c r="B4881" s="1" t="n">
        <v>45295</v>
      </c>
      <c r="C4881" s="1" t="n">
        <v>45705</v>
      </c>
      <c r="D4881" t="inlineStr">
        <is>
          <t>UPPSALA LÄN</t>
        </is>
      </c>
      <c r="E4881" t="inlineStr">
        <is>
          <t>ENKÖPING</t>
        </is>
      </c>
      <c r="G4881" t="n">
        <v>3.9</v>
      </c>
      <c r="H4881" t="n">
        <v>0</v>
      </c>
      <c r="I4881" t="n">
        <v>0</v>
      </c>
      <c r="J4881" t="n">
        <v>0</v>
      </c>
      <c r="K4881" t="n">
        <v>0</v>
      </c>
      <c r="L4881" t="n">
        <v>0</v>
      </c>
      <c r="M4881" t="n">
        <v>0</v>
      </c>
      <c r="N4881" t="n">
        <v>0</v>
      </c>
      <c r="O4881" t="n">
        <v>0</v>
      </c>
      <c r="P4881" t="n">
        <v>0</v>
      </c>
      <c r="Q4881" t="n">
        <v>0</v>
      </c>
      <c r="R4881" s="2" t="inlineStr"/>
    </row>
    <row r="4882" ht="15" customHeight="1">
      <c r="A4882" t="inlineStr">
        <is>
          <t>A 353-2024</t>
        </is>
      </c>
      <c r="B4882" s="1" t="n">
        <v>45295</v>
      </c>
      <c r="C4882" s="1" t="n">
        <v>45705</v>
      </c>
      <c r="D4882" t="inlineStr">
        <is>
          <t>UPPSALA LÄN</t>
        </is>
      </c>
      <c r="E4882" t="inlineStr">
        <is>
          <t>ENKÖPING</t>
        </is>
      </c>
      <c r="G4882" t="n">
        <v>4.3</v>
      </c>
      <c r="H4882" t="n">
        <v>0</v>
      </c>
      <c r="I4882" t="n">
        <v>0</v>
      </c>
      <c r="J4882" t="n">
        <v>0</v>
      </c>
      <c r="K4882" t="n">
        <v>0</v>
      </c>
      <c r="L4882" t="n">
        <v>0</v>
      </c>
      <c r="M4882" t="n">
        <v>0</v>
      </c>
      <c r="N4882" t="n">
        <v>0</v>
      </c>
      <c r="O4882" t="n">
        <v>0</v>
      </c>
      <c r="P4882" t="n">
        <v>0</v>
      </c>
      <c r="Q4882" t="n">
        <v>0</v>
      </c>
      <c r="R4882" s="2" t="inlineStr"/>
    </row>
    <row r="4883" ht="15" customHeight="1">
      <c r="A4883" t="inlineStr">
        <is>
          <t>A 422-2024</t>
        </is>
      </c>
      <c r="B4883" s="1" t="n">
        <v>45296</v>
      </c>
      <c r="C4883" s="1" t="n">
        <v>45705</v>
      </c>
      <c r="D4883" t="inlineStr">
        <is>
          <t>UPPSALA LÄN</t>
        </is>
      </c>
      <c r="E4883" t="inlineStr">
        <is>
          <t>ENKÖPING</t>
        </is>
      </c>
      <c r="G4883" t="n">
        <v>4.6</v>
      </c>
      <c r="H4883" t="n">
        <v>0</v>
      </c>
      <c r="I4883" t="n">
        <v>0</v>
      </c>
      <c r="J4883" t="n">
        <v>0</v>
      </c>
      <c r="K4883" t="n">
        <v>0</v>
      </c>
      <c r="L4883" t="n">
        <v>0</v>
      </c>
      <c r="M4883" t="n">
        <v>0</v>
      </c>
      <c r="N4883" t="n">
        <v>0</v>
      </c>
      <c r="O4883" t="n">
        <v>0</v>
      </c>
      <c r="P4883" t="n">
        <v>0</v>
      </c>
      <c r="Q4883" t="n">
        <v>0</v>
      </c>
      <c r="R4883" s="2" t="inlineStr"/>
    </row>
    <row r="4884" ht="15" customHeight="1">
      <c r="A4884" t="inlineStr">
        <is>
          <t>A 446-2024</t>
        </is>
      </c>
      <c r="B4884" s="1" t="n">
        <v>45296</v>
      </c>
      <c r="C4884" s="1" t="n">
        <v>45705</v>
      </c>
      <c r="D4884" t="inlineStr">
        <is>
          <t>UPPSALA LÄN</t>
        </is>
      </c>
      <c r="E4884" t="inlineStr">
        <is>
          <t>UPPSALA</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408-2024</t>
        </is>
      </c>
      <c r="B4885" s="1" t="n">
        <v>45296</v>
      </c>
      <c r="C4885" s="1" t="n">
        <v>45705</v>
      </c>
      <c r="D4885" t="inlineStr">
        <is>
          <t>UPPSALA LÄN</t>
        </is>
      </c>
      <c r="E4885" t="inlineStr">
        <is>
          <t>TIERP</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420-2024</t>
        </is>
      </c>
      <c r="B4886" s="1" t="n">
        <v>45296</v>
      </c>
      <c r="C4886" s="1" t="n">
        <v>45705</v>
      </c>
      <c r="D4886" t="inlineStr">
        <is>
          <t>UPPSALA LÄN</t>
        </is>
      </c>
      <c r="E4886" t="inlineStr">
        <is>
          <t>ENKÖPING</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429-2024</t>
        </is>
      </c>
      <c r="B4887" s="1" t="n">
        <v>45296</v>
      </c>
      <c r="C4887" s="1" t="n">
        <v>45705</v>
      </c>
      <c r="D4887" t="inlineStr">
        <is>
          <t>UPPSALA LÄN</t>
        </is>
      </c>
      <c r="E4887" t="inlineStr">
        <is>
          <t>TIERP</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449-2024</t>
        </is>
      </c>
      <c r="B4888" s="1" t="n">
        <v>45296</v>
      </c>
      <c r="C4888" s="1" t="n">
        <v>45705</v>
      </c>
      <c r="D4888" t="inlineStr">
        <is>
          <t>UPPSALA LÄN</t>
        </is>
      </c>
      <c r="E4888" t="inlineStr">
        <is>
          <t>UPPSALA</t>
        </is>
      </c>
      <c r="G4888" t="n">
        <v>1</v>
      </c>
      <c r="H4888" t="n">
        <v>0</v>
      </c>
      <c r="I4888" t="n">
        <v>0</v>
      </c>
      <c r="J4888" t="n">
        <v>0</v>
      </c>
      <c r="K4888" t="n">
        <v>0</v>
      </c>
      <c r="L4888" t="n">
        <v>0</v>
      </c>
      <c r="M4888" t="n">
        <v>0</v>
      </c>
      <c r="N4888" t="n">
        <v>0</v>
      </c>
      <c r="O4888" t="n">
        <v>0</v>
      </c>
      <c r="P4888" t="n">
        <v>0</v>
      </c>
      <c r="Q4888" t="n">
        <v>0</v>
      </c>
      <c r="R4888" s="2" t="inlineStr"/>
      <c r="U4888">
        <f>HYPERLINK("https://klasma.github.io/Logging_0380/knärot/A 449-2024 karta knärot.png", "A 449-2024")</f>
        <v/>
      </c>
      <c r="V4888">
        <f>HYPERLINK("https://klasma.github.io/Logging_0380/klagomål/A 449-2024 FSC-klagomål.docx", "A 449-2024")</f>
        <v/>
      </c>
      <c r="W4888">
        <f>HYPERLINK("https://klasma.github.io/Logging_0380/klagomålsmail/A 449-2024 FSC-klagomål mail.docx", "A 449-2024")</f>
        <v/>
      </c>
      <c r="X4888">
        <f>HYPERLINK("https://klasma.github.io/Logging_0380/tillsyn/A 449-2024 tillsynsbegäran.docx", "A 449-2024")</f>
        <v/>
      </c>
      <c r="Y4888">
        <f>HYPERLINK("https://klasma.github.io/Logging_0380/tillsynsmail/A 449-2024 tillsynsbegäran mail.docx", "A 449-2024")</f>
        <v/>
      </c>
    </row>
    <row r="4889" ht="15" customHeight="1">
      <c r="A4889" t="inlineStr">
        <is>
          <t>A 582-2024</t>
        </is>
      </c>
      <c r="B4889" s="1" t="n">
        <v>45299</v>
      </c>
      <c r="C4889" s="1" t="n">
        <v>45705</v>
      </c>
      <c r="D4889" t="inlineStr">
        <is>
          <t>UPPSALA LÄN</t>
        </is>
      </c>
      <c r="E4889" t="inlineStr">
        <is>
          <t>ENKÖPING</t>
        </is>
      </c>
      <c r="G4889" t="n">
        <v>3.7</v>
      </c>
      <c r="H4889" t="n">
        <v>0</v>
      </c>
      <c r="I4889" t="n">
        <v>0</v>
      </c>
      <c r="J4889" t="n">
        <v>0</v>
      </c>
      <c r="K4889" t="n">
        <v>0</v>
      </c>
      <c r="L4889" t="n">
        <v>0</v>
      </c>
      <c r="M4889" t="n">
        <v>0</v>
      </c>
      <c r="N4889" t="n">
        <v>0</v>
      </c>
      <c r="O4889" t="n">
        <v>0</v>
      </c>
      <c r="P4889" t="n">
        <v>0</v>
      </c>
      <c r="Q4889" t="n">
        <v>0</v>
      </c>
      <c r="R4889" s="2" t="inlineStr"/>
    </row>
    <row r="4890" ht="15" customHeight="1">
      <c r="A4890" t="inlineStr">
        <is>
          <t>A 580-2024</t>
        </is>
      </c>
      <c r="B4890" s="1" t="n">
        <v>45299</v>
      </c>
      <c r="C4890" s="1" t="n">
        <v>45705</v>
      </c>
      <c r="D4890" t="inlineStr">
        <is>
          <t>UPPSALA LÄN</t>
        </is>
      </c>
      <c r="E4890" t="inlineStr">
        <is>
          <t>ENKÖPING</t>
        </is>
      </c>
      <c r="G4890" t="n">
        <v>3.3</v>
      </c>
      <c r="H4890" t="n">
        <v>0</v>
      </c>
      <c r="I4890" t="n">
        <v>0</v>
      </c>
      <c r="J4890" t="n">
        <v>0</v>
      </c>
      <c r="K4890" t="n">
        <v>0</v>
      </c>
      <c r="L4890" t="n">
        <v>0</v>
      </c>
      <c r="M4890" t="n">
        <v>0</v>
      </c>
      <c r="N4890" t="n">
        <v>0</v>
      </c>
      <c r="O4890" t="n">
        <v>0</v>
      </c>
      <c r="P4890" t="n">
        <v>0</v>
      </c>
      <c r="Q4890" t="n">
        <v>0</v>
      </c>
      <c r="R4890" s="2" t="inlineStr"/>
    </row>
    <row r="4891" ht="15" customHeight="1">
      <c r="A4891" t="inlineStr">
        <is>
          <t>A 600-2024</t>
        </is>
      </c>
      <c r="B4891" s="1" t="n">
        <v>45299</v>
      </c>
      <c r="C4891" s="1" t="n">
        <v>45705</v>
      </c>
      <c r="D4891" t="inlineStr">
        <is>
          <t>UPPSALA LÄN</t>
        </is>
      </c>
      <c r="E4891" t="inlineStr">
        <is>
          <t>UPPSALA</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787-2024</t>
        </is>
      </c>
      <c r="B4892" s="1" t="n">
        <v>45300</v>
      </c>
      <c r="C4892" s="1" t="n">
        <v>45705</v>
      </c>
      <c r="D4892" t="inlineStr">
        <is>
          <t>UPPSALA LÄN</t>
        </is>
      </c>
      <c r="E4892" t="inlineStr">
        <is>
          <t>UPPSALA</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784-2024</t>
        </is>
      </c>
      <c r="B4893" s="1" t="n">
        <v>45300</v>
      </c>
      <c r="C4893" s="1" t="n">
        <v>45705</v>
      </c>
      <c r="D4893" t="inlineStr">
        <is>
          <t>UPPSALA LÄN</t>
        </is>
      </c>
      <c r="E4893" t="inlineStr">
        <is>
          <t>UPPSALA</t>
        </is>
      </c>
      <c r="G4893" t="n">
        <v>6.6</v>
      </c>
      <c r="H4893" t="n">
        <v>0</v>
      </c>
      <c r="I4893" t="n">
        <v>0</v>
      </c>
      <c r="J4893" t="n">
        <v>0</v>
      </c>
      <c r="K4893" t="n">
        <v>0</v>
      </c>
      <c r="L4893" t="n">
        <v>0</v>
      </c>
      <c r="M4893" t="n">
        <v>0</v>
      </c>
      <c r="N4893" t="n">
        <v>0</v>
      </c>
      <c r="O4893" t="n">
        <v>0</v>
      </c>
      <c r="P4893" t="n">
        <v>0</v>
      </c>
      <c r="Q4893" t="n">
        <v>0</v>
      </c>
      <c r="R4893" s="2" t="inlineStr"/>
    </row>
    <row r="4894" ht="15" customHeight="1">
      <c r="A4894" t="inlineStr">
        <is>
          <t>A 792-2024</t>
        </is>
      </c>
      <c r="B4894" s="1" t="n">
        <v>45300</v>
      </c>
      <c r="C4894" s="1" t="n">
        <v>45705</v>
      </c>
      <c r="D4894" t="inlineStr">
        <is>
          <t>UPPSALA LÄN</t>
        </is>
      </c>
      <c r="E4894" t="inlineStr">
        <is>
          <t>KNIVSTA</t>
        </is>
      </c>
      <c r="G4894" t="n">
        <v>4.1</v>
      </c>
      <c r="H4894" t="n">
        <v>0</v>
      </c>
      <c r="I4894" t="n">
        <v>0</v>
      </c>
      <c r="J4894" t="n">
        <v>0</v>
      </c>
      <c r="K4894" t="n">
        <v>0</v>
      </c>
      <c r="L4894" t="n">
        <v>0</v>
      </c>
      <c r="M4894" t="n">
        <v>0</v>
      </c>
      <c r="N4894" t="n">
        <v>0</v>
      </c>
      <c r="O4894" t="n">
        <v>0</v>
      </c>
      <c r="P4894" t="n">
        <v>0</v>
      </c>
      <c r="Q4894" t="n">
        <v>0</v>
      </c>
      <c r="R4894" s="2" t="inlineStr"/>
    </row>
    <row r="4895" ht="15" customHeight="1">
      <c r="A4895" t="inlineStr">
        <is>
          <t>A 781-2024</t>
        </is>
      </c>
      <c r="B4895" s="1" t="n">
        <v>45300</v>
      </c>
      <c r="C4895" s="1" t="n">
        <v>45705</v>
      </c>
      <c r="D4895" t="inlineStr">
        <is>
          <t>UPPSALA LÄN</t>
        </is>
      </c>
      <c r="E4895" t="inlineStr">
        <is>
          <t>UPPSALA</t>
        </is>
      </c>
      <c r="G4895" t="n">
        <v>6.3</v>
      </c>
      <c r="H4895" t="n">
        <v>0</v>
      </c>
      <c r="I4895" t="n">
        <v>0</v>
      </c>
      <c r="J4895" t="n">
        <v>0</v>
      </c>
      <c r="K4895" t="n">
        <v>0</v>
      </c>
      <c r="L4895" t="n">
        <v>0</v>
      </c>
      <c r="M4895" t="n">
        <v>0</v>
      </c>
      <c r="N4895" t="n">
        <v>0</v>
      </c>
      <c r="O4895" t="n">
        <v>0</v>
      </c>
      <c r="P4895" t="n">
        <v>0</v>
      </c>
      <c r="Q4895" t="n">
        <v>0</v>
      </c>
      <c r="R4895" s="2" t="inlineStr"/>
    </row>
    <row r="4896" ht="15" customHeight="1">
      <c r="A4896" t="inlineStr">
        <is>
          <t>A 794-2024</t>
        </is>
      </c>
      <c r="B4896" s="1" t="n">
        <v>45300</v>
      </c>
      <c r="C4896" s="1" t="n">
        <v>45705</v>
      </c>
      <c r="D4896" t="inlineStr">
        <is>
          <t>UPPSALA LÄN</t>
        </is>
      </c>
      <c r="E4896" t="inlineStr">
        <is>
          <t>KNIVSTA</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895-2024</t>
        </is>
      </c>
      <c r="B4897" s="1" t="n">
        <v>45301</v>
      </c>
      <c r="C4897" s="1" t="n">
        <v>45705</v>
      </c>
      <c r="D4897" t="inlineStr">
        <is>
          <t>UPPSALA LÄN</t>
        </is>
      </c>
      <c r="E4897" t="inlineStr">
        <is>
          <t>ÄLVKARLEBY</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967-2024</t>
        </is>
      </c>
      <c r="B4898" s="1" t="n">
        <v>45301</v>
      </c>
      <c r="C4898" s="1" t="n">
        <v>45705</v>
      </c>
      <c r="D4898" t="inlineStr">
        <is>
          <t>UPPSALA LÄN</t>
        </is>
      </c>
      <c r="E4898" t="inlineStr">
        <is>
          <t>TIERP</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953-2024</t>
        </is>
      </c>
      <c r="B4899" s="1" t="n">
        <v>45301</v>
      </c>
      <c r="C4899" s="1" t="n">
        <v>45705</v>
      </c>
      <c r="D4899" t="inlineStr">
        <is>
          <t>UPPSALA LÄN</t>
        </is>
      </c>
      <c r="E4899" t="inlineStr">
        <is>
          <t>TIERP</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986-2024</t>
        </is>
      </c>
      <c r="B4900" s="1" t="n">
        <v>45301</v>
      </c>
      <c r="C4900" s="1" t="n">
        <v>45705</v>
      </c>
      <c r="D4900" t="inlineStr">
        <is>
          <t>UPPSALA LÄN</t>
        </is>
      </c>
      <c r="E4900" t="inlineStr">
        <is>
          <t>TIERP</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996-2024</t>
        </is>
      </c>
      <c r="B4901" s="1" t="n">
        <v>45301</v>
      </c>
      <c r="C4901" s="1" t="n">
        <v>45705</v>
      </c>
      <c r="D4901" t="inlineStr">
        <is>
          <t>UPPSALA LÄN</t>
        </is>
      </c>
      <c r="E4901" t="inlineStr">
        <is>
          <t>ÄLVKARLEBY</t>
        </is>
      </c>
      <c r="F4901" t="inlineStr">
        <is>
          <t>Bergvik skog väst AB</t>
        </is>
      </c>
      <c r="G4901" t="n">
        <v>5.6</v>
      </c>
      <c r="H4901" t="n">
        <v>0</v>
      </c>
      <c r="I4901" t="n">
        <v>0</v>
      </c>
      <c r="J4901" t="n">
        <v>0</v>
      </c>
      <c r="K4901" t="n">
        <v>0</v>
      </c>
      <c r="L4901" t="n">
        <v>0</v>
      </c>
      <c r="M4901" t="n">
        <v>0</v>
      </c>
      <c r="N4901" t="n">
        <v>0</v>
      </c>
      <c r="O4901" t="n">
        <v>0</v>
      </c>
      <c r="P4901" t="n">
        <v>0</v>
      </c>
      <c r="Q4901" t="n">
        <v>0</v>
      </c>
      <c r="R4901" s="2" t="inlineStr"/>
    </row>
    <row r="4902" ht="15" customHeight="1">
      <c r="A4902" t="inlineStr">
        <is>
          <t>A 1160-2024</t>
        </is>
      </c>
      <c r="B4902" s="1" t="n">
        <v>45302</v>
      </c>
      <c r="C4902" s="1" t="n">
        <v>45705</v>
      </c>
      <c r="D4902" t="inlineStr">
        <is>
          <t>UPPSALA LÄN</t>
        </is>
      </c>
      <c r="E4902" t="inlineStr">
        <is>
          <t>HEBY</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1536-2024</t>
        </is>
      </c>
      <c r="B4903" s="1" t="n">
        <v>45306</v>
      </c>
      <c r="C4903" s="1" t="n">
        <v>45705</v>
      </c>
      <c r="D4903" t="inlineStr">
        <is>
          <t>UPPSALA LÄN</t>
        </is>
      </c>
      <c r="E4903" t="inlineStr">
        <is>
          <t>ENKÖPING</t>
        </is>
      </c>
      <c r="F4903" t="inlineStr">
        <is>
          <t>Kyrkan</t>
        </is>
      </c>
      <c r="G4903" t="n">
        <v>5.6</v>
      </c>
      <c r="H4903" t="n">
        <v>0</v>
      </c>
      <c r="I4903" t="n">
        <v>0</v>
      </c>
      <c r="J4903" t="n">
        <v>0</v>
      </c>
      <c r="K4903" t="n">
        <v>0</v>
      </c>
      <c r="L4903" t="n">
        <v>0</v>
      </c>
      <c r="M4903" t="n">
        <v>0</v>
      </c>
      <c r="N4903" t="n">
        <v>0</v>
      </c>
      <c r="O4903" t="n">
        <v>0</v>
      </c>
      <c r="P4903" t="n">
        <v>0</v>
      </c>
      <c r="Q4903" t="n">
        <v>0</v>
      </c>
      <c r="R4903" s="2" t="inlineStr"/>
    </row>
    <row r="4904" ht="15" customHeight="1">
      <c r="A4904" t="inlineStr">
        <is>
          <t>A 1629-2024</t>
        </is>
      </c>
      <c r="B4904" s="1" t="n">
        <v>45306</v>
      </c>
      <c r="C4904" s="1" t="n">
        <v>45705</v>
      </c>
      <c r="D4904" t="inlineStr">
        <is>
          <t>UPPSALA LÄN</t>
        </is>
      </c>
      <c r="E4904" t="inlineStr">
        <is>
          <t>KNIVSTA</t>
        </is>
      </c>
      <c r="F4904" t="inlineStr">
        <is>
          <t>Holmen skog AB</t>
        </is>
      </c>
      <c r="G4904" t="n">
        <v>3.6</v>
      </c>
      <c r="H4904" t="n">
        <v>0</v>
      </c>
      <c r="I4904" t="n">
        <v>0</v>
      </c>
      <c r="J4904" t="n">
        <v>0</v>
      </c>
      <c r="K4904" t="n">
        <v>0</v>
      </c>
      <c r="L4904" t="n">
        <v>0</v>
      </c>
      <c r="M4904" t="n">
        <v>0</v>
      </c>
      <c r="N4904" t="n">
        <v>0</v>
      </c>
      <c r="O4904" t="n">
        <v>0</v>
      </c>
      <c r="P4904" t="n">
        <v>0</v>
      </c>
      <c r="Q4904" t="n">
        <v>0</v>
      </c>
      <c r="R4904" s="2" t="inlineStr"/>
    </row>
    <row r="4905" ht="15" customHeight="1">
      <c r="A4905" t="inlineStr">
        <is>
          <t>A 1651-2024</t>
        </is>
      </c>
      <c r="B4905" s="1" t="n">
        <v>45306</v>
      </c>
      <c r="C4905" s="1" t="n">
        <v>45705</v>
      </c>
      <c r="D4905" t="inlineStr">
        <is>
          <t>UPPSALA LÄN</t>
        </is>
      </c>
      <c r="E4905" t="inlineStr">
        <is>
          <t>ENKÖPING</t>
        </is>
      </c>
      <c r="G4905" t="n">
        <v>10.2</v>
      </c>
      <c r="H4905" t="n">
        <v>0</v>
      </c>
      <c r="I4905" t="n">
        <v>0</v>
      </c>
      <c r="J4905" t="n">
        <v>0</v>
      </c>
      <c r="K4905" t="n">
        <v>0</v>
      </c>
      <c r="L4905" t="n">
        <v>0</v>
      </c>
      <c r="M4905" t="n">
        <v>0</v>
      </c>
      <c r="N4905" t="n">
        <v>0</v>
      </c>
      <c r="O4905" t="n">
        <v>0</v>
      </c>
      <c r="P4905" t="n">
        <v>0</v>
      </c>
      <c r="Q4905" t="n">
        <v>0</v>
      </c>
      <c r="R4905" s="2" t="inlineStr"/>
    </row>
    <row r="4906" ht="15" customHeight="1">
      <c r="A4906" t="inlineStr">
        <is>
          <t>A 1692-2024</t>
        </is>
      </c>
      <c r="B4906" s="1" t="n">
        <v>45307</v>
      </c>
      <c r="C4906" s="1" t="n">
        <v>45705</v>
      </c>
      <c r="D4906" t="inlineStr">
        <is>
          <t>UPPSALA LÄN</t>
        </is>
      </c>
      <c r="E4906" t="inlineStr">
        <is>
          <t>TIERP</t>
        </is>
      </c>
      <c r="G4906" t="n">
        <v>4.5</v>
      </c>
      <c r="H4906" t="n">
        <v>0</v>
      </c>
      <c r="I4906" t="n">
        <v>0</v>
      </c>
      <c r="J4906" t="n">
        <v>0</v>
      </c>
      <c r="K4906" t="n">
        <v>0</v>
      </c>
      <c r="L4906" t="n">
        <v>0</v>
      </c>
      <c r="M4906" t="n">
        <v>0</v>
      </c>
      <c r="N4906" t="n">
        <v>0</v>
      </c>
      <c r="O4906" t="n">
        <v>0</v>
      </c>
      <c r="P4906" t="n">
        <v>0</v>
      </c>
      <c r="Q4906" t="n">
        <v>0</v>
      </c>
      <c r="R4906" s="2" t="inlineStr"/>
    </row>
    <row r="4907" ht="15" customHeight="1">
      <c r="A4907" t="inlineStr">
        <is>
          <t>A 1825-2024</t>
        </is>
      </c>
      <c r="B4907" s="1" t="n">
        <v>45307</v>
      </c>
      <c r="C4907" s="1" t="n">
        <v>45705</v>
      </c>
      <c r="D4907" t="inlineStr">
        <is>
          <t>UPPSALA LÄN</t>
        </is>
      </c>
      <c r="E4907" t="inlineStr">
        <is>
          <t>UPPSALA</t>
        </is>
      </c>
      <c r="G4907" t="n">
        <v>4.2</v>
      </c>
      <c r="H4907" t="n">
        <v>0</v>
      </c>
      <c r="I4907" t="n">
        <v>0</v>
      </c>
      <c r="J4907" t="n">
        <v>0</v>
      </c>
      <c r="K4907" t="n">
        <v>0</v>
      </c>
      <c r="L4907" t="n">
        <v>0</v>
      </c>
      <c r="M4907" t="n">
        <v>0</v>
      </c>
      <c r="N4907" t="n">
        <v>0</v>
      </c>
      <c r="O4907" t="n">
        <v>0</v>
      </c>
      <c r="P4907" t="n">
        <v>0</v>
      </c>
      <c r="Q4907" t="n">
        <v>0</v>
      </c>
      <c r="R4907" s="2" t="inlineStr"/>
    </row>
    <row r="4908" ht="15" customHeight="1">
      <c r="A4908" t="inlineStr">
        <is>
          <t>A 1806-2024</t>
        </is>
      </c>
      <c r="B4908" s="1" t="n">
        <v>45307</v>
      </c>
      <c r="C4908" s="1" t="n">
        <v>45705</v>
      </c>
      <c r="D4908" t="inlineStr">
        <is>
          <t>UPPSALA LÄN</t>
        </is>
      </c>
      <c r="E4908" t="inlineStr">
        <is>
          <t>UPPSALA</t>
        </is>
      </c>
      <c r="F4908" t="inlineStr">
        <is>
          <t>Holmen skog AB</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1787-2024</t>
        </is>
      </c>
      <c r="B4909" s="1" t="n">
        <v>45307</v>
      </c>
      <c r="C4909" s="1" t="n">
        <v>45705</v>
      </c>
      <c r="D4909" t="inlineStr">
        <is>
          <t>UPPSALA LÄN</t>
        </is>
      </c>
      <c r="E4909" t="inlineStr">
        <is>
          <t>KNIVSTA</t>
        </is>
      </c>
      <c r="G4909" t="n">
        <v>7.7</v>
      </c>
      <c r="H4909" t="n">
        <v>0</v>
      </c>
      <c r="I4909" t="n">
        <v>0</v>
      </c>
      <c r="J4909" t="n">
        <v>0</v>
      </c>
      <c r="K4909" t="n">
        <v>0</v>
      </c>
      <c r="L4909" t="n">
        <v>0</v>
      </c>
      <c r="M4909" t="n">
        <v>0</v>
      </c>
      <c r="N4909" t="n">
        <v>0</v>
      </c>
      <c r="O4909" t="n">
        <v>0</v>
      </c>
      <c r="P4909" t="n">
        <v>0</v>
      </c>
      <c r="Q4909" t="n">
        <v>0</v>
      </c>
      <c r="R4909" s="2" t="inlineStr"/>
    </row>
    <row r="4910" ht="15" customHeight="1">
      <c r="A4910" t="inlineStr">
        <is>
          <t>A 1791-2024</t>
        </is>
      </c>
      <c r="B4910" s="1" t="n">
        <v>45307</v>
      </c>
      <c r="C4910" s="1" t="n">
        <v>45705</v>
      </c>
      <c r="D4910" t="inlineStr">
        <is>
          <t>UPPSALA LÄN</t>
        </is>
      </c>
      <c r="E4910" t="inlineStr">
        <is>
          <t>KNIVSTA</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1793-2024</t>
        </is>
      </c>
      <c r="B4911" s="1" t="n">
        <v>45307</v>
      </c>
      <c r="C4911" s="1" t="n">
        <v>45705</v>
      </c>
      <c r="D4911" t="inlineStr">
        <is>
          <t>UPPSALA LÄN</t>
        </is>
      </c>
      <c r="E4911" t="inlineStr">
        <is>
          <t>HEBY</t>
        </is>
      </c>
      <c r="G4911" t="n">
        <v>7.5</v>
      </c>
      <c r="H4911" t="n">
        <v>0</v>
      </c>
      <c r="I4911" t="n">
        <v>0</v>
      </c>
      <c r="J4911" t="n">
        <v>0</v>
      </c>
      <c r="K4911" t="n">
        <v>0</v>
      </c>
      <c r="L4911" t="n">
        <v>0</v>
      </c>
      <c r="M4911" t="n">
        <v>0</v>
      </c>
      <c r="N4911" t="n">
        <v>0</v>
      </c>
      <c r="O4911" t="n">
        <v>0</v>
      </c>
      <c r="P4911" t="n">
        <v>0</v>
      </c>
      <c r="Q4911" t="n">
        <v>0</v>
      </c>
      <c r="R4911" s="2" t="inlineStr"/>
    </row>
    <row r="4912" ht="15" customHeight="1">
      <c r="A4912" t="inlineStr">
        <is>
          <t>A 1838-2024</t>
        </is>
      </c>
      <c r="B4912" s="1" t="n">
        <v>45307</v>
      </c>
      <c r="C4912" s="1" t="n">
        <v>45705</v>
      </c>
      <c r="D4912" t="inlineStr">
        <is>
          <t>UPPSALA LÄN</t>
        </is>
      </c>
      <c r="E4912" t="inlineStr">
        <is>
          <t>UPPSALA</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1994-2024</t>
        </is>
      </c>
      <c r="B4913" s="1" t="n">
        <v>45308</v>
      </c>
      <c r="C4913" s="1" t="n">
        <v>45705</v>
      </c>
      <c r="D4913" t="inlineStr">
        <is>
          <t>UPPSALA LÄN</t>
        </is>
      </c>
      <c r="E4913" t="inlineStr">
        <is>
          <t>UPPSALA</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1951-2024</t>
        </is>
      </c>
      <c r="B4914" s="1" t="n">
        <v>45308</v>
      </c>
      <c r="C4914" s="1" t="n">
        <v>45705</v>
      </c>
      <c r="D4914" t="inlineStr">
        <is>
          <t>UPPSALA LÄN</t>
        </is>
      </c>
      <c r="E4914" t="inlineStr">
        <is>
          <t>TIERP</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2007-2024</t>
        </is>
      </c>
      <c r="B4915" s="1" t="n">
        <v>45308</v>
      </c>
      <c r="C4915" s="1" t="n">
        <v>45705</v>
      </c>
      <c r="D4915" t="inlineStr">
        <is>
          <t>UPPSALA LÄN</t>
        </is>
      </c>
      <c r="E4915" t="inlineStr">
        <is>
          <t>HEBY</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2011-2024</t>
        </is>
      </c>
      <c r="B4916" s="1" t="n">
        <v>45308</v>
      </c>
      <c r="C4916" s="1" t="n">
        <v>45705</v>
      </c>
      <c r="D4916" t="inlineStr">
        <is>
          <t>UPPSALA LÄN</t>
        </is>
      </c>
      <c r="E4916" t="inlineStr">
        <is>
          <t>TIERP</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2182-2024</t>
        </is>
      </c>
      <c r="B4917" s="1" t="n">
        <v>45309</v>
      </c>
      <c r="C4917" s="1" t="n">
        <v>45705</v>
      </c>
      <c r="D4917" t="inlineStr">
        <is>
          <t>UPPSALA LÄN</t>
        </is>
      </c>
      <c r="E4917" t="inlineStr">
        <is>
          <t>KNIVSTA</t>
        </is>
      </c>
      <c r="F4917" t="inlineStr">
        <is>
          <t>Holmen skog AB</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2190-2024</t>
        </is>
      </c>
      <c r="B4918" s="1" t="n">
        <v>45309</v>
      </c>
      <c r="C4918" s="1" t="n">
        <v>45705</v>
      </c>
      <c r="D4918" t="inlineStr">
        <is>
          <t>UPPSALA LÄN</t>
        </is>
      </c>
      <c r="E4918" t="inlineStr">
        <is>
          <t>KNIVSTA</t>
        </is>
      </c>
      <c r="F4918" t="inlineStr">
        <is>
          <t>Holmen skog AB</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2171-2024</t>
        </is>
      </c>
      <c r="B4919" s="1" t="n">
        <v>45309</v>
      </c>
      <c r="C4919" s="1" t="n">
        <v>45705</v>
      </c>
      <c r="D4919" t="inlineStr">
        <is>
          <t>UPPSALA LÄN</t>
        </is>
      </c>
      <c r="E4919" t="inlineStr">
        <is>
          <t>KNIVSTA</t>
        </is>
      </c>
      <c r="F4919" t="inlineStr">
        <is>
          <t>Holmen skog AB</t>
        </is>
      </c>
      <c r="G4919" t="n">
        <v>3.3</v>
      </c>
      <c r="H4919" t="n">
        <v>0</v>
      </c>
      <c r="I4919" t="n">
        <v>0</v>
      </c>
      <c r="J4919" t="n">
        <v>0</v>
      </c>
      <c r="K4919" t="n">
        <v>0</v>
      </c>
      <c r="L4919" t="n">
        <v>0</v>
      </c>
      <c r="M4919" t="n">
        <v>0</v>
      </c>
      <c r="N4919" t="n">
        <v>0</v>
      </c>
      <c r="O4919" t="n">
        <v>0</v>
      </c>
      <c r="P4919" t="n">
        <v>0</v>
      </c>
      <c r="Q4919" t="n">
        <v>0</v>
      </c>
      <c r="R4919" s="2" t="inlineStr"/>
    </row>
    <row r="4920" ht="15" customHeight="1">
      <c r="A4920" t="inlineStr">
        <is>
          <t>A 2183-2024</t>
        </is>
      </c>
      <c r="B4920" s="1" t="n">
        <v>45309</v>
      </c>
      <c r="C4920" s="1" t="n">
        <v>45705</v>
      </c>
      <c r="D4920" t="inlineStr">
        <is>
          <t>UPPSALA LÄN</t>
        </is>
      </c>
      <c r="E4920" t="inlineStr">
        <is>
          <t>ÄLVKARLEBY</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2169-2024</t>
        </is>
      </c>
      <c r="B4921" s="1" t="n">
        <v>45309</v>
      </c>
      <c r="C4921" s="1" t="n">
        <v>45705</v>
      </c>
      <c r="D4921" t="inlineStr">
        <is>
          <t>UPPSALA LÄN</t>
        </is>
      </c>
      <c r="E4921" t="inlineStr">
        <is>
          <t>KNIVSTA</t>
        </is>
      </c>
      <c r="F4921" t="inlineStr">
        <is>
          <t>Holmen skog AB</t>
        </is>
      </c>
      <c r="G4921" t="n">
        <v>3.3</v>
      </c>
      <c r="H4921" t="n">
        <v>0</v>
      </c>
      <c r="I4921" t="n">
        <v>0</v>
      </c>
      <c r="J4921" t="n">
        <v>0</v>
      </c>
      <c r="K4921" t="n">
        <v>0</v>
      </c>
      <c r="L4921" t="n">
        <v>0</v>
      </c>
      <c r="M4921" t="n">
        <v>0</v>
      </c>
      <c r="N4921" t="n">
        <v>0</v>
      </c>
      <c r="O4921" t="n">
        <v>0</v>
      </c>
      <c r="P4921" t="n">
        <v>0</v>
      </c>
      <c r="Q4921" t="n">
        <v>0</v>
      </c>
      <c r="R4921" s="2" t="inlineStr"/>
    </row>
    <row r="4922" ht="15" customHeight="1">
      <c r="A4922" t="inlineStr">
        <is>
          <t>A 2184-2024</t>
        </is>
      </c>
      <c r="B4922" s="1" t="n">
        <v>45309</v>
      </c>
      <c r="C4922" s="1" t="n">
        <v>45705</v>
      </c>
      <c r="D4922" t="inlineStr">
        <is>
          <t>UPPSALA LÄN</t>
        </is>
      </c>
      <c r="E4922" t="inlineStr">
        <is>
          <t>ÄLVKARLEBY</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2188-2024</t>
        </is>
      </c>
      <c r="B4923" s="1" t="n">
        <v>45309</v>
      </c>
      <c r="C4923" s="1" t="n">
        <v>45705</v>
      </c>
      <c r="D4923" t="inlineStr">
        <is>
          <t>UPPSALA LÄN</t>
        </is>
      </c>
      <c r="E4923" t="inlineStr">
        <is>
          <t>KNIVSTA</t>
        </is>
      </c>
      <c r="F4923" t="inlineStr">
        <is>
          <t>Holmen skog AB</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2221-2024</t>
        </is>
      </c>
      <c r="B4924" s="1" t="n">
        <v>45309</v>
      </c>
      <c r="C4924" s="1" t="n">
        <v>45705</v>
      </c>
      <c r="D4924" t="inlineStr">
        <is>
          <t>UPPSALA LÄN</t>
        </is>
      </c>
      <c r="E4924" t="inlineStr">
        <is>
          <t>ENKÖPING</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2322-2024</t>
        </is>
      </c>
      <c r="B4925" s="1" t="n">
        <v>45309</v>
      </c>
      <c r="C4925" s="1" t="n">
        <v>45705</v>
      </c>
      <c r="D4925" t="inlineStr">
        <is>
          <t>UPPSALA LÄN</t>
        </is>
      </c>
      <c r="E4925" t="inlineStr">
        <is>
          <t>ENKÖPING</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2301-2024</t>
        </is>
      </c>
      <c r="B4926" s="1" t="n">
        <v>45310</v>
      </c>
      <c r="C4926" s="1" t="n">
        <v>45705</v>
      </c>
      <c r="D4926" t="inlineStr">
        <is>
          <t>UPPSALA LÄN</t>
        </is>
      </c>
      <c r="E4926" t="inlineStr">
        <is>
          <t>TIERP</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2294-2024</t>
        </is>
      </c>
      <c r="B4927" s="1" t="n">
        <v>45310</v>
      </c>
      <c r="C4927" s="1" t="n">
        <v>45705</v>
      </c>
      <c r="D4927" t="inlineStr">
        <is>
          <t>UPPSALA LÄN</t>
        </is>
      </c>
      <c r="E4927" t="inlineStr">
        <is>
          <t>UPPSALA</t>
        </is>
      </c>
      <c r="F4927" t="inlineStr">
        <is>
          <t>Allmännings- och besparingsskogar</t>
        </is>
      </c>
      <c r="G4927" t="n">
        <v>6</v>
      </c>
      <c r="H4927" t="n">
        <v>0</v>
      </c>
      <c r="I4927" t="n">
        <v>0</v>
      </c>
      <c r="J4927" t="n">
        <v>0</v>
      </c>
      <c r="K4927" t="n">
        <v>0</v>
      </c>
      <c r="L4927" t="n">
        <v>0</v>
      </c>
      <c r="M4927" t="n">
        <v>0</v>
      </c>
      <c r="N4927" t="n">
        <v>0</v>
      </c>
      <c r="O4927" t="n">
        <v>0</v>
      </c>
      <c r="P4927" t="n">
        <v>0</v>
      </c>
      <c r="Q4927" t="n">
        <v>0</v>
      </c>
      <c r="R4927" s="2" t="inlineStr"/>
    </row>
    <row r="4928" ht="15" customHeight="1">
      <c r="A4928" t="inlineStr">
        <is>
          <t>A 2327-2024</t>
        </is>
      </c>
      <c r="B4928" s="1" t="n">
        <v>45310</v>
      </c>
      <c r="C4928" s="1" t="n">
        <v>45705</v>
      </c>
      <c r="D4928" t="inlineStr">
        <is>
          <t>UPPSALA LÄN</t>
        </is>
      </c>
      <c r="E4928" t="inlineStr">
        <is>
          <t>UPPSALA</t>
        </is>
      </c>
      <c r="F4928" t="inlineStr">
        <is>
          <t>Kyrkan</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2339-2024</t>
        </is>
      </c>
      <c r="B4929" s="1" t="n">
        <v>45310</v>
      </c>
      <c r="C4929" s="1" t="n">
        <v>45705</v>
      </c>
      <c r="D4929" t="inlineStr">
        <is>
          <t>UPPSALA LÄN</t>
        </is>
      </c>
      <c r="E4929" t="inlineStr">
        <is>
          <t>UPPSALA</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2357-2024</t>
        </is>
      </c>
      <c r="B4930" s="1" t="n">
        <v>45310</v>
      </c>
      <c r="C4930" s="1" t="n">
        <v>45705</v>
      </c>
      <c r="D4930" t="inlineStr">
        <is>
          <t>UPPSALA LÄN</t>
        </is>
      </c>
      <c r="E4930" t="inlineStr">
        <is>
          <t>UPPSALA</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2456-2024</t>
        </is>
      </c>
      <c r="B4931" s="1" t="n">
        <v>45312</v>
      </c>
      <c r="C4931" s="1" t="n">
        <v>45705</v>
      </c>
      <c r="D4931" t="inlineStr">
        <is>
          <t>UPPSALA LÄN</t>
        </is>
      </c>
      <c r="E4931" t="inlineStr">
        <is>
          <t>ENKÖPING</t>
        </is>
      </c>
      <c r="G4931" t="n">
        <v>2.6</v>
      </c>
      <c r="H4931" t="n">
        <v>0</v>
      </c>
      <c r="I4931" t="n">
        <v>0</v>
      </c>
      <c r="J4931" t="n">
        <v>0</v>
      </c>
      <c r="K4931" t="n">
        <v>0</v>
      </c>
      <c r="L4931" t="n">
        <v>0</v>
      </c>
      <c r="M4931" t="n">
        <v>0</v>
      </c>
      <c r="N4931" t="n">
        <v>0</v>
      </c>
      <c r="O4931" t="n">
        <v>0</v>
      </c>
      <c r="P4931" t="n">
        <v>0</v>
      </c>
      <c r="Q4931" t="n">
        <v>0</v>
      </c>
      <c r="R4931" s="2" t="inlineStr"/>
    </row>
    <row r="4932" ht="15" customHeight="1">
      <c r="A4932" t="inlineStr">
        <is>
          <t>A 2454-2024</t>
        </is>
      </c>
      <c r="B4932" s="1" t="n">
        <v>45312</v>
      </c>
      <c r="C4932" s="1" t="n">
        <v>45705</v>
      </c>
      <c r="D4932" t="inlineStr">
        <is>
          <t>UPPSALA LÄN</t>
        </is>
      </c>
      <c r="E4932" t="inlineStr">
        <is>
          <t>TIERP</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2462-2024</t>
        </is>
      </c>
      <c r="B4933" s="1" t="n">
        <v>45313</v>
      </c>
      <c r="C4933" s="1" t="n">
        <v>45705</v>
      </c>
      <c r="D4933" t="inlineStr">
        <is>
          <t>UPPSALA LÄN</t>
        </is>
      </c>
      <c r="E4933" t="inlineStr">
        <is>
          <t>ÖSTHAMMAR</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2723-2024</t>
        </is>
      </c>
      <c r="B4934" s="1" t="n">
        <v>45314</v>
      </c>
      <c r="C4934" s="1" t="n">
        <v>45705</v>
      </c>
      <c r="D4934" t="inlineStr">
        <is>
          <t>UPPSALA LÄN</t>
        </is>
      </c>
      <c r="E4934" t="inlineStr">
        <is>
          <t>HEBY</t>
        </is>
      </c>
      <c r="G4934" t="n">
        <v>7.5</v>
      </c>
      <c r="H4934" t="n">
        <v>0</v>
      </c>
      <c r="I4934" t="n">
        <v>0</v>
      </c>
      <c r="J4934" t="n">
        <v>0</v>
      </c>
      <c r="K4934" t="n">
        <v>0</v>
      </c>
      <c r="L4934" t="n">
        <v>0</v>
      </c>
      <c r="M4934" t="n">
        <v>0</v>
      </c>
      <c r="N4934" t="n">
        <v>0</v>
      </c>
      <c r="O4934" t="n">
        <v>0</v>
      </c>
      <c r="P4934" t="n">
        <v>0</v>
      </c>
      <c r="Q4934" t="n">
        <v>0</v>
      </c>
      <c r="R4934" s="2" t="inlineStr"/>
    </row>
    <row r="4935" ht="15" customHeight="1">
      <c r="A4935" t="inlineStr">
        <is>
          <t>A 2740-2024</t>
        </is>
      </c>
      <c r="B4935" s="1" t="n">
        <v>45314</v>
      </c>
      <c r="C4935" s="1" t="n">
        <v>45705</v>
      </c>
      <c r="D4935" t="inlineStr">
        <is>
          <t>UPPSALA LÄN</t>
        </is>
      </c>
      <c r="E4935" t="inlineStr">
        <is>
          <t>UPPSALA</t>
        </is>
      </c>
      <c r="G4935" t="n">
        <v>3.2</v>
      </c>
      <c r="H4935" t="n">
        <v>0</v>
      </c>
      <c r="I4935" t="n">
        <v>0</v>
      </c>
      <c r="J4935" t="n">
        <v>0</v>
      </c>
      <c r="K4935" t="n">
        <v>0</v>
      </c>
      <c r="L4935" t="n">
        <v>0</v>
      </c>
      <c r="M4935" t="n">
        <v>0</v>
      </c>
      <c r="N4935" t="n">
        <v>0</v>
      </c>
      <c r="O4935" t="n">
        <v>0</v>
      </c>
      <c r="P4935" t="n">
        <v>0</v>
      </c>
      <c r="Q4935" t="n">
        <v>0</v>
      </c>
      <c r="R4935" s="2" t="inlineStr"/>
    </row>
    <row r="4936" ht="15" customHeight="1">
      <c r="A4936" t="inlineStr">
        <is>
          <t>A 2676-2024</t>
        </is>
      </c>
      <c r="B4936" s="1" t="n">
        <v>45314</v>
      </c>
      <c r="C4936" s="1" t="n">
        <v>45705</v>
      </c>
      <c r="D4936" t="inlineStr">
        <is>
          <t>UPPSALA LÄN</t>
        </is>
      </c>
      <c r="E4936" t="inlineStr">
        <is>
          <t>TIERP</t>
        </is>
      </c>
      <c r="G4936" t="n">
        <v>6.3</v>
      </c>
      <c r="H4936" t="n">
        <v>0</v>
      </c>
      <c r="I4936" t="n">
        <v>0</v>
      </c>
      <c r="J4936" t="n">
        <v>0</v>
      </c>
      <c r="K4936" t="n">
        <v>0</v>
      </c>
      <c r="L4936" t="n">
        <v>0</v>
      </c>
      <c r="M4936" t="n">
        <v>0</v>
      </c>
      <c r="N4936" t="n">
        <v>0</v>
      </c>
      <c r="O4936" t="n">
        <v>0</v>
      </c>
      <c r="P4936" t="n">
        <v>0</v>
      </c>
      <c r="Q4936" t="n">
        <v>0</v>
      </c>
      <c r="R4936" s="2" t="inlineStr"/>
    </row>
    <row r="4937" ht="15" customHeight="1">
      <c r="A4937" t="inlineStr">
        <is>
          <t>A 2735-2024</t>
        </is>
      </c>
      <c r="B4937" s="1" t="n">
        <v>45314</v>
      </c>
      <c r="C4937" s="1" t="n">
        <v>45705</v>
      </c>
      <c r="D4937" t="inlineStr">
        <is>
          <t>UPPSALA LÄN</t>
        </is>
      </c>
      <c r="E4937" t="inlineStr">
        <is>
          <t>UPPSALA</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2769-2024</t>
        </is>
      </c>
      <c r="B4938" s="1" t="n">
        <v>45314</v>
      </c>
      <c r="C4938" s="1" t="n">
        <v>45705</v>
      </c>
      <c r="D4938" t="inlineStr">
        <is>
          <t>UPPSALA LÄN</t>
        </is>
      </c>
      <c r="E4938" t="inlineStr">
        <is>
          <t>UPPSALA</t>
        </is>
      </c>
      <c r="G4938" t="n">
        <v>7.1</v>
      </c>
      <c r="H4938" t="n">
        <v>0</v>
      </c>
      <c r="I4938" t="n">
        <v>0</v>
      </c>
      <c r="J4938" t="n">
        <v>0</v>
      </c>
      <c r="K4938" t="n">
        <v>0</v>
      </c>
      <c r="L4938" t="n">
        <v>0</v>
      </c>
      <c r="M4938" t="n">
        <v>0</v>
      </c>
      <c r="N4938" t="n">
        <v>0</v>
      </c>
      <c r="O4938" t="n">
        <v>0</v>
      </c>
      <c r="P4938" t="n">
        <v>0</v>
      </c>
      <c r="Q4938" t="n">
        <v>0</v>
      </c>
      <c r="R4938" s="2" t="inlineStr"/>
    </row>
    <row r="4939" ht="15" customHeight="1">
      <c r="A4939" t="inlineStr">
        <is>
          <t>A 2785-2024</t>
        </is>
      </c>
      <c r="B4939" s="1" t="n">
        <v>45314</v>
      </c>
      <c r="C4939" s="1" t="n">
        <v>45705</v>
      </c>
      <c r="D4939" t="inlineStr">
        <is>
          <t>UPPSALA LÄN</t>
        </is>
      </c>
      <c r="E4939" t="inlineStr">
        <is>
          <t>UPPSALA</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2920-2024</t>
        </is>
      </c>
      <c r="B4940" s="1" t="n">
        <v>45315</v>
      </c>
      <c r="C4940" s="1" t="n">
        <v>45705</v>
      </c>
      <c r="D4940" t="inlineStr">
        <is>
          <t>UPPSALA LÄN</t>
        </is>
      </c>
      <c r="E4940" t="inlineStr">
        <is>
          <t>ÖSTHAMMAR</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2983-2024</t>
        </is>
      </c>
      <c r="B4941" s="1" t="n">
        <v>45315</v>
      </c>
      <c r="C4941" s="1" t="n">
        <v>45705</v>
      </c>
      <c r="D4941" t="inlineStr">
        <is>
          <t>UPPSALA LÄN</t>
        </is>
      </c>
      <c r="E4941" t="inlineStr">
        <is>
          <t>ENKÖPING</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3051-2024</t>
        </is>
      </c>
      <c r="B4942" s="1" t="n">
        <v>45316</v>
      </c>
      <c r="C4942" s="1" t="n">
        <v>45705</v>
      </c>
      <c r="D4942" t="inlineStr">
        <is>
          <t>UPPSALA LÄN</t>
        </is>
      </c>
      <c r="E4942" t="inlineStr">
        <is>
          <t>ENKÖPING</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3130-2024</t>
        </is>
      </c>
      <c r="B4943" s="1" t="n">
        <v>45316</v>
      </c>
      <c r="C4943" s="1" t="n">
        <v>45705</v>
      </c>
      <c r="D4943" t="inlineStr">
        <is>
          <t>UPPSALA LÄN</t>
        </is>
      </c>
      <c r="E4943" t="inlineStr">
        <is>
          <t>ENKÖPING</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3175-2024</t>
        </is>
      </c>
      <c r="B4944" s="1" t="n">
        <v>45316</v>
      </c>
      <c r="C4944" s="1" t="n">
        <v>45705</v>
      </c>
      <c r="D4944" t="inlineStr">
        <is>
          <t>UPPSALA LÄN</t>
        </is>
      </c>
      <c r="E4944" t="inlineStr">
        <is>
          <t>UPPSALA</t>
        </is>
      </c>
      <c r="F4944" t="inlineStr">
        <is>
          <t>Bergvik skog öst AB</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3183-2024</t>
        </is>
      </c>
      <c r="B4945" s="1" t="n">
        <v>45316</v>
      </c>
      <c r="C4945" s="1" t="n">
        <v>45705</v>
      </c>
      <c r="D4945" t="inlineStr">
        <is>
          <t>UPPSALA LÄN</t>
        </is>
      </c>
      <c r="E4945" t="inlineStr">
        <is>
          <t>UPPSALA</t>
        </is>
      </c>
      <c r="F4945" t="inlineStr">
        <is>
          <t>Bergvik skog öst AB</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3191-2024</t>
        </is>
      </c>
      <c r="B4946" s="1" t="n">
        <v>45316</v>
      </c>
      <c r="C4946" s="1" t="n">
        <v>45705</v>
      </c>
      <c r="D4946" t="inlineStr">
        <is>
          <t>UPPSALA LÄN</t>
        </is>
      </c>
      <c r="E4946" t="inlineStr">
        <is>
          <t>KNIVSTA</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3305-2024</t>
        </is>
      </c>
      <c r="B4947" s="1" t="n">
        <v>45316</v>
      </c>
      <c r="C4947" s="1" t="n">
        <v>45705</v>
      </c>
      <c r="D4947" t="inlineStr">
        <is>
          <t>UPPSALA LÄN</t>
        </is>
      </c>
      <c r="E4947" t="inlineStr">
        <is>
          <t>TIERP</t>
        </is>
      </c>
      <c r="G4947" t="n">
        <v>47.8</v>
      </c>
      <c r="H4947" t="n">
        <v>0</v>
      </c>
      <c r="I4947" t="n">
        <v>0</v>
      </c>
      <c r="J4947" t="n">
        <v>0</v>
      </c>
      <c r="K4947" t="n">
        <v>0</v>
      </c>
      <c r="L4947" t="n">
        <v>0</v>
      </c>
      <c r="M4947" t="n">
        <v>0</v>
      </c>
      <c r="N4947" t="n">
        <v>0</v>
      </c>
      <c r="O4947" t="n">
        <v>0</v>
      </c>
      <c r="P4947" t="n">
        <v>0</v>
      </c>
      <c r="Q4947" t="n">
        <v>0</v>
      </c>
      <c r="R4947" s="2" t="inlineStr"/>
    </row>
    <row r="4948" ht="15" customHeight="1">
      <c r="A4948" t="inlineStr">
        <is>
          <t>A 3261-2024</t>
        </is>
      </c>
      <c r="B4948" s="1" t="n">
        <v>45317</v>
      </c>
      <c r="C4948" s="1" t="n">
        <v>45705</v>
      </c>
      <c r="D4948" t="inlineStr">
        <is>
          <t>UPPSALA LÄN</t>
        </is>
      </c>
      <c r="E4948" t="inlineStr">
        <is>
          <t>UPPSALA</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3260-2024</t>
        </is>
      </c>
      <c r="B4949" s="1" t="n">
        <v>45317</v>
      </c>
      <c r="C4949" s="1" t="n">
        <v>45705</v>
      </c>
      <c r="D4949" t="inlineStr">
        <is>
          <t>UPPSALA LÄN</t>
        </is>
      </c>
      <c r="E4949" t="inlineStr">
        <is>
          <t>UPPSALA</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3355-2024</t>
        </is>
      </c>
      <c r="B4950" s="1" t="n">
        <v>45317</v>
      </c>
      <c r="C4950" s="1" t="n">
        <v>45705</v>
      </c>
      <c r="D4950" t="inlineStr">
        <is>
          <t>UPPSALA LÄN</t>
        </is>
      </c>
      <c r="E4950" t="inlineStr">
        <is>
          <t>HEBY</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3371-2024</t>
        </is>
      </c>
      <c r="B4951" s="1" t="n">
        <v>45317</v>
      </c>
      <c r="C4951" s="1" t="n">
        <v>45705</v>
      </c>
      <c r="D4951" t="inlineStr">
        <is>
          <t>UPPSALA LÄN</t>
        </is>
      </c>
      <c r="E4951" t="inlineStr">
        <is>
          <t>HEBY</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3374-2024</t>
        </is>
      </c>
      <c r="B4952" s="1" t="n">
        <v>45317</v>
      </c>
      <c r="C4952" s="1" t="n">
        <v>45705</v>
      </c>
      <c r="D4952" t="inlineStr">
        <is>
          <t>UPPSALA LÄN</t>
        </is>
      </c>
      <c r="E4952" t="inlineStr">
        <is>
          <t>HEBY</t>
        </is>
      </c>
      <c r="G4952" t="n">
        <v>8.4</v>
      </c>
      <c r="H4952" t="n">
        <v>0</v>
      </c>
      <c r="I4952" t="n">
        <v>0</v>
      </c>
      <c r="J4952" t="n">
        <v>0</v>
      </c>
      <c r="K4952" t="n">
        <v>0</v>
      </c>
      <c r="L4952" t="n">
        <v>0</v>
      </c>
      <c r="M4952" t="n">
        <v>0</v>
      </c>
      <c r="N4952" t="n">
        <v>0</v>
      </c>
      <c r="O4952" t="n">
        <v>0</v>
      </c>
      <c r="P4952" t="n">
        <v>0</v>
      </c>
      <c r="Q4952" t="n">
        <v>0</v>
      </c>
      <c r="R4952" s="2" t="inlineStr"/>
    </row>
    <row r="4953" ht="15" customHeight="1">
      <c r="A4953" t="inlineStr">
        <is>
          <t>A 3368-2024</t>
        </is>
      </c>
      <c r="B4953" s="1" t="n">
        <v>45317</v>
      </c>
      <c r="C4953" s="1" t="n">
        <v>45705</v>
      </c>
      <c r="D4953" t="inlineStr">
        <is>
          <t>UPPSALA LÄN</t>
        </is>
      </c>
      <c r="E4953" t="inlineStr">
        <is>
          <t>HEBY</t>
        </is>
      </c>
      <c r="G4953" t="n">
        <v>0.2</v>
      </c>
      <c r="H4953" t="n">
        <v>0</v>
      </c>
      <c r="I4953" t="n">
        <v>0</v>
      </c>
      <c r="J4953" t="n">
        <v>0</v>
      </c>
      <c r="K4953" t="n">
        <v>0</v>
      </c>
      <c r="L4953" t="n">
        <v>0</v>
      </c>
      <c r="M4953" t="n">
        <v>0</v>
      </c>
      <c r="N4953" t="n">
        <v>0</v>
      </c>
      <c r="O4953" t="n">
        <v>0</v>
      </c>
      <c r="P4953" t="n">
        <v>0</v>
      </c>
      <c r="Q4953" t="n">
        <v>0</v>
      </c>
      <c r="R4953" s="2" t="inlineStr"/>
    </row>
    <row r="4954" ht="15" customHeight="1">
      <c r="A4954" t="inlineStr">
        <is>
          <t>A 3376-2024</t>
        </is>
      </c>
      <c r="B4954" s="1" t="n">
        <v>45317</v>
      </c>
      <c r="C4954" s="1" t="n">
        <v>45705</v>
      </c>
      <c r="D4954" t="inlineStr">
        <is>
          <t>UPPSALA LÄN</t>
        </is>
      </c>
      <c r="E4954" t="inlineStr">
        <is>
          <t>HEBY</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3377-2024</t>
        </is>
      </c>
      <c r="B4955" s="1" t="n">
        <v>45317</v>
      </c>
      <c r="C4955" s="1" t="n">
        <v>45705</v>
      </c>
      <c r="D4955" t="inlineStr">
        <is>
          <t>UPPSALA LÄN</t>
        </is>
      </c>
      <c r="E4955" t="inlineStr">
        <is>
          <t>HEBY</t>
        </is>
      </c>
      <c r="G4955" t="n">
        <v>6.5</v>
      </c>
      <c r="H4955" t="n">
        <v>0</v>
      </c>
      <c r="I4955" t="n">
        <v>0</v>
      </c>
      <c r="J4955" t="n">
        <v>0</v>
      </c>
      <c r="K4955" t="n">
        <v>0</v>
      </c>
      <c r="L4955" t="n">
        <v>0</v>
      </c>
      <c r="M4955" t="n">
        <v>0</v>
      </c>
      <c r="N4955" t="n">
        <v>0</v>
      </c>
      <c r="O4955" t="n">
        <v>0</v>
      </c>
      <c r="P4955" t="n">
        <v>0</v>
      </c>
      <c r="Q4955" t="n">
        <v>0</v>
      </c>
      <c r="R4955" s="2" t="inlineStr"/>
    </row>
    <row r="4956" ht="15" customHeight="1">
      <c r="A4956" t="inlineStr">
        <is>
          <t>A 3468-2024</t>
        </is>
      </c>
      <c r="B4956" s="1" t="n">
        <v>45320</v>
      </c>
      <c r="C4956" s="1" t="n">
        <v>45705</v>
      </c>
      <c r="D4956" t="inlineStr">
        <is>
          <t>UPPSALA LÄN</t>
        </is>
      </c>
      <c r="E4956" t="inlineStr">
        <is>
          <t>HEBY</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3503-2024</t>
        </is>
      </c>
      <c r="B4957" s="1" t="n">
        <v>45320</v>
      </c>
      <c r="C4957" s="1" t="n">
        <v>45705</v>
      </c>
      <c r="D4957" t="inlineStr">
        <is>
          <t>UPPSALA LÄN</t>
        </is>
      </c>
      <c r="E4957" t="inlineStr">
        <is>
          <t>TIERP</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3771-2024</t>
        </is>
      </c>
      <c r="B4958" s="1" t="n">
        <v>45321</v>
      </c>
      <c r="C4958" s="1" t="n">
        <v>45705</v>
      </c>
      <c r="D4958" t="inlineStr">
        <is>
          <t>UPPSALA LÄN</t>
        </is>
      </c>
      <c r="E4958" t="inlineStr">
        <is>
          <t>HEBY</t>
        </is>
      </c>
      <c r="G4958" t="n">
        <v>4.7</v>
      </c>
      <c r="H4958" t="n">
        <v>0</v>
      </c>
      <c r="I4958" t="n">
        <v>0</v>
      </c>
      <c r="J4958" t="n">
        <v>0</v>
      </c>
      <c r="K4958" t="n">
        <v>0</v>
      </c>
      <c r="L4958" t="n">
        <v>0</v>
      </c>
      <c r="M4958" t="n">
        <v>0</v>
      </c>
      <c r="N4958" t="n">
        <v>0</v>
      </c>
      <c r="O4958" t="n">
        <v>0</v>
      </c>
      <c r="P4958" t="n">
        <v>0</v>
      </c>
      <c r="Q4958" t="n">
        <v>0</v>
      </c>
      <c r="R4958" s="2" t="inlineStr"/>
    </row>
    <row r="4959" ht="15" customHeight="1">
      <c r="A4959" t="inlineStr">
        <is>
          <t>A 3779-2024</t>
        </is>
      </c>
      <c r="B4959" s="1" t="n">
        <v>45321</v>
      </c>
      <c r="C4959" s="1" t="n">
        <v>45705</v>
      </c>
      <c r="D4959" t="inlineStr">
        <is>
          <t>UPPSALA LÄN</t>
        </is>
      </c>
      <c r="E4959" t="inlineStr">
        <is>
          <t>HEBY</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3813-2024</t>
        </is>
      </c>
      <c r="B4960" s="1" t="n">
        <v>45321</v>
      </c>
      <c r="C4960" s="1" t="n">
        <v>45705</v>
      </c>
      <c r="D4960" t="inlineStr">
        <is>
          <t>UPPSALA LÄN</t>
        </is>
      </c>
      <c r="E4960" t="inlineStr">
        <is>
          <t>UPPSALA</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3977-2024</t>
        </is>
      </c>
      <c r="B4961" s="1" t="n">
        <v>45322</v>
      </c>
      <c r="C4961" s="1" t="n">
        <v>45705</v>
      </c>
      <c r="D4961" t="inlineStr">
        <is>
          <t>UPPSALA LÄN</t>
        </is>
      </c>
      <c r="E4961" t="inlineStr">
        <is>
          <t>ENKÖPING</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4065-2024</t>
        </is>
      </c>
      <c r="B4962" s="1" t="n">
        <v>45323</v>
      </c>
      <c r="C4962" s="1" t="n">
        <v>45705</v>
      </c>
      <c r="D4962" t="inlineStr">
        <is>
          <t>UPPSALA LÄN</t>
        </is>
      </c>
      <c r="E4962" t="inlineStr">
        <is>
          <t>UPPSALA</t>
        </is>
      </c>
      <c r="F4962" t="inlineStr">
        <is>
          <t>Holmen skog AB</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4040-2024</t>
        </is>
      </c>
      <c r="B4963" s="1" t="n">
        <v>45323</v>
      </c>
      <c r="C4963" s="1" t="n">
        <v>45705</v>
      </c>
      <c r="D4963" t="inlineStr">
        <is>
          <t>UPPSALA LÄN</t>
        </is>
      </c>
      <c r="E4963" t="inlineStr">
        <is>
          <t>HEBY</t>
        </is>
      </c>
      <c r="G4963" t="n">
        <v>4.5</v>
      </c>
      <c r="H4963" t="n">
        <v>0</v>
      </c>
      <c r="I4963" t="n">
        <v>0</v>
      </c>
      <c r="J4963" t="n">
        <v>0</v>
      </c>
      <c r="K4963" t="n">
        <v>0</v>
      </c>
      <c r="L4963" t="n">
        <v>0</v>
      </c>
      <c r="M4963" t="n">
        <v>0</v>
      </c>
      <c r="N4963" t="n">
        <v>0</v>
      </c>
      <c r="O4963" t="n">
        <v>0</v>
      </c>
      <c r="P4963" t="n">
        <v>0</v>
      </c>
      <c r="Q4963" t="n">
        <v>0</v>
      </c>
      <c r="R4963" s="2" t="inlineStr"/>
    </row>
    <row r="4964" ht="15" customHeight="1">
      <c r="A4964" t="inlineStr">
        <is>
          <t>A 4044-2024</t>
        </is>
      </c>
      <c r="B4964" s="1" t="n">
        <v>45323</v>
      </c>
      <c r="C4964" s="1" t="n">
        <v>45705</v>
      </c>
      <c r="D4964" t="inlineStr">
        <is>
          <t>UPPSALA LÄN</t>
        </is>
      </c>
      <c r="E4964" t="inlineStr">
        <is>
          <t>ENKÖPING</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4216-2024</t>
        </is>
      </c>
      <c r="B4965" s="1" t="n">
        <v>45324</v>
      </c>
      <c r="C4965" s="1" t="n">
        <v>45705</v>
      </c>
      <c r="D4965" t="inlineStr">
        <is>
          <t>UPPSALA LÄN</t>
        </is>
      </c>
      <c r="E4965" t="inlineStr">
        <is>
          <t>UPPSALA</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4412-2024</t>
        </is>
      </c>
      <c r="B4966" s="1" t="n">
        <v>45327</v>
      </c>
      <c r="C4966" s="1" t="n">
        <v>45705</v>
      </c>
      <c r="D4966" t="inlineStr">
        <is>
          <t>UPPSALA LÄN</t>
        </is>
      </c>
      <c r="E4966" t="inlineStr">
        <is>
          <t>UPPSALA</t>
        </is>
      </c>
      <c r="G4966" t="n">
        <v>5.4</v>
      </c>
      <c r="H4966" t="n">
        <v>0</v>
      </c>
      <c r="I4966" t="n">
        <v>0</v>
      </c>
      <c r="J4966" t="n">
        <v>0</v>
      </c>
      <c r="K4966" t="n">
        <v>0</v>
      </c>
      <c r="L4966" t="n">
        <v>0</v>
      </c>
      <c r="M4966" t="n">
        <v>0</v>
      </c>
      <c r="N4966" t="n">
        <v>0</v>
      </c>
      <c r="O4966" t="n">
        <v>0</v>
      </c>
      <c r="P4966" t="n">
        <v>0</v>
      </c>
      <c r="Q4966" t="n">
        <v>0</v>
      </c>
      <c r="R4966" s="2" t="inlineStr"/>
    </row>
    <row r="4967" ht="15" customHeight="1">
      <c r="A4967" t="inlineStr">
        <is>
          <t>A 4425-2024</t>
        </is>
      </c>
      <c r="B4967" s="1" t="n">
        <v>45327</v>
      </c>
      <c r="C4967" s="1" t="n">
        <v>45705</v>
      </c>
      <c r="D4967" t="inlineStr">
        <is>
          <t>UPPSALA LÄN</t>
        </is>
      </c>
      <c r="E4967" t="inlineStr">
        <is>
          <t>UPPSALA</t>
        </is>
      </c>
      <c r="F4967" t="inlineStr">
        <is>
          <t>Allmännings- och besparingsskogar</t>
        </is>
      </c>
      <c r="G4967" t="n">
        <v>3.4</v>
      </c>
      <c r="H4967" t="n">
        <v>0</v>
      </c>
      <c r="I4967" t="n">
        <v>0</v>
      </c>
      <c r="J4967" t="n">
        <v>0</v>
      </c>
      <c r="K4967" t="n">
        <v>0</v>
      </c>
      <c r="L4967" t="n">
        <v>0</v>
      </c>
      <c r="M4967" t="n">
        <v>0</v>
      </c>
      <c r="N4967" t="n">
        <v>0</v>
      </c>
      <c r="O4967" t="n">
        <v>0</v>
      </c>
      <c r="P4967" t="n">
        <v>0</v>
      </c>
      <c r="Q4967" t="n">
        <v>0</v>
      </c>
      <c r="R4967" s="2" t="inlineStr"/>
    </row>
    <row r="4968" ht="15" customHeight="1">
      <c r="A4968" t="inlineStr">
        <is>
          <t>A 4461-2024</t>
        </is>
      </c>
      <c r="B4968" s="1" t="n">
        <v>45327</v>
      </c>
      <c r="C4968" s="1" t="n">
        <v>45705</v>
      </c>
      <c r="D4968" t="inlineStr">
        <is>
          <t>UPPSALA LÄN</t>
        </is>
      </c>
      <c r="E4968" t="inlineStr">
        <is>
          <t>UPPSALA</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4503-2024</t>
        </is>
      </c>
      <c r="B4969" s="1" t="n">
        <v>45327</v>
      </c>
      <c r="C4969" s="1" t="n">
        <v>45705</v>
      </c>
      <c r="D4969" t="inlineStr">
        <is>
          <t>UPPSALA LÄN</t>
        </is>
      </c>
      <c r="E4969" t="inlineStr">
        <is>
          <t>UPPSALA</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4509-2024</t>
        </is>
      </c>
      <c r="B4970" s="1" t="n">
        <v>45327</v>
      </c>
      <c r="C4970" s="1" t="n">
        <v>45705</v>
      </c>
      <c r="D4970" t="inlineStr">
        <is>
          <t>UPPSALA LÄN</t>
        </is>
      </c>
      <c r="E4970" t="inlineStr">
        <is>
          <t>UPPSALA</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4521-2024</t>
        </is>
      </c>
      <c r="B4971" s="1" t="n">
        <v>45327</v>
      </c>
      <c r="C4971" s="1" t="n">
        <v>45705</v>
      </c>
      <c r="D4971" t="inlineStr">
        <is>
          <t>UPPSALA LÄN</t>
        </is>
      </c>
      <c r="E4971" t="inlineStr">
        <is>
          <t>HÅBO</t>
        </is>
      </c>
      <c r="G4971" t="n">
        <v>17.4</v>
      </c>
      <c r="H4971" t="n">
        <v>0</v>
      </c>
      <c r="I4971" t="n">
        <v>0</v>
      </c>
      <c r="J4971" t="n">
        <v>0</v>
      </c>
      <c r="K4971" t="n">
        <v>0</v>
      </c>
      <c r="L4971" t="n">
        <v>0</v>
      </c>
      <c r="M4971" t="n">
        <v>0</v>
      </c>
      <c r="N4971" t="n">
        <v>0</v>
      </c>
      <c r="O4971" t="n">
        <v>0</v>
      </c>
      <c r="P4971" t="n">
        <v>0</v>
      </c>
      <c r="Q4971" t="n">
        <v>0</v>
      </c>
      <c r="R4971" s="2" t="inlineStr"/>
    </row>
    <row r="4972" ht="15" customHeight="1">
      <c r="A4972" t="inlineStr">
        <is>
          <t>A 4524-2024</t>
        </is>
      </c>
      <c r="B4972" s="1" t="n">
        <v>45327</v>
      </c>
      <c r="C4972" s="1" t="n">
        <v>45705</v>
      </c>
      <c r="D4972" t="inlineStr">
        <is>
          <t>UPPSALA LÄN</t>
        </is>
      </c>
      <c r="E4972" t="inlineStr">
        <is>
          <t>HÅBO</t>
        </is>
      </c>
      <c r="G4972" t="n">
        <v>4.6</v>
      </c>
      <c r="H4972" t="n">
        <v>0</v>
      </c>
      <c r="I4972" t="n">
        <v>0</v>
      </c>
      <c r="J4972" t="n">
        <v>0</v>
      </c>
      <c r="K4972" t="n">
        <v>0</v>
      </c>
      <c r="L4972" t="n">
        <v>0</v>
      </c>
      <c r="M4972" t="n">
        <v>0</v>
      </c>
      <c r="N4972" t="n">
        <v>0</v>
      </c>
      <c r="O4972" t="n">
        <v>0</v>
      </c>
      <c r="P4972" t="n">
        <v>0</v>
      </c>
      <c r="Q4972" t="n">
        <v>0</v>
      </c>
      <c r="R4972" s="2" t="inlineStr"/>
    </row>
    <row r="4973" ht="15" customHeight="1">
      <c r="A4973" t="inlineStr">
        <is>
          <t>A 4740-2024</t>
        </is>
      </c>
      <c r="B4973" s="1" t="n">
        <v>45328</v>
      </c>
      <c r="C4973" s="1" t="n">
        <v>45705</v>
      </c>
      <c r="D4973" t="inlineStr">
        <is>
          <t>UPPSALA LÄN</t>
        </is>
      </c>
      <c r="E4973" t="inlineStr">
        <is>
          <t>HEBY</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4893-2024</t>
        </is>
      </c>
      <c r="B4974" s="1" t="n">
        <v>45329</v>
      </c>
      <c r="C4974" s="1" t="n">
        <v>45705</v>
      </c>
      <c r="D4974" t="inlineStr">
        <is>
          <t>UPPSALA LÄN</t>
        </is>
      </c>
      <c r="E4974" t="inlineStr">
        <is>
          <t>HEBY</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4980-2024</t>
        </is>
      </c>
      <c r="B4975" s="1" t="n">
        <v>45329</v>
      </c>
      <c r="C4975" s="1" t="n">
        <v>45705</v>
      </c>
      <c r="D4975" t="inlineStr">
        <is>
          <t>UPPSALA LÄN</t>
        </is>
      </c>
      <c r="E4975" t="inlineStr">
        <is>
          <t>UPPSALA</t>
        </is>
      </c>
      <c r="G4975" t="n">
        <v>10.8</v>
      </c>
      <c r="H4975" t="n">
        <v>0</v>
      </c>
      <c r="I4975" t="n">
        <v>0</v>
      </c>
      <c r="J4975" t="n">
        <v>0</v>
      </c>
      <c r="K4975" t="n">
        <v>0</v>
      </c>
      <c r="L4975" t="n">
        <v>0</v>
      </c>
      <c r="M4975" t="n">
        <v>0</v>
      </c>
      <c r="N4975" t="n">
        <v>0</v>
      </c>
      <c r="O4975" t="n">
        <v>0</v>
      </c>
      <c r="P4975" t="n">
        <v>0</v>
      </c>
      <c r="Q4975" t="n">
        <v>0</v>
      </c>
      <c r="R4975" s="2" t="inlineStr"/>
    </row>
    <row r="4976" ht="15" customHeight="1">
      <c r="A4976" t="inlineStr">
        <is>
          <t>A 4984-2024</t>
        </is>
      </c>
      <c r="B4976" s="1" t="n">
        <v>45329</v>
      </c>
      <c r="C4976" s="1" t="n">
        <v>45705</v>
      </c>
      <c r="D4976" t="inlineStr">
        <is>
          <t>UPPSALA LÄN</t>
        </is>
      </c>
      <c r="E4976" t="inlineStr">
        <is>
          <t>ÖSTHAMMAR</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5042-2024</t>
        </is>
      </c>
      <c r="B4977" s="1" t="n">
        <v>45329</v>
      </c>
      <c r="C4977" s="1" t="n">
        <v>45705</v>
      </c>
      <c r="D4977" t="inlineStr">
        <is>
          <t>UPPSALA LÄN</t>
        </is>
      </c>
      <c r="E4977" t="inlineStr">
        <is>
          <t>ÖSTHAMMAR</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5149-2024</t>
        </is>
      </c>
      <c r="B4978" s="1" t="n">
        <v>45330</v>
      </c>
      <c r="C4978" s="1" t="n">
        <v>45705</v>
      </c>
      <c r="D4978" t="inlineStr">
        <is>
          <t>UPPSALA LÄN</t>
        </is>
      </c>
      <c r="E4978" t="inlineStr">
        <is>
          <t>ÖSTHAMMAR</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5198-2024</t>
        </is>
      </c>
      <c r="B4979" s="1" t="n">
        <v>45330</v>
      </c>
      <c r="C4979" s="1" t="n">
        <v>45705</v>
      </c>
      <c r="D4979" t="inlineStr">
        <is>
          <t>UPPSALA LÄN</t>
        </is>
      </c>
      <c r="E4979" t="inlineStr">
        <is>
          <t>ÖSTHAMMAR</t>
        </is>
      </c>
      <c r="F4979" t="inlineStr">
        <is>
          <t>Övriga Aktiebolag</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5126-2024</t>
        </is>
      </c>
      <c r="B4980" s="1" t="n">
        <v>45330</v>
      </c>
      <c r="C4980" s="1" t="n">
        <v>45705</v>
      </c>
      <c r="D4980" t="inlineStr">
        <is>
          <t>UPPSALA LÄN</t>
        </is>
      </c>
      <c r="E4980" t="inlineStr">
        <is>
          <t>TIERP</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5212-2024</t>
        </is>
      </c>
      <c r="B4981" s="1" t="n">
        <v>45330</v>
      </c>
      <c r="C4981" s="1" t="n">
        <v>45705</v>
      </c>
      <c r="D4981" t="inlineStr">
        <is>
          <t>UPPSALA LÄN</t>
        </is>
      </c>
      <c r="E4981" t="inlineStr">
        <is>
          <t>HEBY</t>
        </is>
      </c>
      <c r="G4981" t="n">
        <v>5.8</v>
      </c>
      <c r="H4981" t="n">
        <v>0</v>
      </c>
      <c r="I4981" t="n">
        <v>0</v>
      </c>
      <c r="J4981" t="n">
        <v>0</v>
      </c>
      <c r="K4981" t="n">
        <v>0</v>
      </c>
      <c r="L4981" t="n">
        <v>0</v>
      </c>
      <c r="M4981" t="n">
        <v>0</v>
      </c>
      <c r="N4981" t="n">
        <v>0</v>
      </c>
      <c r="O4981" t="n">
        <v>0</v>
      </c>
      <c r="P4981" t="n">
        <v>0</v>
      </c>
      <c r="Q4981" t="n">
        <v>0</v>
      </c>
      <c r="R4981" s="2" t="inlineStr"/>
    </row>
    <row r="4982" ht="15" customHeight="1">
      <c r="A4982" t="inlineStr">
        <is>
          <t>A 5216-2024</t>
        </is>
      </c>
      <c r="B4982" s="1" t="n">
        <v>45330</v>
      </c>
      <c r="C4982" s="1" t="n">
        <v>45705</v>
      </c>
      <c r="D4982" t="inlineStr">
        <is>
          <t>UPPSALA LÄN</t>
        </is>
      </c>
      <c r="E4982" t="inlineStr">
        <is>
          <t>ÖSTHAMMAR</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5161-2024</t>
        </is>
      </c>
      <c r="B4983" s="1" t="n">
        <v>45330</v>
      </c>
      <c r="C4983" s="1" t="n">
        <v>45705</v>
      </c>
      <c r="D4983" t="inlineStr">
        <is>
          <t>UPPSALA LÄN</t>
        </is>
      </c>
      <c r="E4983" t="inlineStr">
        <is>
          <t>ÖSTHAMMAR</t>
        </is>
      </c>
      <c r="G4983" t="n">
        <v>5.5</v>
      </c>
      <c r="H4983" t="n">
        <v>0</v>
      </c>
      <c r="I4983" t="n">
        <v>0</v>
      </c>
      <c r="J4983" t="n">
        <v>0</v>
      </c>
      <c r="K4983" t="n">
        <v>0</v>
      </c>
      <c r="L4983" t="n">
        <v>0</v>
      </c>
      <c r="M4983" t="n">
        <v>0</v>
      </c>
      <c r="N4983" t="n">
        <v>0</v>
      </c>
      <c r="O4983" t="n">
        <v>0</v>
      </c>
      <c r="P4983" t="n">
        <v>0</v>
      </c>
      <c r="Q4983" t="n">
        <v>0</v>
      </c>
      <c r="R4983" s="2" t="inlineStr"/>
    </row>
    <row r="4984" ht="15" customHeight="1">
      <c r="A4984" t="inlineStr">
        <is>
          <t>A 5211-2024</t>
        </is>
      </c>
      <c r="B4984" s="1" t="n">
        <v>45330</v>
      </c>
      <c r="C4984" s="1" t="n">
        <v>45705</v>
      </c>
      <c r="D4984" t="inlineStr">
        <is>
          <t>UPPSALA LÄN</t>
        </is>
      </c>
      <c r="E4984" t="inlineStr">
        <is>
          <t>ENKÖPING</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5223-2024</t>
        </is>
      </c>
      <c r="B4985" s="1" t="n">
        <v>45330</v>
      </c>
      <c r="C4985" s="1" t="n">
        <v>45705</v>
      </c>
      <c r="D4985" t="inlineStr">
        <is>
          <t>UPPSALA LÄN</t>
        </is>
      </c>
      <c r="E4985" t="inlineStr">
        <is>
          <t>ÖSTHAMMAR</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5391-2024</t>
        </is>
      </c>
      <c r="B4986" s="1" t="n">
        <v>45331</v>
      </c>
      <c r="C4986" s="1" t="n">
        <v>45705</v>
      </c>
      <c r="D4986" t="inlineStr">
        <is>
          <t>UPPSALA LÄN</t>
        </is>
      </c>
      <c r="E4986" t="inlineStr">
        <is>
          <t>HEBY</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5340-2024</t>
        </is>
      </c>
      <c r="B4987" s="1" t="n">
        <v>45331</v>
      </c>
      <c r="C4987" s="1" t="n">
        <v>45705</v>
      </c>
      <c r="D4987" t="inlineStr">
        <is>
          <t>UPPSALA LÄN</t>
        </is>
      </c>
      <c r="E4987" t="inlineStr">
        <is>
          <t>HEBY</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5390-2024</t>
        </is>
      </c>
      <c r="B4988" s="1" t="n">
        <v>45331</v>
      </c>
      <c r="C4988" s="1" t="n">
        <v>45705</v>
      </c>
      <c r="D4988" t="inlineStr">
        <is>
          <t>UPPSALA LÄN</t>
        </is>
      </c>
      <c r="E4988" t="inlineStr">
        <is>
          <t>HEBY</t>
        </is>
      </c>
      <c r="G4988" t="n">
        <v>4.5</v>
      </c>
      <c r="H4988" t="n">
        <v>0</v>
      </c>
      <c r="I4988" t="n">
        <v>0</v>
      </c>
      <c r="J4988" t="n">
        <v>0</v>
      </c>
      <c r="K4988" t="n">
        <v>0</v>
      </c>
      <c r="L4988" t="n">
        <v>0</v>
      </c>
      <c r="M4988" t="n">
        <v>0</v>
      </c>
      <c r="N4988" t="n">
        <v>0</v>
      </c>
      <c r="O4988" t="n">
        <v>0</v>
      </c>
      <c r="P4988" t="n">
        <v>0</v>
      </c>
      <c r="Q4988" t="n">
        <v>0</v>
      </c>
      <c r="R4988" s="2" t="inlineStr"/>
    </row>
    <row r="4989" ht="15" customHeight="1">
      <c r="A4989" t="inlineStr">
        <is>
          <t>A 5475-2024</t>
        </is>
      </c>
      <c r="B4989" s="1" t="n">
        <v>45333</v>
      </c>
      <c r="C4989" s="1" t="n">
        <v>45705</v>
      </c>
      <c r="D4989" t="inlineStr">
        <is>
          <t>UPPSALA LÄN</t>
        </is>
      </c>
      <c r="E4989" t="inlineStr">
        <is>
          <t>UPPSALA</t>
        </is>
      </c>
      <c r="G4989" t="n">
        <v>3.7</v>
      </c>
      <c r="H4989" t="n">
        <v>0</v>
      </c>
      <c r="I4989" t="n">
        <v>0</v>
      </c>
      <c r="J4989" t="n">
        <v>0</v>
      </c>
      <c r="K4989" t="n">
        <v>0</v>
      </c>
      <c r="L4989" t="n">
        <v>0</v>
      </c>
      <c r="M4989" t="n">
        <v>0</v>
      </c>
      <c r="N4989" t="n">
        <v>0</v>
      </c>
      <c r="O4989" t="n">
        <v>0</v>
      </c>
      <c r="P4989" t="n">
        <v>0</v>
      </c>
      <c r="Q4989" t="n">
        <v>0</v>
      </c>
      <c r="R4989" s="2" t="inlineStr"/>
    </row>
    <row r="4990" ht="15" customHeight="1">
      <c r="A4990" t="inlineStr">
        <is>
          <t>A 5521-2024</t>
        </is>
      </c>
      <c r="B4990" s="1" t="n">
        <v>45334</v>
      </c>
      <c r="C4990" s="1" t="n">
        <v>45705</v>
      </c>
      <c r="D4990" t="inlineStr">
        <is>
          <t>UPPSALA LÄN</t>
        </is>
      </c>
      <c r="E4990" t="inlineStr">
        <is>
          <t>ENKÖPING</t>
        </is>
      </c>
      <c r="G4990" t="n">
        <v>8.4</v>
      </c>
      <c r="H4990" t="n">
        <v>0</v>
      </c>
      <c r="I4990" t="n">
        <v>0</v>
      </c>
      <c r="J4990" t="n">
        <v>0</v>
      </c>
      <c r="K4990" t="n">
        <v>0</v>
      </c>
      <c r="L4990" t="n">
        <v>0</v>
      </c>
      <c r="M4990" t="n">
        <v>0</v>
      </c>
      <c r="N4990" t="n">
        <v>0</v>
      </c>
      <c r="O4990" t="n">
        <v>0</v>
      </c>
      <c r="P4990" t="n">
        <v>0</v>
      </c>
      <c r="Q4990" t="n">
        <v>0</v>
      </c>
      <c r="R4990" s="2" t="inlineStr"/>
    </row>
    <row r="4991" ht="15" customHeight="1">
      <c r="A4991" t="inlineStr">
        <is>
          <t>A 5538-2024</t>
        </is>
      </c>
      <c r="B4991" s="1" t="n">
        <v>45334</v>
      </c>
      <c r="C4991" s="1" t="n">
        <v>45705</v>
      </c>
      <c r="D4991" t="inlineStr">
        <is>
          <t>UPPSALA LÄN</t>
        </is>
      </c>
      <c r="E4991" t="inlineStr">
        <is>
          <t>HEBY</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5539-2024</t>
        </is>
      </c>
      <c r="B4992" s="1" t="n">
        <v>45334</v>
      </c>
      <c r="C4992" s="1" t="n">
        <v>45705</v>
      </c>
      <c r="D4992" t="inlineStr">
        <is>
          <t>UPPSALA LÄN</t>
        </is>
      </c>
      <c r="E4992" t="inlineStr">
        <is>
          <t>HEBY</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5537-2024</t>
        </is>
      </c>
      <c r="B4993" s="1" t="n">
        <v>45334</v>
      </c>
      <c r="C4993" s="1" t="n">
        <v>45705</v>
      </c>
      <c r="D4993" t="inlineStr">
        <is>
          <t>UPPSALA LÄN</t>
        </is>
      </c>
      <c r="E4993" t="inlineStr">
        <is>
          <t>HEBY</t>
        </is>
      </c>
      <c r="G4993" t="n">
        <v>4.9</v>
      </c>
      <c r="H4993" t="n">
        <v>0</v>
      </c>
      <c r="I4993" t="n">
        <v>0</v>
      </c>
      <c r="J4993" t="n">
        <v>0</v>
      </c>
      <c r="K4993" t="n">
        <v>0</v>
      </c>
      <c r="L4993" t="n">
        <v>0</v>
      </c>
      <c r="M4993" t="n">
        <v>0</v>
      </c>
      <c r="N4993" t="n">
        <v>0</v>
      </c>
      <c r="O4993" t="n">
        <v>0</v>
      </c>
      <c r="P4993" t="n">
        <v>0</v>
      </c>
      <c r="Q4993" t="n">
        <v>0</v>
      </c>
      <c r="R4993" s="2" t="inlineStr"/>
    </row>
    <row r="4994" ht="15" customHeight="1">
      <c r="A4994" t="inlineStr">
        <is>
          <t>A 5851-2024</t>
        </is>
      </c>
      <c r="B4994" s="1" t="n">
        <v>45335</v>
      </c>
      <c r="C4994" s="1" t="n">
        <v>45705</v>
      </c>
      <c r="D4994" t="inlineStr">
        <is>
          <t>UPPSALA LÄN</t>
        </is>
      </c>
      <c r="E4994" t="inlineStr">
        <is>
          <t>ÖSTHAMMAR</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5848-2024</t>
        </is>
      </c>
      <c r="B4995" s="1" t="n">
        <v>45335</v>
      </c>
      <c r="C4995" s="1" t="n">
        <v>45705</v>
      </c>
      <c r="D4995" t="inlineStr">
        <is>
          <t>UPPSALA LÄN</t>
        </is>
      </c>
      <c r="E4995" t="inlineStr">
        <is>
          <t>UPPSALA</t>
        </is>
      </c>
      <c r="F4995" t="inlineStr">
        <is>
          <t>Kyrkan</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5860-2024</t>
        </is>
      </c>
      <c r="B4996" s="1" t="n">
        <v>45335</v>
      </c>
      <c r="C4996" s="1" t="n">
        <v>45705</v>
      </c>
      <c r="D4996" t="inlineStr">
        <is>
          <t>UPPSALA LÄN</t>
        </is>
      </c>
      <c r="E4996" t="inlineStr">
        <is>
          <t>ÖSTHAMMAR</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5899-2024</t>
        </is>
      </c>
      <c r="B4997" s="1" t="n">
        <v>45335</v>
      </c>
      <c r="C4997" s="1" t="n">
        <v>45705</v>
      </c>
      <c r="D4997" t="inlineStr">
        <is>
          <t>UPPSALA LÄN</t>
        </is>
      </c>
      <c r="E4997" t="inlineStr">
        <is>
          <t>UPPSALA</t>
        </is>
      </c>
      <c r="F4997" t="inlineStr">
        <is>
          <t>Allmännings- och besparingsskogar</t>
        </is>
      </c>
      <c r="G4997" t="n">
        <v>3.7</v>
      </c>
      <c r="H4997" t="n">
        <v>0</v>
      </c>
      <c r="I4997" t="n">
        <v>0</v>
      </c>
      <c r="J4997" t="n">
        <v>0</v>
      </c>
      <c r="K4997" t="n">
        <v>0</v>
      </c>
      <c r="L4997" t="n">
        <v>0</v>
      </c>
      <c r="M4997" t="n">
        <v>0</v>
      </c>
      <c r="N4997" t="n">
        <v>0</v>
      </c>
      <c r="O4997" t="n">
        <v>0</v>
      </c>
      <c r="P4997" t="n">
        <v>0</v>
      </c>
      <c r="Q4997" t="n">
        <v>0</v>
      </c>
      <c r="R4997" s="2" t="inlineStr"/>
    </row>
    <row r="4998" ht="15" customHeight="1">
      <c r="A4998" t="inlineStr">
        <is>
          <t>A 5876-2024</t>
        </is>
      </c>
      <c r="B4998" s="1" t="n">
        <v>45335</v>
      </c>
      <c r="C4998" s="1" t="n">
        <v>45705</v>
      </c>
      <c r="D4998" t="inlineStr">
        <is>
          <t>UPPSALA LÄN</t>
        </is>
      </c>
      <c r="E4998" t="inlineStr">
        <is>
          <t>UPPSALA</t>
        </is>
      </c>
      <c r="F4998" t="inlineStr">
        <is>
          <t>Kyrkan</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5896-2024</t>
        </is>
      </c>
      <c r="B4999" s="1" t="n">
        <v>45335</v>
      </c>
      <c r="C4999" s="1" t="n">
        <v>45705</v>
      </c>
      <c r="D4999" t="inlineStr">
        <is>
          <t>UPPSALA LÄN</t>
        </is>
      </c>
      <c r="E4999" t="inlineStr">
        <is>
          <t>UPPSALA</t>
        </is>
      </c>
      <c r="F4999" t="inlineStr">
        <is>
          <t>Allmännings- och besparingsskogar</t>
        </is>
      </c>
      <c r="G4999" t="n">
        <v>6.9</v>
      </c>
      <c r="H4999" t="n">
        <v>0</v>
      </c>
      <c r="I4999" t="n">
        <v>0</v>
      </c>
      <c r="J4999" t="n">
        <v>0</v>
      </c>
      <c r="K4999" t="n">
        <v>0</v>
      </c>
      <c r="L4999" t="n">
        <v>0</v>
      </c>
      <c r="M4999" t="n">
        <v>0</v>
      </c>
      <c r="N4999" t="n">
        <v>0</v>
      </c>
      <c r="O4999" t="n">
        <v>0</v>
      </c>
      <c r="P4999" t="n">
        <v>0</v>
      </c>
      <c r="Q4999" t="n">
        <v>0</v>
      </c>
      <c r="R4999" s="2" t="inlineStr"/>
    </row>
    <row r="5000" ht="15" customHeight="1">
      <c r="A5000" t="inlineStr">
        <is>
          <t>A 5974-2024</t>
        </is>
      </c>
      <c r="B5000" s="1" t="n">
        <v>45336</v>
      </c>
      <c r="C5000" s="1" t="n">
        <v>45705</v>
      </c>
      <c r="D5000" t="inlineStr">
        <is>
          <t>UPPSALA LÄN</t>
        </is>
      </c>
      <c r="E5000" t="inlineStr">
        <is>
          <t>UPPSALA</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5975-2024</t>
        </is>
      </c>
      <c r="B5001" s="1" t="n">
        <v>45336</v>
      </c>
      <c r="C5001" s="1" t="n">
        <v>45705</v>
      </c>
      <c r="D5001" t="inlineStr">
        <is>
          <t>UPPSALA LÄN</t>
        </is>
      </c>
      <c r="E5001" t="inlineStr">
        <is>
          <t>UPPSALA</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6024-2024</t>
        </is>
      </c>
      <c r="B5002" s="1" t="n">
        <v>45336</v>
      </c>
      <c r="C5002" s="1" t="n">
        <v>45705</v>
      </c>
      <c r="D5002" t="inlineStr">
        <is>
          <t>UPPSALA LÄN</t>
        </is>
      </c>
      <c r="E5002" t="inlineStr">
        <is>
          <t>UPPSALA</t>
        </is>
      </c>
      <c r="F5002" t="inlineStr">
        <is>
          <t>Holmen skog AB</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6199-2024</t>
        </is>
      </c>
      <c r="B5003" s="1" t="n">
        <v>45337</v>
      </c>
      <c r="C5003" s="1" t="n">
        <v>45705</v>
      </c>
      <c r="D5003" t="inlineStr">
        <is>
          <t>UPPSALA LÄN</t>
        </is>
      </c>
      <c r="E5003" t="inlineStr">
        <is>
          <t>UPPSALA</t>
        </is>
      </c>
      <c r="F5003" t="inlineStr">
        <is>
          <t>Kyrkan</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6211-2024</t>
        </is>
      </c>
      <c r="B5004" s="1" t="n">
        <v>45337</v>
      </c>
      <c r="C5004" s="1" t="n">
        <v>45705</v>
      </c>
      <c r="D5004" t="inlineStr">
        <is>
          <t>UPPSALA LÄN</t>
        </is>
      </c>
      <c r="E5004" t="inlineStr">
        <is>
          <t>UPPSALA</t>
        </is>
      </c>
      <c r="G5004" t="n">
        <v>14.8</v>
      </c>
      <c r="H5004" t="n">
        <v>0</v>
      </c>
      <c r="I5004" t="n">
        <v>0</v>
      </c>
      <c r="J5004" t="n">
        <v>0</v>
      </c>
      <c r="K5004" t="n">
        <v>0</v>
      </c>
      <c r="L5004" t="n">
        <v>0</v>
      </c>
      <c r="M5004" t="n">
        <v>0</v>
      </c>
      <c r="N5004" t="n">
        <v>0</v>
      </c>
      <c r="O5004" t="n">
        <v>0</v>
      </c>
      <c r="P5004" t="n">
        <v>0</v>
      </c>
      <c r="Q5004" t="n">
        <v>0</v>
      </c>
      <c r="R5004" s="2" t="inlineStr"/>
    </row>
    <row r="5005" ht="15" customHeight="1">
      <c r="A5005" t="inlineStr">
        <is>
          <t>A 6226-2024</t>
        </is>
      </c>
      <c r="B5005" s="1" t="n">
        <v>45337</v>
      </c>
      <c r="C5005" s="1" t="n">
        <v>45705</v>
      </c>
      <c r="D5005" t="inlineStr">
        <is>
          <t>UPPSALA LÄN</t>
        </is>
      </c>
      <c r="E5005" t="inlineStr">
        <is>
          <t>HEBY</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6234-2024</t>
        </is>
      </c>
      <c r="B5006" s="1" t="n">
        <v>45337</v>
      </c>
      <c r="C5006" s="1" t="n">
        <v>45705</v>
      </c>
      <c r="D5006" t="inlineStr">
        <is>
          <t>UPPSALA LÄN</t>
        </is>
      </c>
      <c r="E5006" t="inlineStr">
        <is>
          <t>KNIVSTA</t>
        </is>
      </c>
      <c r="F5006" t="inlineStr">
        <is>
          <t>Holmen skog AB</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6227-2024</t>
        </is>
      </c>
      <c r="B5007" s="1" t="n">
        <v>45337</v>
      </c>
      <c r="C5007" s="1" t="n">
        <v>45705</v>
      </c>
      <c r="D5007" t="inlineStr">
        <is>
          <t>UPPSALA LÄN</t>
        </is>
      </c>
      <c r="E5007" t="inlineStr">
        <is>
          <t>KNIVSTA</t>
        </is>
      </c>
      <c r="F5007" t="inlineStr">
        <is>
          <t>Holmen skog AB</t>
        </is>
      </c>
      <c r="G5007" t="n">
        <v>5.9</v>
      </c>
      <c r="H5007" t="n">
        <v>0</v>
      </c>
      <c r="I5007" t="n">
        <v>0</v>
      </c>
      <c r="J5007" t="n">
        <v>0</v>
      </c>
      <c r="K5007" t="n">
        <v>0</v>
      </c>
      <c r="L5007" t="n">
        <v>0</v>
      </c>
      <c r="M5007" t="n">
        <v>0</v>
      </c>
      <c r="N5007" t="n">
        <v>0</v>
      </c>
      <c r="O5007" t="n">
        <v>0</v>
      </c>
      <c r="P5007" t="n">
        <v>0</v>
      </c>
      <c r="Q5007" t="n">
        <v>0</v>
      </c>
      <c r="R5007" s="2" t="inlineStr"/>
    </row>
    <row r="5008" ht="15" customHeight="1">
      <c r="A5008" t="inlineStr">
        <is>
          <t>A 6247-2024</t>
        </is>
      </c>
      <c r="B5008" s="1" t="n">
        <v>45337</v>
      </c>
      <c r="C5008" s="1" t="n">
        <v>45705</v>
      </c>
      <c r="D5008" t="inlineStr">
        <is>
          <t>UPPSALA LÄN</t>
        </is>
      </c>
      <c r="E5008" t="inlineStr">
        <is>
          <t>ENKÖPING</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6120-2024</t>
        </is>
      </c>
      <c r="B5009" s="1" t="n">
        <v>45337</v>
      </c>
      <c r="C5009" s="1" t="n">
        <v>45705</v>
      </c>
      <c r="D5009" t="inlineStr">
        <is>
          <t>UPPSALA LÄN</t>
        </is>
      </c>
      <c r="E5009" t="inlineStr">
        <is>
          <t>ÖSTHAMMAR</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6098-2024</t>
        </is>
      </c>
      <c r="B5010" s="1" t="n">
        <v>45337</v>
      </c>
      <c r="C5010" s="1" t="n">
        <v>45705</v>
      </c>
      <c r="D5010" t="inlineStr">
        <is>
          <t>UPPSALA LÄN</t>
        </is>
      </c>
      <c r="E5010" t="inlineStr">
        <is>
          <t>UPPSALA</t>
        </is>
      </c>
      <c r="F5010" t="inlineStr">
        <is>
          <t>Övriga Aktiebolag</t>
        </is>
      </c>
      <c r="G5010" t="n">
        <v>10.6</v>
      </c>
      <c r="H5010" t="n">
        <v>0</v>
      </c>
      <c r="I5010" t="n">
        <v>0</v>
      </c>
      <c r="J5010" t="n">
        <v>0</v>
      </c>
      <c r="K5010" t="n">
        <v>0</v>
      </c>
      <c r="L5010" t="n">
        <v>0</v>
      </c>
      <c r="M5010" t="n">
        <v>0</v>
      </c>
      <c r="N5010" t="n">
        <v>0</v>
      </c>
      <c r="O5010" t="n">
        <v>0</v>
      </c>
      <c r="P5010" t="n">
        <v>0</v>
      </c>
      <c r="Q5010" t="n">
        <v>0</v>
      </c>
      <c r="R5010" s="2" t="inlineStr"/>
    </row>
    <row r="5011" ht="15" customHeight="1">
      <c r="A5011" t="inlineStr">
        <is>
          <t>A 6102-2024</t>
        </is>
      </c>
      <c r="B5011" s="1" t="n">
        <v>45337</v>
      </c>
      <c r="C5011" s="1" t="n">
        <v>45705</v>
      </c>
      <c r="D5011" t="inlineStr">
        <is>
          <t>UPPSALA LÄN</t>
        </is>
      </c>
      <c r="E5011" t="inlineStr">
        <is>
          <t>ÖSTHAMMAR</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6106-2024</t>
        </is>
      </c>
      <c r="B5012" s="1" t="n">
        <v>45337</v>
      </c>
      <c r="C5012" s="1" t="n">
        <v>45705</v>
      </c>
      <c r="D5012" t="inlineStr">
        <is>
          <t>UPPSALA LÄN</t>
        </is>
      </c>
      <c r="E5012" t="inlineStr">
        <is>
          <t>ÖSTHAMMAR</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6144-2024</t>
        </is>
      </c>
      <c r="B5013" s="1" t="n">
        <v>45337</v>
      </c>
      <c r="C5013" s="1" t="n">
        <v>45705</v>
      </c>
      <c r="D5013" t="inlineStr">
        <is>
          <t>UPPSALA LÄN</t>
        </is>
      </c>
      <c r="E5013" t="inlineStr">
        <is>
          <t>ENKÖPING</t>
        </is>
      </c>
      <c r="G5013" t="n">
        <v>13.8</v>
      </c>
      <c r="H5013" t="n">
        <v>0</v>
      </c>
      <c r="I5013" t="n">
        <v>0</v>
      </c>
      <c r="J5013" t="n">
        <v>0</v>
      </c>
      <c r="K5013" t="n">
        <v>0</v>
      </c>
      <c r="L5013" t="n">
        <v>0</v>
      </c>
      <c r="M5013" t="n">
        <v>0</v>
      </c>
      <c r="N5013" t="n">
        <v>0</v>
      </c>
      <c r="O5013" t="n">
        <v>0</v>
      </c>
      <c r="P5013" t="n">
        <v>0</v>
      </c>
      <c r="Q5013" t="n">
        <v>0</v>
      </c>
      <c r="R5013" s="2" t="inlineStr"/>
    </row>
    <row r="5014" ht="15" customHeight="1">
      <c r="A5014" t="inlineStr">
        <is>
          <t>A 6143-2024</t>
        </is>
      </c>
      <c r="B5014" s="1" t="n">
        <v>45337</v>
      </c>
      <c r="C5014" s="1" t="n">
        <v>45705</v>
      </c>
      <c r="D5014" t="inlineStr">
        <is>
          <t>UPPSALA LÄN</t>
        </is>
      </c>
      <c r="E5014" t="inlineStr">
        <is>
          <t>ÖSTHAMMAR</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6121-2024</t>
        </is>
      </c>
      <c r="B5015" s="1" t="n">
        <v>45337</v>
      </c>
      <c r="C5015" s="1" t="n">
        <v>45705</v>
      </c>
      <c r="D5015" t="inlineStr">
        <is>
          <t>UPPSALA LÄN</t>
        </is>
      </c>
      <c r="E5015" t="inlineStr">
        <is>
          <t>ÖSTHAMMAR</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6363-2024</t>
        </is>
      </c>
      <c r="B5016" s="1" t="n">
        <v>45338</v>
      </c>
      <c r="C5016" s="1" t="n">
        <v>45705</v>
      </c>
      <c r="D5016" t="inlineStr">
        <is>
          <t>UPPSALA LÄN</t>
        </is>
      </c>
      <c r="E5016" t="inlineStr">
        <is>
          <t>UPPSALA</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6385-2024</t>
        </is>
      </c>
      <c r="B5017" s="1" t="n">
        <v>45338</v>
      </c>
      <c r="C5017" s="1" t="n">
        <v>45705</v>
      </c>
      <c r="D5017" t="inlineStr">
        <is>
          <t>UPPSALA LÄN</t>
        </is>
      </c>
      <c r="E5017" t="inlineStr">
        <is>
          <t>TIERP</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6395-2024</t>
        </is>
      </c>
      <c r="B5018" s="1" t="n">
        <v>45338</v>
      </c>
      <c r="C5018" s="1" t="n">
        <v>45705</v>
      </c>
      <c r="D5018" t="inlineStr">
        <is>
          <t>UPPSALA LÄN</t>
        </is>
      </c>
      <c r="E5018" t="inlineStr">
        <is>
          <t>TIERP</t>
        </is>
      </c>
      <c r="G5018" t="n">
        <v>4.6</v>
      </c>
      <c r="H5018" t="n">
        <v>0</v>
      </c>
      <c r="I5018" t="n">
        <v>0</v>
      </c>
      <c r="J5018" t="n">
        <v>0</v>
      </c>
      <c r="K5018" t="n">
        <v>0</v>
      </c>
      <c r="L5018" t="n">
        <v>0</v>
      </c>
      <c r="M5018" t="n">
        <v>0</v>
      </c>
      <c r="N5018" t="n">
        <v>0</v>
      </c>
      <c r="O5018" t="n">
        <v>0</v>
      </c>
      <c r="P5018" t="n">
        <v>0</v>
      </c>
      <c r="Q5018" t="n">
        <v>0</v>
      </c>
      <c r="R5018" s="2" t="inlineStr"/>
    </row>
    <row r="5019" ht="15" customHeight="1">
      <c r="A5019" t="inlineStr">
        <is>
          <t>A 6418-2024</t>
        </is>
      </c>
      <c r="B5019" s="1" t="n">
        <v>45338</v>
      </c>
      <c r="C5019" s="1" t="n">
        <v>45705</v>
      </c>
      <c r="D5019" t="inlineStr">
        <is>
          <t>UPPSALA LÄN</t>
        </is>
      </c>
      <c r="E5019" t="inlineStr">
        <is>
          <t>ÖSTHAMMAR</t>
        </is>
      </c>
      <c r="G5019" t="n">
        <v>3.4</v>
      </c>
      <c r="H5019" t="n">
        <v>0</v>
      </c>
      <c r="I5019" t="n">
        <v>0</v>
      </c>
      <c r="J5019" t="n">
        <v>0</v>
      </c>
      <c r="K5019" t="n">
        <v>0</v>
      </c>
      <c r="L5019" t="n">
        <v>0</v>
      </c>
      <c r="M5019" t="n">
        <v>0</v>
      </c>
      <c r="N5019" t="n">
        <v>0</v>
      </c>
      <c r="O5019" t="n">
        <v>0</v>
      </c>
      <c r="P5019" t="n">
        <v>0</v>
      </c>
      <c r="Q5019" t="n">
        <v>0</v>
      </c>
      <c r="R5019" s="2" t="inlineStr"/>
    </row>
    <row r="5020" ht="15" customHeight="1">
      <c r="A5020" t="inlineStr">
        <is>
          <t>A 6497-2024</t>
        </is>
      </c>
      <c r="B5020" s="1" t="n">
        <v>45339</v>
      </c>
      <c r="C5020" s="1" t="n">
        <v>45705</v>
      </c>
      <c r="D5020" t="inlineStr">
        <is>
          <t>UPPSALA LÄN</t>
        </is>
      </c>
      <c r="E5020" t="inlineStr">
        <is>
          <t>HEBY</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6501-2024</t>
        </is>
      </c>
      <c r="B5021" s="1" t="n">
        <v>45339</v>
      </c>
      <c r="C5021" s="1" t="n">
        <v>45705</v>
      </c>
      <c r="D5021" t="inlineStr">
        <is>
          <t>UPPSALA LÄN</t>
        </is>
      </c>
      <c r="E5021" t="inlineStr">
        <is>
          <t>UPPSALA</t>
        </is>
      </c>
      <c r="F5021" t="inlineStr">
        <is>
          <t>Bergvik skog öst AB</t>
        </is>
      </c>
      <c r="G5021" t="n">
        <v>5.3</v>
      </c>
      <c r="H5021" t="n">
        <v>0</v>
      </c>
      <c r="I5021" t="n">
        <v>0</v>
      </c>
      <c r="J5021" t="n">
        <v>0</v>
      </c>
      <c r="K5021" t="n">
        <v>0</v>
      </c>
      <c r="L5021" t="n">
        <v>0</v>
      </c>
      <c r="M5021" t="n">
        <v>0</v>
      </c>
      <c r="N5021" t="n">
        <v>0</v>
      </c>
      <c r="O5021" t="n">
        <v>0</v>
      </c>
      <c r="P5021" t="n">
        <v>0</v>
      </c>
      <c r="Q5021" t="n">
        <v>0</v>
      </c>
      <c r="R5021" s="2" t="inlineStr"/>
    </row>
    <row r="5022" ht="15" customHeight="1">
      <c r="A5022" t="inlineStr">
        <is>
          <t>A 6506-2024</t>
        </is>
      </c>
      <c r="B5022" s="1" t="n">
        <v>45339</v>
      </c>
      <c r="C5022" s="1" t="n">
        <v>45705</v>
      </c>
      <c r="D5022" t="inlineStr">
        <is>
          <t>UPPSALA LÄN</t>
        </is>
      </c>
      <c r="E5022" t="inlineStr">
        <is>
          <t>UPPSALA</t>
        </is>
      </c>
      <c r="F5022" t="inlineStr">
        <is>
          <t>Bergvik skog öst AB</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6505-2024</t>
        </is>
      </c>
      <c r="B5023" s="1" t="n">
        <v>45339</v>
      </c>
      <c r="C5023" s="1" t="n">
        <v>45705</v>
      </c>
      <c r="D5023" t="inlineStr">
        <is>
          <t>UPPSALA LÄN</t>
        </is>
      </c>
      <c r="E5023" t="inlineStr">
        <is>
          <t>UPPSALA</t>
        </is>
      </c>
      <c r="F5023" t="inlineStr">
        <is>
          <t>Bergvik skog öst AB</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6500-2024</t>
        </is>
      </c>
      <c r="B5024" s="1" t="n">
        <v>45339</v>
      </c>
      <c r="C5024" s="1" t="n">
        <v>45705</v>
      </c>
      <c r="D5024" t="inlineStr">
        <is>
          <t>UPPSALA LÄN</t>
        </is>
      </c>
      <c r="E5024" t="inlineStr">
        <is>
          <t>UPPSALA</t>
        </is>
      </c>
      <c r="F5024" t="inlineStr">
        <is>
          <t>Bergvik skog öst AB</t>
        </is>
      </c>
      <c r="G5024" t="n">
        <v>23.7</v>
      </c>
      <c r="H5024" t="n">
        <v>0</v>
      </c>
      <c r="I5024" t="n">
        <v>0</v>
      </c>
      <c r="J5024" t="n">
        <v>0</v>
      </c>
      <c r="K5024" t="n">
        <v>0</v>
      </c>
      <c r="L5024" t="n">
        <v>0</v>
      </c>
      <c r="M5024" t="n">
        <v>0</v>
      </c>
      <c r="N5024" t="n">
        <v>0</v>
      </c>
      <c r="O5024" t="n">
        <v>0</v>
      </c>
      <c r="P5024" t="n">
        <v>0</v>
      </c>
      <c r="Q5024" t="n">
        <v>0</v>
      </c>
      <c r="R5024" s="2" t="inlineStr"/>
    </row>
    <row r="5025" ht="15" customHeight="1">
      <c r="A5025" t="inlineStr">
        <is>
          <t>A 6504-2024</t>
        </is>
      </c>
      <c r="B5025" s="1" t="n">
        <v>45339</v>
      </c>
      <c r="C5025" s="1" t="n">
        <v>45705</v>
      </c>
      <c r="D5025" t="inlineStr">
        <is>
          <t>UPPSALA LÄN</t>
        </is>
      </c>
      <c r="E5025" t="inlineStr">
        <is>
          <t>UPPSALA</t>
        </is>
      </c>
      <c r="F5025" t="inlineStr">
        <is>
          <t>Bergvik skog öst AB</t>
        </is>
      </c>
      <c r="G5025" t="n">
        <v>3.6</v>
      </c>
      <c r="H5025" t="n">
        <v>0</v>
      </c>
      <c r="I5025" t="n">
        <v>0</v>
      </c>
      <c r="J5025" t="n">
        <v>0</v>
      </c>
      <c r="K5025" t="n">
        <v>0</v>
      </c>
      <c r="L5025" t="n">
        <v>0</v>
      </c>
      <c r="M5025" t="n">
        <v>0</v>
      </c>
      <c r="N5025" t="n">
        <v>0</v>
      </c>
      <c r="O5025" t="n">
        <v>0</v>
      </c>
      <c r="P5025" t="n">
        <v>0</v>
      </c>
      <c r="Q5025" t="n">
        <v>0</v>
      </c>
      <c r="R5025" s="2" t="inlineStr"/>
    </row>
    <row r="5026" ht="15" customHeight="1">
      <c r="A5026" t="inlineStr">
        <is>
          <t>A 6503-2024</t>
        </is>
      </c>
      <c r="B5026" s="1" t="n">
        <v>45339</v>
      </c>
      <c r="C5026" s="1" t="n">
        <v>45705</v>
      </c>
      <c r="D5026" t="inlineStr">
        <is>
          <t>UPPSALA LÄN</t>
        </is>
      </c>
      <c r="E5026" t="inlineStr">
        <is>
          <t>UPPSALA</t>
        </is>
      </c>
      <c r="F5026" t="inlineStr">
        <is>
          <t>Bergvik skog öst AB</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6507-2024</t>
        </is>
      </c>
      <c r="B5027" s="1" t="n">
        <v>45339</v>
      </c>
      <c r="C5027" s="1" t="n">
        <v>45705</v>
      </c>
      <c r="D5027" t="inlineStr">
        <is>
          <t>UPPSALA LÄN</t>
        </is>
      </c>
      <c r="E5027" t="inlineStr">
        <is>
          <t>UPPSALA</t>
        </is>
      </c>
      <c r="F5027" t="inlineStr">
        <is>
          <t>Bergvik skog öst AB</t>
        </is>
      </c>
      <c r="G5027" t="n">
        <v>6.6</v>
      </c>
      <c r="H5027" t="n">
        <v>0</v>
      </c>
      <c r="I5027" t="n">
        <v>0</v>
      </c>
      <c r="J5027" t="n">
        <v>0</v>
      </c>
      <c r="K5027" t="n">
        <v>0</v>
      </c>
      <c r="L5027" t="n">
        <v>0</v>
      </c>
      <c r="M5027" t="n">
        <v>0</v>
      </c>
      <c r="N5027" t="n">
        <v>0</v>
      </c>
      <c r="O5027" t="n">
        <v>0</v>
      </c>
      <c r="P5027" t="n">
        <v>0</v>
      </c>
      <c r="Q5027" t="n">
        <v>0</v>
      </c>
      <c r="R5027" s="2" t="inlineStr"/>
    </row>
    <row r="5028" ht="15" customHeight="1">
      <c r="A5028" t="inlineStr">
        <is>
          <t>A 6547-2024</t>
        </is>
      </c>
      <c r="B5028" s="1" t="n">
        <v>45341</v>
      </c>
      <c r="C5028" s="1" t="n">
        <v>45705</v>
      </c>
      <c r="D5028" t="inlineStr">
        <is>
          <t>UPPSALA LÄN</t>
        </is>
      </c>
      <c r="E5028" t="inlineStr">
        <is>
          <t>HEBY</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6555-2024</t>
        </is>
      </c>
      <c r="B5029" s="1" t="n">
        <v>45341</v>
      </c>
      <c r="C5029" s="1" t="n">
        <v>45705</v>
      </c>
      <c r="D5029" t="inlineStr">
        <is>
          <t>UPPSALA LÄN</t>
        </is>
      </c>
      <c r="E5029" t="inlineStr">
        <is>
          <t>HEBY</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6554-2024</t>
        </is>
      </c>
      <c r="B5030" s="1" t="n">
        <v>45341</v>
      </c>
      <c r="C5030" s="1" t="n">
        <v>45705</v>
      </c>
      <c r="D5030" t="inlineStr">
        <is>
          <t>UPPSALA LÄN</t>
        </is>
      </c>
      <c r="E5030" t="inlineStr">
        <is>
          <t>HEBY</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6628-2024</t>
        </is>
      </c>
      <c r="B5031" s="1" t="n">
        <v>45341</v>
      </c>
      <c r="C5031" s="1" t="n">
        <v>45705</v>
      </c>
      <c r="D5031" t="inlineStr">
        <is>
          <t>UPPSALA LÄN</t>
        </is>
      </c>
      <c r="E5031" t="inlineStr">
        <is>
          <t>UPPSALA</t>
        </is>
      </c>
      <c r="G5031" t="n">
        <v>4.3</v>
      </c>
      <c r="H5031" t="n">
        <v>0</v>
      </c>
      <c r="I5031" t="n">
        <v>0</v>
      </c>
      <c r="J5031" t="n">
        <v>0</v>
      </c>
      <c r="K5031" t="n">
        <v>0</v>
      </c>
      <c r="L5031" t="n">
        <v>0</v>
      </c>
      <c r="M5031" t="n">
        <v>0</v>
      </c>
      <c r="N5031" t="n">
        <v>0</v>
      </c>
      <c r="O5031" t="n">
        <v>0</v>
      </c>
      <c r="P5031" t="n">
        <v>0</v>
      </c>
      <c r="Q5031" t="n">
        <v>0</v>
      </c>
      <c r="R5031" s="2" t="inlineStr"/>
    </row>
    <row r="5032" ht="15" customHeight="1">
      <c r="A5032" t="inlineStr">
        <is>
          <t>A 6630-2024</t>
        </is>
      </c>
      <c r="B5032" s="1" t="n">
        <v>45341</v>
      </c>
      <c r="C5032" s="1" t="n">
        <v>45705</v>
      </c>
      <c r="D5032" t="inlineStr">
        <is>
          <t>UPPSALA LÄN</t>
        </is>
      </c>
      <c r="E5032" t="inlineStr">
        <is>
          <t>UPPSALA</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6650-2024</t>
        </is>
      </c>
      <c r="B5033" s="1" t="n">
        <v>45341</v>
      </c>
      <c r="C5033" s="1" t="n">
        <v>45705</v>
      </c>
      <c r="D5033" t="inlineStr">
        <is>
          <t>UPPSALA LÄN</t>
        </is>
      </c>
      <c r="E5033" t="inlineStr">
        <is>
          <t>UPPSALA</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6656-2024</t>
        </is>
      </c>
      <c r="B5034" s="1" t="n">
        <v>45341</v>
      </c>
      <c r="C5034" s="1" t="n">
        <v>45705</v>
      </c>
      <c r="D5034" t="inlineStr">
        <is>
          <t>UPPSALA LÄN</t>
        </is>
      </c>
      <c r="E5034" t="inlineStr">
        <is>
          <t>ÖSTHAMMAR</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6676-2024</t>
        </is>
      </c>
      <c r="B5035" s="1" t="n">
        <v>45341</v>
      </c>
      <c r="C5035" s="1" t="n">
        <v>45705</v>
      </c>
      <c r="D5035" t="inlineStr">
        <is>
          <t>UPPSALA LÄN</t>
        </is>
      </c>
      <c r="E5035" t="inlineStr">
        <is>
          <t>UPPSALA</t>
        </is>
      </c>
      <c r="F5035" t="inlineStr">
        <is>
          <t>Bergvik skog öst AB</t>
        </is>
      </c>
      <c r="G5035" t="n">
        <v>4.8</v>
      </c>
      <c r="H5035" t="n">
        <v>0</v>
      </c>
      <c r="I5035" t="n">
        <v>0</v>
      </c>
      <c r="J5035" t="n">
        <v>0</v>
      </c>
      <c r="K5035" t="n">
        <v>0</v>
      </c>
      <c r="L5035" t="n">
        <v>0</v>
      </c>
      <c r="M5035" t="n">
        <v>0</v>
      </c>
      <c r="N5035" t="n">
        <v>0</v>
      </c>
      <c r="O5035" t="n">
        <v>0</v>
      </c>
      <c r="P5035" t="n">
        <v>0</v>
      </c>
      <c r="Q5035" t="n">
        <v>0</v>
      </c>
      <c r="R5035" s="2" t="inlineStr"/>
    </row>
    <row r="5036" ht="15" customHeight="1">
      <c r="A5036" t="inlineStr">
        <is>
          <t>A 6609-2024</t>
        </is>
      </c>
      <c r="B5036" s="1" t="n">
        <v>45341</v>
      </c>
      <c r="C5036" s="1" t="n">
        <v>45705</v>
      </c>
      <c r="D5036" t="inlineStr">
        <is>
          <t>UPPSALA LÄN</t>
        </is>
      </c>
      <c r="E5036" t="inlineStr">
        <is>
          <t>UPPSALA</t>
        </is>
      </c>
      <c r="G5036" t="n">
        <v>5.2</v>
      </c>
      <c r="H5036" t="n">
        <v>0</v>
      </c>
      <c r="I5036" t="n">
        <v>0</v>
      </c>
      <c r="J5036" t="n">
        <v>0</v>
      </c>
      <c r="K5036" t="n">
        <v>0</v>
      </c>
      <c r="L5036" t="n">
        <v>0</v>
      </c>
      <c r="M5036" t="n">
        <v>0</v>
      </c>
      <c r="N5036" t="n">
        <v>0</v>
      </c>
      <c r="O5036" t="n">
        <v>0</v>
      </c>
      <c r="P5036" t="n">
        <v>0</v>
      </c>
      <c r="Q5036" t="n">
        <v>0</v>
      </c>
      <c r="R5036" s="2" t="inlineStr"/>
    </row>
    <row r="5037" ht="15" customHeight="1">
      <c r="A5037" t="inlineStr">
        <is>
          <t>A 6661-2024</t>
        </is>
      </c>
      <c r="B5037" s="1" t="n">
        <v>45341</v>
      </c>
      <c r="C5037" s="1" t="n">
        <v>45705</v>
      </c>
      <c r="D5037" t="inlineStr">
        <is>
          <t>UPPSALA LÄN</t>
        </is>
      </c>
      <c r="E5037" t="inlineStr">
        <is>
          <t>ÖSTHAMMAR</t>
        </is>
      </c>
      <c r="G5037" t="n">
        <v>0.2</v>
      </c>
      <c r="H5037" t="n">
        <v>0</v>
      </c>
      <c r="I5037" t="n">
        <v>0</v>
      </c>
      <c r="J5037" t="n">
        <v>0</v>
      </c>
      <c r="K5037" t="n">
        <v>0</v>
      </c>
      <c r="L5037" t="n">
        <v>0</v>
      </c>
      <c r="M5037" t="n">
        <v>0</v>
      </c>
      <c r="N5037" t="n">
        <v>0</v>
      </c>
      <c r="O5037" t="n">
        <v>0</v>
      </c>
      <c r="P5037" t="n">
        <v>0</v>
      </c>
      <c r="Q5037" t="n">
        <v>0</v>
      </c>
      <c r="R5037" s="2" t="inlineStr"/>
    </row>
    <row r="5038" ht="15" customHeight="1">
      <c r="A5038" t="inlineStr">
        <is>
          <t>A 6679-2024</t>
        </is>
      </c>
      <c r="B5038" s="1" t="n">
        <v>45341</v>
      </c>
      <c r="C5038" s="1" t="n">
        <v>45705</v>
      </c>
      <c r="D5038" t="inlineStr">
        <is>
          <t>UPPSALA LÄN</t>
        </is>
      </c>
      <c r="E5038" t="inlineStr">
        <is>
          <t>UPPSALA</t>
        </is>
      </c>
      <c r="F5038" t="inlineStr">
        <is>
          <t>Bergvik skog öst AB</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6677-2024</t>
        </is>
      </c>
      <c r="B5039" s="1" t="n">
        <v>45341</v>
      </c>
      <c r="C5039" s="1" t="n">
        <v>45705</v>
      </c>
      <c r="D5039" t="inlineStr">
        <is>
          <t>UPPSALA LÄN</t>
        </is>
      </c>
      <c r="E5039" t="inlineStr">
        <is>
          <t>UPPSALA</t>
        </is>
      </c>
      <c r="F5039" t="inlineStr">
        <is>
          <t>Bergvik skog öst AB</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6678-2024</t>
        </is>
      </c>
      <c r="B5040" s="1" t="n">
        <v>45341</v>
      </c>
      <c r="C5040" s="1" t="n">
        <v>45705</v>
      </c>
      <c r="D5040" t="inlineStr">
        <is>
          <t>UPPSALA LÄN</t>
        </is>
      </c>
      <c r="E5040" t="inlineStr">
        <is>
          <t>UPPSALA</t>
        </is>
      </c>
      <c r="F5040" t="inlineStr">
        <is>
          <t>Bergvik skog öst AB</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6882-2024</t>
        </is>
      </c>
      <c r="B5041" s="1" t="n">
        <v>45342</v>
      </c>
      <c r="C5041" s="1" t="n">
        <v>45705</v>
      </c>
      <c r="D5041" t="inlineStr">
        <is>
          <t>UPPSALA LÄN</t>
        </is>
      </c>
      <c r="E5041" t="inlineStr">
        <is>
          <t>HEBY</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6885-2024</t>
        </is>
      </c>
      <c r="B5042" s="1" t="n">
        <v>45342</v>
      </c>
      <c r="C5042" s="1" t="n">
        <v>45705</v>
      </c>
      <c r="D5042" t="inlineStr">
        <is>
          <t>UPPSALA LÄN</t>
        </is>
      </c>
      <c r="E5042" t="inlineStr">
        <is>
          <t>HEBY</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6966-2024</t>
        </is>
      </c>
      <c r="B5043" s="1" t="n">
        <v>45343</v>
      </c>
      <c r="C5043" s="1" t="n">
        <v>45705</v>
      </c>
      <c r="D5043" t="inlineStr">
        <is>
          <t>UPPSALA LÄN</t>
        </is>
      </c>
      <c r="E5043" t="inlineStr">
        <is>
          <t>UPPSALA</t>
        </is>
      </c>
      <c r="F5043" t="inlineStr">
        <is>
          <t>Holmen skog AB</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7048-2024</t>
        </is>
      </c>
      <c r="B5044" s="1" t="n">
        <v>45343</v>
      </c>
      <c r="C5044" s="1" t="n">
        <v>45705</v>
      </c>
      <c r="D5044" t="inlineStr">
        <is>
          <t>UPPSALA LÄN</t>
        </is>
      </c>
      <c r="E5044" t="inlineStr">
        <is>
          <t>TIERP</t>
        </is>
      </c>
      <c r="G5044" t="n">
        <v>3.8</v>
      </c>
      <c r="H5044" t="n">
        <v>0</v>
      </c>
      <c r="I5044" t="n">
        <v>0</v>
      </c>
      <c r="J5044" t="n">
        <v>0</v>
      </c>
      <c r="K5044" t="n">
        <v>0</v>
      </c>
      <c r="L5044" t="n">
        <v>0</v>
      </c>
      <c r="M5044" t="n">
        <v>0</v>
      </c>
      <c r="N5044" t="n">
        <v>0</v>
      </c>
      <c r="O5044" t="n">
        <v>0</v>
      </c>
      <c r="P5044" t="n">
        <v>0</v>
      </c>
      <c r="Q5044" t="n">
        <v>0</v>
      </c>
      <c r="R5044" s="2" t="inlineStr"/>
    </row>
    <row r="5045" ht="15" customHeight="1">
      <c r="A5045" t="inlineStr">
        <is>
          <t>A 7065-2024</t>
        </is>
      </c>
      <c r="B5045" s="1" t="n">
        <v>45343</v>
      </c>
      <c r="C5045" s="1" t="n">
        <v>45705</v>
      </c>
      <c r="D5045" t="inlineStr">
        <is>
          <t>UPPSALA LÄN</t>
        </is>
      </c>
      <c r="E5045" t="inlineStr">
        <is>
          <t>TIERP</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7084-2024</t>
        </is>
      </c>
      <c r="B5046" s="1" t="n">
        <v>45343</v>
      </c>
      <c r="C5046" s="1" t="n">
        <v>45705</v>
      </c>
      <c r="D5046" t="inlineStr">
        <is>
          <t>UPPSALA LÄN</t>
        </is>
      </c>
      <c r="E5046" t="inlineStr">
        <is>
          <t>HEBY</t>
        </is>
      </c>
      <c r="F5046" t="inlineStr">
        <is>
          <t>Kyrkan</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7088-2024</t>
        </is>
      </c>
      <c r="B5047" s="1" t="n">
        <v>45343</v>
      </c>
      <c r="C5047" s="1" t="n">
        <v>45705</v>
      </c>
      <c r="D5047" t="inlineStr">
        <is>
          <t>UPPSALA LÄN</t>
        </is>
      </c>
      <c r="E5047" t="inlineStr">
        <is>
          <t>HEBY</t>
        </is>
      </c>
      <c r="F5047" t="inlineStr">
        <is>
          <t>Kyrkan</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7169-2024</t>
        </is>
      </c>
      <c r="B5048" s="1" t="n">
        <v>45344</v>
      </c>
      <c r="C5048" s="1" t="n">
        <v>45705</v>
      </c>
      <c r="D5048" t="inlineStr">
        <is>
          <t>UPPSALA LÄN</t>
        </is>
      </c>
      <c r="E5048" t="inlineStr">
        <is>
          <t>HEBY</t>
        </is>
      </c>
      <c r="G5048" t="n">
        <v>4.7</v>
      </c>
      <c r="H5048" t="n">
        <v>0</v>
      </c>
      <c r="I5048" t="n">
        <v>0</v>
      </c>
      <c r="J5048" t="n">
        <v>0</v>
      </c>
      <c r="K5048" t="n">
        <v>0</v>
      </c>
      <c r="L5048" t="n">
        <v>0</v>
      </c>
      <c r="M5048" t="n">
        <v>0</v>
      </c>
      <c r="N5048" t="n">
        <v>0</v>
      </c>
      <c r="O5048" t="n">
        <v>0</v>
      </c>
      <c r="P5048" t="n">
        <v>0</v>
      </c>
      <c r="Q5048" t="n">
        <v>0</v>
      </c>
      <c r="R5048" s="2" t="inlineStr"/>
    </row>
    <row r="5049" ht="15" customHeight="1">
      <c r="A5049" t="inlineStr">
        <is>
          <t>A 7173-2024</t>
        </is>
      </c>
      <c r="B5049" s="1" t="n">
        <v>45344</v>
      </c>
      <c r="C5049" s="1" t="n">
        <v>45705</v>
      </c>
      <c r="D5049" t="inlineStr">
        <is>
          <t>UPPSALA LÄN</t>
        </is>
      </c>
      <c r="E5049" t="inlineStr">
        <is>
          <t>HEBY</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7253-2024</t>
        </is>
      </c>
      <c r="B5050" s="1" t="n">
        <v>45344</v>
      </c>
      <c r="C5050" s="1" t="n">
        <v>45705</v>
      </c>
      <c r="D5050" t="inlineStr">
        <is>
          <t>UPPSALA LÄN</t>
        </is>
      </c>
      <c r="E5050" t="inlineStr">
        <is>
          <t>UPPSALA</t>
        </is>
      </c>
      <c r="F5050" t="inlineStr">
        <is>
          <t>Kyrkan</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7158-2024</t>
        </is>
      </c>
      <c r="B5051" s="1" t="n">
        <v>45344</v>
      </c>
      <c r="C5051" s="1" t="n">
        <v>45705</v>
      </c>
      <c r="D5051" t="inlineStr">
        <is>
          <t>UPPSALA LÄN</t>
        </is>
      </c>
      <c r="E5051" t="inlineStr">
        <is>
          <t>UPPSALA</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7166-2024</t>
        </is>
      </c>
      <c r="B5052" s="1" t="n">
        <v>45344</v>
      </c>
      <c r="C5052" s="1" t="n">
        <v>45705</v>
      </c>
      <c r="D5052" t="inlineStr">
        <is>
          <t>UPPSALA LÄN</t>
        </is>
      </c>
      <c r="E5052" t="inlineStr">
        <is>
          <t>HEBY</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7175-2024</t>
        </is>
      </c>
      <c r="B5053" s="1" t="n">
        <v>45344</v>
      </c>
      <c r="C5053" s="1" t="n">
        <v>45705</v>
      </c>
      <c r="D5053" t="inlineStr">
        <is>
          <t>UPPSALA LÄN</t>
        </is>
      </c>
      <c r="E5053" t="inlineStr">
        <is>
          <t>UPPSALA</t>
        </is>
      </c>
      <c r="F5053" t="inlineStr">
        <is>
          <t>Kyrkan</t>
        </is>
      </c>
      <c r="G5053" t="n">
        <v>5.3</v>
      </c>
      <c r="H5053" t="n">
        <v>0</v>
      </c>
      <c r="I5053" t="n">
        <v>0</v>
      </c>
      <c r="J5053" t="n">
        <v>0</v>
      </c>
      <c r="K5053" t="n">
        <v>0</v>
      </c>
      <c r="L5053" t="n">
        <v>0</v>
      </c>
      <c r="M5053" t="n">
        <v>0</v>
      </c>
      <c r="N5053" t="n">
        <v>0</v>
      </c>
      <c r="O5053" t="n">
        <v>0</v>
      </c>
      <c r="P5053" t="n">
        <v>0</v>
      </c>
      <c r="Q5053" t="n">
        <v>0</v>
      </c>
      <c r="R5053" s="2" t="inlineStr"/>
    </row>
    <row r="5054" ht="15" customHeight="1">
      <c r="A5054" t="inlineStr">
        <is>
          <t>A 7127-2024</t>
        </is>
      </c>
      <c r="B5054" s="1" t="n">
        <v>45344</v>
      </c>
      <c r="C5054" s="1" t="n">
        <v>45705</v>
      </c>
      <c r="D5054" t="inlineStr">
        <is>
          <t>UPPSALA LÄN</t>
        </is>
      </c>
      <c r="E5054" t="inlineStr">
        <is>
          <t>TIERP</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7275-2024</t>
        </is>
      </c>
      <c r="B5055" s="1" t="n">
        <v>45344</v>
      </c>
      <c r="C5055" s="1" t="n">
        <v>45705</v>
      </c>
      <c r="D5055" t="inlineStr">
        <is>
          <t>UPPSALA LÄN</t>
        </is>
      </c>
      <c r="E5055" t="inlineStr">
        <is>
          <t>UPPSALA</t>
        </is>
      </c>
      <c r="F5055" t="inlineStr">
        <is>
          <t>Bergvik skog öst AB</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7226-2024</t>
        </is>
      </c>
      <c r="B5056" s="1" t="n">
        <v>45344</v>
      </c>
      <c r="C5056" s="1" t="n">
        <v>45705</v>
      </c>
      <c r="D5056" t="inlineStr">
        <is>
          <t>UPPSALA LÄN</t>
        </is>
      </c>
      <c r="E5056" t="inlineStr">
        <is>
          <t>UPPSALA</t>
        </is>
      </c>
      <c r="F5056" t="inlineStr">
        <is>
          <t>Kyrkan</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7274-2024</t>
        </is>
      </c>
      <c r="B5057" s="1" t="n">
        <v>45344</v>
      </c>
      <c r="C5057" s="1" t="n">
        <v>45705</v>
      </c>
      <c r="D5057" t="inlineStr">
        <is>
          <t>UPPSALA LÄN</t>
        </is>
      </c>
      <c r="E5057" t="inlineStr">
        <is>
          <t>UPPSALA</t>
        </is>
      </c>
      <c r="F5057" t="inlineStr">
        <is>
          <t>Bergvik skog öst AB</t>
        </is>
      </c>
      <c r="G5057" t="n">
        <v>3.7</v>
      </c>
      <c r="H5057" t="n">
        <v>0</v>
      </c>
      <c r="I5057" t="n">
        <v>0</v>
      </c>
      <c r="J5057" t="n">
        <v>0</v>
      </c>
      <c r="K5057" t="n">
        <v>0</v>
      </c>
      <c r="L5057" t="n">
        <v>0</v>
      </c>
      <c r="M5057" t="n">
        <v>0</v>
      </c>
      <c r="N5057" t="n">
        <v>0</v>
      </c>
      <c r="O5057" t="n">
        <v>0</v>
      </c>
      <c r="P5057" t="n">
        <v>0</v>
      </c>
      <c r="Q5057" t="n">
        <v>0</v>
      </c>
      <c r="R5057" s="2" t="inlineStr"/>
    </row>
    <row r="5058" ht="15" customHeight="1">
      <c r="A5058" t="inlineStr">
        <is>
          <t>A 7278-2024</t>
        </is>
      </c>
      <c r="B5058" s="1" t="n">
        <v>45344</v>
      </c>
      <c r="C5058" s="1" t="n">
        <v>45705</v>
      </c>
      <c r="D5058" t="inlineStr">
        <is>
          <t>UPPSALA LÄN</t>
        </is>
      </c>
      <c r="E5058" t="inlineStr">
        <is>
          <t>UPPSALA</t>
        </is>
      </c>
      <c r="F5058" t="inlineStr">
        <is>
          <t>Bergvik skog öst AB</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7160-2024</t>
        </is>
      </c>
      <c r="B5059" s="1" t="n">
        <v>45344</v>
      </c>
      <c r="C5059" s="1" t="n">
        <v>45705</v>
      </c>
      <c r="D5059" t="inlineStr">
        <is>
          <t>UPPSALA LÄN</t>
        </is>
      </c>
      <c r="E5059" t="inlineStr">
        <is>
          <t>HEBY</t>
        </is>
      </c>
      <c r="G5059" t="n">
        <v>3.4</v>
      </c>
      <c r="H5059" t="n">
        <v>0</v>
      </c>
      <c r="I5059" t="n">
        <v>0</v>
      </c>
      <c r="J5059" t="n">
        <v>0</v>
      </c>
      <c r="K5059" t="n">
        <v>0</v>
      </c>
      <c r="L5059" t="n">
        <v>0</v>
      </c>
      <c r="M5059" t="n">
        <v>0</v>
      </c>
      <c r="N5059" t="n">
        <v>0</v>
      </c>
      <c r="O5059" t="n">
        <v>0</v>
      </c>
      <c r="P5059" t="n">
        <v>0</v>
      </c>
      <c r="Q5059" t="n">
        <v>0</v>
      </c>
      <c r="R5059" s="2" t="inlineStr"/>
    </row>
    <row r="5060" ht="15" customHeight="1">
      <c r="A5060" t="inlineStr">
        <is>
          <t>A 7276-2024</t>
        </is>
      </c>
      <c r="B5060" s="1" t="n">
        <v>45344</v>
      </c>
      <c r="C5060" s="1" t="n">
        <v>45705</v>
      </c>
      <c r="D5060" t="inlineStr">
        <is>
          <t>UPPSALA LÄN</t>
        </is>
      </c>
      <c r="E5060" t="inlineStr">
        <is>
          <t>UPPSALA</t>
        </is>
      </c>
      <c r="F5060" t="inlineStr">
        <is>
          <t>Bergvik skog öst AB</t>
        </is>
      </c>
      <c r="G5060" t="n">
        <v>0.2</v>
      </c>
      <c r="H5060" t="n">
        <v>0</v>
      </c>
      <c r="I5060" t="n">
        <v>0</v>
      </c>
      <c r="J5060" t="n">
        <v>0</v>
      </c>
      <c r="K5060" t="n">
        <v>0</v>
      </c>
      <c r="L5060" t="n">
        <v>0</v>
      </c>
      <c r="M5060" t="n">
        <v>0</v>
      </c>
      <c r="N5060" t="n">
        <v>0</v>
      </c>
      <c r="O5060" t="n">
        <v>0</v>
      </c>
      <c r="P5060" t="n">
        <v>0</v>
      </c>
      <c r="Q5060" t="n">
        <v>0</v>
      </c>
      <c r="R5060" s="2" t="inlineStr"/>
    </row>
    <row r="5061" ht="15" customHeight="1">
      <c r="A5061" t="inlineStr">
        <is>
          <t>A 7389-2024</t>
        </is>
      </c>
      <c r="B5061" s="1" t="n">
        <v>45345</v>
      </c>
      <c r="C5061" s="1" t="n">
        <v>45705</v>
      </c>
      <c r="D5061" t="inlineStr">
        <is>
          <t>UPPSALA LÄN</t>
        </is>
      </c>
      <c r="E5061" t="inlineStr">
        <is>
          <t>UPPSALA</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7390-2024</t>
        </is>
      </c>
      <c r="B5062" s="1" t="n">
        <v>45345</v>
      </c>
      <c r="C5062" s="1" t="n">
        <v>45705</v>
      </c>
      <c r="D5062" t="inlineStr">
        <is>
          <t>UPPSALA LÄN</t>
        </is>
      </c>
      <c r="E5062" t="inlineStr">
        <is>
          <t>UPPSALA</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7400-2024</t>
        </is>
      </c>
      <c r="B5063" s="1" t="n">
        <v>45345</v>
      </c>
      <c r="C5063" s="1" t="n">
        <v>45705</v>
      </c>
      <c r="D5063" t="inlineStr">
        <is>
          <t>UPPSALA LÄN</t>
        </is>
      </c>
      <c r="E5063" t="inlineStr">
        <is>
          <t>UPPSALA</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7388-2024</t>
        </is>
      </c>
      <c r="B5064" s="1" t="n">
        <v>45345</v>
      </c>
      <c r="C5064" s="1" t="n">
        <v>45705</v>
      </c>
      <c r="D5064" t="inlineStr">
        <is>
          <t>UPPSALA LÄN</t>
        </is>
      </c>
      <c r="E5064" t="inlineStr">
        <is>
          <t>UPPSALA</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7407-2024</t>
        </is>
      </c>
      <c r="B5065" s="1" t="n">
        <v>45345</v>
      </c>
      <c r="C5065" s="1" t="n">
        <v>45705</v>
      </c>
      <c r="D5065" t="inlineStr">
        <is>
          <t>UPPSALA LÄN</t>
        </is>
      </c>
      <c r="E5065" t="inlineStr">
        <is>
          <t>UPPSALA</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7403-2024</t>
        </is>
      </c>
      <c r="B5066" s="1" t="n">
        <v>45345</v>
      </c>
      <c r="C5066" s="1" t="n">
        <v>45705</v>
      </c>
      <c r="D5066" t="inlineStr">
        <is>
          <t>UPPSALA LÄN</t>
        </is>
      </c>
      <c r="E5066" t="inlineStr">
        <is>
          <t>UPPSALA</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7649-2024</t>
        </is>
      </c>
      <c r="B5067" s="1" t="n">
        <v>45348</v>
      </c>
      <c r="C5067" s="1" t="n">
        <v>45705</v>
      </c>
      <c r="D5067" t="inlineStr">
        <is>
          <t>UPPSALA LÄN</t>
        </is>
      </c>
      <c r="E5067" t="inlineStr">
        <is>
          <t>UPPSALA</t>
        </is>
      </c>
      <c r="F5067" t="inlineStr">
        <is>
          <t>Kyrkan</t>
        </is>
      </c>
      <c r="G5067" t="n">
        <v>6.2</v>
      </c>
      <c r="H5067" t="n">
        <v>0</v>
      </c>
      <c r="I5067" t="n">
        <v>0</v>
      </c>
      <c r="J5067" t="n">
        <v>0</v>
      </c>
      <c r="K5067" t="n">
        <v>0</v>
      </c>
      <c r="L5067" t="n">
        <v>0</v>
      </c>
      <c r="M5067" t="n">
        <v>0</v>
      </c>
      <c r="N5067" t="n">
        <v>0</v>
      </c>
      <c r="O5067" t="n">
        <v>0</v>
      </c>
      <c r="P5067" t="n">
        <v>0</v>
      </c>
      <c r="Q5067" t="n">
        <v>0</v>
      </c>
      <c r="R5067" s="2" t="inlineStr"/>
    </row>
    <row r="5068" ht="15" customHeight="1">
      <c r="A5068" t="inlineStr">
        <is>
          <t>A 7654-2024</t>
        </is>
      </c>
      <c r="B5068" s="1" t="n">
        <v>45348</v>
      </c>
      <c r="C5068" s="1" t="n">
        <v>45705</v>
      </c>
      <c r="D5068" t="inlineStr">
        <is>
          <t>UPPSALA LÄN</t>
        </is>
      </c>
      <c r="E5068" t="inlineStr">
        <is>
          <t>UPPSALA</t>
        </is>
      </c>
      <c r="F5068" t="inlineStr">
        <is>
          <t>Kyrkan</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7732-2024</t>
        </is>
      </c>
      <c r="B5069" s="1" t="n">
        <v>45349</v>
      </c>
      <c r="C5069" s="1" t="n">
        <v>45705</v>
      </c>
      <c r="D5069" t="inlineStr">
        <is>
          <t>UPPSALA LÄN</t>
        </is>
      </c>
      <c r="E5069" t="inlineStr">
        <is>
          <t>UPPSALA</t>
        </is>
      </c>
      <c r="G5069" t="n">
        <v>3.1</v>
      </c>
      <c r="H5069" t="n">
        <v>0</v>
      </c>
      <c r="I5069" t="n">
        <v>0</v>
      </c>
      <c r="J5069" t="n">
        <v>0</v>
      </c>
      <c r="K5069" t="n">
        <v>0</v>
      </c>
      <c r="L5069" t="n">
        <v>0</v>
      </c>
      <c r="M5069" t="n">
        <v>0</v>
      </c>
      <c r="N5069" t="n">
        <v>0</v>
      </c>
      <c r="O5069" t="n">
        <v>0</v>
      </c>
      <c r="P5069" t="n">
        <v>0</v>
      </c>
      <c r="Q5069" t="n">
        <v>0</v>
      </c>
      <c r="R5069" s="2" t="inlineStr"/>
    </row>
    <row r="5070" ht="15" customHeight="1">
      <c r="A5070" t="inlineStr">
        <is>
          <t>A 7727-2024</t>
        </is>
      </c>
      <c r="B5070" s="1" t="n">
        <v>45349</v>
      </c>
      <c r="C5070" s="1" t="n">
        <v>45705</v>
      </c>
      <c r="D5070" t="inlineStr">
        <is>
          <t>UPPSALA LÄN</t>
        </is>
      </c>
      <c r="E5070" t="inlineStr">
        <is>
          <t>UPPSALA</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7750-2024</t>
        </is>
      </c>
      <c r="B5071" s="1" t="n">
        <v>45349</v>
      </c>
      <c r="C5071" s="1" t="n">
        <v>45705</v>
      </c>
      <c r="D5071" t="inlineStr">
        <is>
          <t>UPPSALA LÄN</t>
        </is>
      </c>
      <c r="E5071" t="inlineStr">
        <is>
          <t>UPPSALA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7868-2024</t>
        </is>
      </c>
      <c r="B5072" s="1" t="n">
        <v>45350</v>
      </c>
      <c r="C5072" s="1" t="n">
        <v>45705</v>
      </c>
      <c r="D5072" t="inlineStr">
        <is>
          <t>UPPSALA LÄN</t>
        </is>
      </c>
      <c r="E5072" t="inlineStr">
        <is>
          <t>ENKÖPING</t>
        </is>
      </c>
      <c r="G5072" t="n">
        <v>0.3</v>
      </c>
      <c r="H5072" t="n">
        <v>0</v>
      </c>
      <c r="I5072" t="n">
        <v>0</v>
      </c>
      <c r="J5072" t="n">
        <v>0</v>
      </c>
      <c r="K5072" t="n">
        <v>0</v>
      </c>
      <c r="L5072" t="n">
        <v>0</v>
      </c>
      <c r="M5072" t="n">
        <v>0</v>
      </c>
      <c r="N5072" t="n">
        <v>0</v>
      </c>
      <c r="O5072" t="n">
        <v>0</v>
      </c>
      <c r="P5072" t="n">
        <v>0</v>
      </c>
      <c r="Q5072" t="n">
        <v>0</v>
      </c>
      <c r="R5072" s="2" t="inlineStr"/>
    </row>
    <row r="5073" ht="15" customHeight="1">
      <c r="A5073" t="inlineStr">
        <is>
          <t>A 7974-2024</t>
        </is>
      </c>
      <c r="B5073" s="1" t="n">
        <v>45350</v>
      </c>
      <c r="C5073" s="1" t="n">
        <v>45705</v>
      </c>
      <c r="D5073" t="inlineStr">
        <is>
          <t>UPPSALA LÄN</t>
        </is>
      </c>
      <c r="E5073" t="inlineStr">
        <is>
          <t>UPPSALA</t>
        </is>
      </c>
      <c r="F5073" t="inlineStr">
        <is>
          <t>Övriga Aktiebolag</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7866-2024</t>
        </is>
      </c>
      <c r="B5074" s="1" t="n">
        <v>45350</v>
      </c>
      <c r="C5074" s="1" t="n">
        <v>45705</v>
      </c>
      <c r="D5074" t="inlineStr">
        <is>
          <t>UPPSALA LÄN</t>
        </is>
      </c>
      <c r="E5074" t="inlineStr">
        <is>
          <t>ENKÖPING</t>
        </is>
      </c>
      <c r="G5074" t="n">
        <v>3.5</v>
      </c>
      <c r="H5074" t="n">
        <v>0</v>
      </c>
      <c r="I5074" t="n">
        <v>0</v>
      </c>
      <c r="J5074" t="n">
        <v>0</v>
      </c>
      <c r="K5074" t="n">
        <v>0</v>
      </c>
      <c r="L5074" t="n">
        <v>0</v>
      </c>
      <c r="M5074" t="n">
        <v>0</v>
      </c>
      <c r="N5074" t="n">
        <v>0</v>
      </c>
      <c r="O5074" t="n">
        <v>0</v>
      </c>
      <c r="P5074" t="n">
        <v>0</v>
      </c>
      <c r="Q5074" t="n">
        <v>0</v>
      </c>
      <c r="R5074" s="2" t="inlineStr"/>
    </row>
    <row r="5075" ht="15" customHeight="1">
      <c r="A5075" t="inlineStr">
        <is>
          <t>A 7870-2024</t>
        </is>
      </c>
      <c r="B5075" s="1" t="n">
        <v>45350</v>
      </c>
      <c r="C5075" s="1" t="n">
        <v>45705</v>
      </c>
      <c r="D5075" t="inlineStr">
        <is>
          <t>UPPSALA LÄN</t>
        </is>
      </c>
      <c r="E5075" t="inlineStr">
        <is>
          <t>ENKÖPING</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8056-2024</t>
        </is>
      </c>
      <c r="B5076" s="1" t="n">
        <v>45351</v>
      </c>
      <c r="C5076" s="1" t="n">
        <v>45705</v>
      </c>
      <c r="D5076" t="inlineStr">
        <is>
          <t>UPPSALA LÄN</t>
        </is>
      </c>
      <c r="E5076" t="inlineStr">
        <is>
          <t>HEBY</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8112-2024</t>
        </is>
      </c>
      <c r="B5077" s="1" t="n">
        <v>45351</v>
      </c>
      <c r="C5077" s="1" t="n">
        <v>45705</v>
      </c>
      <c r="D5077" t="inlineStr">
        <is>
          <t>UPPSALA LÄN</t>
        </is>
      </c>
      <c r="E5077" t="inlineStr">
        <is>
          <t>HEBY</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8132-2024</t>
        </is>
      </c>
      <c r="B5078" s="1" t="n">
        <v>45351</v>
      </c>
      <c r="C5078" s="1" t="n">
        <v>45705</v>
      </c>
      <c r="D5078" t="inlineStr">
        <is>
          <t>UPPSALA LÄN</t>
        </is>
      </c>
      <c r="E5078" t="inlineStr">
        <is>
          <t>UPPSALA</t>
        </is>
      </c>
      <c r="F5078" t="inlineStr">
        <is>
          <t>Övriga Aktiebolag</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8103-2024</t>
        </is>
      </c>
      <c r="B5079" s="1" t="n">
        <v>45351</v>
      </c>
      <c r="C5079" s="1" t="n">
        <v>45705</v>
      </c>
      <c r="D5079" t="inlineStr">
        <is>
          <t>UPPSALA LÄN</t>
        </is>
      </c>
      <c r="E5079" t="inlineStr">
        <is>
          <t>ENKÖPING</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8137-2024</t>
        </is>
      </c>
      <c r="B5080" s="1" t="n">
        <v>45351</v>
      </c>
      <c r="C5080" s="1" t="n">
        <v>45705</v>
      </c>
      <c r="D5080" t="inlineStr">
        <is>
          <t>UPPSALA LÄN</t>
        </is>
      </c>
      <c r="E5080" t="inlineStr">
        <is>
          <t>HEBY</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8168-2024</t>
        </is>
      </c>
      <c r="B5081" s="1" t="n">
        <v>45351</v>
      </c>
      <c r="C5081" s="1" t="n">
        <v>45705</v>
      </c>
      <c r="D5081" t="inlineStr">
        <is>
          <t>UPPSALA LÄN</t>
        </is>
      </c>
      <c r="E5081" t="inlineStr">
        <is>
          <t>HEBY</t>
        </is>
      </c>
      <c r="G5081" t="n">
        <v>5.6</v>
      </c>
      <c r="H5081" t="n">
        <v>0</v>
      </c>
      <c r="I5081" t="n">
        <v>0</v>
      </c>
      <c r="J5081" t="n">
        <v>0</v>
      </c>
      <c r="K5081" t="n">
        <v>0</v>
      </c>
      <c r="L5081" t="n">
        <v>0</v>
      </c>
      <c r="M5081" t="n">
        <v>0</v>
      </c>
      <c r="N5081" t="n">
        <v>0</v>
      </c>
      <c r="O5081" t="n">
        <v>0</v>
      </c>
      <c r="P5081" t="n">
        <v>0</v>
      </c>
      <c r="Q5081" t="n">
        <v>0</v>
      </c>
      <c r="R5081" s="2" t="inlineStr"/>
    </row>
    <row r="5082" ht="15" customHeight="1">
      <c r="A5082" t="inlineStr">
        <is>
          <t>A 8109-2024</t>
        </is>
      </c>
      <c r="B5082" s="1" t="n">
        <v>45351</v>
      </c>
      <c r="C5082" s="1" t="n">
        <v>45705</v>
      </c>
      <c r="D5082" t="inlineStr">
        <is>
          <t>UPPSALA LÄN</t>
        </is>
      </c>
      <c r="E5082" t="inlineStr">
        <is>
          <t>UPPSALA</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8139-2024</t>
        </is>
      </c>
      <c r="B5083" s="1" t="n">
        <v>45351</v>
      </c>
      <c r="C5083" s="1" t="n">
        <v>45705</v>
      </c>
      <c r="D5083" t="inlineStr">
        <is>
          <t>UPPSALA LÄN</t>
        </is>
      </c>
      <c r="E5083" t="inlineStr">
        <is>
          <t>HEBY</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8155-2024</t>
        </is>
      </c>
      <c r="B5084" s="1" t="n">
        <v>45351</v>
      </c>
      <c r="C5084" s="1" t="n">
        <v>45705</v>
      </c>
      <c r="D5084" t="inlineStr">
        <is>
          <t>UPPSALA LÄN</t>
        </is>
      </c>
      <c r="E5084" t="inlineStr">
        <is>
          <t>HEBY</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8152-2024</t>
        </is>
      </c>
      <c r="B5085" s="1" t="n">
        <v>45351</v>
      </c>
      <c r="C5085" s="1" t="n">
        <v>45705</v>
      </c>
      <c r="D5085" t="inlineStr">
        <is>
          <t>UPPSALA LÄN</t>
        </is>
      </c>
      <c r="E5085" t="inlineStr">
        <is>
          <t>HEBY</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8217-2024</t>
        </is>
      </c>
      <c r="B5086" s="1" t="n">
        <v>45351</v>
      </c>
      <c r="C5086" s="1" t="n">
        <v>45705</v>
      </c>
      <c r="D5086" t="inlineStr">
        <is>
          <t>UPPSALA LÄN</t>
        </is>
      </c>
      <c r="E5086" t="inlineStr">
        <is>
          <t>ENKÖPING</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8672-2024</t>
        </is>
      </c>
      <c r="B5087" s="1" t="n">
        <v>45352</v>
      </c>
      <c r="C5087" s="1" t="n">
        <v>45705</v>
      </c>
      <c r="D5087" t="inlineStr">
        <is>
          <t>UPPSALA LÄN</t>
        </is>
      </c>
      <c r="E5087" t="inlineStr">
        <is>
          <t>UPPSALA</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8343-2024</t>
        </is>
      </c>
      <c r="B5088" s="1" t="n">
        <v>45352</v>
      </c>
      <c r="C5088" s="1" t="n">
        <v>45705</v>
      </c>
      <c r="D5088" t="inlineStr">
        <is>
          <t>UPPSALA LÄN</t>
        </is>
      </c>
      <c r="E5088" t="inlineStr">
        <is>
          <t>KNIVSTA</t>
        </is>
      </c>
      <c r="F5088" t="inlineStr">
        <is>
          <t>Holmen skog AB</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8357-2024</t>
        </is>
      </c>
      <c r="B5089" s="1" t="n">
        <v>45352</v>
      </c>
      <c r="C5089" s="1" t="n">
        <v>45705</v>
      </c>
      <c r="D5089" t="inlineStr">
        <is>
          <t>UPPSALA LÄN</t>
        </is>
      </c>
      <c r="E5089" t="inlineStr">
        <is>
          <t>KNIVSTA</t>
        </is>
      </c>
      <c r="F5089" t="inlineStr">
        <is>
          <t>Holmen skog AB</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8338-2024</t>
        </is>
      </c>
      <c r="B5090" s="1" t="n">
        <v>45352</v>
      </c>
      <c r="C5090" s="1" t="n">
        <v>45705</v>
      </c>
      <c r="D5090" t="inlineStr">
        <is>
          <t>UPPSALA LÄN</t>
        </is>
      </c>
      <c r="E5090" t="inlineStr">
        <is>
          <t>UPPSALA</t>
        </is>
      </c>
      <c r="F5090" t="inlineStr">
        <is>
          <t>Kyrkan</t>
        </is>
      </c>
      <c r="G5090" t="n">
        <v>5.7</v>
      </c>
      <c r="H5090" t="n">
        <v>0</v>
      </c>
      <c r="I5090" t="n">
        <v>0</v>
      </c>
      <c r="J5090" t="n">
        <v>0</v>
      </c>
      <c r="K5090" t="n">
        <v>0</v>
      </c>
      <c r="L5090" t="n">
        <v>0</v>
      </c>
      <c r="M5090" t="n">
        <v>0</v>
      </c>
      <c r="N5090" t="n">
        <v>0</v>
      </c>
      <c r="O5090" t="n">
        <v>0</v>
      </c>
      <c r="P5090" t="n">
        <v>0</v>
      </c>
      <c r="Q5090" t="n">
        <v>0</v>
      </c>
      <c r="R5090" s="2" t="inlineStr"/>
    </row>
    <row r="5091" ht="15" customHeight="1">
      <c r="A5091" t="inlineStr">
        <is>
          <t>A 8473-2024</t>
        </is>
      </c>
      <c r="B5091" s="1" t="n">
        <v>45355</v>
      </c>
      <c r="C5091" s="1" t="n">
        <v>45705</v>
      </c>
      <c r="D5091" t="inlineStr">
        <is>
          <t>UPPSALA LÄN</t>
        </is>
      </c>
      <c r="E5091" t="inlineStr">
        <is>
          <t>HEBY</t>
        </is>
      </c>
      <c r="F5091" t="inlineStr">
        <is>
          <t>Kyrkan</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8699-2024</t>
        </is>
      </c>
      <c r="B5092" s="1" t="n">
        <v>45355</v>
      </c>
      <c r="C5092" s="1" t="n">
        <v>45705</v>
      </c>
      <c r="D5092" t="inlineStr">
        <is>
          <t>UPPSALA LÄN</t>
        </is>
      </c>
      <c r="E5092" t="inlineStr">
        <is>
          <t>HEBY</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8702-2024</t>
        </is>
      </c>
      <c r="B5093" s="1" t="n">
        <v>45355</v>
      </c>
      <c r="C5093" s="1" t="n">
        <v>45705</v>
      </c>
      <c r="D5093" t="inlineStr">
        <is>
          <t>UPPSALA LÄN</t>
        </is>
      </c>
      <c r="E5093" t="inlineStr">
        <is>
          <t>HEBY</t>
        </is>
      </c>
      <c r="G5093" t="n">
        <v>12.6</v>
      </c>
      <c r="H5093" t="n">
        <v>0</v>
      </c>
      <c r="I5093" t="n">
        <v>0</v>
      </c>
      <c r="J5093" t="n">
        <v>0</v>
      </c>
      <c r="K5093" t="n">
        <v>0</v>
      </c>
      <c r="L5093" t="n">
        <v>0</v>
      </c>
      <c r="M5093" t="n">
        <v>0</v>
      </c>
      <c r="N5093" t="n">
        <v>0</v>
      </c>
      <c r="O5093" t="n">
        <v>0</v>
      </c>
      <c r="P5093" t="n">
        <v>0</v>
      </c>
      <c r="Q5093" t="n">
        <v>0</v>
      </c>
      <c r="R5093" s="2" t="inlineStr"/>
    </row>
    <row r="5094" ht="15" customHeight="1">
      <c r="A5094" t="inlineStr">
        <is>
          <t>A 8689-2024</t>
        </is>
      </c>
      <c r="B5094" s="1" t="n">
        <v>45355</v>
      </c>
      <c r="C5094" s="1" t="n">
        <v>45705</v>
      </c>
      <c r="D5094" t="inlineStr">
        <is>
          <t>UPPSALA LÄN</t>
        </is>
      </c>
      <c r="E5094" t="inlineStr">
        <is>
          <t>HEBY</t>
        </is>
      </c>
      <c r="G5094" t="n">
        <v>3.3</v>
      </c>
      <c r="H5094" t="n">
        <v>0</v>
      </c>
      <c r="I5094" t="n">
        <v>0</v>
      </c>
      <c r="J5094" t="n">
        <v>0</v>
      </c>
      <c r="K5094" t="n">
        <v>0</v>
      </c>
      <c r="L5094" t="n">
        <v>0</v>
      </c>
      <c r="M5094" t="n">
        <v>0</v>
      </c>
      <c r="N5094" t="n">
        <v>0</v>
      </c>
      <c r="O5094" t="n">
        <v>0</v>
      </c>
      <c r="P5094" t="n">
        <v>0</v>
      </c>
      <c r="Q5094" t="n">
        <v>0</v>
      </c>
      <c r="R5094" s="2" t="inlineStr"/>
    </row>
    <row r="5095" ht="15" customHeight="1">
      <c r="A5095" t="inlineStr">
        <is>
          <t>A 8673-2024</t>
        </is>
      </c>
      <c r="B5095" s="1" t="n">
        <v>45356</v>
      </c>
      <c r="C5095" s="1" t="n">
        <v>45705</v>
      </c>
      <c r="D5095" t="inlineStr">
        <is>
          <t>UPPSALA LÄN</t>
        </is>
      </c>
      <c r="E5095" t="inlineStr">
        <is>
          <t>ÖSTHAMMAR</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8906-2024</t>
        </is>
      </c>
      <c r="B5096" s="1" t="n">
        <v>45357</v>
      </c>
      <c r="C5096" s="1" t="n">
        <v>45705</v>
      </c>
      <c r="D5096" t="inlineStr">
        <is>
          <t>UPPSALA LÄN</t>
        </is>
      </c>
      <c r="E5096" t="inlineStr">
        <is>
          <t>HEBY</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8958-2024</t>
        </is>
      </c>
      <c r="B5097" s="1" t="n">
        <v>45357</v>
      </c>
      <c r="C5097" s="1" t="n">
        <v>45705</v>
      </c>
      <c r="D5097" t="inlineStr">
        <is>
          <t>UPPSALA LÄN</t>
        </is>
      </c>
      <c r="E5097" t="inlineStr">
        <is>
          <t>TIERP</t>
        </is>
      </c>
      <c r="G5097" t="n">
        <v>3.8</v>
      </c>
      <c r="H5097" t="n">
        <v>0</v>
      </c>
      <c r="I5097" t="n">
        <v>0</v>
      </c>
      <c r="J5097" t="n">
        <v>0</v>
      </c>
      <c r="K5097" t="n">
        <v>0</v>
      </c>
      <c r="L5097" t="n">
        <v>0</v>
      </c>
      <c r="M5097" t="n">
        <v>0</v>
      </c>
      <c r="N5097" t="n">
        <v>0</v>
      </c>
      <c r="O5097" t="n">
        <v>0</v>
      </c>
      <c r="P5097" t="n">
        <v>0</v>
      </c>
      <c r="Q5097" t="n">
        <v>0</v>
      </c>
      <c r="R5097" s="2" t="inlineStr"/>
    </row>
    <row r="5098" ht="15" customHeight="1">
      <c r="A5098" t="inlineStr">
        <is>
          <t>A 8944-2024</t>
        </is>
      </c>
      <c r="B5098" s="1" t="n">
        <v>45357</v>
      </c>
      <c r="C5098" s="1" t="n">
        <v>45705</v>
      </c>
      <c r="D5098" t="inlineStr">
        <is>
          <t>UPPSALA LÄN</t>
        </is>
      </c>
      <c r="E5098" t="inlineStr">
        <is>
          <t>KNIVSTA</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9235-2024</t>
        </is>
      </c>
      <c r="B5099" s="1" t="n">
        <v>45357</v>
      </c>
      <c r="C5099" s="1" t="n">
        <v>45705</v>
      </c>
      <c r="D5099" t="inlineStr">
        <is>
          <t>UPPSALA LÄN</t>
        </is>
      </c>
      <c r="E5099" t="inlineStr">
        <is>
          <t>UPPSALA</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9185-2024</t>
        </is>
      </c>
      <c r="B5100" s="1" t="n">
        <v>45358</v>
      </c>
      <c r="C5100" s="1" t="n">
        <v>45705</v>
      </c>
      <c r="D5100" t="inlineStr">
        <is>
          <t>UPPSALA LÄN</t>
        </is>
      </c>
      <c r="E5100" t="inlineStr">
        <is>
          <t>ENKÖPING</t>
        </is>
      </c>
      <c r="G5100" t="n">
        <v>4.4</v>
      </c>
      <c r="H5100" t="n">
        <v>0</v>
      </c>
      <c r="I5100" t="n">
        <v>0</v>
      </c>
      <c r="J5100" t="n">
        <v>0</v>
      </c>
      <c r="K5100" t="n">
        <v>0</v>
      </c>
      <c r="L5100" t="n">
        <v>0</v>
      </c>
      <c r="M5100" t="n">
        <v>0</v>
      </c>
      <c r="N5100" t="n">
        <v>0</v>
      </c>
      <c r="O5100" t="n">
        <v>0</v>
      </c>
      <c r="P5100" t="n">
        <v>0</v>
      </c>
      <c r="Q5100" t="n">
        <v>0</v>
      </c>
      <c r="R5100" s="2" t="inlineStr"/>
    </row>
    <row r="5101" ht="15" customHeight="1">
      <c r="A5101" t="inlineStr">
        <is>
          <t>A 9201-2024</t>
        </is>
      </c>
      <c r="B5101" s="1" t="n">
        <v>45358</v>
      </c>
      <c r="C5101" s="1" t="n">
        <v>45705</v>
      </c>
      <c r="D5101" t="inlineStr">
        <is>
          <t>UPPSALA LÄN</t>
        </is>
      </c>
      <c r="E5101" t="inlineStr">
        <is>
          <t>UPPSALA</t>
        </is>
      </c>
      <c r="F5101" t="inlineStr">
        <is>
          <t>Allmännings- och besparingsskogar</t>
        </is>
      </c>
      <c r="G5101" t="n">
        <v>6.5</v>
      </c>
      <c r="H5101" t="n">
        <v>0</v>
      </c>
      <c r="I5101" t="n">
        <v>0</v>
      </c>
      <c r="J5101" t="n">
        <v>0</v>
      </c>
      <c r="K5101" t="n">
        <v>0</v>
      </c>
      <c r="L5101" t="n">
        <v>0</v>
      </c>
      <c r="M5101" t="n">
        <v>0</v>
      </c>
      <c r="N5101" t="n">
        <v>0</v>
      </c>
      <c r="O5101" t="n">
        <v>0</v>
      </c>
      <c r="P5101" t="n">
        <v>0</v>
      </c>
      <c r="Q5101" t="n">
        <v>0</v>
      </c>
      <c r="R5101" s="2" t="inlineStr"/>
    </row>
    <row r="5102" ht="15" customHeight="1">
      <c r="A5102" t="inlineStr">
        <is>
          <t>A 9130-2024</t>
        </is>
      </c>
      <c r="B5102" s="1" t="n">
        <v>45358</v>
      </c>
      <c r="C5102" s="1" t="n">
        <v>45705</v>
      </c>
      <c r="D5102" t="inlineStr">
        <is>
          <t>UPPSALA LÄN</t>
        </is>
      </c>
      <c r="E5102" t="inlineStr">
        <is>
          <t>TIERP</t>
        </is>
      </c>
      <c r="G5102" t="n">
        <v>6.3</v>
      </c>
      <c r="H5102" t="n">
        <v>0</v>
      </c>
      <c r="I5102" t="n">
        <v>0</v>
      </c>
      <c r="J5102" t="n">
        <v>0</v>
      </c>
      <c r="K5102" t="n">
        <v>0</v>
      </c>
      <c r="L5102" t="n">
        <v>0</v>
      </c>
      <c r="M5102" t="n">
        <v>0</v>
      </c>
      <c r="N5102" t="n">
        <v>0</v>
      </c>
      <c r="O5102" t="n">
        <v>0</v>
      </c>
      <c r="P5102" t="n">
        <v>0</v>
      </c>
      <c r="Q5102" t="n">
        <v>0</v>
      </c>
      <c r="R5102" s="2" t="inlineStr"/>
    </row>
    <row r="5103" ht="15" customHeight="1">
      <c r="A5103" t="inlineStr">
        <is>
          <t>A 9174-2024</t>
        </is>
      </c>
      <c r="B5103" s="1" t="n">
        <v>45358</v>
      </c>
      <c r="C5103" s="1" t="n">
        <v>45705</v>
      </c>
      <c r="D5103" t="inlineStr">
        <is>
          <t>UPPSALA LÄN</t>
        </is>
      </c>
      <c r="E5103" t="inlineStr">
        <is>
          <t>ENKÖPING</t>
        </is>
      </c>
      <c r="G5103" t="n">
        <v>3.3</v>
      </c>
      <c r="H5103" t="n">
        <v>0</v>
      </c>
      <c r="I5103" t="n">
        <v>0</v>
      </c>
      <c r="J5103" t="n">
        <v>0</v>
      </c>
      <c r="K5103" t="n">
        <v>0</v>
      </c>
      <c r="L5103" t="n">
        <v>0</v>
      </c>
      <c r="M5103" t="n">
        <v>0</v>
      </c>
      <c r="N5103" t="n">
        <v>0</v>
      </c>
      <c r="O5103" t="n">
        <v>0</v>
      </c>
      <c r="P5103" t="n">
        <v>0</v>
      </c>
      <c r="Q5103" t="n">
        <v>0</v>
      </c>
      <c r="R5103" s="2" t="inlineStr"/>
    </row>
    <row r="5104" ht="15" customHeight="1">
      <c r="A5104" t="inlineStr">
        <is>
          <t>A 9195-2024</t>
        </is>
      </c>
      <c r="B5104" s="1" t="n">
        <v>45358</v>
      </c>
      <c r="C5104" s="1" t="n">
        <v>45705</v>
      </c>
      <c r="D5104" t="inlineStr">
        <is>
          <t>UPPSALA LÄN</t>
        </is>
      </c>
      <c r="E5104" t="inlineStr">
        <is>
          <t>UPPSALA</t>
        </is>
      </c>
      <c r="F5104" t="inlineStr">
        <is>
          <t>Allmännings- och besparingsskogar</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9264-2024</t>
        </is>
      </c>
      <c r="B5105" s="1" t="n">
        <v>45358</v>
      </c>
      <c r="C5105" s="1" t="n">
        <v>45705</v>
      </c>
      <c r="D5105" t="inlineStr">
        <is>
          <t>UPPSALA LÄN</t>
        </is>
      </c>
      <c r="E5105" t="inlineStr">
        <is>
          <t>ÖSTHAMMAR</t>
        </is>
      </c>
      <c r="F5105" t="inlineStr">
        <is>
          <t>Bergvik skog öst AB</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9267-2024</t>
        </is>
      </c>
      <c r="B5106" s="1" t="n">
        <v>45358</v>
      </c>
      <c r="C5106" s="1" t="n">
        <v>45705</v>
      </c>
      <c r="D5106" t="inlineStr">
        <is>
          <t>UPPSALA LÄN</t>
        </is>
      </c>
      <c r="E5106" t="inlineStr">
        <is>
          <t>ÖSTHAMMAR</t>
        </is>
      </c>
      <c r="F5106" t="inlineStr">
        <is>
          <t>Bergvik skog öst AB</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9291-2024</t>
        </is>
      </c>
      <c r="B5107" s="1" t="n">
        <v>45358</v>
      </c>
      <c r="C5107" s="1" t="n">
        <v>45705</v>
      </c>
      <c r="D5107" t="inlineStr">
        <is>
          <t>UPPSALA LÄN</t>
        </is>
      </c>
      <c r="E5107" t="inlineStr">
        <is>
          <t>ÖSTHAMMAR</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9171-2024</t>
        </is>
      </c>
      <c r="B5108" s="1" t="n">
        <v>45358</v>
      </c>
      <c r="C5108" s="1" t="n">
        <v>45705</v>
      </c>
      <c r="D5108" t="inlineStr">
        <is>
          <t>UPPSALA LÄN</t>
        </is>
      </c>
      <c r="E5108" t="inlineStr">
        <is>
          <t>ENKÖPING</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9175-2024</t>
        </is>
      </c>
      <c r="B5109" s="1" t="n">
        <v>45358</v>
      </c>
      <c r="C5109" s="1" t="n">
        <v>45705</v>
      </c>
      <c r="D5109" t="inlineStr">
        <is>
          <t>UPPSALA LÄN</t>
        </is>
      </c>
      <c r="E5109" t="inlineStr">
        <is>
          <t>ENKÖPING</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9192-2024</t>
        </is>
      </c>
      <c r="B5110" s="1" t="n">
        <v>45358</v>
      </c>
      <c r="C5110" s="1" t="n">
        <v>45705</v>
      </c>
      <c r="D5110" t="inlineStr">
        <is>
          <t>UPPSALA LÄN</t>
        </is>
      </c>
      <c r="E5110" t="inlineStr">
        <is>
          <t>ENKÖPING</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9255-2024</t>
        </is>
      </c>
      <c r="B5111" s="1" t="n">
        <v>45358</v>
      </c>
      <c r="C5111" s="1" t="n">
        <v>45705</v>
      </c>
      <c r="D5111" t="inlineStr">
        <is>
          <t>UPPSALA LÄN</t>
        </is>
      </c>
      <c r="E5111" t="inlineStr">
        <is>
          <t>UPPSALA</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9428-2024</t>
        </is>
      </c>
      <c r="B5112" s="1" t="n">
        <v>45359</v>
      </c>
      <c r="C5112" s="1" t="n">
        <v>45705</v>
      </c>
      <c r="D5112" t="inlineStr">
        <is>
          <t>UPPSALA LÄN</t>
        </is>
      </c>
      <c r="E5112" t="inlineStr">
        <is>
          <t>UPPSALA</t>
        </is>
      </c>
      <c r="F5112" t="inlineStr">
        <is>
          <t>Bergvik skog öst AB</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9453-2024</t>
        </is>
      </c>
      <c r="B5113" s="1" t="n">
        <v>45359</v>
      </c>
      <c r="C5113" s="1" t="n">
        <v>45705</v>
      </c>
      <c r="D5113" t="inlineStr">
        <is>
          <t>UPPSALA LÄN</t>
        </is>
      </c>
      <c r="E5113" t="inlineStr">
        <is>
          <t>UPPSALA</t>
        </is>
      </c>
      <c r="F5113" t="inlineStr">
        <is>
          <t>Bergvik skog öst AB</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9608-2024</t>
        </is>
      </c>
      <c r="B5114" s="1" t="n">
        <v>45361</v>
      </c>
      <c r="C5114" s="1" t="n">
        <v>45705</v>
      </c>
      <c r="D5114" t="inlineStr">
        <is>
          <t>UPPSALA LÄN</t>
        </is>
      </c>
      <c r="E5114" t="inlineStr">
        <is>
          <t>UPPSALA</t>
        </is>
      </c>
      <c r="F5114" t="inlineStr">
        <is>
          <t>Bergvik skog öst AB</t>
        </is>
      </c>
      <c r="G5114" t="n">
        <v>4</v>
      </c>
      <c r="H5114" t="n">
        <v>0</v>
      </c>
      <c r="I5114" t="n">
        <v>0</v>
      </c>
      <c r="J5114" t="n">
        <v>0</v>
      </c>
      <c r="K5114" t="n">
        <v>0</v>
      </c>
      <c r="L5114" t="n">
        <v>0</v>
      </c>
      <c r="M5114" t="n">
        <v>0</v>
      </c>
      <c r="N5114" t="n">
        <v>0</v>
      </c>
      <c r="O5114" t="n">
        <v>0</v>
      </c>
      <c r="P5114" t="n">
        <v>0</v>
      </c>
      <c r="Q5114" t="n">
        <v>0</v>
      </c>
      <c r="R5114" s="2" t="inlineStr"/>
    </row>
    <row r="5115" ht="15" customHeight="1">
      <c r="A5115" t="inlineStr">
        <is>
          <t>A 9609-2024</t>
        </is>
      </c>
      <c r="B5115" s="1" t="n">
        <v>45361</v>
      </c>
      <c r="C5115" s="1" t="n">
        <v>45705</v>
      </c>
      <c r="D5115" t="inlineStr">
        <is>
          <t>UPPSALA LÄN</t>
        </is>
      </c>
      <c r="E5115" t="inlineStr">
        <is>
          <t>UPPSALA</t>
        </is>
      </c>
      <c r="F5115" t="inlineStr">
        <is>
          <t>Bergvik skog öst AB</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9610-2024</t>
        </is>
      </c>
      <c r="B5116" s="1" t="n">
        <v>45361</v>
      </c>
      <c r="C5116" s="1" t="n">
        <v>45705</v>
      </c>
      <c r="D5116" t="inlineStr">
        <is>
          <t>UPPSALA LÄN</t>
        </is>
      </c>
      <c r="E5116" t="inlineStr">
        <is>
          <t>UPPSALA</t>
        </is>
      </c>
      <c r="F5116" t="inlineStr">
        <is>
          <t>Bergvik skog öst AB</t>
        </is>
      </c>
      <c r="G5116" t="n">
        <v>7.3</v>
      </c>
      <c r="H5116" t="n">
        <v>0</v>
      </c>
      <c r="I5116" t="n">
        <v>0</v>
      </c>
      <c r="J5116" t="n">
        <v>0</v>
      </c>
      <c r="K5116" t="n">
        <v>0</v>
      </c>
      <c r="L5116" t="n">
        <v>0</v>
      </c>
      <c r="M5116" t="n">
        <v>0</v>
      </c>
      <c r="N5116" t="n">
        <v>0</v>
      </c>
      <c r="O5116" t="n">
        <v>0</v>
      </c>
      <c r="P5116" t="n">
        <v>0</v>
      </c>
      <c r="Q5116" t="n">
        <v>0</v>
      </c>
      <c r="R5116" s="2" t="inlineStr"/>
    </row>
    <row r="5117" ht="15" customHeight="1">
      <c r="A5117" t="inlineStr">
        <is>
          <t>A 9625-2024</t>
        </is>
      </c>
      <c r="B5117" s="1" t="n">
        <v>45361</v>
      </c>
      <c r="C5117" s="1" t="n">
        <v>45705</v>
      </c>
      <c r="D5117" t="inlineStr">
        <is>
          <t>UPPSALA LÄN</t>
        </is>
      </c>
      <c r="E5117" t="inlineStr">
        <is>
          <t>UPPSALA</t>
        </is>
      </c>
      <c r="F5117" t="inlineStr">
        <is>
          <t>Bergvik skog öst AB</t>
        </is>
      </c>
      <c r="G5117" t="n">
        <v>5.9</v>
      </c>
      <c r="H5117" t="n">
        <v>0</v>
      </c>
      <c r="I5117" t="n">
        <v>0</v>
      </c>
      <c r="J5117" t="n">
        <v>0</v>
      </c>
      <c r="K5117" t="n">
        <v>0</v>
      </c>
      <c r="L5117" t="n">
        <v>0</v>
      </c>
      <c r="M5117" t="n">
        <v>0</v>
      </c>
      <c r="N5117" t="n">
        <v>0</v>
      </c>
      <c r="O5117" t="n">
        <v>0</v>
      </c>
      <c r="P5117" t="n">
        <v>0</v>
      </c>
      <c r="Q5117" t="n">
        <v>0</v>
      </c>
      <c r="R5117" s="2" t="inlineStr"/>
    </row>
    <row r="5118" ht="15" customHeight="1">
      <c r="A5118" t="inlineStr">
        <is>
          <t>A 9611-2024</t>
        </is>
      </c>
      <c r="B5118" s="1" t="n">
        <v>45361</v>
      </c>
      <c r="C5118" s="1" t="n">
        <v>45705</v>
      </c>
      <c r="D5118" t="inlineStr">
        <is>
          <t>UPPSALA LÄN</t>
        </is>
      </c>
      <c r="E5118" t="inlineStr">
        <is>
          <t>UPPSALA</t>
        </is>
      </c>
      <c r="F5118" t="inlineStr">
        <is>
          <t>Bergvik skog öst AB</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9686-2024</t>
        </is>
      </c>
      <c r="B5119" s="1" t="n">
        <v>45362</v>
      </c>
      <c r="C5119" s="1" t="n">
        <v>45705</v>
      </c>
      <c r="D5119" t="inlineStr">
        <is>
          <t>UPPSALA LÄN</t>
        </is>
      </c>
      <c r="E5119" t="inlineStr">
        <is>
          <t>HEBY</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9681-2024</t>
        </is>
      </c>
      <c r="B5120" s="1" t="n">
        <v>45362</v>
      </c>
      <c r="C5120" s="1" t="n">
        <v>45705</v>
      </c>
      <c r="D5120" t="inlineStr">
        <is>
          <t>UPPSALA LÄN</t>
        </is>
      </c>
      <c r="E5120" t="inlineStr">
        <is>
          <t>HEBY</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9735-2024</t>
        </is>
      </c>
      <c r="B5121" s="1" t="n">
        <v>45362</v>
      </c>
      <c r="C5121" s="1" t="n">
        <v>45705</v>
      </c>
      <c r="D5121" t="inlineStr">
        <is>
          <t>UPPSALA LÄN</t>
        </is>
      </c>
      <c r="E5121" t="inlineStr">
        <is>
          <t>UPPSALA</t>
        </is>
      </c>
      <c r="F5121" t="inlineStr">
        <is>
          <t>Bergvik skog öst AB</t>
        </is>
      </c>
      <c r="G5121" t="n">
        <v>13.6</v>
      </c>
      <c r="H5121" t="n">
        <v>0</v>
      </c>
      <c r="I5121" t="n">
        <v>0</v>
      </c>
      <c r="J5121" t="n">
        <v>0</v>
      </c>
      <c r="K5121" t="n">
        <v>0</v>
      </c>
      <c r="L5121" t="n">
        <v>0</v>
      </c>
      <c r="M5121" t="n">
        <v>0</v>
      </c>
      <c r="N5121" t="n">
        <v>0</v>
      </c>
      <c r="O5121" t="n">
        <v>0</v>
      </c>
      <c r="P5121" t="n">
        <v>0</v>
      </c>
      <c r="Q5121" t="n">
        <v>0</v>
      </c>
      <c r="R5121" s="2" t="inlineStr"/>
    </row>
    <row r="5122" ht="15" customHeight="1">
      <c r="A5122" t="inlineStr">
        <is>
          <t>A 9642-2024</t>
        </is>
      </c>
      <c r="B5122" s="1" t="n">
        <v>45362</v>
      </c>
      <c r="C5122" s="1" t="n">
        <v>45705</v>
      </c>
      <c r="D5122" t="inlineStr">
        <is>
          <t>UPPSALA LÄN</t>
        </is>
      </c>
      <c r="E5122" t="inlineStr">
        <is>
          <t>ÖSTHAMMAR</t>
        </is>
      </c>
      <c r="G5122" t="n">
        <v>3.1</v>
      </c>
      <c r="H5122" t="n">
        <v>0</v>
      </c>
      <c r="I5122" t="n">
        <v>0</v>
      </c>
      <c r="J5122" t="n">
        <v>0</v>
      </c>
      <c r="K5122" t="n">
        <v>0</v>
      </c>
      <c r="L5122" t="n">
        <v>0</v>
      </c>
      <c r="M5122" t="n">
        <v>0</v>
      </c>
      <c r="N5122" t="n">
        <v>0</v>
      </c>
      <c r="O5122" t="n">
        <v>0</v>
      </c>
      <c r="P5122" t="n">
        <v>0</v>
      </c>
      <c r="Q5122" t="n">
        <v>0</v>
      </c>
      <c r="R5122" s="2" t="inlineStr"/>
    </row>
    <row r="5123" ht="15" customHeight="1">
      <c r="A5123" t="inlineStr">
        <is>
          <t>A 9667-2024</t>
        </is>
      </c>
      <c r="B5123" s="1" t="n">
        <v>45362</v>
      </c>
      <c r="C5123" s="1" t="n">
        <v>45705</v>
      </c>
      <c r="D5123" t="inlineStr">
        <is>
          <t>UPPSALA LÄN</t>
        </is>
      </c>
      <c r="E5123" t="inlineStr">
        <is>
          <t>ENKÖPING</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9675-2024</t>
        </is>
      </c>
      <c r="B5124" s="1" t="n">
        <v>45362</v>
      </c>
      <c r="C5124" s="1" t="n">
        <v>45705</v>
      </c>
      <c r="D5124" t="inlineStr">
        <is>
          <t>UPPSALA LÄN</t>
        </is>
      </c>
      <c r="E5124" t="inlineStr">
        <is>
          <t>UPPSALA</t>
        </is>
      </c>
      <c r="F5124" t="inlineStr">
        <is>
          <t>Bergvik skog öst AB</t>
        </is>
      </c>
      <c r="G5124" t="n">
        <v>0.3</v>
      </c>
      <c r="H5124" t="n">
        <v>0</v>
      </c>
      <c r="I5124" t="n">
        <v>0</v>
      </c>
      <c r="J5124" t="n">
        <v>0</v>
      </c>
      <c r="K5124" t="n">
        <v>0</v>
      </c>
      <c r="L5124" t="n">
        <v>0</v>
      </c>
      <c r="M5124" t="n">
        <v>0</v>
      </c>
      <c r="N5124" t="n">
        <v>0</v>
      </c>
      <c r="O5124" t="n">
        <v>0</v>
      </c>
      <c r="P5124" t="n">
        <v>0</v>
      </c>
      <c r="Q5124" t="n">
        <v>0</v>
      </c>
      <c r="R5124" s="2" t="inlineStr"/>
    </row>
    <row r="5125" ht="15" customHeight="1">
      <c r="A5125" t="inlineStr">
        <is>
          <t>A 9914-2024</t>
        </is>
      </c>
      <c r="B5125" s="1" t="n">
        <v>45363</v>
      </c>
      <c r="C5125" s="1" t="n">
        <v>45705</v>
      </c>
      <c r="D5125" t="inlineStr">
        <is>
          <t>UPPSALA LÄN</t>
        </is>
      </c>
      <c r="E5125" t="inlineStr">
        <is>
          <t>UPPSALA</t>
        </is>
      </c>
      <c r="F5125" t="inlineStr">
        <is>
          <t>Bergvik skog väst AB</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9927-2024</t>
        </is>
      </c>
      <c r="B5126" s="1" t="n">
        <v>45363</v>
      </c>
      <c r="C5126" s="1" t="n">
        <v>45705</v>
      </c>
      <c r="D5126" t="inlineStr">
        <is>
          <t>UPPSALA LÄN</t>
        </is>
      </c>
      <c r="E5126" t="inlineStr">
        <is>
          <t>ÖSTHAMMAR</t>
        </is>
      </c>
      <c r="G5126" t="n">
        <v>3.4</v>
      </c>
      <c r="H5126" t="n">
        <v>0</v>
      </c>
      <c r="I5126" t="n">
        <v>0</v>
      </c>
      <c r="J5126" t="n">
        <v>0</v>
      </c>
      <c r="K5126" t="n">
        <v>0</v>
      </c>
      <c r="L5126" t="n">
        <v>0</v>
      </c>
      <c r="M5126" t="n">
        <v>0</v>
      </c>
      <c r="N5126" t="n">
        <v>0</v>
      </c>
      <c r="O5126" t="n">
        <v>0</v>
      </c>
      <c r="P5126" t="n">
        <v>0</v>
      </c>
      <c r="Q5126" t="n">
        <v>0</v>
      </c>
      <c r="R5126" s="2" t="inlineStr"/>
    </row>
    <row r="5127" ht="15" customHeight="1">
      <c r="A5127" t="inlineStr">
        <is>
          <t>A 9917-2024</t>
        </is>
      </c>
      <c r="B5127" s="1" t="n">
        <v>45363</v>
      </c>
      <c r="C5127" s="1" t="n">
        <v>45705</v>
      </c>
      <c r="D5127" t="inlineStr">
        <is>
          <t>UPPSALA LÄN</t>
        </is>
      </c>
      <c r="E5127" t="inlineStr">
        <is>
          <t>UPPSALA</t>
        </is>
      </c>
      <c r="F5127" t="inlineStr">
        <is>
          <t>Bergvik skog väst AB</t>
        </is>
      </c>
      <c r="G5127" t="n">
        <v>7.1</v>
      </c>
      <c r="H5127" t="n">
        <v>0</v>
      </c>
      <c r="I5127" t="n">
        <v>0</v>
      </c>
      <c r="J5127" t="n">
        <v>0</v>
      </c>
      <c r="K5127" t="n">
        <v>0</v>
      </c>
      <c r="L5127" t="n">
        <v>0</v>
      </c>
      <c r="M5127" t="n">
        <v>0</v>
      </c>
      <c r="N5127" t="n">
        <v>0</v>
      </c>
      <c r="O5127" t="n">
        <v>0</v>
      </c>
      <c r="P5127" t="n">
        <v>0</v>
      </c>
      <c r="Q5127" t="n">
        <v>0</v>
      </c>
      <c r="R5127" s="2" t="inlineStr"/>
    </row>
    <row r="5128" ht="15" customHeight="1">
      <c r="A5128" t="inlineStr">
        <is>
          <t>A 10015-2024</t>
        </is>
      </c>
      <c r="B5128" s="1" t="n">
        <v>45363</v>
      </c>
      <c r="C5128" s="1" t="n">
        <v>45705</v>
      </c>
      <c r="D5128" t="inlineStr">
        <is>
          <t>UPPSALA LÄN</t>
        </is>
      </c>
      <c r="E5128" t="inlineStr">
        <is>
          <t>HEBY</t>
        </is>
      </c>
      <c r="G5128" t="n">
        <v>5.4</v>
      </c>
      <c r="H5128" t="n">
        <v>0</v>
      </c>
      <c r="I5128" t="n">
        <v>0</v>
      </c>
      <c r="J5128" t="n">
        <v>0</v>
      </c>
      <c r="K5128" t="n">
        <v>0</v>
      </c>
      <c r="L5128" t="n">
        <v>0</v>
      </c>
      <c r="M5128" t="n">
        <v>0</v>
      </c>
      <c r="N5128" t="n">
        <v>0</v>
      </c>
      <c r="O5128" t="n">
        <v>0</v>
      </c>
      <c r="P5128" t="n">
        <v>0</v>
      </c>
      <c r="Q5128" t="n">
        <v>0</v>
      </c>
      <c r="R5128" s="2" t="inlineStr"/>
    </row>
    <row r="5129" ht="15" customHeight="1">
      <c r="A5129" t="inlineStr">
        <is>
          <t>A 9970-2024</t>
        </is>
      </c>
      <c r="B5129" s="1" t="n">
        <v>45363</v>
      </c>
      <c r="C5129" s="1" t="n">
        <v>45705</v>
      </c>
      <c r="D5129" t="inlineStr">
        <is>
          <t>UPPSALA LÄN</t>
        </is>
      </c>
      <c r="E5129" t="inlineStr">
        <is>
          <t>KNIVSTA</t>
        </is>
      </c>
      <c r="F5129" t="inlineStr">
        <is>
          <t>Holmen skog AB</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10069-2024</t>
        </is>
      </c>
      <c r="B5130" s="1" t="n">
        <v>45364</v>
      </c>
      <c r="C5130" s="1" t="n">
        <v>45705</v>
      </c>
      <c r="D5130" t="inlineStr">
        <is>
          <t>UPPSALA LÄN</t>
        </is>
      </c>
      <c r="E5130" t="inlineStr">
        <is>
          <t>HEBY</t>
        </is>
      </c>
      <c r="G5130" t="n">
        <v>3.8</v>
      </c>
      <c r="H5130" t="n">
        <v>0</v>
      </c>
      <c r="I5130" t="n">
        <v>0</v>
      </c>
      <c r="J5130" t="n">
        <v>0</v>
      </c>
      <c r="K5130" t="n">
        <v>0</v>
      </c>
      <c r="L5130" t="n">
        <v>0</v>
      </c>
      <c r="M5130" t="n">
        <v>0</v>
      </c>
      <c r="N5130" t="n">
        <v>0</v>
      </c>
      <c r="O5130" t="n">
        <v>0</v>
      </c>
      <c r="P5130" t="n">
        <v>0</v>
      </c>
      <c r="Q5130" t="n">
        <v>0</v>
      </c>
      <c r="R5130" s="2" t="inlineStr"/>
    </row>
    <row r="5131" ht="15" customHeight="1">
      <c r="A5131" t="inlineStr">
        <is>
          <t>A 10066-2024</t>
        </is>
      </c>
      <c r="B5131" s="1" t="n">
        <v>45364</v>
      </c>
      <c r="C5131" s="1" t="n">
        <v>45705</v>
      </c>
      <c r="D5131" t="inlineStr">
        <is>
          <t>UPPSALA LÄN</t>
        </is>
      </c>
      <c r="E5131" t="inlineStr">
        <is>
          <t>HEBY</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10086-2024</t>
        </is>
      </c>
      <c r="B5132" s="1" t="n">
        <v>45364</v>
      </c>
      <c r="C5132" s="1" t="n">
        <v>45705</v>
      </c>
      <c r="D5132" t="inlineStr">
        <is>
          <t>UPPSALA LÄN</t>
        </is>
      </c>
      <c r="E5132" t="inlineStr">
        <is>
          <t>UPPSALA</t>
        </is>
      </c>
      <c r="F5132" t="inlineStr">
        <is>
          <t>Bergvik skog öst AB</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10146-2024</t>
        </is>
      </c>
      <c r="B5133" s="1" t="n">
        <v>45364</v>
      </c>
      <c r="C5133" s="1" t="n">
        <v>45705</v>
      </c>
      <c r="D5133" t="inlineStr">
        <is>
          <t>UPPSALA LÄN</t>
        </is>
      </c>
      <c r="E5133" t="inlineStr">
        <is>
          <t>UPPSALA</t>
        </is>
      </c>
      <c r="F5133" t="inlineStr">
        <is>
          <t>Bergvik skog öst AB</t>
        </is>
      </c>
      <c r="G5133" t="n">
        <v>8</v>
      </c>
      <c r="H5133" t="n">
        <v>0</v>
      </c>
      <c r="I5133" t="n">
        <v>0</v>
      </c>
      <c r="J5133" t="n">
        <v>0</v>
      </c>
      <c r="K5133" t="n">
        <v>0</v>
      </c>
      <c r="L5133" t="n">
        <v>0</v>
      </c>
      <c r="M5133" t="n">
        <v>0</v>
      </c>
      <c r="N5133" t="n">
        <v>0</v>
      </c>
      <c r="O5133" t="n">
        <v>0</v>
      </c>
      <c r="P5133" t="n">
        <v>0</v>
      </c>
      <c r="Q5133" t="n">
        <v>0</v>
      </c>
      <c r="R5133" s="2" t="inlineStr"/>
    </row>
    <row r="5134" ht="15" customHeight="1">
      <c r="A5134" t="inlineStr">
        <is>
          <t>A 10072-2024</t>
        </is>
      </c>
      <c r="B5134" s="1" t="n">
        <v>45364</v>
      </c>
      <c r="C5134" s="1" t="n">
        <v>45705</v>
      </c>
      <c r="D5134" t="inlineStr">
        <is>
          <t>UPPSALA LÄN</t>
        </is>
      </c>
      <c r="E5134" t="inlineStr">
        <is>
          <t>HEBY</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10269-2024</t>
        </is>
      </c>
      <c r="B5135" s="1" t="n">
        <v>45365</v>
      </c>
      <c r="C5135" s="1" t="n">
        <v>45705</v>
      </c>
      <c r="D5135" t="inlineStr">
        <is>
          <t>UPPSALA LÄN</t>
        </is>
      </c>
      <c r="E5135" t="inlineStr">
        <is>
          <t>HEBY</t>
        </is>
      </c>
      <c r="G5135" t="n">
        <v>4.4</v>
      </c>
      <c r="H5135" t="n">
        <v>0</v>
      </c>
      <c r="I5135" t="n">
        <v>0</v>
      </c>
      <c r="J5135" t="n">
        <v>0</v>
      </c>
      <c r="K5135" t="n">
        <v>0</v>
      </c>
      <c r="L5135" t="n">
        <v>0</v>
      </c>
      <c r="M5135" t="n">
        <v>0</v>
      </c>
      <c r="N5135" t="n">
        <v>0</v>
      </c>
      <c r="O5135" t="n">
        <v>0</v>
      </c>
      <c r="P5135" t="n">
        <v>0</v>
      </c>
      <c r="Q5135" t="n">
        <v>0</v>
      </c>
      <c r="R5135" s="2" t="inlineStr"/>
    </row>
    <row r="5136" ht="15" customHeight="1">
      <c r="A5136" t="inlineStr">
        <is>
          <t>A 10430-2024</t>
        </is>
      </c>
      <c r="B5136" s="1" t="n">
        <v>45365</v>
      </c>
      <c r="C5136" s="1" t="n">
        <v>45705</v>
      </c>
      <c r="D5136" t="inlineStr">
        <is>
          <t>UPPSALA LÄN</t>
        </is>
      </c>
      <c r="E5136" t="inlineStr">
        <is>
          <t>ÖSTHAMMAR</t>
        </is>
      </c>
      <c r="F5136" t="inlineStr">
        <is>
          <t>Bergvik skog öst AB</t>
        </is>
      </c>
      <c r="G5136" t="n">
        <v>5.8</v>
      </c>
      <c r="H5136" t="n">
        <v>0</v>
      </c>
      <c r="I5136" t="n">
        <v>0</v>
      </c>
      <c r="J5136" t="n">
        <v>0</v>
      </c>
      <c r="K5136" t="n">
        <v>0</v>
      </c>
      <c r="L5136" t="n">
        <v>0</v>
      </c>
      <c r="M5136" t="n">
        <v>0</v>
      </c>
      <c r="N5136" t="n">
        <v>0</v>
      </c>
      <c r="O5136" t="n">
        <v>0</v>
      </c>
      <c r="P5136" t="n">
        <v>0</v>
      </c>
      <c r="Q5136" t="n">
        <v>0</v>
      </c>
      <c r="R5136" s="2" t="inlineStr"/>
    </row>
    <row r="5137" ht="15" customHeight="1">
      <c r="A5137" t="inlineStr">
        <is>
          <t>A 10429-2024</t>
        </is>
      </c>
      <c r="B5137" s="1" t="n">
        <v>45365</v>
      </c>
      <c r="C5137" s="1" t="n">
        <v>45705</v>
      </c>
      <c r="D5137" t="inlineStr">
        <is>
          <t>UPPSALA LÄN</t>
        </is>
      </c>
      <c r="E5137" t="inlineStr">
        <is>
          <t>ÖSTHAMMAR</t>
        </is>
      </c>
      <c r="F5137" t="inlineStr">
        <is>
          <t>Bergvik skog öst AB</t>
        </is>
      </c>
      <c r="G5137" t="n">
        <v>5.9</v>
      </c>
      <c r="H5137" t="n">
        <v>0</v>
      </c>
      <c r="I5137" t="n">
        <v>0</v>
      </c>
      <c r="J5137" t="n">
        <v>0</v>
      </c>
      <c r="K5137" t="n">
        <v>0</v>
      </c>
      <c r="L5137" t="n">
        <v>0</v>
      </c>
      <c r="M5137" t="n">
        <v>0</v>
      </c>
      <c r="N5137" t="n">
        <v>0</v>
      </c>
      <c r="O5137" t="n">
        <v>0</v>
      </c>
      <c r="P5137" t="n">
        <v>0</v>
      </c>
      <c r="Q5137" t="n">
        <v>0</v>
      </c>
      <c r="R5137" s="2" t="inlineStr"/>
    </row>
    <row r="5138" ht="15" customHeight="1">
      <c r="A5138" t="inlineStr">
        <is>
          <t>A 10431-2024</t>
        </is>
      </c>
      <c r="B5138" s="1" t="n">
        <v>45365</v>
      </c>
      <c r="C5138" s="1" t="n">
        <v>45705</v>
      </c>
      <c r="D5138" t="inlineStr">
        <is>
          <t>UPPSALA LÄN</t>
        </is>
      </c>
      <c r="E5138" t="inlineStr">
        <is>
          <t>ÖSTHAMMAR</t>
        </is>
      </c>
      <c r="F5138" t="inlineStr">
        <is>
          <t>Bergvik skog öst AB</t>
        </is>
      </c>
      <c r="G5138" t="n">
        <v>13.2</v>
      </c>
      <c r="H5138" t="n">
        <v>0</v>
      </c>
      <c r="I5138" t="n">
        <v>0</v>
      </c>
      <c r="J5138" t="n">
        <v>0</v>
      </c>
      <c r="K5138" t="n">
        <v>0</v>
      </c>
      <c r="L5138" t="n">
        <v>0</v>
      </c>
      <c r="M5138" t="n">
        <v>0</v>
      </c>
      <c r="N5138" t="n">
        <v>0</v>
      </c>
      <c r="O5138" t="n">
        <v>0</v>
      </c>
      <c r="P5138" t="n">
        <v>0</v>
      </c>
      <c r="Q5138" t="n">
        <v>0</v>
      </c>
      <c r="R5138" s="2" t="inlineStr"/>
    </row>
    <row r="5139" ht="15" customHeight="1">
      <c r="A5139" t="inlineStr">
        <is>
          <t>A 10477-2024</t>
        </is>
      </c>
      <c r="B5139" s="1" t="n">
        <v>45366</v>
      </c>
      <c r="C5139" s="1" t="n">
        <v>45705</v>
      </c>
      <c r="D5139" t="inlineStr">
        <is>
          <t>UPPSALA LÄN</t>
        </is>
      </c>
      <c r="E5139" t="inlineStr">
        <is>
          <t>UPPSALA</t>
        </is>
      </c>
      <c r="F5139" t="inlineStr">
        <is>
          <t>Holmen skog AB</t>
        </is>
      </c>
      <c r="G5139" t="n">
        <v>5.2</v>
      </c>
      <c r="H5139" t="n">
        <v>0</v>
      </c>
      <c r="I5139" t="n">
        <v>0</v>
      </c>
      <c r="J5139" t="n">
        <v>0</v>
      </c>
      <c r="K5139" t="n">
        <v>0</v>
      </c>
      <c r="L5139" t="n">
        <v>0</v>
      </c>
      <c r="M5139" t="n">
        <v>0</v>
      </c>
      <c r="N5139" t="n">
        <v>0</v>
      </c>
      <c r="O5139" t="n">
        <v>0</v>
      </c>
      <c r="P5139" t="n">
        <v>0</v>
      </c>
      <c r="Q5139" t="n">
        <v>0</v>
      </c>
      <c r="R5139" s="2" t="inlineStr"/>
    </row>
    <row r="5140" ht="15" customHeight="1">
      <c r="A5140" t="inlineStr">
        <is>
          <t>A 10534-2024</t>
        </is>
      </c>
      <c r="B5140" s="1" t="n">
        <v>45366</v>
      </c>
      <c r="C5140" s="1" t="n">
        <v>45705</v>
      </c>
      <c r="D5140" t="inlineStr">
        <is>
          <t>UPPSALA LÄN</t>
        </is>
      </c>
      <c r="E5140" t="inlineStr">
        <is>
          <t>HEBY</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10550-2024</t>
        </is>
      </c>
      <c r="B5141" s="1" t="n">
        <v>45366</v>
      </c>
      <c r="C5141" s="1" t="n">
        <v>45705</v>
      </c>
      <c r="D5141" t="inlineStr">
        <is>
          <t>UPPSALA LÄN</t>
        </is>
      </c>
      <c r="E5141" t="inlineStr">
        <is>
          <t>TIERP</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10474-2024</t>
        </is>
      </c>
      <c r="B5142" s="1" t="n">
        <v>45366</v>
      </c>
      <c r="C5142" s="1" t="n">
        <v>45705</v>
      </c>
      <c r="D5142" t="inlineStr">
        <is>
          <t>UPPSALA LÄN</t>
        </is>
      </c>
      <c r="E5142" t="inlineStr">
        <is>
          <t>UPPSALA</t>
        </is>
      </c>
      <c r="F5142" t="inlineStr">
        <is>
          <t>Holmen skog AB</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10551-2024</t>
        </is>
      </c>
      <c r="B5143" s="1" t="n">
        <v>45366</v>
      </c>
      <c r="C5143" s="1" t="n">
        <v>45705</v>
      </c>
      <c r="D5143" t="inlineStr">
        <is>
          <t>UPPSALA LÄN</t>
        </is>
      </c>
      <c r="E5143" t="inlineStr">
        <is>
          <t>TIERP</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10638-2024</t>
        </is>
      </c>
      <c r="B5144" s="1" t="n">
        <v>45367</v>
      </c>
      <c r="C5144" s="1" t="n">
        <v>45705</v>
      </c>
      <c r="D5144" t="inlineStr">
        <is>
          <t>UPPSALA LÄN</t>
        </is>
      </c>
      <c r="E5144" t="inlineStr">
        <is>
          <t>ÖSTHAMMAR</t>
        </is>
      </c>
      <c r="F5144" t="inlineStr">
        <is>
          <t>Bergvik skog öst AB</t>
        </is>
      </c>
      <c r="G5144" t="n">
        <v>9.800000000000001</v>
      </c>
      <c r="H5144" t="n">
        <v>0</v>
      </c>
      <c r="I5144" t="n">
        <v>0</v>
      </c>
      <c r="J5144" t="n">
        <v>0</v>
      </c>
      <c r="K5144" t="n">
        <v>0</v>
      </c>
      <c r="L5144" t="n">
        <v>0</v>
      </c>
      <c r="M5144" t="n">
        <v>0</v>
      </c>
      <c r="N5144" t="n">
        <v>0</v>
      </c>
      <c r="O5144" t="n">
        <v>0</v>
      </c>
      <c r="P5144" t="n">
        <v>0</v>
      </c>
      <c r="Q5144" t="n">
        <v>0</v>
      </c>
      <c r="R5144" s="2" t="inlineStr"/>
    </row>
    <row r="5145" ht="15" customHeight="1">
      <c r="A5145" t="inlineStr">
        <is>
          <t>A 10650-2024</t>
        </is>
      </c>
      <c r="B5145" s="1" t="n">
        <v>45368</v>
      </c>
      <c r="C5145" s="1" t="n">
        <v>45705</v>
      </c>
      <c r="D5145" t="inlineStr">
        <is>
          <t>UPPSALA LÄN</t>
        </is>
      </c>
      <c r="E5145" t="inlineStr">
        <is>
          <t>UPPSALA</t>
        </is>
      </c>
      <c r="F5145" t="inlineStr">
        <is>
          <t>Bergvik skog öst AB</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10651-2024</t>
        </is>
      </c>
      <c r="B5146" s="1" t="n">
        <v>45368</v>
      </c>
      <c r="C5146" s="1" t="n">
        <v>45705</v>
      </c>
      <c r="D5146" t="inlineStr">
        <is>
          <t>UPPSALA LÄN</t>
        </is>
      </c>
      <c r="E5146" t="inlineStr">
        <is>
          <t>UPPSALA</t>
        </is>
      </c>
      <c r="F5146" t="inlineStr">
        <is>
          <t>Bergvik skog öst AB</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10653-2024</t>
        </is>
      </c>
      <c r="B5147" s="1" t="n">
        <v>45368</v>
      </c>
      <c r="C5147" s="1" t="n">
        <v>45705</v>
      </c>
      <c r="D5147" t="inlineStr">
        <is>
          <t>UPPSALA LÄN</t>
        </is>
      </c>
      <c r="E5147" t="inlineStr">
        <is>
          <t>UPPSALA</t>
        </is>
      </c>
      <c r="F5147" t="inlineStr">
        <is>
          <t>Bergvik skog öst AB</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10652-2024</t>
        </is>
      </c>
      <c r="B5148" s="1" t="n">
        <v>45368</v>
      </c>
      <c r="C5148" s="1" t="n">
        <v>45705</v>
      </c>
      <c r="D5148" t="inlineStr">
        <is>
          <t>UPPSALA LÄN</t>
        </is>
      </c>
      <c r="E5148" t="inlineStr">
        <is>
          <t>UPPSALA</t>
        </is>
      </c>
      <c r="F5148" t="inlineStr">
        <is>
          <t>Bergvik skog öst AB</t>
        </is>
      </c>
      <c r="G5148" t="n">
        <v>5.5</v>
      </c>
      <c r="H5148" t="n">
        <v>0</v>
      </c>
      <c r="I5148" t="n">
        <v>0</v>
      </c>
      <c r="J5148" t="n">
        <v>0</v>
      </c>
      <c r="K5148" t="n">
        <v>0</v>
      </c>
      <c r="L5148" t="n">
        <v>0</v>
      </c>
      <c r="M5148" t="n">
        <v>0</v>
      </c>
      <c r="N5148" t="n">
        <v>0</v>
      </c>
      <c r="O5148" t="n">
        <v>0</v>
      </c>
      <c r="P5148" t="n">
        <v>0</v>
      </c>
      <c r="Q5148" t="n">
        <v>0</v>
      </c>
      <c r="R5148" s="2" t="inlineStr"/>
    </row>
    <row r="5149" ht="15" customHeight="1">
      <c r="A5149" t="inlineStr">
        <is>
          <t>A 10829-2024</t>
        </is>
      </c>
      <c r="B5149" s="1" t="n">
        <v>45369</v>
      </c>
      <c r="C5149" s="1" t="n">
        <v>45705</v>
      </c>
      <c r="D5149" t="inlineStr">
        <is>
          <t>UPPSALA LÄN</t>
        </is>
      </c>
      <c r="E5149" t="inlineStr">
        <is>
          <t>ENKÖPING</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10756-2024</t>
        </is>
      </c>
      <c r="B5150" s="1" t="n">
        <v>45369</v>
      </c>
      <c r="C5150" s="1" t="n">
        <v>45705</v>
      </c>
      <c r="D5150" t="inlineStr">
        <is>
          <t>UPPSALA LÄN</t>
        </is>
      </c>
      <c r="E5150" t="inlineStr">
        <is>
          <t>ENKÖPING</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10752-2024</t>
        </is>
      </c>
      <c r="B5151" s="1" t="n">
        <v>45369</v>
      </c>
      <c r="C5151" s="1" t="n">
        <v>45705</v>
      </c>
      <c r="D5151" t="inlineStr">
        <is>
          <t>UPPSALA LÄN</t>
        </is>
      </c>
      <c r="E5151" t="inlineStr">
        <is>
          <t>ENKÖPING</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10832-2024</t>
        </is>
      </c>
      <c r="B5152" s="1" t="n">
        <v>45369</v>
      </c>
      <c r="C5152" s="1" t="n">
        <v>45705</v>
      </c>
      <c r="D5152" t="inlineStr">
        <is>
          <t>UPPSALA LÄN</t>
        </is>
      </c>
      <c r="E5152" t="inlineStr">
        <is>
          <t>ENKÖPING</t>
        </is>
      </c>
      <c r="G5152" t="n">
        <v>7.3</v>
      </c>
      <c r="H5152" t="n">
        <v>0</v>
      </c>
      <c r="I5152" t="n">
        <v>0</v>
      </c>
      <c r="J5152" t="n">
        <v>0</v>
      </c>
      <c r="K5152" t="n">
        <v>0</v>
      </c>
      <c r="L5152" t="n">
        <v>0</v>
      </c>
      <c r="M5152" t="n">
        <v>0</v>
      </c>
      <c r="N5152" t="n">
        <v>0</v>
      </c>
      <c r="O5152" t="n">
        <v>0</v>
      </c>
      <c r="P5152" t="n">
        <v>0</v>
      </c>
      <c r="Q5152" t="n">
        <v>0</v>
      </c>
      <c r="R5152" s="2" t="inlineStr"/>
    </row>
    <row r="5153" ht="15" customHeight="1">
      <c r="A5153" t="inlineStr">
        <is>
          <t>A 10660-2024</t>
        </is>
      </c>
      <c r="B5153" s="1" t="n">
        <v>45369</v>
      </c>
      <c r="C5153" s="1" t="n">
        <v>45705</v>
      </c>
      <c r="D5153" t="inlineStr">
        <is>
          <t>UPPSALA LÄN</t>
        </is>
      </c>
      <c r="E5153" t="inlineStr">
        <is>
          <t>TIERP</t>
        </is>
      </c>
      <c r="G5153" t="n">
        <v>9.5</v>
      </c>
      <c r="H5153" t="n">
        <v>0</v>
      </c>
      <c r="I5153" t="n">
        <v>0</v>
      </c>
      <c r="J5153" t="n">
        <v>0</v>
      </c>
      <c r="K5153" t="n">
        <v>0</v>
      </c>
      <c r="L5153" t="n">
        <v>0</v>
      </c>
      <c r="M5153" t="n">
        <v>0</v>
      </c>
      <c r="N5153" t="n">
        <v>0</v>
      </c>
      <c r="O5153" t="n">
        <v>0</v>
      </c>
      <c r="P5153" t="n">
        <v>0</v>
      </c>
      <c r="Q5153" t="n">
        <v>0</v>
      </c>
      <c r="R5153" s="2" t="inlineStr"/>
    </row>
    <row r="5154" ht="15" customHeight="1">
      <c r="A5154" t="inlineStr">
        <is>
          <t>A 10827-2024</t>
        </is>
      </c>
      <c r="B5154" s="1" t="n">
        <v>45369</v>
      </c>
      <c r="C5154" s="1" t="n">
        <v>45705</v>
      </c>
      <c r="D5154" t="inlineStr">
        <is>
          <t>UPPSALA LÄN</t>
        </is>
      </c>
      <c r="E5154" t="inlineStr">
        <is>
          <t>UPPSALA</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10831-2024</t>
        </is>
      </c>
      <c r="B5155" s="1" t="n">
        <v>45369</v>
      </c>
      <c r="C5155" s="1" t="n">
        <v>45705</v>
      </c>
      <c r="D5155" t="inlineStr">
        <is>
          <t>UPPSALA LÄN</t>
        </is>
      </c>
      <c r="E5155" t="inlineStr">
        <is>
          <t>ENKÖPING</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10782-2024</t>
        </is>
      </c>
      <c r="B5156" s="1" t="n">
        <v>45369</v>
      </c>
      <c r="C5156" s="1" t="n">
        <v>45705</v>
      </c>
      <c r="D5156" t="inlineStr">
        <is>
          <t>UPPSALA LÄN</t>
        </is>
      </c>
      <c r="E5156" t="inlineStr">
        <is>
          <t>UPPSALA</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10983-2024</t>
        </is>
      </c>
      <c r="B5157" s="1" t="n">
        <v>45370</v>
      </c>
      <c r="C5157" s="1" t="n">
        <v>45705</v>
      </c>
      <c r="D5157" t="inlineStr">
        <is>
          <t>UPPSALA LÄN</t>
        </is>
      </c>
      <c r="E5157" t="inlineStr">
        <is>
          <t>ÖSTHAMMAR</t>
        </is>
      </c>
      <c r="F5157" t="inlineStr">
        <is>
          <t>Bergvik skog öst AB</t>
        </is>
      </c>
      <c r="G5157" t="n">
        <v>13.2</v>
      </c>
      <c r="H5157" t="n">
        <v>0</v>
      </c>
      <c r="I5157" t="n">
        <v>0</v>
      </c>
      <c r="J5157" t="n">
        <v>0</v>
      </c>
      <c r="K5157" t="n">
        <v>0</v>
      </c>
      <c r="L5157" t="n">
        <v>0</v>
      </c>
      <c r="M5157" t="n">
        <v>0</v>
      </c>
      <c r="N5157" t="n">
        <v>0</v>
      </c>
      <c r="O5157" t="n">
        <v>0</v>
      </c>
      <c r="P5157" t="n">
        <v>0</v>
      </c>
      <c r="Q5157" t="n">
        <v>0</v>
      </c>
      <c r="R5157" s="2" t="inlineStr"/>
    </row>
    <row r="5158" ht="15" customHeight="1">
      <c r="A5158" t="inlineStr">
        <is>
          <t>A 11055-2024</t>
        </is>
      </c>
      <c r="B5158" s="1" t="n">
        <v>45370</v>
      </c>
      <c r="C5158" s="1" t="n">
        <v>45705</v>
      </c>
      <c r="D5158" t="inlineStr">
        <is>
          <t>UPPSALA LÄN</t>
        </is>
      </c>
      <c r="E5158" t="inlineStr">
        <is>
          <t>HEBY</t>
        </is>
      </c>
      <c r="F5158" t="inlineStr">
        <is>
          <t>Övriga Aktiebolag</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11057-2024</t>
        </is>
      </c>
      <c r="B5159" s="1" t="n">
        <v>45370</v>
      </c>
      <c r="C5159" s="1" t="n">
        <v>45705</v>
      </c>
      <c r="D5159" t="inlineStr">
        <is>
          <t>UPPSALA LÄN</t>
        </is>
      </c>
      <c r="E5159" t="inlineStr">
        <is>
          <t>HEBY</t>
        </is>
      </c>
      <c r="F5159" t="inlineStr">
        <is>
          <t>Övriga Aktiebolag</t>
        </is>
      </c>
      <c r="G5159" t="n">
        <v>4.6</v>
      </c>
      <c r="H5159" t="n">
        <v>0</v>
      </c>
      <c r="I5159" t="n">
        <v>0</v>
      </c>
      <c r="J5159" t="n">
        <v>0</v>
      </c>
      <c r="K5159" t="n">
        <v>0</v>
      </c>
      <c r="L5159" t="n">
        <v>0</v>
      </c>
      <c r="M5159" t="n">
        <v>0</v>
      </c>
      <c r="N5159" t="n">
        <v>0</v>
      </c>
      <c r="O5159" t="n">
        <v>0</v>
      </c>
      <c r="P5159" t="n">
        <v>0</v>
      </c>
      <c r="Q5159" t="n">
        <v>0</v>
      </c>
      <c r="R5159" s="2" t="inlineStr"/>
    </row>
    <row r="5160" ht="15" customHeight="1">
      <c r="A5160" t="inlineStr">
        <is>
          <t>A 10960-2024</t>
        </is>
      </c>
      <c r="B5160" s="1" t="n">
        <v>45370</v>
      </c>
      <c r="C5160" s="1" t="n">
        <v>45705</v>
      </c>
      <c r="D5160" t="inlineStr">
        <is>
          <t>UPPSALA LÄN</t>
        </is>
      </c>
      <c r="E5160" t="inlineStr">
        <is>
          <t>ÖSTHAMMAR</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11169-2024</t>
        </is>
      </c>
      <c r="B5161" s="1" t="n">
        <v>45371</v>
      </c>
      <c r="C5161" s="1" t="n">
        <v>45705</v>
      </c>
      <c r="D5161" t="inlineStr">
        <is>
          <t>UPPSALA LÄN</t>
        </is>
      </c>
      <c r="E5161" t="inlineStr">
        <is>
          <t>UPPSALA</t>
        </is>
      </c>
      <c r="F5161" t="inlineStr">
        <is>
          <t>Bergvik skog öst AB</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11173-2024</t>
        </is>
      </c>
      <c r="B5162" s="1" t="n">
        <v>45371</v>
      </c>
      <c r="C5162" s="1" t="n">
        <v>45705</v>
      </c>
      <c r="D5162" t="inlineStr">
        <is>
          <t>UPPSALA LÄN</t>
        </is>
      </c>
      <c r="E5162" t="inlineStr">
        <is>
          <t>UPPSALA</t>
        </is>
      </c>
      <c r="F5162" t="inlineStr">
        <is>
          <t>Bergvik skog öst AB</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11159-2024</t>
        </is>
      </c>
      <c r="B5163" s="1" t="n">
        <v>45371</v>
      </c>
      <c r="C5163" s="1" t="n">
        <v>45705</v>
      </c>
      <c r="D5163" t="inlineStr">
        <is>
          <t>UPPSALA LÄN</t>
        </is>
      </c>
      <c r="E5163" t="inlineStr">
        <is>
          <t>UPPSALA</t>
        </is>
      </c>
      <c r="F5163" t="inlineStr">
        <is>
          <t>Bergvik skog öst AB</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11191-2024</t>
        </is>
      </c>
      <c r="B5164" s="1" t="n">
        <v>45371</v>
      </c>
      <c r="C5164" s="1" t="n">
        <v>45705</v>
      </c>
      <c r="D5164" t="inlineStr">
        <is>
          <t>UPPSALA LÄN</t>
        </is>
      </c>
      <c r="E5164" t="inlineStr">
        <is>
          <t>UPPSALA</t>
        </is>
      </c>
      <c r="F5164" t="inlineStr">
        <is>
          <t>Allmännings- och besparingsskogar</t>
        </is>
      </c>
      <c r="G5164" t="n">
        <v>6.6</v>
      </c>
      <c r="H5164" t="n">
        <v>0</v>
      </c>
      <c r="I5164" t="n">
        <v>0</v>
      </c>
      <c r="J5164" t="n">
        <v>0</v>
      </c>
      <c r="K5164" t="n">
        <v>0</v>
      </c>
      <c r="L5164" t="n">
        <v>0</v>
      </c>
      <c r="M5164" t="n">
        <v>0</v>
      </c>
      <c r="N5164" t="n">
        <v>0</v>
      </c>
      <c r="O5164" t="n">
        <v>0</v>
      </c>
      <c r="P5164" t="n">
        <v>0</v>
      </c>
      <c r="Q5164" t="n">
        <v>0</v>
      </c>
      <c r="R5164" s="2" t="inlineStr"/>
    </row>
    <row r="5165" ht="15" customHeight="1">
      <c r="A5165" t="inlineStr">
        <is>
          <t>A 11166-2024</t>
        </is>
      </c>
      <c r="B5165" s="1" t="n">
        <v>45371</v>
      </c>
      <c r="C5165" s="1" t="n">
        <v>45705</v>
      </c>
      <c r="D5165" t="inlineStr">
        <is>
          <t>UPPSALA LÄN</t>
        </is>
      </c>
      <c r="E5165" t="inlineStr">
        <is>
          <t>UPPSALA</t>
        </is>
      </c>
      <c r="F5165" t="inlineStr">
        <is>
          <t>Bergvik skog öst AB</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11201-2024</t>
        </is>
      </c>
      <c r="B5166" s="1" t="n">
        <v>45371</v>
      </c>
      <c r="C5166" s="1" t="n">
        <v>45705</v>
      </c>
      <c r="D5166" t="inlineStr">
        <is>
          <t>UPPSALA LÄN</t>
        </is>
      </c>
      <c r="E5166" t="inlineStr">
        <is>
          <t>UPPSALA</t>
        </is>
      </c>
      <c r="F5166" t="inlineStr">
        <is>
          <t>Kommuner</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11277-2024</t>
        </is>
      </c>
      <c r="B5167" s="1" t="n">
        <v>45371</v>
      </c>
      <c r="C5167" s="1" t="n">
        <v>45705</v>
      </c>
      <c r="D5167" t="inlineStr">
        <is>
          <t>UPPSALA LÄN</t>
        </is>
      </c>
      <c r="E5167" t="inlineStr">
        <is>
          <t>UPPSALA</t>
        </is>
      </c>
      <c r="G5167" t="n">
        <v>3.2</v>
      </c>
      <c r="H5167" t="n">
        <v>0</v>
      </c>
      <c r="I5167" t="n">
        <v>0</v>
      </c>
      <c r="J5167" t="n">
        <v>0</v>
      </c>
      <c r="K5167" t="n">
        <v>0</v>
      </c>
      <c r="L5167" t="n">
        <v>0</v>
      </c>
      <c r="M5167" t="n">
        <v>0</v>
      </c>
      <c r="N5167" t="n">
        <v>0</v>
      </c>
      <c r="O5167" t="n">
        <v>0</v>
      </c>
      <c r="P5167" t="n">
        <v>0</v>
      </c>
      <c r="Q5167" t="n">
        <v>0</v>
      </c>
      <c r="R5167" s="2" t="inlineStr"/>
    </row>
    <row r="5168" ht="15" customHeight="1">
      <c r="A5168" t="inlineStr">
        <is>
          <t>A 11289-2024</t>
        </is>
      </c>
      <c r="B5168" s="1" t="n">
        <v>45371</v>
      </c>
      <c r="C5168" s="1" t="n">
        <v>45705</v>
      </c>
      <c r="D5168" t="inlineStr">
        <is>
          <t>UPPSALA LÄN</t>
        </is>
      </c>
      <c r="E5168" t="inlineStr">
        <is>
          <t>UPPSALA</t>
        </is>
      </c>
      <c r="F5168" t="inlineStr">
        <is>
          <t>Allmännings- och besparingsskogar</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11200-2024</t>
        </is>
      </c>
      <c r="B5169" s="1" t="n">
        <v>45371</v>
      </c>
      <c r="C5169" s="1" t="n">
        <v>45705</v>
      </c>
      <c r="D5169" t="inlineStr">
        <is>
          <t>UPPSALA LÄN</t>
        </is>
      </c>
      <c r="E5169" t="inlineStr">
        <is>
          <t>UPPSALA</t>
        </is>
      </c>
      <c r="F5169" t="inlineStr">
        <is>
          <t>Allmännings- och besparingsskogar</t>
        </is>
      </c>
      <c r="G5169" t="n">
        <v>22.8</v>
      </c>
      <c r="H5169" t="n">
        <v>0</v>
      </c>
      <c r="I5169" t="n">
        <v>0</v>
      </c>
      <c r="J5169" t="n">
        <v>0</v>
      </c>
      <c r="K5169" t="n">
        <v>0</v>
      </c>
      <c r="L5169" t="n">
        <v>0</v>
      </c>
      <c r="M5169" t="n">
        <v>0</v>
      </c>
      <c r="N5169" t="n">
        <v>0</v>
      </c>
      <c r="O5169" t="n">
        <v>0</v>
      </c>
      <c r="P5169" t="n">
        <v>0</v>
      </c>
      <c r="Q5169" t="n">
        <v>0</v>
      </c>
      <c r="R5169" s="2" t="inlineStr"/>
    </row>
    <row r="5170" ht="15" customHeight="1">
      <c r="A5170" t="inlineStr">
        <is>
          <t>A 11260-2024</t>
        </is>
      </c>
      <c r="B5170" s="1" t="n">
        <v>45371</v>
      </c>
      <c r="C5170" s="1" t="n">
        <v>45705</v>
      </c>
      <c r="D5170" t="inlineStr">
        <is>
          <t>UPPSALA LÄN</t>
        </is>
      </c>
      <c r="E5170" t="inlineStr">
        <is>
          <t>UPPSALA</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11367-2024</t>
        </is>
      </c>
      <c r="B5171" s="1" t="n">
        <v>45372</v>
      </c>
      <c r="C5171" s="1" t="n">
        <v>45705</v>
      </c>
      <c r="D5171" t="inlineStr">
        <is>
          <t>UPPSALA LÄN</t>
        </is>
      </c>
      <c r="E5171" t="inlineStr">
        <is>
          <t>ÖSTHAMMAR</t>
        </is>
      </c>
      <c r="F5171" t="inlineStr">
        <is>
          <t>Bergvik skog öst AB</t>
        </is>
      </c>
      <c r="G5171" t="n">
        <v>17.7</v>
      </c>
      <c r="H5171" t="n">
        <v>0</v>
      </c>
      <c r="I5171" t="n">
        <v>0</v>
      </c>
      <c r="J5171" t="n">
        <v>0</v>
      </c>
      <c r="K5171" t="n">
        <v>0</v>
      </c>
      <c r="L5171" t="n">
        <v>0</v>
      </c>
      <c r="M5171" t="n">
        <v>0</v>
      </c>
      <c r="N5171" t="n">
        <v>0</v>
      </c>
      <c r="O5171" t="n">
        <v>0</v>
      </c>
      <c r="P5171" t="n">
        <v>0</v>
      </c>
      <c r="Q5171" t="n">
        <v>0</v>
      </c>
      <c r="R5171" s="2" t="inlineStr"/>
    </row>
    <row r="5172" ht="15" customHeight="1">
      <c r="A5172" t="inlineStr">
        <is>
          <t>A 11385-2024</t>
        </is>
      </c>
      <c r="B5172" s="1" t="n">
        <v>45372</v>
      </c>
      <c r="C5172" s="1" t="n">
        <v>45705</v>
      </c>
      <c r="D5172" t="inlineStr">
        <is>
          <t>UPPSALA LÄN</t>
        </is>
      </c>
      <c r="E5172" t="inlineStr">
        <is>
          <t>ÖSTHAMMAR</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11445-2024</t>
        </is>
      </c>
      <c r="B5173" s="1" t="n">
        <v>45372</v>
      </c>
      <c r="C5173" s="1" t="n">
        <v>45705</v>
      </c>
      <c r="D5173" t="inlineStr">
        <is>
          <t>UPPSALA LÄN</t>
        </is>
      </c>
      <c r="E5173" t="inlineStr">
        <is>
          <t>TIERP</t>
        </is>
      </c>
      <c r="G5173" t="n">
        <v>7.2</v>
      </c>
      <c r="H5173" t="n">
        <v>0</v>
      </c>
      <c r="I5173" t="n">
        <v>0</v>
      </c>
      <c r="J5173" t="n">
        <v>0</v>
      </c>
      <c r="K5173" t="n">
        <v>0</v>
      </c>
      <c r="L5173" t="n">
        <v>0</v>
      </c>
      <c r="M5173" t="n">
        <v>0</v>
      </c>
      <c r="N5173" t="n">
        <v>0</v>
      </c>
      <c r="O5173" t="n">
        <v>0</v>
      </c>
      <c r="P5173" t="n">
        <v>0</v>
      </c>
      <c r="Q5173" t="n">
        <v>0</v>
      </c>
      <c r="R5173" s="2" t="inlineStr"/>
    </row>
    <row r="5174" ht="15" customHeight="1">
      <c r="A5174" t="inlineStr">
        <is>
          <t>A 11457-2024</t>
        </is>
      </c>
      <c r="B5174" s="1" t="n">
        <v>45372</v>
      </c>
      <c r="C5174" s="1" t="n">
        <v>45705</v>
      </c>
      <c r="D5174" t="inlineStr">
        <is>
          <t>UPPSALA LÄN</t>
        </is>
      </c>
      <c r="E5174" t="inlineStr">
        <is>
          <t>UPPSALA</t>
        </is>
      </c>
      <c r="F5174" t="inlineStr">
        <is>
          <t>Bergvik skog öst AB</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11447-2024</t>
        </is>
      </c>
      <c r="B5175" s="1" t="n">
        <v>45372</v>
      </c>
      <c r="C5175" s="1" t="n">
        <v>45705</v>
      </c>
      <c r="D5175" t="inlineStr">
        <is>
          <t>UPPSALA LÄN</t>
        </is>
      </c>
      <c r="E5175" t="inlineStr">
        <is>
          <t>TIERP</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11446-2024</t>
        </is>
      </c>
      <c r="B5176" s="1" t="n">
        <v>45372</v>
      </c>
      <c r="C5176" s="1" t="n">
        <v>45705</v>
      </c>
      <c r="D5176" t="inlineStr">
        <is>
          <t>UPPSALA LÄN</t>
        </is>
      </c>
      <c r="E5176" t="inlineStr">
        <is>
          <t>TIERP</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11448-2024</t>
        </is>
      </c>
      <c r="B5177" s="1" t="n">
        <v>45372</v>
      </c>
      <c r="C5177" s="1" t="n">
        <v>45705</v>
      </c>
      <c r="D5177" t="inlineStr">
        <is>
          <t>UPPSALA LÄN</t>
        </is>
      </c>
      <c r="E5177" t="inlineStr">
        <is>
          <t>TIERP</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11498-2024</t>
        </is>
      </c>
      <c r="B5178" s="1" t="n">
        <v>45372</v>
      </c>
      <c r="C5178" s="1" t="n">
        <v>45705</v>
      </c>
      <c r="D5178" t="inlineStr">
        <is>
          <t>UPPSALA LÄN</t>
        </is>
      </c>
      <c r="E5178" t="inlineStr">
        <is>
          <t>ÖSTHAMMAR</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11472-2024</t>
        </is>
      </c>
      <c r="B5179" s="1" t="n">
        <v>45372</v>
      </c>
      <c r="C5179" s="1" t="n">
        <v>45705</v>
      </c>
      <c r="D5179" t="inlineStr">
        <is>
          <t>UPPSALA LÄN</t>
        </is>
      </c>
      <c r="E5179" t="inlineStr">
        <is>
          <t>ÖSTHAMMAR</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11503-2024</t>
        </is>
      </c>
      <c r="B5180" s="1" t="n">
        <v>45372</v>
      </c>
      <c r="C5180" s="1" t="n">
        <v>45705</v>
      </c>
      <c r="D5180" t="inlineStr">
        <is>
          <t>UPPSALA LÄN</t>
        </is>
      </c>
      <c r="E5180" t="inlineStr">
        <is>
          <t>ENKÖPING</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11656-2024</t>
        </is>
      </c>
      <c r="B5181" s="1" t="n">
        <v>45373</v>
      </c>
      <c r="C5181" s="1" t="n">
        <v>45705</v>
      </c>
      <c r="D5181" t="inlineStr">
        <is>
          <t>UPPSALA LÄN</t>
        </is>
      </c>
      <c r="E5181" t="inlineStr">
        <is>
          <t>ÖSTHAMMAR</t>
        </is>
      </c>
      <c r="F5181" t="inlineStr">
        <is>
          <t>Övriga Aktiebolag</t>
        </is>
      </c>
      <c r="G5181" t="n">
        <v>5.7</v>
      </c>
      <c r="H5181" t="n">
        <v>0</v>
      </c>
      <c r="I5181" t="n">
        <v>0</v>
      </c>
      <c r="J5181" t="n">
        <v>0</v>
      </c>
      <c r="K5181" t="n">
        <v>0</v>
      </c>
      <c r="L5181" t="n">
        <v>0</v>
      </c>
      <c r="M5181" t="n">
        <v>0</v>
      </c>
      <c r="N5181" t="n">
        <v>0</v>
      </c>
      <c r="O5181" t="n">
        <v>0</v>
      </c>
      <c r="P5181" t="n">
        <v>0</v>
      </c>
      <c r="Q5181" t="n">
        <v>0</v>
      </c>
      <c r="R5181" s="2" t="inlineStr"/>
    </row>
    <row r="5182" ht="15" customHeight="1">
      <c r="A5182" t="inlineStr">
        <is>
          <t>A 11677-2024</t>
        </is>
      </c>
      <c r="B5182" s="1" t="n">
        <v>45373</v>
      </c>
      <c r="C5182" s="1" t="n">
        <v>45705</v>
      </c>
      <c r="D5182" t="inlineStr">
        <is>
          <t>UPPSALA LÄN</t>
        </is>
      </c>
      <c r="E5182" t="inlineStr">
        <is>
          <t>UPPSALA</t>
        </is>
      </c>
      <c r="F5182" t="inlineStr">
        <is>
          <t>Holmen skog AB</t>
        </is>
      </c>
      <c r="G5182" t="n">
        <v>14.4</v>
      </c>
      <c r="H5182" t="n">
        <v>0</v>
      </c>
      <c r="I5182" t="n">
        <v>0</v>
      </c>
      <c r="J5182" t="n">
        <v>0</v>
      </c>
      <c r="K5182" t="n">
        <v>0</v>
      </c>
      <c r="L5182" t="n">
        <v>0</v>
      </c>
      <c r="M5182" t="n">
        <v>0</v>
      </c>
      <c r="N5182" t="n">
        <v>0</v>
      </c>
      <c r="O5182" t="n">
        <v>0</v>
      </c>
      <c r="P5182" t="n">
        <v>0</v>
      </c>
      <c r="Q5182" t="n">
        <v>0</v>
      </c>
      <c r="R5182" s="2" t="inlineStr"/>
    </row>
    <row r="5183" ht="15" customHeight="1">
      <c r="A5183" t="inlineStr">
        <is>
          <t>A 11719-2024</t>
        </is>
      </c>
      <c r="B5183" s="1" t="n">
        <v>45373</v>
      </c>
      <c r="C5183" s="1" t="n">
        <v>45705</v>
      </c>
      <c r="D5183" t="inlineStr">
        <is>
          <t>UPPSALA LÄN</t>
        </is>
      </c>
      <c r="E5183" t="inlineStr">
        <is>
          <t>UPPSALA</t>
        </is>
      </c>
      <c r="F5183" t="inlineStr">
        <is>
          <t>Holmen skog AB</t>
        </is>
      </c>
      <c r="G5183" t="n">
        <v>18.3</v>
      </c>
      <c r="H5183" t="n">
        <v>0</v>
      </c>
      <c r="I5183" t="n">
        <v>0</v>
      </c>
      <c r="J5183" t="n">
        <v>0</v>
      </c>
      <c r="K5183" t="n">
        <v>0</v>
      </c>
      <c r="L5183" t="n">
        <v>0</v>
      </c>
      <c r="M5183" t="n">
        <v>0</v>
      </c>
      <c r="N5183" t="n">
        <v>0</v>
      </c>
      <c r="O5183" t="n">
        <v>0</v>
      </c>
      <c r="P5183" t="n">
        <v>0</v>
      </c>
      <c r="Q5183" t="n">
        <v>0</v>
      </c>
      <c r="R5183" s="2" t="inlineStr"/>
    </row>
    <row r="5184" ht="15" customHeight="1">
      <c r="A5184" t="inlineStr">
        <is>
          <t>A 11715-2024</t>
        </is>
      </c>
      <c r="B5184" s="1" t="n">
        <v>45373</v>
      </c>
      <c r="C5184" s="1" t="n">
        <v>45705</v>
      </c>
      <c r="D5184" t="inlineStr">
        <is>
          <t>UPPSALA LÄN</t>
        </is>
      </c>
      <c r="E5184" t="inlineStr">
        <is>
          <t>HEBY</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11798-2024</t>
        </is>
      </c>
      <c r="B5185" s="1" t="n">
        <v>45375</v>
      </c>
      <c r="C5185" s="1" t="n">
        <v>45705</v>
      </c>
      <c r="D5185" t="inlineStr">
        <is>
          <t>UPPSALA LÄN</t>
        </is>
      </c>
      <c r="E5185" t="inlineStr">
        <is>
          <t>ÖSTHAMMAR</t>
        </is>
      </c>
      <c r="F5185" t="inlineStr">
        <is>
          <t>Bergvik skog öst AB</t>
        </is>
      </c>
      <c r="G5185" t="n">
        <v>3.9</v>
      </c>
      <c r="H5185" t="n">
        <v>0</v>
      </c>
      <c r="I5185" t="n">
        <v>0</v>
      </c>
      <c r="J5185" t="n">
        <v>0</v>
      </c>
      <c r="K5185" t="n">
        <v>0</v>
      </c>
      <c r="L5185" t="n">
        <v>0</v>
      </c>
      <c r="M5185" t="n">
        <v>0</v>
      </c>
      <c r="N5185" t="n">
        <v>0</v>
      </c>
      <c r="O5185" t="n">
        <v>0</v>
      </c>
      <c r="P5185" t="n">
        <v>0</v>
      </c>
      <c r="Q5185" t="n">
        <v>0</v>
      </c>
      <c r="R5185" s="2" t="inlineStr"/>
    </row>
    <row r="5186" ht="15" customHeight="1">
      <c r="A5186" t="inlineStr">
        <is>
          <t>A 11799-2024</t>
        </is>
      </c>
      <c r="B5186" s="1" t="n">
        <v>45375</v>
      </c>
      <c r="C5186" s="1" t="n">
        <v>45705</v>
      </c>
      <c r="D5186" t="inlineStr">
        <is>
          <t>UPPSALA LÄN</t>
        </is>
      </c>
      <c r="E5186" t="inlineStr">
        <is>
          <t>ÖSTHAMMAR</t>
        </is>
      </c>
      <c r="F5186" t="inlineStr">
        <is>
          <t>Bergvik skog öst AB</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11832-2024</t>
        </is>
      </c>
      <c r="B5187" s="1" t="n">
        <v>45376</v>
      </c>
      <c r="C5187" s="1" t="n">
        <v>45705</v>
      </c>
      <c r="D5187" t="inlineStr">
        <is>
          <t>UPPSALA LÄN</t>
        </is>
      </c>
      <c r="E5187" t="inlineStr">
        <is>
          <t>HEBY</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11908-2024</t>
        </is>
      </c>
      <c r="B5188" s="1" t="n">
        <v>45376</v>
      </c>
      <c r="C5188" s="1" t="n">
        <v>45705</v>
      </c>
      <c r="D5188" t="inlineStr">
        <is>
          <t>UPPSALA LÄN</t>
        </is>
      </c>
      <c r="E5188" t="inlineStr">
        <is>
          <t>ENKÖPING</t>
        </is>
      </c>
      <c r="G5188" t="n">
        <v>7.9</v>
      </c>
      <c r="H5188" t="n">
        <v>0</v>
      </c>
      <c r="I5188" t="n">
        <v>0</v>
      </c>
      <c r="J5188" t="n">
        <v>0</v>
      </c>
      <c r="K5188" t="n">
        <v>0</v>
      </c>
      <c r="L5188" t="n">
        <v>0</v>
      </c>
      <c r="M5188" t="n">
        <v>0</v>
      </c>
      <c r="N5188" t="n">
        <v>0</v>
      </c>
      <c r="O5188" t="n">
        <v>0</v>
      </c>
      <c r="P5188" t="n">
        <v>0</v>
      </c>
      <c r="Q5188" t="n">
        <v>0</v>
      </c>
      <c r="R5188" s="2" t="inlineStr"/>
    </row>
    <row r="5189" ht="15" customHeight="1">
      <c r="A5189" t="inlineStr">
        <is>
          <t>A 11957-2024</t>
        </is>
      </c>
      <c r="B5189" s="1" t="n">
        <v>45376</v>
      </c>
      <c r="C5189" s="1" t="n">
        <v>45705</v>
      </c>
      <c r="D5189" t="inlineStr">
        <is>
          <t>UPPSALA LÄN</t>
        </is>
      </c>
      <c r="E5189" t="inlineStr">
        <is>
          <t>HEBY</t>
        </is>
      </c>
      <c r="G5189" t="n">
        <v>6.5</v>
      </c>
      <c r="H5189" t="n">
        <v>0</v>
      </c>
      <c r="I5189" t="n">
        <v>0</v>
      </c>
      <c r="J5189" t="n">
        <v>0</v>
      </c>
      <c r="K5189" t="n">
        <v>0</v>
      </c>
      <c r="L5189" t="n">
        <v>0</v>
      </c>
      <c r="M5189" t="n">
        <v>0</v>
      </c>
      <c r="N5189" t="n">
        <v>0</v>
      </c>
      <c r="O5189" t="n">
        <v>0</v>
      </c>
      <c r="P5189" t="n">
        <v>0</v>
      </c>
      <c r="Q5189" t="n">
        <v>0</v>
      </c>
      <c r="R5189" s="2" t="inlineStr"/>
    </row>
    <row r="5190" ht="15" customHeight="1">
      <c r="A5190" t="inlineStr">
        <is>
          <t>A 11835-2024</t>
        </is>
      </c>
      <c r="B5190" s="1" t="n">
        <v>45376</v>
      </c>
      <c r="C5190" s="1" t="n">
        <v>45705</v>
      </c>
      <c r="D5190" t="inlineStr">
        <is>
          <t>UPPSALA LÄN</t>
        </is>
      </c>
      <c r="E5190" t="inlineStr">
        <is>
          <t>HEBY</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12129-2024</t>
        </is>
      </c>
      <c r="B5191" s="1" t="n">
        <v>45377</v>
      </c>
      <c r="C5191" s="1" t="n">
        <v>45705</v>
      </c>
      <c r="D5191" t="inlineStr">
        <is>
          <t>UPPSALA LÄN</t>
        </is>
      </c>
      <c r="E5191" t="inlineStr">
        <is>
          <t>TIERP</t>
        </is>
      </c>
      <c r="F5191" t="inlineStr">
        <is>
          <t>Bergvik skog väst AB</t>
        </is>
      </c>
      <c r="G5191" t="n">
        <v>6.4</v>
      </c>
      <c r="H5191" t="n">
        <v>0</v>
      </c>
      <c r="I5191" t="n">
        <v>0</v>
      </c>
      <c r="J5191" t="n">
        <v>0</v>
      </c>
      <c r="K5191" t="n">
        <v>0</v>
      </c>
      <c r="L5191" t="n">
        <v>0</v>
      </c>
      <c r="M5191" t="n">
        <v>0</v>
      </c>
      <c r="N5191" t="n">
        <v>0</v>
      </c>
      <c r="O5191" t="n">
        <v>0</v>
      </c>
      <c r="P5191" t="n">
        <v>0</v>
      </c>
      <c r="Q5191" t="n">
        <v>0</v>
      </c>
      <c r="R5191" s="2" t="inlineStr"/>
    </row>
    <row r="5192" ht="15" customHeight="1">
      <c r="A5192" t="inlineStr">
        <is>
          <t>A 12133-2024</t>
        </is>
      </c>
      <c r="B5192" s="1" t="n">
        <v>45377</v>
      </c>
      <c r="C5192" s="1" t="n">
        <v>45705</v>
      </c>
      <c r="D5192" t="inlineStr">
        <is>
          <t>UPPSALA LÄN</t>
        </is>
      </c>
      <c r="E5192" t="inlineStr">
        <is>
          <t>TIERP</t>
        </is>
      </c>
      <c r="F5192" t="inlineStr">
        <is>
          <t>Bergvik skog väst AB</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12137-2024</t>
        </is>
      </c>
      <c r="B5193" s="1" t="n">
        <v>45377</v>
      </c>
      <c r="C5193" s="1" t="n">
        <v>45705</v>
      </c>
      <c r="D5193" t="inlineStr">
        <is>
          <t>UPPSALA LÄN</t>
        </is>
      </c>
      <c r="E5193" t="inlineStr">
        <is>
          <t>TIERP</t>
        </is>
      </c>
      <c r="F5193" t="inlineStr">
        <is>
          <t>Bergvik skog väst AB</t>
        </is>
      </c>
      <c r="G5193" t="n">
        <v>7.8</v>
      </c>
      <c r="H5193" t="n">
        <v>0</v>
      </c>
      <c r="I5193" t="n">
        <v>0</v>
      </c>
      <c r="J5193" t="n">
        <v>0</v>
      </c>
      <c r="K5193" t="n">
        <v>0</v>
      </c>
      <c r="L5193" t="n">
        <v>0</v>
      </c>
      <c r="M5193" t="n">
        <v>0</v>
      </c>
      <c r="N5193" t="n">
        <v>0</v>
      </c>
      <c r="O5193" t="n">
        <v>0</v>
      </c>
      <c r="P5193" t="n">
        <v>0</v>
      </c>
      <c r="Q5193" t="n">
        <v>0</v>
      </c>
      <c r="R5193" s="2" t="inlineStr"/>
    </row>
    <row r="5194" ht="15" customHeight="1">
      <c r="A5194" t="inlineStr">
        <is>
          <t>A 12077-2024</t>
        </is>
      </c>
      <c r="B5194" s="1" t="n">
        <v>45377</v>
      </c>
      <c r="C5194" s="1" t="n">
        <v>45705</v>
      </c>
      <c r="D5194" t="inlineStr">
        <is>
          <t>UPPSALA LÄN</t>
        </is>
      </c>
      <c r="E5194" t="inlineStr">
        <is>
          <t>HEBY</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12028-2024</t>
        </is>
      </c>
      <c r="B5195" s="1" t="n">
        <v>45377</v>
      </c>
      <c r="C5195" s="1" t="n">
        <v>45705</v>
      </c>
      <c r="D5195" t="inlineStr">
        <is>
          <t>UPPSALA LÄN</t>
        </is>
      </c>
      <c r="E5195" t="inlineStr">
        <is>
          <t>ÖSTHAMMAR</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12020-2024</t>
        </is>
      </c>
      <c r="B5196" s="1" t="n">
        <v>45377</v>
      </c>
      <c r="C5196" s="1" t="n">
        <v>45705</v>
      </c>
      <c r="D5196" t="inlineStr">
        <is>
          <t>UPPSALA LÄN</t>
        </is>
      </c>
      <c r="E5196" t="inlineStr">
        <is>
          <t>ENKÖPING</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12102-2024</t>
        </is>
      </c>
      <c r="B5197" s="1" t="n">
        <v>45377</v>
      </c>
      <c r="C5197" s="1" t="n">
        <v>45705</v>
      </c>
      <c r="D5197" t="inlineStr">
        <is>
          <t>UPPSALA LÄN</t>
        </is>
      </c>
      <c r="E5197" t="inlineStr">
        <is>
          <t>ENKÖPING</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12071-2024</t>
        </is>
      </c>
      <c r="B5198" s="1" t="n">
        <v>45377</v>
      </c>
      <c r="C5198" s="1" t="n">
        <v>45705</v>
      </c>
      <c r="D5198" t="inlineStr">
        <is>
          <t>UPPSALA LÄN</t>
        </is>
      </c>
      <c r="E5198" t="inlineStr">
        <is>
          <t>HEBY</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12278-2024</t>
        </is>
      </c>
      <c r="B5199" s="1" t="n">
        <v>45378</v>
      </c>
      <c r="C5199" s="1" t="n">
        <v>45705</v>
      </c>
      <c r="D5199" t="inlineStr">
        <is>
          <t>UPPSALA LÄN</t>
        </is>
      </c>
      <c r="E5199" t="inlineStr">
        <is>
          <t>ÖSTHAMMAR</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12345-2024</t>
        </is>
      </c>
      <c r="B5200" s="1" t="n">
        <v>45378</v>
      </c>
      <c r="C5200" s="1" t="n">
        <v>45705</v>
      </c>
      <c r="D5200" t="inlineStr">
        <is>
          <t>UPPSALA LÄN</t>
        </is>
      </c>
      <c r="E5200" t="inlineStr">
        <is>
          <t>UPPSALA</t>
        </is>
      </c>
      <c r="F5200" t="inlineStr">
        <is>
          <t>Bergvik skog öst AB</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12225-2024</t>
        </is>
      </c>
      <c r="B5201" s="1" t="n">
        <v>45378</v>
      </c>
      <c r="C5201" s="1" t="n">
        <v>45705</v>
      </c>
      <c r="D5201" t="inlineStr">
        <is>
          <t>UPPSALA LÄN</t>
        </is>
      </c>
      <c r="E5201" t="inlineStr">
        <is>
          <t>TIERP</t>
        </is>
      </c>
      <c r="F5201" t="inlineStr">
        <is>
          <t>Bergvik skog väst AB</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12346-2024</t>
        </is>
      </c>
      <c r="B5202" s="1" t="n">
        <v>45378</v>
      </c>
      <c r="C5202" s="1" t="n">
        <v>45705</v>
      </c>
      <c r="D5202" t="inlineStr">
        <is>
          <t>UPPSALA LÄN</t>
        </is>
      </c>
      <c r="E5202" t="inlineStr">
        <is>
          <t>UPPSALA</t>
        </is>
      </c>
      <c r="F5202" t="inlineStr">
        <is>
          <t>Bergvik skog öst AB</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12347-2024</t>
        </is>
      </c>
      <c r="B5203" s="1" t="n">
        <v>45378</v>
      </c>
      <c r="C5203" s="1" t="n">
        <v>45705</v>
      </c>
      <c r="D5203" t="inlineStr">
        <is>
          <t>UPPSALA LÄN</t>
        </is>
      </c>
      <c r="E5203" t="inlineStr">
        <is>
          <t>UPPSALA</t>
        </is>
      </c>
      <c r="F5203" t="inlineStr">
        <is>
          <t>Bergvik skog öst AB</t>
        </is>
      </c>
      <c r="G5203" t="n">
        <v>5.6</v>
      </c>
      <c r="H5203" t="n">
        <v>0</v>
      </c>
      <c r="I5203" t="n">
        <v>0</v>
      </c>
      <c r="J5203" t="n">
        <v>0</v>
      </c>
      <c r="K5203" t="n">
        <v>0</v>
      </c>
      <c r="L5203" t="n">
        <v>0</v>
      </c>
      <c r="M5203" t="n">
        <v>0</v>
      </c>
      <c r="N5203" t="n">
        <v>0</v>
      </c>
      <c r="O5203" t="n">
        <v>0</v>
      </c>
      <c r="P5203" t="n">
        <v>0</v>
      </c>
      <c r="Q5203" t="n">
        <v>0</v>
      </c>
      <c r="R5203" s="2" t="inlineStr"/>
    </row>
    <row r="5204" ht="15" customHeight="1">
      <c r="A5204" t="inlineStr">
        <is>
          <t>A 12507-2024</t>
        </is>
      </c>
      <c r="B5204" s="1" t="n">
        <v>45379</v>
      </c>
      <c r="C5204" s="1" t="n">
        <v>45705</v>
      </c>
      <c r="D5204" t="inlineStr">
        <is>
          <t>UPPSALA LÄN</t>
        </is>
      </c>
      <c r="E5204" t="inlineStr">
        <is>
          <t>UPPSALA</t>
        </is>
      </c>
      <c r="G5204" t="n">
        <v>4.6</v>
      </c>
      <c r="H5204" t="n">
        <v>0</v>
      </c>
      <c r="I5204" t="n">
        <v>0</v>
      </c>
      <c r="J5204" t="n">
        <v>0</v>
      </c>
      <c r="K5204" t="n">
        <v>0</v>
      </c>
      <c r="L5204" t="n">
        <v>0</v>
      </c>
      <c r="M5204" t="n">
        <v>0</v>
      </c>
      <c r="N5204" t="n">
        <v>0</v>
      </c>
      <c r="O5204" t="n">
        <v>0</v>
      </c>
      <c r="P5204" t="n">
        <v>0</v>
      </c>
      <c r="Q5204" t="n">
        <v>0</v>
      </c>
      <c r="R5204" s="2" t="inlineStr"/>
    </row>
    <row r="5205" ht="15" customHeight="1">
      <c r="A5205" t="inlineStr">
        <is>
          <t>A 12487-2024</t>
        </is>
      </c>
      <c r="B5205" s="1" t="n">
        <v>45379</v>
      </c>
      <c r="C5205" s="1" t="n">
        <v>45705</v>
      </c>
      <c r="D5205" t="inlineStr">
        <is>
          <t>UPPSALA LÄN</t>
        </is>
      </c>
      <c r="E5205" t="inlineStr">
        <is>
          <t>ÖSTHAMMAR</t>
        </is>
      </c>
      <c r="F5205" t="inlineStr">
        <is>
          <t>Bergvik skog öst AB</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12486-2024</t>
        </is>
      </c>
      <c r="B5206" s="1" t="n">
        <v>45379</v>
      </c>
      <c r="C5206" s="1" t="n">
        <v>45705</v>
      </c>
      <c r="D5206" t="inlineStr">
        <is>
          <t>UPPSALA LÄN</t>
        </is>
      </c>
      <c r="E5206" t="inlineStr">
        <is>
          <t>ÖSTHAMMAR</t>
        </is>
      </c>
      <c r="F5206" t="inlineStr">
        <is>
          <t>Bergvik skog öst AB</t>
        </is>
      </c>
      <c r="G5206" t="n">
        <v>7.9</v>
      </c>
      <c r="H5206" t="n">
        <v>0</v>
      </c>
      <c r="I5206" t="n">
        <v>0</v>
      </c>
      <c r="J5206" t="n">
        <v>0</v>
      </c>
      <c r="K5206" t="n">
        <v>0</v>
      </c>
      <c r="L5206" t="n">
        <v>0</v>
      </c>
      <c r="M5206" t="n">
        <v>0</v>
      </c>
      <c r="N5206" t="n">
        <v>0</v>
      </c>
      <c r="O5206" t="n">
        <v>0</v>
      </c>
      <c r="P5206" t="n">
        <v>0</v>
      </c>
      <c r="Q5206" t="n">
        <v>0</v>
      </c>
      <c r="R5206" s="2" t="inlineStr"/>
    </row>
    <row r="5207" ht="15" customHeight="1">
      <c r="A5207" t="inlineStr">
        <is>
          <t>A 12498-2024</t>
        </is>
      </c>
      <c r="B5207" s="1" t="n">
        <v>45379</v>
      </c>
      <c r="C5207" s="1" t="n">
        <v>45705</v>
      </c>
      <c r="D5207" t="inlineStr">
        <is>
          <t>UPPSALA LÄN</t>
        </is>
      </c>
      <c r="E5207" t="inlineStr">
        <is>
          <t>ÖSTHAMMAR</t>
        </is>
      </c>
      <c r="G5207" t="n">
        <v>5.7</v>
      </c>
      <c r="H5207" t="n">
        <v>0</v>
      </c>
      <c r="I5207" t="n">
        <v>0</v>
      </c>
      <c r="J5207" t="n">
        <v>0</v>
      </c>
      <c r="K5207" t="n">
        <v>0</v>
      </c>
      <c r="L5207" t="n">
        <v>0</v>
      </c>
      <c r="M5207" t="n">
        <v>0</v>
      </c>
      <c r="N5207" t="n">
        <v>0</v>
      </c>
      <c r="O5207" t="n">
        <v>0</v>
      </c>
      <c r="P5207" t="n">
        <v>0</v>
      </c>
      <c r="Q5207" t="n">
        <v>0</v>
      </c>
      <c r="R5207" s="2" t="inlineStr"/>
    </row>
    <row r="5208" ht="15" customHeight="1">
      <c r="A5208" t="inlineStr">
        <is>
          <t>A 12489-2024</t>
        </is>
      </c>
      <c r="B5208" s="1" t="n">
        <v>45379</v>
      </c>
      <c r="C5208" s="1" t="n">
        <v>45705</v>
      </c>
      <c r="D5208" t="inlineStr">
        <is>
          <t>UPPSALA LÄN</t>
        </is>
      </c>
      <c r="E5208" t="inlineStr">
        <is>
          <t>HEBY</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12436-2024</t>
        </is>
      </c>
      <c r="B5209" s="1" t="n">
        <v>45379</v>
      </c>
      <c r="C5209" s="1" t="n">
        <v>45705</v>
      </c>
      <c r="D5209" t="inlineStr">
        <is>
          <t>UPPSALA LÄN</t>
        </is>
      </c>
      <c r="E5209" t="inlineStr">
        <is>
          <t>HEBY</t>
        </is>
      </c>
      <c r="F5209" t="inlineStr">
        <is>
          <t>Bergvik skog öst AB</t>
        </is>
      </c>
      <c r="G5209" t="n">
        <v>3.8</v>
      </c>
      <c r="H5209" t="n">
        <v>0</v>
      </c>
      <c r="I5209" t="n">
        <v>0</v>
      </c>
      <c r="J5209" t="n">
        <v>0</v>
      </c>
      <c r="K5209" t="n">
        <v>0</v>
      </c>
      <c r="L5209" t="n">
        <v>0</v>
      </c>
      <c r="M5209" t="n">
        <v>0</v>
      </c>
      <c r="N5209" t="n">
        <v>0</v>
      </c>
      <c r="O5209" t="n">
        <v>0</v>
      </c>
      <c r="P5209" t="n">
        <v>0</v>
      </c>
      <c r="Q5209" t="n">
        <v>0</v>
      </c>
      <c r="R5209" s="2" t="inlineStr"/>
    </row>
    <row r="5210" ht="15" customHeight="1">
      <c r="A5210" t="inlineStr">
        <is>
          <t>A 12534-2024</t>
        </is>
      </c>
      <c r="B5210" s="1" t="n">
        <v>45379</v>
      </c>
      <c r="C5210" s="1" t="n">
        <v>45705</v>
      </c>
      <c r="D5210" t="inlineStr">
        <is>
          <t>UPPSALA LÄN</t>
        </is>
      </c>
      <c r="E5210" t="inlineStr">
        <is>
          <t>ÖSTHAMMAR</t>
        </is>
      </c>
      <c r="F5210" t="inlineStr">
        <is>
          <t>Bergvik skog öst AB</t>
        </is>
      </c>
      <c r="G5210" t="n">
        <v>4.4</v>
      </c>
      <c r="H5210" t="n">
        <v>0</v>
      </c>
      <c r="I5210" t="n">
        <v>0</v>
      </c>
      <c r="J5210" t="n">
        <v>0</v>
      </c>
      <c r="K5210" t="n">
        <v>0</v>
      </c>
      <c r="L5210" t="n">
        <v>0</v>
      </c>
      <c r="M5210" t="n">
        <v>0</v>
      </c>
      <c r="N5210" t="n">
        <v>0</v>
      </c>
      <c r="O5210" t="n">
        <v>0</v>
      </c>
      <c r="P5210" t="n">
        <v>0</v>
      </c>
      <c r="Q5210" t="n">
        <v>0</v>
      </c>
      <c r="R5210" s="2" t="inlineStr"/>
    </row>
    <row r="5211" ht="15" customHeight="1">
      <c r="A5211" t="inlineStr">
        <is>
          <t>A 12424-2024</t>
        </is>
      </c>
      <c r="B5211" s="1" t="n">
        <v>45379</v>
      </c>
      <c r="C5211" s="1" t="n">
        <v>45705</v>
      </c>
      <c r="D5211" t="inlineStr">
        <is>
          <t>UPPSALA LÄN</t>
        </is>
      </c>
      <c r="E5211" t="inlineStr">
        <is>
          <t>TIERP</t>
        </is>
      </c>
      <c r="G5211" t="n">
        <v>11.6</v>
      </c>
      <c r="H5211" t="n">
        <v>0</v>
      </c>
      <c r="I5211" t="n">
        <v>0</v>
      </c>
      <c r="J5211" t="n">
        <v>0</v>
      </c>
      <c r="K5211" t="n">
        <v>0</v>
      </c>
      <c r="L5211" t="n">
        <v>0</v>
      </c>
      <c r="M5211" t="n">
        <v>0</v>
      </c>
      <c r="N5211" t="n">
        <v>0</v>
      </c>
      <c r="O5211" t="n">
        <v>0</v>
      </c>
      <c r="P5211" t="n">
        <v>0</v>
      </c>
      <c r="Q5211" t="n">
        <v>0</v>
      </c>
      <c r="R5211" s="2" t="inlineStr"/>
    </row>
    <row r="5212" ht="15" customHeight="1">
      <c r="A5212" t="inlineStr">
        <is>
          <t>A 12531-2024</t>
        </is>
      </c>
      <c r="B5212" s="1" t="n">
        <v>45379</v>
      </c>
      <c r="C5212" s="1" t="n">
        <v>45705</v>
      </c>
      <c r="D5212" t="inlineStr">
        <is>
          <t>UPPSALA LÄN</t>
        </is>
      </c>
      <c r="E5212" t="inlineStr">
        <is>
          <t>ÖSTHAMMAR</t>
        </is>
      </c>
      <c r="F5212" t="inlineStr">
        <is>
          <t>Bergvik skog öst AB</t>
        </is>
      </c>
      <c r="G5212" t="n">
        <v>17.3</v>
      </c>
      <c r="H5212" t="n">
        <v>0</v>
      </c>
      <c r="I5212" t="n">
        <v>0</v>
      </c>
      <c r="J5212" t="n">
        <v>0</v>
      </c>
      <c r="K5212" t="n">
        <v>0</v>
      </c>
      <c r="L5212" t="n">
        <v>0</v>
      </c>
      <c r="M5212" t="n">
        <v>0</v>
      </c>
      <c r="N5212" t="n">
        <v>0</v>
      </c>
      <c r="O5212" t="n">
        <v>0</v>
      </c>
      <c r="P5212" t="n">
        <v>0</v>
      </c>
      <c r="Q5212" t="n">
        <v>0</v>
      </c>
      <c r="R5212" s="2" t="inlineStr"/>
    </row>
    <row r="5213" ht="15" customHeight="1">
      <c r="A5213" t="inlineStr">
        <is>
          <t>A 12528-2024</t>
        </is>
      </c>
      <c r="B5213" s="1" t="n">
        <v>45379</v>
      </c>
      <c r="C5213" s="1" t="n">
        <v>45705</v>
      </c>
      <c r="D5213" t="inlineStr">
        <is>
          <t>UPPSALA LÄN</t>
        </is>
      </c>
      <c r="E5213" t="inlineStr">
        <is>
          <t>ÖSTHAMMAR</t>
        </is>
      </c>
      <c r="F5213" t="inlineStr">
        <is>
          <t>Bergvik skog öst AB</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12649-2024</t>
        </is>
      </c>
      <c r="B5214" s="1" t="n">
        <v>45384</v>
      </c>
      <c r="C5214" s="1" t="n">
        <v>45705</v>
      </c>
      <c r="D5214" t="inlineStr">
        <is>
          <t>UPPSALA LÄN</t>
        </is>
      </c>
      <c r="E5214" t="inlineStr">
        <is>
          <t>ÖSTHAMMAR</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12676-2024</t>
        </is>
      </c>
      <c r="B5215" s="1" t="n">
        <v>45384</v>
      </c>
      <c r="C5215" s="1" t="n">
        <v>45705</v>
      </c>
      <c r="D5215" t="inlineStr">
        <is>
          <t>UPPSALA LÄN</t>
        </is>
      </c>
      <c r="E5215" t="inlineStr">
        <is>
          <t>ÖSTHAMMAR</t>
        </is>
      </c>
      <c r="G5215" t="n">
        <v>6.2</v>
      </c>
      <c r="H5215" t="n">
        <v>0</v>
      </c>
      <c r="I5215" t="n">
        <v>0</v>
      </c>
      <c r="J5215" t="n">
        <v>0</v>
      </c>
      <c r="K5215" t="n">
        <v>0</v>
      </c>
      <c r="L5215" t="n">
        <v>0</v>
      </c>
      <c r="M5215" t="n">
        <v>0</v>
      </c>
      <c r="N5215" t="n">
        <v>0</v>
      </c>
      <c r="O5215" t="n">
        <v>0</v>
      </c>
      <c r="P5215" t="n">
        <v>0</v>
      </c>
      <c r="Q5215" t="n">
        <v>0</v>
      </c>
      <c r="R5215" s="2" t="inlineStr"/>
    </row>
    <row r="5216" ht="15" customHeight="1">
      <c r="A5216" t="inlineStr">
        <is>
          <t>A 12756-2024</t>
        </is>
      </c>
      <c r="B5216" s="1" t="n">
        <v>45384</v>
      </c>
      <c r="C5216" s="1" t="n">
        <v>45705</v>
      </c>
      <c r="D5216" t="inlineStr">
        <is>
          <t>UPPSALA LÄN</t>
        </is>
      </c>
      <c r="E5216" t="inlineStr">
        <is>
          <t>ÖSTHAMMAR</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12741-2024</t>
        </is>
      </c>
      <c r="B5217" s="1" t="n">
        <v>45384</v>
      </c>
      <c r="C5217" s="1" t="n">
        <v>45705</v>
      </c>
      <c r="D5217" t="inlineStr">
        <is>
          <t>UPPSALA LÄN</t>
        </is>
      </c>
      <c r="E5217" t="inlineStr">
        <is>
          <t>TIERP</t>
        </is>
      </c>
      <c r="G5217" t="n">
        <v>4.6</v>
      </c>
      <c r="H5217" t="n">
        <v>0</v>
      </c>
      <c r="I5217" t="n">
        <v>0</v>
      </c>
      <c r="J5217" t="n">
        <v>0</v>
      </c>
      <c r="K5217" t="n">
        <v>0</v>
      </c>
      <c r="L5217" t="n">
        <v>0</v>
      </c>
      <c r="M5217" t="n">
        <v>0</v>
      </c>
      <c r="N5217" t="n">
        <v>0</v>
      </c>
      <c r="O5217" t="n">
        <v>0</v>
      </c>
      <c r="P5217" t="n">
        <v>0</v>
      </c>
      <c r="Q5217" t="n">
        <v>0</v>
      </c>
      <c r="R5217" s="2" t="inlineStr"/>
    </row>
    <row r="5218" ht="15" customHeight="1">
      <c r="A5218" t="inlineStr">
        <is>
          <t>A 12786-2024</t>
        </is>
      </c>
      <c r="B5218" s="1" t="n">
        <v>45384</v>
      </c>
      <c r="C5218" s="1" t="n">
        <v>45705</v>
      </c>
      <c r="D5218" t="inlineStr">
        <is>
          <t>UPPSALA LÄN</t>
        </is>
      </c>
      <c r="E5218" t="inlineStr">
        <is>
          <t>TIERP</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12812-2024</t>
        </is>
      </c>
      <c r="B5219" s="1" t="n">
        <v>45384</v>
      </c>
      <c r="C5219" s="1" t="n">
        <v>45705</v>
      </c>
      <c r="D5219" t="inlineStr">
        <is>
          <t>UPPSALA LÄN</t>
        </is>
      </c>
      <c r="E5219" t="inlineStr">
        <is>
          <t>ÖSTHAMMAR</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12751-2024</t>
        </is>
      </c>
      <c r="B5220" s="1" t="n">
        <v>45384</v>
      </c>
      <c r="C5220" s="1" t="n">
        <v>45705</v>
      </c>
      <c r="D5220" t="inlineStr">
        <is>
          <t>UPPSALA LÄN</t>
        </is>
      </c>
      <c r="E5220" t="inlineStr">
        <is>
          <t>ENKÖPING</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12776-2024</t>
        </is>
      </c>
      <c r="B5221" s="1" t="n">
        <v>45384</v>
      </c>
      <c r="C5221" s="1" t="n">
        <v>45705</v>
      </c>
      <c r="D5221" t="inlineStr">
        <is>
          <t>UPPSALA LÄN</t>
        </is>
      </c>
      <c r="E5221" t="inlineStr">
        <is>
          <t>TIERP</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12958-2024</t>
        </is>
      </c>
      <c r="B5222" s="1" t="n">
        <v>45385</v>
      </c>
      <c r="C5222" s="1" t="n">
        <v>45705</v>
      </c>
      <c r="D5222" t="inlineStr">
        <is>
          <t>UPPSALA LÄN</t>
        </is>
      </c>
      <c r="E5222" t="inlineStr">
        <is>
          <t>ENKÖPING</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12994-2024</t>
        </is>
      </c>
      <c r="B5223" s="1" t="n">
        <v>45385</v>
      </c>
      <c r="C5223" s="1" t="n">
        <v>45705</v>
      </c>
      <c r="D5223" t="inlineStr">
        <is>
          <t>UPPSALA LÄN</t>
        </is>
      </c>
      <c r="E5223" t="inlineStr">
        <is>
          <t>TIERP</t>
        </is>
      </c>
      <c r="F5223" t="inlineStr">
        <is>
          <t>Bergvik skog öst AB</t>
        </is>
      </c>
      <c r="G5223" t="n">
        <v>6.5</v>
      </c>
      <c r="H5223" t="n">
        <v>0</v>
      </c>
      <c r="I5223" t="n">
        <v>0</v>
      </c>
      <c r="J5223" t="n">
        <v>0</v>
      </c>
      <c r="K5223" t="n">
        <v>0</v>
      </c>
      <c r="L5223" t="n">
        <v>0</v>
      </c>
      <c r="M5223" t="n">
        <v>0</v>
      </c>
      <c r="N5223" t="n">
        <v>0</v>
      </c>
      <c r="O5223" t="n">
        <v>0</v>
      </c>
      <c r="P5223" t="n">
        <v>0</v>
      </c>
      <c r="Q5223" t="n">
        <v>0</v>
      </c>
      <c r="R5223" s="2" t="inlineStr"/>
    </row>
    <row r="5224" ht="15" customHeight="1">
      <c r="A5224" t="inlineStr">
        <is>
          <t>A 12885-2024</t>
        </is>
      </c>
      <c r="B5224" s="1" t="n">
        <v>45385</v>
      </c>
      <c r="C5224" s="1" t="n">
        <v>45705</v>
      </c>
      <c r="D5224" t="inlineStr">
        <is>
          <t>UPPSALA LÄN</t>
        </is>
      </c>
      <c r="E5224" t="inlineStr">
        <is>
          <t>TIERP</t>
        </is>
      </c>
      <c r="G5224" t="n">
        <v>0.4</v>
      </c>
      <c r="H5224" t="n">
        <v>0</v>
      </c>
      <c r="I5224" t="n">
        <v>0</v>
      </c>
      <c r="J5224" t="n">
        <v>0</v>
      </c>
      <c r="K5224" t="n">
        <v>0</v>
      </c>
      <c r="L5224" t="n">
        <v>0</v>
      </c>
      <c r="M5224" t="n">
        <v>0</v>
      </c>
      <c r="N5224" t="n">
        <v>0</v>
      </c>
      <c r="O5224" t="n">
        <v>0</v>
      </c>
      <c r="P5224" t="n">
        <v>0</v>
      </c>
      <c r="Q5224" t="n">
        <v>0</v>
      </c>
      <c r="R5224" s="2" t="inlineStr"/>
    </row>
    <row r="5225" ht="15" customHeight="1">
      <c r="A5225" t="inlineStr">
        <is>
          <t>A 12976-2024</t>
        </is>
      </c>
      <c r="B5225" s="1" t="n">
        <v>45385</v>
      </c>
      <c r="C5225" s="1" t="n">
        <v>45705</v>
      </c>
      <c r="D5225" t="inlineStr">
        <is>
          <t>UPPSALA LÄN</t>
        </is>
      </c>
      <c r="E5225" t="inlineStr">
        <is>
          <t>TIERP</t>
        </is>
      </c>
      <c r="F5225" t="inlineStr">
        <is>
          <t>Bergvik skog öst AB</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13059-2024</t>
        </is>
      </c>
      <c r="B5226" s="1" t="n">
        <v>45385</v>
      </c>
      <c r="C5226" s="1" t="n">
        <v>45705</v>
      </c>
      <c r="D5226" t="inlineStr">
        <is>
          <t>UPPSALA LÄN</t>
        </is>
      </c>
      <c r="E5226" t="inlineStr">
        <is>
          <t>ÖSTHAMMAR</t>
        </is>
      </c>
      <c r="F5226" t="inlineStr">
        <is>
          <t>Bergvik skog öst AB</t>
        </is>
      </c>
      <c r="G5226" t="n">
        <v>6.6</v>
      </c>
      <c r="H5226" t="n">
        <v>0</v>
      </c>
      <c r="I5226" t="n">
        <v>0</v>
      </c>
      <c r="J5226" t="n">
        <v>0</v>
      </c>
      <c r="K5226" t="n">
        <v>0</v>
      </c>
      <c r="L5226" t="n">
        <v>0</v>
      </c>
      <c r="M5226" t="n">
        <v>0</v>
      </c>
      <c r="N5226" t="n">
        <v>0</v>
      </c>
      <c r="O5226" t="n">
        <v>0</v>
      </c>
      <c r="P5226" t="n">
        <v>0</v>
      </c>
      <c r="Q5226" t="n">
        <v>0</v>
      </c>
      <c r="R5226" s="2" t="inlineStr"/>
    </row>
    <row r="5227" ht="15" customHeight="1">
      <c r="A5227" t="inlineStr">
        <is>
          <t>A 13066-2024</t>
        </is>
      </c>
      <c r="B5227" s="1" t="n">
        <v>45385</v>
      </c>
      <c r="C5227" s="1" t="n">
        <v>45705</v>
      </c>
      <c r="D5227" t="inlineStr">
        <is>
          <t>UPPSALA LÄN</t>
        </is>
      </c>
      <c r="E5227" t="inlineStr">
        <is>
          <t>TIERP</t>
        </is>
      </c>
      <c r="F5227" t="inlineStr">
        <is>
          <t>Bergvik skog öst AB</t>
        </is>
      </c>
      <c r="G5227" t="n">
        <v>8.699999999999999</v>
      </c>
      <c r="H5227" t="n">
        <v>0</v>
      </c>
      <c r="I5227" t="n">
        <v>0</v>
      </c>
      <c r="J5227" t="n">
        <v>0</v>
      </c>
      <c r="K5227" t="n">
        <v>0</v>
      </c>
      <c r="L5227" t="n">
        <v>0</v>
      </c>
      <c r="M5227" t="n">
        <v>0</v>
      </c>
      <c r="N5227" t="n">
        <v>0</v>
      </c>
      <c r="O5227" t="n">
        <v>0</v>
      </c>
      <c r="P5227" t="n">
        <v>0</v>
      </c>
      <c r="Q5227" t="n">
        <v>0</v>
      </c>
      <c r="R5227" s="2" t="inlineStr"/>
    </row>
    <row r="5228" ht="15" customHeight="1">
      <c r="A5228" t="inlineStr">
        <is>
          <t>A 12947-2024</t>
        </is>
      </c>
      <c r="B5228" s="1" t="n">
        <v>45385</v>
      </c>
      <c r="C5228" s="1" t="n">
        <v>45705</v>
      </c>
      <c r="D5228" t="inlineStr">
        <is>
          <t>UPPSALA LÄN</t>
        </is>
      </c>
      <c r="E5228" t="inlineStr">
        <is>
          <t>ÖSTHAMMAR</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13113-2024</t>
        </is>
      </c>
      <c r="B5229" s="1" t="n">
        <v>45385</v>
      </c>
      <c r="C5229" s="1" t="n">
        <v>45705</v>
      </c>
      <c r="D5229" t="inlineStr">
        <is>
          <t>UPPSALA LÄN</t>
        </is>
      </c>
      <c r="E5229" t="inlineStr">
        <is>
          <t>ÖSTHAMMAR</t>
        </is>
      </c>
      <c r="F5229" t="inlineStr">
        <is>
          <t>Bergvik skog öst AB</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13100-2024</t>
        </is>
      </c>
      <c r="B5230" s="1" t="n">
        <v>45385</v>
      </c>
      <c r="C5230" s="1" t="n">
        <v>45705</v>
      </c>
      <c r="D5230" t="inlineStr">
        <is>
          <t>UPPSALA LÄN</t>
        </is>
      </c>
      <c r="E5230" t="inlineStr">
        <is>
          <t>UPPSALA</t>
        </is>
      </c>
      <c r="F5230" t="inlineStr">
        <is>
          <t>Holmen skog AB</t>
        </is>
      </c>
      <c r="G5230" t="n">
        <v>5</v>
      </c>
      <c r="H5230" t="n">
        <v>0</v>
      </c>
      <c r="I5230" t="n">
        <v>0</v>
      </c>
      <c r="J5230" t="n">
        <v>0</v>
      </c>
      <c r="K5230" t="n">
        <v>0</v>
      </c>
      <c r="L5230" t="n">
        <v>0</v>
      </c>
      <c r="M5230" t="n">
        <v>0</v>
      </c>
      <c r="N5230" t="n">
        <v>0</v>
      </c>
      <c r="O5230" t="n">
        <v>0</v>
      </c>
      <c r="P5230" t="n">
        <v>0</v>
      </c>
      <c r="Q5230" t="n">
        <v>0</v>
      </c>
      <c r="R5230" s="2" t="inlineStr"/>
    </row>
    <row r="5231" ht="15" customHeight="1">
      <c r="A5231" t="inlineStr">
        <is>
          <t>A 13114-2024</t>
        </is>
      </c>
      <c r="B5231" s="1" t="n">
        <v>45385</v>
      </c>
      <c r="C5231" s="1" t="n">
        <v>45705</v>
      </c>
      <c r="D5231" t="inlineStr">
        <is>
          <t>UPPSALA LÄN</t>
        </is>
      </c>
      <c r="E5231" t="inlineStr">
        <is>
          <t>ÖSTHAMMAR</t>
        </is>
      </c>
      <c r="F5231" t="inlineStr">
        <is>
          <t>Bergvik skog öst AB</t>
        </is>
      </c>
      <c r="G5231" t="n">
        <v>8.800000000000001</v>
      </c>
      <c r="H5231" t="n">
        <v>0</v>
      </c>
      <c r="I5231" t="n">
        <v>0</v>
      </c>
      <c r="J5231" t="n">
        <v>0</v>
      </c>
      <c r="K5231" t="n">
        <v>0</v>
      </c>
      <c r="L5231" t="n">
        <v>0</v>
      </c>
      <c r="M5231" t="n">
        <v>0</v>
      </c>
      <c r="N5231" t="n">
        <v>0</v>
      </c>
      <c r="O5231" t="n">
        <v>0</v>
      </c>
      <c r="P5231" t="n">
        <v>0</v>
      </c>
      <c r="Q5231" t="n">
        <v>0</v>
      </c>
      <c r="R5231" s="2" t="inlineStr"/>
    </row>
    <row r="5232" ht="15" customHeight="1">
      <c r="A5232" t="inlineStr">
        <is>
          <t>A 13305-2024</t>
        </is>
      </c>
      <c r="B5232" s="1" t="n">
        <v>45386</v>
      </c>
      <c r="C5232" s="1" t="n">
        <v>45705</v>
      </c>
      <c r="D5232" t="inlineStr">
        <is>
          <t>UPPSALA LÄN</t>
        </is>
      </c>
      <c r="E5232" t="inlineStr">
        <is>
          <t>UPPSALA</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13303-2024</t>
        </is>
      </c>
      <c r="B5233" s="1" t="n">
        <v>45386</v>
      </c>
      <c r="C5233" s="1" t="n">
        <v>45705</v>
      </c>
      <c r="D5233" t="inlineStr">
        <is>
          <t>UPPSALA LÄN</t>
        </is>
      </c>
      <c r="E5233" t="inlineStr">
        <is>
          <t>UPPSALA</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13315-2024</t>
        </is>
      </c>
      <c r="B5234" s="1" t="n">
        <v>45386</v>
      </c>
      <c r="C5234" s="1" t="n">
        <v>45705</v>
      </c>
      <c r="D5234" t="inlineStr">
        <is>
          <t>UPPSALA LÄN</t>
        </is>
      </c>
      <c r="E5234" t="inlineStr">
        <is>
          <t>ÖSTHAMMAR</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13182-2024</t>
        </is>
      </c>
      <c r="B5235" s="1" t="n">
        <v>45386</v>
      </c>
      <c r="C5235" s="1" t="n">
        <v>45705</v>
      </c>
      <c r="D5235" t="inlineStr">
        <is>
          <t>UPPSALA LÄN</t>
        </is>
      </c>
      <c r="E5235" t="inlineStr">
        <is>
          <t>TIERP</t>
        </is>
      </c>
      <c r="F5235" t="inlineStr">
        <is>
          <t>Bergvik skog öst AB</t>
        </is>
      </c>
      <c r="G5235" t="n">
        <v>9.1</v>
      </c>
      <c r="H5235" t="n">
        <v>0</v>
      </c>
      <c r="I5235" t="n">
        <v>0</v>
      </c>
      <c r="J5235" t="n">
        <v>0</v>
      </c>
      <c r="K5235" t="n">
        <v>0</v>
      </c>
      <c r="L5235" t="n">
        <v>0</v>
      </c>
      <c r="M5235" t="n">
        <v>0</v>
      </c>
      <c r="N5235" t="n">
        <v>0</v>
      </c>
      <c r="O5235" t="n">
        <v>0</v>
      </c>
      <c r="P5235" t="n">
        <v>0</v>
      </c>
      <c r="Q5235" t="n">
        <v>0</v>
      </c>
      <c r="R5235" s="2" t="inlineStr"/>
    </row>
    <row r="5236" ht="15" customHeight="1">
      <c r="A5236" t="inlineStr">
        <is>
          <t>A 13247-2024</t>
        </is>
      </c>
      <c r="B5236" s="1" t="n">
        <v>45386</v>
      </c>
      <c r="C5236" s="1" t="n">
        <v>45705</v>
      </c>
      <c r="D5236" t="inlineStr">
        <is>
          <t>UPPSALA LÄN</t>
        </is>
      </c>
      <c r="E5236" t="inlineStr">
        <is>
          <t>ENKÖPING</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13312-2024</t>
        </is>
      </c>
      <c r="B5237" s="1" t="n">
        <v>45386</v>
      </c>
      <c r="C5237" s="1" t="n">
        <v>45705</v>
      </c>
      <c r="D5237" t="inlineStr">
        <is>
          <t>UPPSALA LÄN</t>
        </is>
      </c>
      <c r="E5237" t="inlineStr">
        <is>
          <t>ÖSTHAMMAR</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13168-2024</t>
        </is>
      </c>
      <c r="B5238" s="1" t="n">
        <v>45386</v>
      </c>
      <c r="C5238" s="1" t="n">
        <v>45705</v>
      </c>
      <c r="D5238" t="inlineStr">
        <is>
          <t>UPPSALA LÄN</t>
        </is>
      </c>
      <c r="E5238" t="inlineStr">
        <is>
          <t>ENKÖPING</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13302-2024</t>
        </is>
      </c>
      <c r="B5239" s="1" t="n">
        <v>45386</v>
      </c>
      <c r="C5239" s="1" t="n">
        <v>45705</v>
      </c>
      <c r="D5239" t="inlineStr">
        <is>
          <t>UPPSALA LÄN</t>
        </is>
      </c>
      <c r="E5239" t="inlineStr">
        <is>
          <t>UPPSALA</t>
        </is>
      </c>
      <c r="G5239" t="n">
        <v>15.6</v>
      </c>
      <c r="H5239" t="n">
        <v>0</v>
      </c>
      <c r="I5239" t="n">
        <v>0</v>
      </c>
      <c r="J5239" t="n">
        <v>0</v>
      </c>
      <c r="K5239" t="n">
        <v>0</v>
      </c>
      <c r="L5239" t="n">
        <v>0</v>
      </c>
      <c r="M5239" t="n">
        <v>0</v>
      </c>
      <c r="N5239" t="n">
        <v>0</v>
      </c>
      <c r="O5239" t="n">
        <v>0</v>
      </c>
      <c r="P5239" t="n">
        <v>0</v>
      </c>
      <c r="Q5239" t="n">
        <v>0</v>
      </c>
      <c r="R5239" s="2" t="inlineStr"/>
    </row>
    <row r="5240" ht="15" customHeight="1">
      <c r="A5240" t="inlineStr">
        <is>
          <t>A 13356-2024</t>
        </is>
      </c>
      <c r="B5240" s="1" t="n">
        <v>45387</v>
      </c>
      <c r="C5240" s="1" t="n">
        <v>45705</v>
      </c>
      <c r="D5240" t="inlineStr">
        <is>
          <t>UPPSALA LÄN</t>
        </is>
      </c>
      <c r="E5240" t="inlineStr">
        <is>
          <t>TIERP</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13530-2024</t>
        </is>
      </c>
      <c r="B5241" s="1" t="n">
        <v>45387</v>
      </c>
      <c r="C5241" s="1" t="n">
        <v>45705</v>
      </c>
      <c r="D5241" t="inlineStr">
        <is>
          <t>UPPSALA LÄN</t>
        </is>
      </c>
      <c r="E5241" t="inlineStr">
        <is>
          <t>ENKÖPING</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13368-2024</t>
        </is>
      </c>
      <c r="B5242" s="1" t="n">
        <v>45387</v>
      </c>
      <c r="C5242" s="1" t="n">
        <v>45705</v>
      </c>
      <c r="D5242" t="inlineStr">
        <is>
          <t>UPPSALA LÄN</t>
        </is>
      </c>
      <c r="E5242" t="inlineStr">
        <is>
          <t>TIERP</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13729-2024</t>
        </is>
      </c>
      <c r="B5243" s="1" t="n">
        <v>45387</v>
      </c>
      <c r="C5243" s="1" t="n">
        <v>45705</v>
      </c>
      <c r="D5243" t="inlineStr">
        <is>
          <t>UPPSALA LÄN</t>
        </is>
      </c>
      <c r="E5243" t="inlineStr">
        <is>
          <t>ÖSTHAMMAR</t>
        </is>
      </c>
      <c r="G5243" t="n">
        <v>4.5</v>
      </c>
      <c r="H5243" t="n">
        <v>0</v>
      </c>
      <c r="I5243" t="n">
        <v>0</v>
      </c>
      <c r="J5243" t="n">
        <v>0</v>
      </c>
      <c r="K5243" t="n">
        <v>0</v>
      </c>
      <c r="L5243" t="n">
        <v>0</v>
      </c>
      <c r="M5243" t="n">
        <v>0</v>
      </c>
      <c r="N5243" t="n">
        <v>0</v>
      </c>
      <c r="O5243" t="n">
        <v>0</v>
      </c>
      <c r="P5243" t="n">
        <v>0</v>
      </c>
      <c r="Q5243" t="n">
        <v>0</v>
      </c>
      <c r="R5243" s="2" t="inlineStr"/>
    </row>
    <row r="5244" ht="15" customHeight="1">
      <c r="A5244" t="inlineStr">
        <is>
          <t>A 13528-2024</t>
        </is>
      </c>
      <c r="B5244" s="1" t="n">
        <v>45387</v>
      </c>
      <c r="C5244" s="1" t="n">
        <v>45705</v>
      </c>
      <c r="D5244" t="inlineStr">
        <is>
          <t>UPPSALA LÄN</t>
        </is>
      </c>
      <c r="E5244" t="inlineStr">
        <is>
          <t>ENKÖPING</t>
        </is>
      </c>
      <c r="G5244" t="n">
        <v>5.7</v>
      </c>
      <c r="H5244" t="n">
        <v>0</v>
      </c>
      <c r="I5244" t="n">
        <v>0</v>
      </c>
      <c r="J5244" t="n">
        <v>0</v>
      </c>
      <c r="K5244" t="n">
        <v>0</v>
      </c>
      <c r="L5244" t="n">
        <v>0</v>
      </c>
      <c r="M5244" t="n">
        <v>0</v>
      </c>
      <c r="N5244" t="n">
        <v>0</v>
      </c>
      <c r="O5244" t="n">
        <v>0</v>
      </c>
      <c r="P5244" t="n">
        <v>0</v>
      </c>
      <c r="Q5244" t="n">
        <v>0</v>
      </c>
      <c r="R5244" s="2" t="inlineStr"/>
    </row>
    <row r="5245" ht="15" customHeight="1">
      <c r="A5245" t="inlineStr">
        <is>
          <t>A 13488-2024</t>
        </is>
      </c>
      <c r="B5245" s="1" t="n">
        <v>45387</v>
      </c>
      <c r="C5245" s="1" t="n">
        <v>45705</v>
      </c>
      <c r="D5245" t="inlineStr">
        <is>
          <t>UPPSALA LÄN</t>
        </is>
      </c>
      <c r="E5245" t="inlineStr">
        <is>
          <t>HEBY</t>
        </is>
      </c>
      <c r="F5245" t="inlineStr">
        <is>
          <t>Bergvik skog öst AB</t>
        </is>
      </c>
      <c r="G5245" t="n">
        <v>5.8</v>
      </c>
      <c r="H5245" t="n">
        <v>0</v>
      </c>
      <c r="I5245" t="n">
        <v>0</v>
      </c>
      <c r="J5245" t="n">
        <v>0</v>
      </c>
      <c r="K5245" t="n">
        <v>0</v>
      </c>
      <c r="L5245" t="n">
        <v>0</v>
      </c>
      <c r="M5245" t="n">
        <v>0</v>
      </c>
      <c r="N5245" t="n">
        <v>0</v>
      </c>
      <c r="O5245" t="n">
        <v>0</v>
      </c>
      <c r="P5245" t="n">
        <v>0</v>
      </c>
      <c r="Q5245" t="n">
        <v>0</v>
      </c>
      <c r="R5245" s="2" t="inlineStr"/>
    </row>
    <row r="5246" ht="15" customHeight="1">
      <c r="A5246" t="inlineStr">
        <is>
          <t>A 13430-2024</t>
        </is>
      </c>
      <c r="B5246" s="1" t="n">
        <v>45387</v>
      </c>
      <c r="C5246" s="1" t="n">
        <v>45705</v>
      </c>
      <c r="D5246" t="inlineStr">
        <is>
          <t>UPPSALA LÄN</t>
        </is>
      </c>
      <c r="E5246" t="inlineStr">
        <is>
          <t>HEBY</t>
        </is>
      </c>
      <c r="F5246" t="inlineStr">
        <is>
          <t>Bergvik skog öst AB</t>
        </is>
      </c>
      <c r="G5246" t="n">
        <v>12.8</v>
      </c>
      <c r="H5246" t="n">
        <v>0</v>
      </c>
      <c r="I5246" t="n">
        <v>0</v>
      </c>
      <c r="J5246" t="n">
        <v>0</v>
      </c>
      <c r="K5246" t="n">
        <v>0</v>
      </c>
      <c r="L5246" t="n">
        <v>0</v>
      </c>
      <c r="M5246" t="n">
        <v>0</v>
      </c>
      <c r="N5246" t="n">
        <v>0</v>
      </c>
      <c r="O5246" t="n">
        <v>0</v>
      </c>
      <c r="P5246" t="n">
        <v>0</v>
      </c>
      <c r="Q5246" t="n">
        <v>0</v>
      </c>
      <c r="R5246" s="2" t="inlineStr"/>
    </row>
    <row r="5247" ht="15" customHeight="1">
      <c r="A5247" t="inlineStr">
        <is>
          <t>A 13358-2024</t>
        </is>
      </c>
      <c r="B5247" s="1" t="n">
        <v>45387</v>
      </c>
      <c r="C5247" s="1" t="n">
        <v>45705</v>
      </c>
      <c r="D5247" t="inlineStr">
        <is>
          <t>UPPSALA LÄN</t>
        </is>
      </c>
      <c r="E5247" t="inlineStr">
        <is>
          <t>ÖSTHAMMAR</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13354-2024</t>
        </is>
      </c>
      <c r="B5248" s="1" t="n">
        <v>45387</v>
      </c>
      <c r="C5248" s="1" t="n">
        <v>45705</v>
      </c>
      <c r="D5248" t="inlineStr">
        <is>
          <t>UPPSALA LÄN</t>
        </is>
      </c>
      <c r="E5248" t="inlineStr">
        <is>
          <t>TIERP</t>
        </is>
      </c>
      <c r="G5248" t="n">
        <v>3.9</v>
      </c>
      <c r="H5248" t="n">
        <v>0</v>
      </c>
      <c r="I5248" t="n">
        <v>0</v>
      </c>
      <c r="J5248" t="n">
        <v>0</v>
      </c>
      <c r="K5248" t="n">
        <v>0</v>
      </c>
      <c r="L5248" t="n">
        <v>0</v>
      </c>
      <c r="M5248" t="n">
        <v>0</v>
      </c>
      <c r="N5248" t="n">
        <v>0</v>
      </c>
      <c r="O5248" t="n">
        <v>0</v>
      </c>
      <c r="P5248" t="n">
        <v>0</v>
      </c>
      <c r="Q5248" t="n">
        <v>0</v>
      </c>
      <c r="R5248" s="2" t="inlineStr"/>
    </row>
    <row r="5249" ht="15" customHeight="1">
      <c r="A5249" t="inlineStr">
        <is>
          <t>A 13464-2024</t>
        </is>
      </c>
      <c r="B5249" s="1" t="n">
        <v>45387</v>
      </c>
      <c r="C5249" s="1" t="n">
        <v>45705</v>
      </c>
      <c r="D5249" t="inlineStr">
        <is>
          <t>UPPSALA LÄN</t>
        </is>
      </c>
      <c r="E5249" t="inlineStr">
        <is>
          <t>TIERP</t>
        </is>
      </c>
      <c r="F5249" t="inlineStr">
        <is>
          <t>Bergvik skog väst AB</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13460-2024</t>
        </is>
      </c>
      <c r="B5250" s="1" t="n">
        <v>45387</v>
      </c>
      <c r="C5250" s="1" t="n">
        <v>45705</v>
      </c>
      <c r="D5250" t="inlineStr">
        <is>
          <t>UPPSALA LÄN</t>
        </is>
      </c>
      <c r="E5250" t="inlineStr">
        <is>
          <t>TIERP</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13379-2024</t>
        </is>
      </c>
      <c r="B5251" s="1" t="n">
        <v>45387</v>
      </c>
      <c r="C5251" s="1" t="n">
        <v>45705</v>
      </c>
      <c r="D5251" t="inlineStr">
        <is>
          <t>UPPSALA LÄN</t>
        </is>
      </c>
      <c r="E5251" t="inlineStr">
        <is>
          <t>UPPSALA</t>
        </is>
      </c>
      <c r="G5251" t="n">
        <v>7</v>
      </c>
      <c r="H5251" t="n">
        <v>0</v>
      </c>
      <c r="I5251" t="n">
        <v>0</v>
      </c>
      <c r="J5251" t="n">
        <v>0</v>
      </c>
      <c r="K5251" t="n">
        <v>0</v>
      </c>
      <c r="L5251" t="n">
        <v>0</v>
      </c>
      <c r="M5251" t="n">
        <v>0</v>
      </c>
      <c r="N5251" t="n">
        <v>0</v>
      </c>
      <c r="O5251" t="n">
        <v>0</v>
      </c>
      <c r="P5251" t="n">
        <v>0</v>
      </c>
      <c r="Q5251" t="n">
        <v>0</v>
      </c>
      <c r="R5251" s="2" t="inlineStr"/>
    </row>
    <row r="5252" ht="15" customHeight="1">
      <c r="A5252" t="inlineStr">
        <is>
          <t>A 13393-2024</t>
        </is>
      </c>
      <c r="B5252" s="1" t="n">
        <v>45387</v>
      </c>
      <c r="C5252" s="1" t="n">
        <v>45705</v>
      </c>
      <c r="D5252" t="inlineStr">
        <is>
          <t>UPPSALA LÄN</t>
        </is>
      </c>
      <c r="E5252" t="inlineStr">
        <is>
          <t>ÖSTHAMMAR</t>
        </is>
      </c>
      <c r="F5252" t="inlineStr">
        <is>
          <t>Kyrkan</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13601-2024</t>
        </is>
      </c>
      <c r="B5253" s="1" t="n">
        <v>45390</v>
      </c>
      <c r="C5253" s="1" t="n">
        <v>45705</v>
      </c>
      <c r="D5253" t="inlineStr">
        <is>
          <t>UPPSALA LÄN</t>
        </is>
      </c>
      <c r="E5253" t="inlineStr">
        <is>
          <t>HEBY</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13613-2024</t>
        </is>
      </c>
      <c r="B5254" s="1" t="n">
        <v>45390</v>
      </c>
      <c r="C5254" s="1" t="n">
        <v>45705</v>
      </c>
      <c r="D5254" t="inlineStr">
        <is>
          <t>UPPSALA LÄN</t>
        </is>
      </c>
      <c r="E5254" t="inlineStr">
        <is>
          <t>ÖSTHAMMAR</t>
        </is>
      </c>
      <c r="F5254" t="inlineStr">
        <is>
          <t>Övriga Aktiebolag</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13678-2024</t>
        </is>
      </c>
      <c r="B5255" s="1" t="n">
        <v>45390</v>
      </c>
      <c r="C5255" s="1" t="n">
        <v>45705</v>
      </c>
      <c r="D5255" t="inlineStr">
        <is>
          <t>UPPSALA LÄN</t>
        </is>
      </c>
      <c r="E5255" t="inlineStr">
        <is>
          <t>KNIVSTA</t>
        </is>
      </c>
      <c r="F5255" t="inlineStr">
        <is>
          <t>Holmen skog AB</t>
        </is>
      </c>
      <c r="G5255" t="n">
        <v>7.4</v>
      </c>
      <c r="H5255" t="n">
        <v>0</v>
      </c>
      <c r="I5255" t="n">
        <v>0</v>
      </c>
      <c r="J5255" t="n">
        <v>0</v>
      </c>
      <c r="K5255" t="n">
        <v>0</v>
      </c>
      <c r="L5255" t="n">
        <v>0</v>
      </c>
      <c r="M5255" t="n">
        <v>0</v>
      </c>
      <c r="N5255" t="n">
        <v>0</v>
      </c>
      <c r="O5255" t="n">
        <v>0</v>
      </c>
      <c r="P5255" t="n">
        <v>0</v>
      </c>
      <c r="Q5255" t="n">
        <v>0</v>
      </c>
      <c r="R5255" s="2" t="inlineStr"/>
    </row>
    <row r="5256" ht="15" customHeight="1">
      <c r="A5256" t="inlineStr">
        <is>
          <t>A 13616-2024</t>
        </is>
      </c>
      <c r="B5256" s="1" t="n">
        <v>45390</v>
      </c>
      <c r="C5256" s="1" t="n">
        <v>45705</v>
      </c>
      <c r="D5256" t="inlineStr">
        <is>
          <t>UPPSALA LÄN</t>
        </is>
      </c>
      <c r="E5256" t="inlineStr">
        <is>
          <t>ÖSTHAMMAR</t>
        </is>
      </c>
      <c r="F5256" t="inlineStr">
        <is>
          <t>Övriga Aktiebolag</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13615-2024</t>
        </is>
      </c>
      <c r="B5257" s="1" t="n">
        <v>45390</v>
      </c>
      <c r="C5257" s="1" t="n">
        <v>45705</v>
      </c>
      <c r="D5257" t="inlineStr">
        <is>
          <t>UPPSALA LÄN</t>
        </is>
      </c>
      <c r="E5257" t="inlineStr">
        <is>
          <t>ÖSTHAMMAR</t>
        </is>
      </c>
      <c r="F5257" t="inlineStr">
        <is>
          <t>Övriga Aktiebolag</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13681-2024</t>
        </is>
      </c>
      <c r="B5258" s="1" t="n">
        <v>45390</v>
      </c>
      <c r="C5258" s="1" t="n">
        <v>45705</v>
      </c>
      <c r="D5258" t="inlineStr">
        <is>
          <t>UPPSALA LÄN</t>
        </is>
      </c>
      <c r="E5258" t="inlineStr">
        <is>
          <t>TIERP</t>
        </is>
      </c>
      <c r="F5258" t="inlineStr">
        <is>
          <t>Bergvik skog väst AB</t>
        </is>
      </c>
      <c r="G5258" t="n">
        <v>11.2</v>
      </c>
      <c r="H5258" t="n">
        <v>0</v>
      </c>
      <c r="I5258" t="n">
        <v>0</v>
      </c>
      <c r="J5258" t="n">
        <v>0</v>
      </c>
      <c r="K5258" t="n">
        <v>0</v>
      </c>
      <c r="L5258" t="n">
        <v>0</v>
      </c>
      <c r="M5258" t="n">
        <v>0</v>
      </c>
      <c r="N5258" t="n">
        <v>0</v>
      </c>
      <c r="O5258" t="n">
        <v>0</v>
      </c>
      <c r="P5258" t="n">
        <v>0</v>
      </c>
      <c r="Q5258" t="n">
        <v>0</v>
      </c>
      <c r="R5258" s="2" t="inlineStr"/>
    </row>
    <row r="5259" ht="15" customHeight="1">
      <c r="A5259" t="inlineStr">
        <is>
          <t>A 13644-2024</t>
        </is>
      </c>
      <c r="B5259" s="1" t="n">
        <v>45390</v>
      </c>
      <c r="C5259" s="1" t="n">
        <v>45705</v>
      </c>
      <c r="D5259" t="inlineStr">
        <is>
          <t>UPPSALA LÄN</t>
        </is>
      </c>
      <c r="E5259" t="inlineStr">
        <is>
          <t>UPPSALA</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13685-2024</t>
        </is>
      </c>
      <c r="B5260" s="1" t="n">
        <v>45390</v>
      </c>
      <c r="C5260" s="1" t="n">
        <v>45705</v>
      </c>
      <c r="D5260" t="inlineStr">
        <is>
          <t>UPPSALA LÄN</t>
        </is>
      </c>
      <c r="E5260" t="inlineStr">
        <is>
          <t>HEBY</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13697-2024</t>
        </is>
      </c>
      <c r="B5261" s="1" t="n">
        <v>45390</v>
      </c>
      <c r="C5261" s="1" t="n">
        <v>45705</v>
      </c>
      <c r="D5261" t="inlineStr">
        <is>
          <t>UPPSALA LÄN</t>
        </is>
      </c>
      <c r="E5261" t="inlineStr">
        <is>
          <t>KNIVSTA</t>
        </is>
      </c>
      <c r="F5261" t="inlineStr">
        <is>
          <t>Holmen skog AB</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13676-2024</t>
        </is>
      </c>
      <c r="B5262" s="1" t="n">
        <v>45390</v>
      </c>
      <c r="C5262" s="1" t="n">
        <v>45705</v>
      </c>
      <c r="D5262" t="inlineStr">
        <is>
          <t>UPPSALA LÄN</t>
        </is>
      </c>
      <c r="E5262" t="inlineStr">
        <is>
          <t>HEBY</t>
        </is>
      </c>
      <c r="G5262" t="n">
        <v>15.8</v>
      </c>
      <c r="H5262" t="n">
        <v>0</v>
      </c>
      <c r="I5262" t="n">
        <v>0</v>
      </c>
      <c r="J5262" t="n">
        <v>0</v>
      </c>
      <c r="K5262" t="n">
        <v>0</v>
      </c>
      <c r="L5262" t="n">
        <v>0</v>
      </c>
      <c r="M5262" t="n">
        <v>0</v>
      </c>
      <c r="N5262" t="n">
        <v>0</v>
      </c>
      <c r="O5262" t="n">
        <v>0</v>
      </c>
      <c r="P5262" t="n">
        <v>0</v>
      </c>
      <c r="Q5262" t="n">
        <v>0</v>
      </c>
      <c r="R5262" s="2" t="inlineStr"/>
    </row>
    <row r="5263" ht="15" customHeight="1">
      <c r="A5263" t="inlineStr">
        <is>
          <t>A 13684-2024</t>
        </is>
      </c>
      <c r="B5263" s="1" t="n">
        <v>45390</v>
      </c>
      <c r="C5263" s="1" t="n">
        <v>45705</v>
      </c>
      <c r="D5263" t="inlineStr">
        <is>
          <t>UPPSALA LÄN</t>
        </is>
      </c>
      <c r="E5263" t="inlineStr">
        <is>
          <t>TIERP</t>
        </is>
      </c>
      <c r="F5263" t="inlineStr">
        <is>
          <t>Bergvik skog väst AB</t>
        </is>
      </c>
      <c r="G5263" t="n">
        <v>13.8</v>
      </c>
      <c r="H5263" t="n">
        <v>0</v>
      </c>
      <c r="I5263" t="n">
        <v>0</v>
      </c>
      <c r="J5263" t="n">
        <v>0</v>
      </c>
      <c r="K5263" t="n">
        <v>0</v>
      </c>
      <c r="L5263" t="n">
        <v>0</v>
      </c>
      <c r="M5263" t="n">
        <v>0</v>
      </c>
      <c r="N5263" t="n">
        <v>0</v>
      </c>
      <c r="O5263" t="n">
        <v>0</v>
      </c>
      <c r="P5263" t="n">
        <v>0</v>
      </c>
      <c r="Q5263" t="n">
        <v>0</v>
      </c>
      <c r="R5263" s="2" t="inlineStr"/>
    </row>
    <row r="5264" ht="15" customHeight="1">
      <c r="A5264" t="inlineStr">
        <is>
          <t>A 13688-2024</t>
        </is>
      </c>
      <c r="B5264" s="1" t="n">
        <v>45390</v>
      </c>
      <c r="C5264" s="1" t="n">
        <v>45705</v>
      </c>
      <c r="D5264" t="inlineStr">
        <is>
          <t>UPPSALA LÄN</t>
        </is>
      </c>
      <c r="E5264" t="inlineStr">
        <is>
          <t>HEBY</t>
        </is>
      </c>
      <c r="G5264" t="n">
        <v>5.1</v>
      </c>
      <c r="H5264" t="n">
        <v>0</v>
      </c>
      <c r="I5264" t="n">
        <v>0</v>
      </c>
      <c r="J5264" t="n">
        <v>0</v>
      </c>
      <c r="K5264" t="n">
        <v>0</v>
      </c>
      <c r="L5264" t="n">
        <v>0</v>
      </c>
      <c r="M5264" t="n">
        <v>0</v>
      </c>
      <c r="N5264" t="n">
        <v>0</v>
      </c>
      <c r="O5264" t="n">
        <v>0</v>
      </c>
      <c r="P5264" t="n">
        <v>0</v>
      </c>
      <c r="Q5264" t="n">
        <v>0</v>
      </c>
      <c r="R5264" s="2" t="inlineStr"/>
    </row>
    <row r="5265" ht="15" customHeight="1">
      <c r="A5265" t="inlineStr">
        <is>
          <t>A 13692-2024</t>
        </is>
      </c>
      <c r="B5265" s="1" t="n">
        <v>45390</v>
      </c>
      <c r="C5265" s="1" t="n">
        <v>45705</v>
      </c>
      <c r="D5265" t="inlineStr">
        <is>
          <t>UPPSALA LÄN</t>
        </is>
      </c>
      <c r="E5265" t="inlineStr">
        <is>
          <t>TIERP</t>
        </is>
      </c>
      <c r="F5265" t="inlineStr">
        <is>
          <t>Bergvik skog väst AB</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13618-2024</t>
        </is>
      </c>
      <c r="B5266" s="1" t="n">
        <v>45390</v>
      </c>
      <c r="C5266" s="1" t="n">
        <v>45705</v>
      </c>
      <c r="D5266" t="inlineStr">
        <is>
          <t>UPPSALA LÄN</t>
        </is>
      </c>
      <c r="E5266" t="inlineStr">
        <is>
          <t>ÖSTHAMMAR</t>
        </is>
      </c>
      <c r="F5266" t="inlineStr">
        <is>
          <t>Övriga Aktiebolag</t>
        </is>
      </c>
      <c r="G5266" t="n">
        <v>3.1</v>
      </c>
      <c r="H5266" t="n">
        <v>0</v>
      </c>
      <c r="I5266" t="n">
        <v>0</v>
      </c>
      <c r="J5266" t="n">
        <v>0</v>
      </c>
      <c r="K5266" t="n">
        <v>0</v>
      </c>
      <c r="L5266" t="n">
        <v>0</v>
      </c>
      <c r="M5266" t="n">
        <v>0</v>
      </c>
      <c r="N5266" t="n">
        <v>0</v>
      </c>
      <c r="O5266" t="n">
        <v>0</v>
      </c>
      <c r="P5266" t="n">
        <v>0</v>
      </c>
      <c r="Q5266" t="n">
        <v>0</v>
      </c>
      <c r="R5266" s="2" t="inlineStr"/>
    </row>
    <row r="5267" ht="15" customHeight="1">
      <c r="A5267" t="inlineStr">
        <is>
          <t>A 13679-2024</t>
        </is>
      </c>
      <c r="B5267" s="1" t="n">
        <v>45390</v>
      </c>
      <c r="C5267" s="1" t="n">
        <v>45705</v>
      </c>
      <c r="D5267" t="inlineStr">
        <is>
          <t>UPPSALA LÄN</t>
        </is>
      </c>
      <c r="E5267" t="inlineStr">
        <is>
          <t>HEBY</t>
        </is>
      </c>
      <c r="G5267" t="n">
        <v>4.9</v>
      </c>
      <c r="H5267" t="n">
        <v>0</v>
      </c>
      <c r="I5267" t="n">
        <v>0</v>
      </c>
      <c r="J5267" t="n">
        <v>0</v>
      </c>
      <c r="K5267" t="n">
        <v>0</v>
      </c>
      <c r="L5267" t="n">
        <v>0</v>
      </c>
      <c r="M5267" t="n">
        <v>0</v>
      </c>
      <c r="N5267" t="n">
        <v>0</v>
      </c>
      <c r="O5267" t="n">
        <v>0</v>
      </c>
      <c r="P5267" t="n">
        <v>0</v>
      </c>
      <c r="Q5267" t="n">
        <v>0</v>
      </c>
      <c r="R5267" s="2" t="inlineStr"/>
    </row>
    <row r="5268" ht="15" customHeight="1">
      <c r="A5268" t="inlineStr">
        <is>
          <t>A 13687-2024</t>
        </is>
      </c>
      <c r="B5268" s="1" t="n">
        <v>45390</v>
      </c>
      <c r="C5268" s="1" t="n">
        <v>45705</v>
      </c>
      <c r="D5268" t="inlineStr">
        <is>
          <t>UPPSALA LÄN</t>
        </is>
      </c>
      <c r="E5268" t="inlineStr">
        <is>
          <t>TIERP</t>
        </is>
      </c>
      <c r="F5268" t="inlineStr">
        <is>
          <t>Bergvik skog väst AB</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13691-2024</t>
        </is>
      </c>
      <c r="B5269" s="1" t="n">
        <v>45390</v>
      </c>
      <c r="C5269" s="1" t="n">
        <v>45705</v>
      </c>
      <c r="D5269" t="inlineStr">
        <is>
          <t>UPPSALA LÄN</t>
        </is>
      </c>
      <c r="E5269" t="inlineStr">
        <is>
          <t>TIERP</t>
        </is>
      </c>
      <c r="F5269" t="inlineStr">
        <is>
          <t>Bergvik skog väst AB</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13799-2024</t>
        </is>
      </c>
      <c r="B5270" s="1" t="n">
        <v>45391</v>
      </c>
      <c r="C5270" s="1" t="n">
        <v>45705</v>
      </c>
      <c r="D5270" t="inlineStr">
        <is>
          <t>UPPSALA LÄN</t>
        </is>
      </c>
      <c r="E5270" t="inlineStr">
        <is>
          <t>UPPSALA</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13879-2024</t>
        </is>
      </c>
      <c r="B5271" s="1" t="n">
        <v>45391</v>
      </c>
      <c r="C5271" s="1" t="n">
        <v>45705</v>
      </c>
      <c r="D5271" t="inlineStr">
        <is>
          <t>UPPSALA LÄN</t>
        </is>
      </c>
      <c r="E5271" t="inlineStr">
        <is>
          <t>ÖSTHAMMAR</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13779-2024</t>
        </is>
      </c>
      <c r="B5272" s="1" t="n">
        <v>45391</v>
      </c>
      <c r="C5272" s="1" t="n">
        <v>45705</v>
      </c>
      <c r="D5272" t="inlineStr">
        <is>
          <t>UPPSALA LÄN</t>
        </is>
      </c>
      <c r="E5272" t="inlineStr">
        <is>
          <t>ÖSTHAMMAR</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14108-2024</t>
        </is>
      </c>
      <c r="B5273" s="1" t="n">
        <v>45392</v>
      </c>
      <c r="C5273" s="1" t="n">
        <v>45705</v>
      </c>
      <c r="D5273" t="inlineStr">
        <is>
          <t>UPPSALA LÄN</t>
        </is>
      </c>
      <c r="E5273" t="inlineStr">
        <is>
          <t>TIERP</t>
        </is>
      </c>
      <c r="G5273" t="n">
        <v>3.6</v>
      </c>
      <c r="H5273" t="n">
        <v>0</v>
      </c>
      <c r="I5273" t="n">
        <v>0</v>
      </c>
      <c r="J5273" t="n">
        <v>0</v>
      </c>
      <c r="K5273" t="n">
        <v>0</v>
      </c>
      <c r="L5273" t="n">
        <v>0</v>
      </c>
      <c r="M5273" t="n">
        <v>0</v>
      </c>
      <c r="N5273" t="n">
        <v>0</v>
      </c>
      <c r="O5273" t="n">
        <v>0</v>
      </c>
      <c r="P5273" t="n">
        <v>0</v>
      </c>
      <c r="Q5273" t="n">
        <v>0</v>
      </c>
      <c r="R5273" s="2" t="inlineStr"/>
    </row>
    <row r="5274" ht="15" customHeight="1">
      <c r="A5274" t="inlineStr">
        <is>
          <t>A 14116-2024</t>
        </is>
      </c>
      <c r="B5274" s="1" t="n">
        <v>45392</v>
      </c>
      <c r="C5274" s="1" t="n">
        <v>45705</v>
      </c>
      <c r="D5274" t="inlineStr">
        <is>
          <t>UPPSALA LÄN</t>
        </is>
      </c>
      <c r="E5274" t="inlineStr">
        <is>
          <t>TIERP</t>
        </is>
      </c>
      <c r="F5274" t="inlineStr">
        <is>
          <t>Bergvik skog öst AB</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14284-2024</t>
        </is>
      </c>
      <c r="B5275" s="1" t="n">
        <v>45393</v>
      </c>
      <c r="C5275" s="1" t="n">
        <v>45705</v>
      </c>
      <c r="D5275" t="inlineStr">
        <is>
          <t>UPPSALA LÄN</t>
        </is>
      </c>
      <c r="E5275" t="inlineStr">
        <is>
          <t>TIERP</t>
        </is>
      </c>
      <c r="F5275" t="inlineStr">
        <is>
          <t>Bergvik skog öst AB</t>
        </is>
      </c>
      <c r="G5275" t="n">
        <v>11.8</v>
      </c>
      <c r="H5275" t="n">
        <v>0</v>
      </c>
      <c r="I5275" t="n">
        <v>0</v>
      </c>
      <c r="J5275" t="n">
        <v>0</v>
      </c>
      <c r="K5275" t="n">
        <v>0</v>
      </c>
      <c r="L5275" t="n">
        <v>0</v>
      </c>
      <c r="M5275" t="n">
        <v>0</v>
      </c>
      <c r="N5275" t="n">
        <v>0</v>
      </c>
      <c r="O5275" t="n">
        <v>0</v>
      </c>
      <c r="P5275" t="n">
        <v>0</v>
      </c>
      <c r="Q5275" t="n">
        <v>0</v>
      </c>
      <c r="R5275" s="2" t="inlineStr"/>
    </row>
    <row r="5276" ht="15" customHeight="1">
      <c r="A5276" t="inlineStr">
        <is>
          <t>A 14334-2024</t>
        </is>
      </c>
      <c r="B5276" s="1" t="n">
        <v>45393</v>
      </c>
      <c r="C5276" s="1" t="n">
        <v>45705</v>
      </c>
      <c r="D5276" t="inlineStr">
        <is>
          <t>UPPSALA LÄN</t>
        </is>
      </c>
      <c r="E5276" t="inlineStr">
        <is>
          <t>ENKÖPING</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14332-2024</t>
        </is>
      </c>
      <c r="B5277" s="1" t="n">
        <v>45393</v>
      </c>
      <c r="C5277" s="1" t="n">
        <v>45705</v>
      </c>
      <c r="D5277" t="inlineStr">
        <is>
          <t>UPPSALA LÄN</t>
        </is>
      </c>
      <c r="E5277" t="inlineStr">
        <is>
          <t>ENKÖPING</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14241-2024</t>
        </is>
      </c>
      <c r="B5278" s="1" t="n">
        <v>45393</v>
      </c>
      <c r="C5278" s="1" t="n">
        <v>45705</v>
      </c>
      <c r="D5278" t="inlineStr">
        <is>
          <t>UPPSALA LÄN</t>
        </is>
      </c>
      <c r="E5278" t="inlineStr">
        <is>
          <t>TIERP</t>
        </is>
      </c>
      <c r="F5278" t="inlineStr">
        <is>
          <t>Bergvik skog öst AB</t>
        </is>
      </c>
      <c r="G5278" t="n">
        <v>0.4</v>
      </c>
      <c r="H5278" t="n">
        <v>0</v>
      </c>
      <c r="I5278" t="n">
        <v>0</v>
      </c>
      <c r="J5278" t="n">
        <v>0</v>
      </c>
      <c r="K5278" t="n">
        <v>0</v>
      </c>
      <c r="L5278" t="n">
        <v>0</v>
      </c>
      <c r="M5278" t="n">
        <v>0</v>
      </c>
      <c r="N5278" t="n">
        <v>0</v>
      </c>
      <c r="O5278" t="n">
        <v>0</v>
      </c>
      <c r="P5278" t="n">
        <v>0</v>
      </c>
      <c r="Q5278" t="n">
        <v>0</v>
      </c>
      <c r="R5278" s="2" t="inlineStr"/>
    </row>
    <row r="5279" ht="15" customHeight="1">
      <c r="A5279" t="inlineStr">
        <is>
          <t>A 14395-2024</t>
        </is>
      </c>
      <c r="B5279" s="1" t="n">
        <v>45394</v>
      </c>
      <c r="C5279" s="1" t="n">
        <v>45705</v>
      </c>
      <c r="D5279" t="inlineStr">
        <is>
          <t>UPPSALA LÄN</t>
        </is>
      </c>
      <c r="E5279" t="inlineStr">
        <is>
          <t>TIERP</t>
        </is>
      </c>
      <c r="F5279" t="inlineStr">
        <is>
          <t>Bergvik skog väst AB</t>
        </is>
      </c>
      <c r="G5279" t="n">
        <v>12.1</v>
      </c>
      <c r="H5279" t="n">
        <v>0</v>
      </c>
      <c r="I5279" t="n">
        <v>0</v>
      </c>
      <c r="J5279" t="n">
        <v>0</v>
      </c>
      <c r="K5279" t="n">
        <v>0</v>
      </c>
      <c r="L5279" t="n">
        <v>0</v>
      </c>
      <c r="M5279" t="n">
        <v>0</v>
      </c>
      <c r="N5279" t="n">
        <v>0</v>
      </c>
      <c r="O5279" t="n">
        <v>0</v>
      </c>
      <c r="P5279" t="n">
        <v>0</v>
      </c>
      <c r="Q5279" t="n">
        <v>0</v>
      </c>
      <c r="R5279" s="2" t="inlineStr"/>
    </row>
    <row r="5280" ht="15" customHeight="1">
      <c r="A5280" t="inlineStr">
        <is>
          <t>A 14437-2024</t>
        </is>
      </c>
      <c r="B5280" s="1" t="n">
        <v>45394</v>
      </c>
      <c r="C5280" s="1" t="n">
        <v>45705</v>
      </c>
      <c r="D5280" t="inlineStr">
        <is>
          <t>UPPSALA LÄN</t>
        </is>
      </c>
      <c r="E5280" t="inlineStr">
        <is>
          <t>HEBY</t>
        </is>
      </c>
      <c r="G5280" t="n">
        <v>4.3</v>
      </c>
      <c r="H5280" t="n">
        <v>0</v>
      </c>
      <c r="I5280" t="n">
        <v>0</v>
      </c>
      <c r="J5280" t="n">
        <v>0</v>
      </c>
      <c r="K5280" t="n">
        <v>0</v>
      </c>
      <c r="L5280" t="n">
        <v>0</v>
      </c>
      <c r="M5280" t="n">
        <v>0</v>
      </c>
      <c r="N5280" t="n">
        <v>0</v>
      </c>
      <c r="O5280" t="n">
        <v>0</v>
      </c>
      <c r="P5280" t="n">
        <v>0</v>
      </c>
      <c r="Q5280" t="n">
        <v>0</v>
      </c>
      <c r="R5280" s="2" t="inlineStr"/>
    </row>
    <row r="5281" ht="15" customHeight="1">
      <c r="A5281" t="inlineStr">
        <is>
          <t>A 14533-2024</t>
        </is>
      </c>
      <c r="B5281" s="1" t="n">
        <v>45394</v>
      </c>
      <c r="C5281" s="1" t="n">
        <v>45705</v>
      </c>
      <c r="D5281" t="inlineStr">
        <is>
          <t>UPPSALA LÄN</t>
        </is>
      </c>
      <c r="E5281" t="inlineStr">
        <is>
          <t>UPPSALA</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14401-2024</t>
        </is>
      </c>
      <c r="B5282" s="1" t="n">
        <v>45394</v>
      </c>
      <c r="C5282" s="1" t="n">
        <v>45705</v>
      </c>
      <c r="D5282" t="inlineStr">
        <is>
          <t>UPPSALA LÄN</t>
        </is>
      </c>
      <c r="E5282" t="inlineStr">
        <is>
          <t>UPPSALA</t>
        </is>
      </c>
      <c r="F5282" t="inlineStr">
        <is>
          <t>Övriga statliga verk och myndigheter</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14516-2024</t>
        </is>
      </c>
      <c r="B5283" s="1" t="n">
        <v>45394</v>
      </c>
      <c r="C5283" s="1" t="n">
        <v>45705</v>
      </c>
      <c r="D5283" t="inlineStr">
        <is>
          <t>UPPSALA LÄN</t>
        </is>
      </c>
      <c r="E5283" t="inlineStr">
        <is>
          <t>ÖSTHAMMAR</t>
        </is>
      </c>
      <c r="F5283" t="inlineStr">
        <is>
          <t>Bergvik skog öst AB</t>
        </is>
      </c>
      <c r="G5283" t="n">
        <v>7.2</v>
      </c>
      <c r="H5283" t="n">
        <v>0</v>
      </c>
      <c r="I5283" t="n">
        <v>0</v>
      </c>
      <c r="J5283" t="n">
        <v>0</v>
      </c>
      <c r="K5283" t="n">
        <v>0</v>
      </c>
      <c r="L5283" t="n">
        <v>0</v>
      </c>
      <c r="M5283" t="n">
        <v>0</v>
      </c>
      <c r="N5283" t="n">
        <v>0</v>
      </c>
      <c r="O5283" t="n">
        <v>0</v>
      </c>
      <c r="P5283" t="n">
        <v>0</v>
      </c>
      <c r="Q5283" t="n">
        <v>0</v>
      </c>
      <c r="R5283" s="2" t="inlineStr"/>
    </row>
    <row r="5284" ht="15" customHeight="1">
      <c r="A5284" t="inlineStr">
        <is>
          <t>A 14528-2024</t>
        </is>
      </c>
      <c r="B5284" s="1" t="n">
        <v>45394</v>
      </c>
      <c r="C5284" s="1" t="n">
        <v>45705</v>
      </c>
      <c r="D5284" t="inlineStr">
        <is>
          <t>UPPSALA LÄN</t>
        </is>
      </c>
      <c r="E5284" t="inlineStr">
        <is>
          <t>UPPSALA</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14404-2024</t>
        </is>
      </c>
      <c r="B5285" s="1" t="n">
        <v>45394</v>
      </c>
      <c r="C5285" s="1" t="n">
        <v>45705</v>
      </c>
      <c r="D5285" t="inlineStr">
        <is>
          <t>UPPSALA LÄN</t>
        </is>
      </c>
      <c r="E5285" t="inlineStr">
        <is>
          <t>UPPSALA</t>
        </is>
      </c>
      <c r="F5285" t="inlineStr">
        <is>
          <t>Övriga statliga verk och myndigheter</t>
        </is>
      </c>
      <c r="G5285" t="n">
        <v>7</v>
      </c>
      <c r="H5285" t="n">
        <v>0</v>
      </c>
      <c r="I5285" t="n">
        <v>0</v>
      </c>
      <c r="J5285" t="n">
        <v>0</v>
      </c>
      <c r="K5285" t="n">
        <v>0</v>
      </c>
      <c r="L5285" t="n">
        <v>0</v>
      </c>
      <c r="M5285" t="n">
        <v>0</v>
      </c>
      <c r="N5285" t="n">
        <v>0</v>
      </c>
      <c r="O5285" t="n">
        <v>0</v>
      </c>
      <c r="P5285" t="n">
        <v>0</v>
      </c>
      <c r="Q5285" t="n">
        <v>0</v>
      </c>
      <c r="R5285" s="2" t="inlineStr"/>
    </row>
    <row r="5286" ht="15" customHeight="1">
      <c r="A5286" t="inlineStr">
        <is>
          <t>A 14483-2024</t>
        </is>
      </c>
      <c r="B5286" s="1" t="n">
        <v>45394</v>
      </c>
      <c r="C5286" s="1" t="n">
        <v>45705</v>
      </c>
      <c r="D5286" t="inlineStr">
        <is>
          <t>UPPSALA LÄN</t>
        </is>
      </c>
      <c r="E5286" t="inlineStr">
        <is>
          <t>TIERP</t>
        </is>
      </c>
      <c r="F5286" t="inlineStr">
        <is>
          <t>Bergvik skog väst AB</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14523-2024</t>
        </is>
      </c>
      <c r="B5287" s="1" t="n">
        <v>45394</v>
      </c>
      <c r="C5287" s="1" t="n">
        <v>45705</v>
      </c>
      <c r="D5287" t="inlineStr">
        <is>
          <t>UPPSALA LÄN</t>
        </is>
      </c>
      <c r="E5287" t="inlineStr">
        <is>
          <t>UPPSALA</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14509-2024</t>
        </is>
      </c>
      <c r="B5288" s="1" t="n">
        <v>45394</v>
      </c>
      <c r="C5288" s="1" t="n">
        <v>45705</v>
      </c>
      <c r="D5288" t="inlineStr">
        <is>
          <t>UPPSALA LÄN</t>
        </is>
      </c>
      <c r="E5288" t="inlineStr">
        <is>
          <t>ÖSTHAMMAR</t>
        </is>
      </c>
      <c r="F5288" t="inlineStr">
        <is>
          <t>Naturvårdsverket</t>
        </is>
      </c>
      <c r="G5288" t="n">
        <v>9.5</v>
      </c>
      <c r="H5288" t="n">
        <v>0</v>
      </c>
      <c r="I5288" t="n">
        <v>0</v>
      </c>
      <c r="J5288" t="n">
        <v>0</v>
      </c>
      <c r="K5288" t="n">
        <v>0</v>
      </c>
      <c r="L5288" t="n">
        <v>0</v>
      </c>
      <c r="M5288" t="n">
        <v>0</v>
      </c>
      <c r="N5288" t="n">
        <v>0</v>
      </c>
      <c r="O5288" t="n">
        <v>0</v>
      </c>
      <c r="P5288" t="n">
        <v>0</v>
      </c>
      <c r="Q5288" t="n">
        <v>0</v>
      </c>
      <c r="R5288" s="2" t="inlineStr"/>
    </row>
    <row r="5289" ht="15" customHeight="1">
      <c r="A5289" t="inlineStr">
        <is>
          <t>A 14433-2024</t>
        </is>
      </c>
      <c r="B5289" s="1" t="n">
        <v>45394</v>
      </c>
      <c r="C5289" s="1" t="n">
        <v>45705</v>
      </c>
      <c r="D5289" t="inlineStr">
        <is>
          <t>UPPSALA LÄN</t>
        </is>
      </c>
      <c r="E5289" t="inlineStr">
        <is>
          <t>ÖSTHAMMAR</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14771-2024</t>
        </is>
      </c>
      <c r="B5290" s="1" t="n">
        <v>45397</v>
      </c>
      <c r="C5290" s="1" t="n">
        <v>45705</v>
      </c>
      <c r="D5290" t="inlineStr">
        <is>
          <t>UPPSALA LÄN</t>
        </is>
      </c>
      <c r="E5290" t="inlineStr">
        <is>
          <t>HEBY</t>
        </is>
      </c>
      <c r="F5290" t="inlineStr">
        <is>
          <t>Bergvik skog väst AB</t>
        </is>
      </c>
      <c r="G5290" t="n">
        <v>10.5</v>
      </c>
      <c r="H5290" t="n">
        <v>0</v>
      </c>
      <c r="I5290" t="n">
        <v>0</v>
      </c>
      <c r="J5290" t="n">
        <v>0</v>
      </c>
      <c r="K5290" t="n">
        <v>0</v>
      </c>
      <c r="L5290" t="n">
        <v>0</v>
      </c>
      <c r="M5290" t="n">
        <v>0</v>
      </c>
      <c r="N5290" t="n">
        <v>0</v>
      </c>
      <c r="O5290" t="n">
        <v>0</v>
      </c>
      <c r="P5290" t="n">
        <v>0</v>
      </c>
      <c r="Q5290" t="n">
        <v>0</v>
      </c>
      <c r="R5290" s="2" t="inlineStr"/>
    </row>
    <row r="5291" ht="15" customHeight="1">
      <c r="A5291" t="inlineStr">
        <is>
          <t>A 14643-2024</t>
        </is>
      </c>
      <c r="B5291" s="1" t="n">
        <v>45397</v>
      </c>
      <c r="C5291" s="1" t="n">
        <v>45705</v>
      </c>
      <c r="D5291" t="inlineStr">
        <is>
          <t>UPPSALA LÄN</t>
        </is>
      </c>
      <c r="E5291" t="inlineStr">
        <is>
          <t>UPPSALA</t>
        </is>
      </c>
      <c r="G5291" t="n">
        <v>8</v>
      </c>
      <c r="H5291" t="n">
        <v>0</v>
      </c>
      <c r="I5291" t="n">
        <v>0</v>
      </c>
      <c r="J5291" t="n">
        <v>0</v>
      </c>
      <c r="K5291" t="n">
        <v>0</v>
      </c>
      <c r="L5291" t="n">
        <v>0</v>
      </c>
      <c r="M5291" t="n">
        <v>0</v>
      </c>
      <c r="N5291" t="n">
        <v>0</v>
      </c>
      <c r="O5291" t="n">
        <v>0</v>
      </c>
      <c r="P5291" t="n">
        <v>0</v>
      </c>
      <c r="Q5291" t="n">
        <v>0</v>
      </c>
      <c r="R5291" s="2" t="inlineStr"/>
    </row>
    <row r="5292" ht="15" customHeight="1">
      <c r="A5292" t="inlineStr">
        <is>
          <t>A 14696-2024</t>
        </is>
      </c>
      <c r="B5292" s="1" t="n">
        <v>45397</v>
      </c>
      <c r="C5292" s="1" t="n">
        <v>45705</v>
      </c>
      <c r="D5292" t="inlineStr">
        <is>
          <t>UPPSALA LÄN</t>
        </is>
      </c>
      <c r="E5292" t="inlineStr">
        <is>
          <t>HEBY</t>
        </is>
      </c>
      <c r="F5292" t="inlineStr">
        <is>
          <t>Bergvik skog väst AB</t>
        </is>
      </c>
      <c r="G5292" t="n">
        <v>4.8</v>
      </c>
      <c r="H5292" t="n">
        <v>0</v>
      </c>
      <c r="I5292" t="n">
        <v>0</v>
      </c>
      <c r="J5292" t="n">
        <v>0</v>
      </c>
      <c r="K5292" t="n">
        <v>0</v>
      </c>
      <c r="L5292" t="n">
        <v>0</v>
      </c>
      <c r="M5292" t="n">
        <v>0</v>
      </c>
      <c r="N5292" t="n">
        <v>0</v>
      </c>
      <c r="O5292" t="n">
        <v>0</v>
      </c>
      <c r="P5292" t="n">
        <v>0</v>
      </c>
      <c r="Q5292" t="n">
        <v>0</v>
      </c>
      <c r="R5292" s="2" t="inlineStr"/>
    </row>
    <row r="5293" ht="15" customHeight="1">
      <c r="A5293" t="inlineStr">
        <is>
          <t>A 14672-2024</t>
        </is>
      </c>
      <c r="B5293" s="1" t="n">
        <v>45397</v>
      </c>
      <c r="C5293" s="1" t="n">
        <v>45705</v>
      </c>
      <c r="D5293" t="inlineStr">
        <is>
          <t>UPPSALA LÄN</t>
        </is>
      </c>
      <c r="E5293" t="inlineStr">
        <is>
          <t>UPPSALA</t>
        </is>
      </c>
      <c r="G5293" t="n">
        <v>7.4</v>
      </c>
      <c r="H5293" t="n">
        <v>0</v>
      </c>
      <c r="I5293" t="n">
        <v>0</v>
      </c>
      <c r="J5293" t="n">
        <v>0</v>
      </c>
      <c r="K5293" t="n">
        <v>0</v>
      </c>
      <c r="L5293" t="n">
        <v>0</v>
      </c>
      <c r="M5293" t="n">
        <v>0</v>
      </c>
      <c r="N5293" t="n">
        <v>0</v>
      </c>
      <c r="O5293" t="n">
        <v>0</v>
      </c>
      <c r="P5293" t="n">
        <v>0</v>
      </c>
      <c r="Q5293" t="n">
        <v>0</v>
      </c>
      <c r="R5293" s="2" t="inlineStr"/>
    </row>
    <row r="5294" ht="15" customHeight="1">
      <c r="A5294" t="inlineStr">
        <is>
          <t>A 14745-2024</t>
        </is>
      </c>
      <c r="B5294" s="1" t="n">
        <v>45397</v>
      </c>
      <c r="C5294" s="1" t="n">
        <v>45705</v>
      </c>
      <c r="D5294" t="inlineStr">
        <is>
          <t>UPPSALA LÄN</t>
        </is>
      </c>
      <c r="E5294" t="inlineStr">
        <is>
          <t>TIERP</t>
        </is>
      </c>
      <c r="G5294" t="n">
        <v>5.1</v>
      </c>
      <c r="H5294" t="n">
        <v>0</v>
      </c>
      <c r="I5294" t="n">
        <v>0</v>
      </c>
      <c r="J5294" t="n">
        <v>0</v>
      </c>
      <c r="K5294" t="n">
        <v>0</v>
      </c>
      <c r="L5294" t="n">
        <v>0</v>
      </c>
      <c r="M5294" t="n">
        <v>0</v>
      </c>
      <c r="N5294" t="n">
        <v>0</v>
      </c>
      <c r="O5294" t="n">
        <v>0</v>
      </c>
      <c r="P5294" t="n">
        <v>0</v>
      </c>
      <c r="Q5294" t="n">
        <v>0</v>
      </c>
      <c r="R5294" s="2" t="inlineStr"/>
    </row>
    <row r="5295" ht="15" customHeight="1">
      <c r="A5295" t="inlineStr">
        <is>
          <t>A 14777-2024</t>
        </is>
      </c>
      <c r="B5295" s="1" t="n">
        <v>45397</v>
      </c>
      <c r="C5295" s="1" t="n">
        <v>45705</v>
      </c>
      <c r="D5295" t="inlineStr">
        <is>
          <t>UPPSALA LÄN</t>
        </is>
      </c>
      <c r="E5295" t="inlineStr">
        <is>
          <t>HEBY</t>
        </is>
      </c>
      <c r="F5295" t="inlineStr">
        <is>
          <t>Bergvik skog väst AB</t>
        </is>
      </c>
      <c r="G5295" t="n">
        <v>17.9</v>
      </c>
      <c r="H5295" t="n">
        <v>0</v>
      </c>
      <c r="I5295" t="n">
        <v>0</v>
      </c>
      <c r="J5295" t="n">
        <v>0</v>
      </c>
      <c r="K5295" t="n">
        <v>0</v>
      </c>
      <c r="L5295" t="n">
        <v>0</v>
      </c>
      <c r="M5295" t="n">
        <v>0</v>
      </c>
      <c r="N5295" t="n">
        <v>0</v>
      </c>
      <c r="O5295" t="n">
        <v>0</v>
      </c>
      <c r="P5295" t="n">
        <v>0</v>
      </c>
      <c r="Q5295" t="n">
        <v>0</v>
      </c>
      <c r="R5295" s="2" t="inlineStr"/>
    </row>
    <row r="5296" ht="15" customHeight="1">
      <c r="A5296" t="inlineStr">
        <is>
          <t>A 14909-2024</t>
        </is>
      </c>
      <c r="B5296" s="1" t="n">
        <v>45398</v>
      </c>
      <c r="C5296" s="1" t="n">
        <v>45705</v>
      </c>
      <c r="D5296" t="inlineStr">
        <is>
          <t>UPPSALA LÄN</t>
        </is>
      </c>
      <c r="E5296" t="inlineStr">
        <is>
          <t>TIERP</t>
        </is>
      </c>
      <c r="F5296" t="inlineStr">
        <is>
          <t>Bergvik skog öst AB</t>
        </is>
      </c>
      <c r="G5296" t="n">
        <v>4.5</v>
      </c>
      <c r="H5296" t="n">
        <v>0</v>
      </c>
      <c r="I5296" t="n">
        <v>0</v>
      </c>
      <c r="J5296" t="n">
        <v>0</v>
      </c>
      <c r="K5296" t="n">
        <v>0</v>
      </c>
      <c r="L5296" t="n">
        <v>0</v>
      </c>
      <c r="M5296" t="n">
        <v>0</v>
      </c>
      <c r="N5296" t="n">
        <v>0</v>
      </c>
      <c r="O5296" t="n">
        <v>0</v>
      </c>
      <c r="P5296" t="n">
        <v>0</v>
      </c>
      <c r="Q5296" t="n">
        <v>0</v>
      </c>
      <c r="R5296" s="2" t="inlineStr"/>
    </row>
    <row r="5297" ht="15" customHeight="1">
      <c r="A5297" t="inlineStr">
        <is>
          <t>A 14921-2024</t>
        </is>
      </c>
      <c r="B5297" s="1" t="n">
        <v>45398</v>
      </c>
      <c r="C5297" s="1" t="n">
        <v>45705</v>
      </c>
      <c r="D5297" t="inlineStr">
        <is>
          <t>UPPSALA LÄN</t>
        </is>
      </c>
      <c r="E5297" t="inlineStr">
        <is>
          <t>TIERP</t>
        </is>
      </c>
      <c r="F5297" t="inlineStr">
        <is>
          <t>Bergvik skog öst AB</t>
        </is>
      </c>
      <c r="G5297" t="n">
        <v>5.7</v>
      </c>
      <c r="H5297" t="n">
        <v>0</v>
      </c>
      <c r="I5297" t="n">
        <v>0</v>
      </c>
      <c r="J5297" t="n">
        <v>0</v>
      </c>
      <c r="K5297" t="n">
        <v>0</v>
      </c>
      <c r="L5297" t="n">
        <v>0</v>
      </c>
      <c r="M5297" t="n">
        <v>0</v>
      </c>
      <c r="N5297" t="n">
        <v>0</v>
      </c>
      <c r="O5297" t="n">
        <v>0</v>
      </c>
      <c r="P5297" t="n">
        <v>0</v>
      </c>
      <c r="Q5297" t="n">
        <v>0</v>
      </c>
      <c r="R5297" s="2" t="inlineStr"/>
    </row>
    <row r="5298" ht="15" customHeight="1">
      <c r="A5298" t="inlineStr">
        <is>
          <t>A 14884-2024</t>
        </is>
      </c>
      <c r="B5298" s="1" t="n">
        <v>45398</v>
      </c>
      <c r="C5298" s="1" t="n">
        <v>45705</v>
      </c>
      <c r="D5298" t="inlineStr">
        <is>
          <t>UPPSALA LÄN</t>
        </is>
      </c>
      <c r="E5298" t="inlineStr">
        <is>
          <t>HEBY</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14896-2024</t>
        </is>
      </c>
      <c r="B5299" s="1" t="n">
        <v>45398</v>
      </c>
      <c r="C5299" s="1" t="n">
        <v>45705</v>
      </c>
      <c r="D5299" t="inlineStr">
        <is>
          <t>UPPSALA LÄN</t>
        </is>
      </c>
      <c r="E5299" t="inlineStr">
        <is>
          <t>TIERP</t>
        </is>
      </c>
      <c r="F5299" t="inlineStr">
        <is>
          <t>Bergvik skog öst AB</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14900-2024</t>
        </is>
      </c>
      <c r="B5300" s="1" t="n">
        <v>45398</v>
      </c>
      <c r="C5300" s="1" t="n">
        <v>45705</v>
      </c>
      <c r="D5300" t="inlineStr">
        <is>
          <t>UPPSALA LÄN</t>
        </is>
      </c>
      <c r="E5300" t="inlineStr">
        <is>
          <t>TIERP</t>
        </is>
      </c>
      <c r="F5300" t="inlineStr">
        <is>
          <t>Bergvik skog öst AB</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14904-2024</t>
        </is>
      </c>
      <c r="B5301" s="1" t="n">
        <v>45398</v>
      </c>
      <c r="C5301" s="1" t="n">
        <v>45705</v>
      </c>
      <c r="D5301" t="inlineStr">
        <is>
          <t>UPPSALA LÄN</t>
        </is>
      </c>
      <c r="E5301" t="inlineStr">
        <is>
          <t>TIERP</t>
        </is>
      </c>
      <c r="F5301" t="inlineStr">
        <is>
          <t>Bergvik skog öst AB</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14928-2024</t>
        </is>
      </c>
      <c r="B5302" s="1" t="n">
        <v>45398</v>
      </c>
      <c r="C5302" s="1" t="n">
        <v>45705</v>
      </c>
      <c r="D5302" t="inlineStr">
        <is>
          <t>UPPSALA LÄN</t>
        </is>
      </c>
      <c r="E5302" t="inlineStr">
        <is>
          <t>TIERP</t>
        </is>
      </c>
      <c r="F5302" t="inlineStr">
        <is>
          <t>Bergvik skog öst AB</t>
        </is>
      </c>
      <c r="G5302" t="n">
        <v>8.9</v>
      </c>
      <c r="H5302" t="n">
        <v>0</v>
      </c>
      <c r="I5302" t="n">
        <v>0</v>
      </c>
      <c r="J5302" t="n">
        <v>0</v>
      </c>
      <c r="K5302" t="n">
        <v>0</v>
      </c>
      <c r="L5302" t="n">
        <v>0</v>
      </c>
      <c r="M5302" t="n">
        <v>0</v>
      </c>
      <c r="N5302" t="n">
        <v>0</v>
      </c>
      <c r="O5302" t="n">
        <v>0</v>
      </c>
      <c r="P5302" t="n">
        <v>0</v>
      </c>
      <c r="Q5302" t="n">
        <v>0</v>
      </c>
      <c r="R5302" s="2" t="inlineStr"/>
    </row>
    <row r="5303" ht="15" customHeight="1">
      <c r="A5303" t="inlineStr">
        <is>
          <t>A 14902-2024</t>
        </is>
      </c>
      <c r="B5303" s="1" t="n">
        <v>45398</v>
      </c>
      <c r="C5303" s="1" t="n">
        <v>45705</v>
      </c>
      <c r="D5303" t="inlineStr">
        <is>
          <t>UPPSALA LÄN</t>
        </is>
      </c>
      <c r="E5303" t="inlineStr">
        <is>
          <t>TIERP</t>
        </is>
      </c>
      <c r="F5303" t="inlineStr">
        <is>
          <t>Bergvik skog öst AB</t>
        </is>
      </c>
      <c r="G5303" t="n">
        <v>3.3</v>
      </c>
      <c r="H5303" t="n">
        <v>0</v>
      </c>
      <c r="I5303" t="n">
        <v>0</v>
      </c>
      <c r="J5303" t="n">
        <v>0</v>
      </c>
      <c r="K5303" t="n">
        <v>0</v>
      </c>
      <c r="L5303" t="n">
        <v>0</v>
      </c>
      <c r="M5303" t="n">
        <v>0</v>
      </c>
      <c r="N5303" t="n">
        <v>0</v>
      </c>
      <c r="O5303" t="n">
        <v>0</v>
      </c>
      <c r="P5303" t="n">
        <v>0</v>
      </c>
      <c r="Q5303" t="n">
        <v>0</v>
      </c>
      <c r="R5303" s="2" t="inlineStr"/>
    </row>
    <row r="5304" ht="15" customHeight="1">
      <c r="A5304" t="inlineStr">
        <is>
          <t>A 14947-2024</t>
        </is>
      </c>
      <c r="B5304" s="1" t="n">
        <v>45398</v>
      </c>
      <c r="C5304" s="1" t="n">
        <v>45705</v>
      </c>
      <c r="D5304" t="inlineStr">
        <is>
          <t>UPPSALA LÄN</t>
        </is>
      </c>
      <c r="E5304" t="inlineStr">
        <is>
          <t>TIERP</t>
        </is>
      </c>
      <c r="F5304" t="inlineStr">
        <is>
          <t>Bergvik skog öst AB</t>
        </is>
      </c>
      <c r="G5304" t="n">
        <v>13.6</v>
      </c>
      <c r="H5304" t="n">
        <v>0</v>
      </c>
      <c r="I5304" t="n">
        <v>0</v>
      </c>
      <c r="J5304" t="n">
        <v>0</v>
      </c>
      <c r="K5304" t="n">
        <v>0</v>
      </c>
      <c r="L5304" t="n">
        <v>0</v>
      </c>
      <c r="M5304" t="n">
        <v>0</v>
      </c>
      <c r="N5304" t="n">
        <v>0</v>
      </c>
      <c r="O5304" t="n">
        <v>0</v>
      </c>
      <c r="P5304" t="n">
        <v>0</v>
      </c>
      <c r="Q5304" t="n">
        <v>0</v>
      </c>
      <c r="R5304" s="2" t="inlineStr"/>
    </row>
    <row r="5305" ht="15" customHeight="1">
      <c r="A5305" t="inlineStr">
        <is>
          <t>A 14907-2024</t>
        </is>
      </c>
      <c r="B5305" s="1" t="n">
        <v>45398</v>
      </c>
      <c r="C5305" s="1" t="n">
        <v>45705</v>
      </c>
      <c r="D5305" t="inlineStr">
        <is>
          <t>UPPSALA LÄN</t>
        </is>
      </c>
      <c r="E5305" t="inlineStr">
        <is>
          <t>TIERP</t>
        </is>
      </c>
      <c r="F5305" t="inlineStr">
        <is>
          <t>Bergvik skog öst AB</t>
        </is>
      </c>
      <c r="G5305" t="n">
        <v>20.6</v>
      </c>
      <c r="H5305" t="n">
        <v>0</v>
      </c>
      <c r="I5305" t="n">
        <v>0</v>
      </c>
      <c r="J5305" t="n">
        <v>0</v>
      </c>
      <c r="K5305" t="n">
        <v>0</v>
      </c>
      <c r="L5305" t="n">
        <v>0</v>
      </c>
      <c r="M5305" t="n">
        <v>0</v>
      </c>
      <c r="N5305" t="n">
        <v>0</v>
      </c>
      <c r="O5305" t="n">
        <v>0</v>
      </c>
      <c r="P5305" t="n">
        <v>0</v>
      </c>
      <c r="Q5305" t="n">
        <v>0</v>
      </c>
      <c r="R5305" s="2" t="inlineStr"/>
    </row>
    <row r="5306" ht="15" customHeight="1">
      <c r="A5306" t="inlineStr">
        <is>
          <t>A 14911-2024</t>
        </is>
      </c>
      <c r="B5306" s="1" t="n">
        <v>45398</v>
      </c>
      <c r="C5306" s="1" t="n">
        <v>45705</v>
      </c>
      <c r="D5306" t="inlineStr">
        <is>
          <t>UPPSALA LÄN</t>
        </is>
      </c>
      <c r="E5306" t="inlineStr">
        <is>
          <t>TIERP</t>
        </is>
      </c>
      <c r="F5306" t="inlineStr">
        <is>
          <t>Bergvik skog öst AB</t>
        </is>
      </c>
      <c r="G5306" t="n">
        <v>7.8</v>
      </c>
      <c r="H5306" t="n">
        <v>0</v>
      </c>
      <c r="I5306" t="n">
        <v>0</v>
      </c>
      <c r="J5306" t="n">
        <v>0</v>
      </c>
      <c r="K5306" t="n">
        <v>0</v>
      </c>
      <c r="L5306" t="n">
        <v>0</v>
      </c>
      <c r="M5306" t="n">
        <v>0</v>
      </c>
      <c r="N5306" t="n">
        <v>0</v>
      </c>
      <c r="O5306" t="n">
        <v>0</v>
      </c>
      <c r="P5306" t="n">
        <v>0</v>
      </c>
      <c r="Q5306" t="n">
        <v>0</v>
      </c>
      <c r="R5306" s="2" t="inlineStr"/>
    </row>
    <row r="5307" ht="15" customHeight="1">
      <c r="A5307" t="inlineStr">
        <is>
          <t>A 15055-2024</t>
        </is>
      </c>
      <c r="B5307" s="1" t="n">
        <v>45399</v>
      </c>
      <c r="C5307" s="1" t="n">
        <v>45705</v>
      </c>
      <c r="D5307" t="inlineStr">
        <is>
          <t>UPPSALA LÄN</t>
        </is>
      </c>
      <c r="E5307" t="inlineStr">
        <is>
          <t>TIERP</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15010-2024</t>
        </is>
      </c>
      <c r="B5308" s="1" t="n">
        <v>45399</v>
      </c>
      <c r="C5308" s="1" t="n">
        <v>45705</v>
      </c>
      <c r="D5308" t="inlineStr">
        <is>
          <t>UPPSALA LÄN</t>
        </is>
      </c>
      <c r="E5308" t="inlineStr">
        <is>
          <t>HEBY</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15076-2024</t>
        </is>
      </c>
      <c r="B5309" s="1" t="n">
        <v>45399</v>
      </c>
      <c r="C5309" s="1" t="n">
        <v>45705</v>
      </c>
      <c r="D5309" t="inlineStr">
        <is>
          <t>UPPSALA LÄN</t>
        </is>
      </c>
      <c r="E5309" t="inlineStr">
        <is>
          <t>TIERP</t>
        </is>
      </c>
      <c r="F5309" t="inlineStr">
        <is>
          <t>Bergvik skog öst AB</t>
        </is>
      </c>
      <c r="G5309" t="n">
        <v>3.4</v>
      </c>
      <c r="H5309" t="n">
        <v>0</v>
      </c>
      <c r="I5309" t="n">
        <v>0</v>
      </c>
      <c r="J5309" t="n">
        <v>0</v>
      </c>
      <c r="K5309" t="n">
        <v>0</v>
      </c>
      <c r="L5309" t="n">
        <v>0</v>
      </c>
      <c r="M5309" t="n">
        <v>0</v>
      </c>
      <c r="N5309" t="n">
        <v>0</v>
      </c>
      <c r="O5309" t="n">
        <v>0</v>
      </c>
      <c r="P5309" t="n">
        <v>0</v>
      </c>
      <c r="Q5309" t="n">
        <v>0</v>
      </c>
      <c r="R5309" s="2" t="inlineStr"/>
    </row>
    <row r="5310" ht="15" customHeight="1">
      <c r="A5310" t="inlineStr">
        <is>
          <t>A 15093-2024</t>
        </is>
      </c>
      <c r="B5310" s="1" t="n">
        <v>45399</v>
      </c>
      <c r="C5310" s="1" t="n">
        <v>45705</v>
      </c>
      <c r="D5310" t="inlineStr">
        <is>
          <t>UPPSALA LÄN</t>
        </is>
      </c>
      <c r="E5310" t="inlineStr">
        <is>
          <t>TIERP</t>
        </is>
      </c>
      <c r="F5310" t="inlineStr">
        <is>
          <t>Bergvik skog öst AB</t>
        </is>
      </c>
      <c r="G5310" t="n">
        <v>5.8</v>
      </c>
      <c r="H5310" t="n">
        <v>0</v>
      </c>
      <c r="I5310" t="n">
        <v>0</v>
      </c>
      <c r="J5310" t="n">
        <v>0</v>
      </c>
      <c r="K5310" t="n">
        <v>0</v>
      </c>
      <c r="L5310" t="n">
        <v>0</v>
      </c>
      <c r="M5310" t="n">
        <v>0</v>
      </c>
      <c r="N5310" t="n">
        <v>0</v>
      </c>
      <c r="O5310" t="n">
        <v>0</v>
      </c>
      <c r="P5310" t="n">
        <v>0</v>
      </c>
      <c r="Q5310" t="n">
        <v>0</v>
      </c>
      <c r="R5310" s="2" t="inlineStr"/>
    </row>
    <row r="5311" ht="15" customHeight="1">
      <c r="A5311" t="inlineStr">
        <is>
          <t>A 15078-2024</t>
        </is>
      </c>
      <c r="B5311" s="1" t="n">
        <v>45399</v>
      </c>
      <c r="C5311" s="1" t="n">
        <v>45705</v>
      </c>
      <c r="D5311" t="inlineStr">
        <is>
          <t>UPPSALA LÄN</t>
        </is>
      </c>
      <c r="E5311" t="inlineStr">
        <is>
          <t>HEBY</t>
        </is>
      </c>
      <c r="G5311" t="n">
        <v>5.1</v>
      </c>
      <c r="H5311" t="n">
        <v>0</v>
      </c>
      <c r="I5311" t="n">
        <v>0</v>
      </c>
      <c r="J5311" t="n">
        <v>0</v>
      </c>
      <c r="K5311" t="n">
        <v>0</v>
      </c>
      <c r="L5311" t="n">
        <v>0</v>
      </c>
      <c r="M5311" t="n">
        <v>0</v>
      </c>
      <c r="N5311" t="n">
        <v>0</v>
      </c>
      <c r="O5311" t="n">
        <v>0</v>
      </c>
      <c r="P5311" t="n">
        <v>0</v>
      </c>
      <c r="Q5311" t="n">
        <v>0</v>
      </c>
      <c r="R5311" s="2" t="inlineStr"/>
    </row>
    <row r="5312" ht="15" customHeight="1">
      <c r="A5312" t="inlineStr">
        <is>
          <t>A 15135-2024</t>
        </is>
      </c>
      <c r="B5312" s="1" t="n">
        <v>45399</v>
      </c>
      <c r="C5312" s="1" t="n">
        <v>45705</v>
      </c>
      <c r="D5312" t="inlineStr">
        <is>
          <t>UPPSALA LÄN</t>
        </is>
      </c>
      <c r="E5312" t="inlineStr">
        <is>
          <t>TIERP</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15165-2024</t>
        </is>
      </c>
      <c r="B5313" s="1" t="n">
        <v>45400</v>
      </c>
      <c r="C5313" s="1" t="n">
        <v>45705</v>
      </c>
      <c r="D5313" t="inlineStr">
        <is>
          <t>UPPSALA LÄN</t>
        </is>
      </c>
      <c r="E5313" t="inlineStr">
        <is>
          <t>ÖSTHAMMAR</t>
        </is>
      </c>
      <c r="G5313" t="n">
        <v>3.9</v>
      </c>
      <c r="H5313" t="n">
        <v>0</v>
      </c>
      <c r="I5313" t="n">
        <v>0</v>
      </c>
      <c r="J5313" t="n">
        <v>0</v>
      </c>
      <c r="K5313" t="n">
        <v>0</v>
      </c>
      <c r="L5313" t="n">
        <v>0</v>
      </c>
      <c r="M5313" t="n">
        <v>0</v>
      </c>
      <c r="N5313" t="n">
        <v>0</v>
      </c>
      <c r="O5313" t="n">
        <v>0</v>
      </c>
      <c r="P5313" t="n">
        <v>0</v>
      </c>
      <c r="Q5313" t="n">
        <v>0</v>
      </c>
      <c r="R5313" s="2" t="inlineStr"/>
    </row>
    <row r="5314" ht="15" customHeight="1">
      <c r="A5314" t="inlineStr">
        <is>
          <t>A 15169-2024</t>
        </is>
      </c>
      <c r="B5314" s="1" t="n">
        <v>45400</v>
      </c>
      <c r="C5314" s="1" t="n">
        <v>45705</v>
      </c>
      <c r="D5314" t="inlineStr">
        <is>
          <t>UPPSALA LÄN</t>
        </is>
      </c>
      <c r="E5314" t="inlineStr">
        <is>
          <t>ÖSTHAMMAR</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15166-2024</t>
        </is>
      </c>
      <c r="B5315" s="1" t="n">
        <v>45400</v>
      </c>
      <c r="C5315" s="1" t="n">
        <v>45705</v>
      </c>
      <c r="D5315" t="inlineStr">
        <is>
          <t>UPPSALA LÄN</t>
        </is>
      </c>
      <c r="E5315" t="inlineStr">
        <is>
          <t>ÖSTHAMMAR</t>
        </is>
      </c>
      <c r="G5315" t="n">
        <v>3.3</v>
      </c>
      <c r="H5315" t="n">
        <v>0</v>
      </c>
      <c r="I5315" t="n">
        <v>0</v>
      </c>
      <c r="J5315" t="n">
        <v>0</v>
      </c>
      <c r="K5315" t="n">
        <v>0</v>
      </c>
      <c r="L5315" t="n">
        <v>0</v>
      </c>
      <c r="M5315" t="n">
        <v>0</v>
      </c>
      <c r="N5315" t="n">
        <v>0</v>
      </c>
      <c r="O5315" t="n">
        <v>0</v>
      </c>
      <c r="P5315" t="n">
        <v>0</v>
      </c>
      <c r="Q5315" t="n">
        <v>0</v>
      </c>
      <c r="R5315" s="2" t="inlineStr"/>
    </row>
    <row r="5316" ht="15" customHeight="1">
      <c r="A5316" t="inlineStr">
        <is>
          <t>A 15193-2024</t>
        </is>
      </c>
      <c r="B5316" s="1" t="n">
        <v>45400</v>
      </c>
      <c r="C5316" s="1" t="n">
        <v>45705</v>
      </c>
      <c r="D5316" t="inlineStr">
        <is>
          <t>UPPSALA LÄN</t>
        </is>
      </c>
      <c r="E5316" t="inlineStr">
        <is>
          <t>TIERP</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15254-2024</t>
        </is>
      </c>
      <c r="B5317" s="1" t="n">
        <v>45400</v>
      </c>
      <c r="C5317" s="1" t="n">
        <v>45705</v>
      </c>
      <c r="D5317" t="inlineStr">
        <is>
          <t>UPPSALA LÄN</t>
        </is>
      </c>
      <c r="E5317" t="inlineStr">
        <is>
          <t>UPPSALA</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15304-2024</t>
        </is>
      </c>
      <c r="B5318" s="1" t="n">
        <v>45400</v>
      </c>
      <c r="C5318" s="1" t="n">
        <v>45705</v>
      </c>
      <c r="D5318" t="inlineStr">
        <is>
          <t>UPPSALA LÄN</t>
        </is>
      </c>
      <c r="E5318" t="inlineStr">
        <is>
          <t>KNIVSTA</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15255-2024</t>
        </is>
      </c>
      <c r="B5319" s="1" t="n">
        <v>45400</v>
      </c>
      <c r="C5319" s="1" t="n">
        <v>45705</v>
      </c>
      <c r="D5319" t="inlineStr">
        <is>
          <t>UPPSALA LÄN</t>
        </is>
      </c>
      <c r="E5319" t="inlineStr">
        <is>
          <t>UPPSALA</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15167-2024</t>
        </is>
      </c>
      <c r="B5320" s="1" t="n">
        <v>45400</v>
      </c>
      <c r="C5320" s="1" t="n">
        <v>45705</v>
      </c>
      <c r="D5320" t="inlineStr">
        <is>
          <t>UPPSALA LÄN</t>
        </is>
      </c>
      <c r="E5320" t="inlineStr">
        <is>
          <t>TIERP</t>
        </is>
      </c>
      <c r="F5320" t="inlineStr">
        <is>
          <t>Bergvik skog väst AB</t>
        </is>
      </c>
      <c r="G5320" t="n">
        <v>11.5</v>
      </c>
      <c r="H5320" t="n">
        <v>0</v>
      </c>
      <c r="I5320" t="n">
        <v>0</v>
      </c>
      <c r="J5320" t="n">
        <v>0</v>
      </c>
      <c r="K5320" t="n">
        <v>0</v>
      </c>
      <c r="L5320" t="n">
        <v>0</v>
      </c>
      <c r="M5320" t="n">
        <v>0</v>
      </c>
      <c r="N5320" t="n">
        <v>0</v>
      </c>
      <c r="O5320" t="n">
        <v>0</v>
      </c>
      <c r="P5320" t="n">
        <v>0</v>
      </c>
      <c r="Q5320" t="n">
        <v>0</v>
      </c>
      <c r="R5320" s="2" t="inlineStr"/>
    </row>
    <row r="5321" ht="15" customHeight="1">
      <c r="A5321" t="inlineStr">
        <is>
          <t>A 15195-2024</t>
        </is>
      </c>
      <c r="B5321" s="1" t="n">
        <v>45400</v>
      </c>
      <c r="C5321" s="1" t="n">
        <v>45705</v>
      </c>
      <c r="D5321" t="inlineStr">
        <is>
          <t>UPPSALA LÄN</t>
        </is>
      </c>
      <c r="E5321" t="inlineStr">
        <is>
          <t>TIERP</t>
        </is>
      </c>
      <c r="F5321" t="inlineStr">
        <is>
          <t>Bergvik skog väst AB</t>
        </is>
      </c>
      <c r="G5321" t="n">
        <v>6.9</v>
      </c>
      <c r="H5321" t="n">
        <v>0</v>
      </c>
      <c r="I5321" t="n">
        <v>0</v>
      </c>
      <c r="J5321" t="n">
        <v>0</v>
      </c>
      <c r="K5321" t="n">
        <v>0</v>
      </c>
      <c r="L5321" t="n">
        <v>0</v>
      </c>
      <c r="M5321" t="n">
        <v>0</v>
      </c>
      <c r="N5321" t="n">
        <v>0</v>
      </c>
      <c r="O5321" t="n">
        <v>0</v>
      </c>
      <c r="P5321" t="n">
        <v>0</v>
      </c>
      <c r="Q5321" t="n">
        <v>0</v>
      </c>
      <c r="R5321" s="2" t="inlineStr"/>
    </row>
    <row r="5322" ht="15" customHeight="1">
      <c r="A5322" t="inlineStr">
        <is>
          <t>A 15567-2024</t>
        </is>
      </c>
      <c r="B5322" s="1" t="n">
        <v>45401</v>
      </c>
      <c r="C5322" s="1" t="n">
        <v>45705</v>
      </c>
      <c r="D5322" t="inlineStr">
        <is>
          <t>UPPSALA LÄN</t>
        </is>
      </c>
      <c r="E5322" t="inlineStr">
        <is>
          <t>TIERP</t>
        </is>
      </c>
      <c r="F5322" t="inlineStr">
        <is>
          <t>Bergvik skog väst AB</t>
        </is>
      </c>
      <c r="G5322" t="n">
        <v>33.8</v>
      </c>
      <c r="H5322" t="n">
        <v>0</v>
      </c>
      <c r="I5322" t="n">
        <v>0</v>
      </c>
      <c r="J5322" t="n">
        <v>0</v>
      </c>
      <c r="K5322" t="n">
        <v>0</v>
      </c>
      <c r="L5322" t="n">
        <v>0</v>
      </c>
      <c r="M5322" t="n">
        <v>0</v>
      </c>
      <c r="N5322" t="n">
        <v>0</v>
      </c>
      <c r="O5322" t="n">
        <v>0</v>
      </c>
      <c r="P5322" t="n">
        <v>0</v>
      </c>
      <c r="Q5322" t="n">
        <v>0</v>
      </c>
      <c r="R5322" s="2" t="inlineStr"/>
    </row>
    <row r="5323" ht="15" customHeight="1">
      <c r="A5323" t="inlineStr">
        <is>
          <t>A 15575-2024</t>
        </is>
      </c>
      <c r="B5323" s="1" t="n">
        <v>45401</v>
      </c>
      <c r="C5323" s="1" t="n">
        <v>45705</v>
      </c>
      <c r="D5323" t="inlineStr">
        <is>
          <t>UPPSALA LÄN</t>
        </is>
      </c>
      <c r="E5323" t="inlineStr">
        <is>
          <t>ÖSTHAMMAR</t>
        </is>
      </c>
      <c r="G5323" t="n">
        <v>4.2</v>
      </c>
      <c r="H5323" t="n">
        <v>0</v>
      </c>
      <c r="I5323" t="n">
        <v>0</v>
      </c>
      <c r="J5323" t="n">
        <v>0</v>
      </c>
      <c r="K5323" t="n">
        <v>0</v>
      </c>
      <c r="L5323" t="n">
        <v>0</v>
      </c>
      <c r="M5323" t="n">
        <v>0</v>
      </c>
      <c r="N5323" t="n">
        <v>0</v>
      </c>
      <c r="O5323" t="n">
        <v>0</v>
      </c>
      <c r="P5323" t="n">
        <v>0</v>
      </c>
      <c r="Q5323" t="n">
        <v>0</v>
      </c>
      <c r="R5323" s="2" t="inlineStr"/>
    </row>
    <row r="5324" ht="15" customHeight="1">
      <c r="A5324" t="inlineStr">
        <is>
          <t>A 15579-2024</t>
        </is>
      </c>
      <c r="B5324" s="1" t="n">
        <v>45401</v>
      </c>
      <c r="C5324" s="1" t="n">
        <v>45705</v>
      </c>
      <c r="D5324" t="inlineStr">
        <is>
          <t>UPPSALA LÄN</t>
        </is>
      </c>
      <c r="E5324" t="inlineStr">
        <is>
          <t>TIERP</t>
        </is>
      </c>
      <c r="F5324" t="inlineStr">
        <is>
          <t>Bergvik skog väst AB</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15392-2024</t>
        </is>
      </c>
      <c r="B5325" s="1" t="n">
        <v>45401</v>
      </c>
      <c r="C5325" s="1" t="n">
        <v>45705</v>
      </c>
      <c r="D5325" t="inlineStr">
        <is>
          <t>UPPSALA LÄN</t>
        </is>
      </c>
      <c r="E5325" t="inlineStr">
        <is>
          <t>HEBY</t>
        </is>
      </c>
      <c r="G5325" t="n">
        <v>5.8</v>
      </c>
      <c r="H5325" t="n">
        <v>0</v>
      </c>
      <c r="I5325" t="n">
        <v>0</v>
      </c>
      <c r="J5325" t="n">
        <v>0</v>
      </c>
      <c r="K5325" t="n">
        <v>0</v>
      </c>
      <c r="L5325" t="n">
        <v>0</v>
      </c>
      <c r="M5325" t="n">
        <v>0</v>
      </c>
      <c r="N5325" t="n">
        <v>0</v>
      </c>
      <c r="O5325" t="n">
        <v>0</v>
      </c>
      <c r="P5325" t="n">
        <v>0</v>
      </c>
      <c r="Q5325" t="n">
        <v>0</v>
      </c>
      <c r="R5325" s="2" t="inlineStr"/>
    </row>
    <row r="5326" ht="15" customHeight="1">
      <c r="A5326" t="inlineStr">
        <is>
          <t>A 15574-2024</t>
        </is>
      </c>
      <c r="B5326" s="1" t="n">
        <v>45401</v>
      </c>
      <c r="C5326" s="1" t="n">
        <v>45705</v>
      </c>
      <c r="D5326" t="inlineStr">
        <is>
          <t>UPPSALA LÄN</t>
        </is>
      </c>
      <c r="E5326" t="inlineStr">
        <is>
          <t>TIERP</t>
        </is>
      </c>
      <c r="F5326" t="inlineStr">
        <is>
          <t>Bergvik skog väst AB</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15618-2024</t>
        </is>
      </c>
      <c r="B5327" s="1" t="n">
        <v>45402</v>
      </c>
      <c r="C5327" s="1" t="n">
        <v>45705</v>
      </c>
      <c r="D5327" t="inlineStr">
        <is>
          <t>UPPSALA LÄN</t>
        </is>
      </c>
      <c r="E5327" t="inlineStr">
        <is>
          <t>HEBY</t>
        </is>
      </c>
      <c r="G5327" t="n">
        <v>3.7</v>
      </c>
      <c r="H5327" t="n">
        <v>0</v>
      </c>
      <c r="I5327" t="n">
        <v>0</v>
      </c>
      <c r="J5327" t="n">
        <v>0</v>
      </c>
      <c r="K5327" t="n">
        <v>0</v>
      </c>
      <c r="L5327" t="n">
        <v>0</v>
      </c>
      <c r="M5327" t="n">
        <v>0</v>
      </c>
      <c r="N5327" t="n">
        <v>0</v>
      </c>
      <c r="O5327" t="n">
        <v>0</v>
      </c>
      <c r="P5327" t="n">
        <v>0</v>
      </c>
      <c r="Q5327" t="n">
        <v>0</v>
      </c>
      <c r="R5327" s="2" t="inlineStr"/>
    </row>
    <row r="5328" ht="15" customHeight="1">
      <c r="A5328" t="inlineStr">
        <is>
          <t>A 15544-2024</t>
        </is>
      </c>
      <c r="B5328" s="1" t="n">
        <v>45401</v>
      </c>
      <c r="C5328" s="1" t="n">
        <v>45705</v>
      </c>
      <c r="D5328" t="inlineStr">
        <is>
          <t>UPPSALA LÄN</t>
        </is>
      </c>
      <c r="E5328" t="inlineStr">
        <is>
          <t>UPPSALA</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15479-2024</t>
        </is>
      </c>
      <c r="B5329" s="1" t="n">
        <v>45401</v>
      </c>
      <c r="C5329" s="1" t="n">
        <v>45705</v>
      </c>
      <c r="D5329" t="inlineStr">
        <is>
          <t>UPPSALA LÄN</t>
        </is>
      </c>
      <c r="E5329" t="inlineStr">
        <is>
          <t>HEBY</t>
        </is>
      </c>
      <c r="F5329" t="inlineStr">
        <is>
          <t>Kyrkan</t>
        </is>
      </c>
      <c r="G5329" t="n">
        <v>9.1</v>
      </c>
      <c r="H5329" t="n">
        <v>0</v>
      </c>
      <c r="I5329" t="n">
        <v>0</v>
      </c>
      <c r="J5329" t="n">
        <v>0</v>
      </c>
      <c r="K5329" t="n">
        <v>0</v>
      </c>
      <c r="L5329" t="n">
        <v>0</v>
      </c>
      <c r="M5329" t="n">
        <v>0</v>
      </c>
      <c r="N5329" t="n">
        <v>0</v>
      </c>
      <c r="O5329" t="n">
        <v>0</v>
      </c>
      <c r="P5329" t="n">
        <v>0</v>
      </c>
      <c r="Q5329" t="n">
        <v>0</v>
      </c>
      <c r="R5329" s="2" t="inlineStr"/>
    </row>
    <row r="5330" ht="15" customHeight="1">
      <c r="A5330" t="inlineStr">
        <is>
          <t>A 15666-2024</t>
        </is>
      </c>
      <c r="B5330" s="1" t="n">
        <v>45404</v>
      </c>
      <c r="C5330" s="1" t="n">
        <v>45705</v>
      </c>
      <c r="D5330" t="inlineStr">
        <is>
          <t>UPPSALA LÄN</t>
        </is>
      </c>
      <c r="E5330" t="inlineStr">
        <is>
          <t>KNIVSTA</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15823-2024</t>
        </is>
      </c>
      <c r="B5331" s="1" t="n">
        <v>45404</v>
      </c>
      <c r="C5331" s="1" t="n">
        <v>45705</v>
      </c>
      <c r="D5331" t="inlineStr">
        <is>
          <t>UPPSALA LÄN</t>
        </is>
      </c>
      <c r="E5331" t="inlineStr">
        <is>
          <t>ENKÖPING</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15816-2024</t>
        </is>
      </c>
      <c r="B5332" s="1" t="n">
        <v>45404</v>
      </c>
      <c r="C5332" s="1" t="n">
        <v>45705</v>
      </c>
      <c r="D5332" t="inlineStr">
        <is>
          <t>UPPSALA LÄN</t>
        </is>
      </c>
      <c r="E5332" t="inlineStr">
        <is>
          <t>ENKÖPING</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15824-2024</t>
        </is>
      </c>
      <c r="B5333" s="1" t="n">
        <v>45404</v>
      </c>
      <c r="C5333" s="1" t="n">
        <v>45705</v>
      </c>
      <c r="D5333" t="inlineStr">
        <is>
          <t>UPPSALA LÄN</t>
        </is>
      </c>
      <c r="E5333" t="inlineStr">
        <is>
          <t>ENKÖPING</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15814-2024</t>
        </is>
      </c>
      <c r="B5334" s="1" t="n">
        <v>45404</v>
      </c>
      <c r="C5334" s="1" t="n">
        <v>45705</v>
      </c>
      <c r="D5334" t="inlineStr">
        <is>
          <t>UPPSALA LÄN</t>
        </is>
      </c>
      <c r="E5334" t="inlineStr">
        <is>
          <t>ENKÖPING</t>
        </is>
      </c>
      <c r="G5334" t="n">
        <v>3.3</v>
      </c>
      <c r="H5334" t="n">
        <v>0</v>
      </c>
      <c r="I5334" t="n">
        <v>0</v>
      </c>
      <c r="J5334" t="n">
        <v>0</v>
      </c>
      <c r="K5334" t="n">
        <v>0</v>
      </c>
      <c r="L5334" t="n">
        <v>0</v>
      </c>
      <c r="M5334" t="n">
        <v>0</v>
      </c>
      <c r="N5334" t="n">
        <v>0</v>
      </c>
      <c r="O5334" t="n">
        <v>0</v>
      </c>
      <c r="P5334" t="n">
        <v>0</v>
      </c>
      <c r="Q5334" t="n">
        <v>0</v>
      </c>
      <c r="R5334" s="2" t="inlineStr"/>
    </row>
    <row r="5335" ht="15" customHeight="1">
      <c r="A5335" t="inlineStr">
        <is>
          <t>A 15826-2024</t>
        </is>
      </c>
      <c r="B5335" s="1" t="n">
        <v>45404</v>
      </c>
      <c r="C5335" s="1" t="n">
        <v>45705</v>
      </c>
      <c r="D5335" t="inlineStr">
        <is>
          <t>UPPSALA LÄN</t>
        </is>
      </c>
      <c r="E5335" t="inlineStr">
        <is>
          <t>ENKÖPING</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15813-2024</t>
        </is>
      </c>
      <c r="B5336" s="1" t="n">
        <v>45404</v>
      </c>
      <c r="C5336" s="1" t="n">
        <v>45705</v>
      </c>
      <c r="D5336" t="inlineStr">
        <is>
          <t>UPPSALA LÄN</t>
        </is>
      </c>
      <c r="E5336" t="inlineStr">
        <is>
          <t>ENKÖPING</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15935-2024</t>
        </is>
      </c>
      <c r="B5337" s="1" t="n">
        <v>45405</v>
      </c>
      <c r="C5337" s="1" t="n">
        <v>45705</v>
      </c>
      <c r="D5337" t="inlineStr">
        <is>
          <t>UPPSALA LÄN</t>
        </is>
      </c>
      <c r="E5337" t="inlineStr">
        <is>
          <t>TIERP</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16022-2024</t>
        </is>
      </c>
      <c r="B5338" s="1" t="n">
        <v>45405</v>
      </c>
      <c r="C5338" s="1" t="n">
        <v>45705</v>
      </c>
      <c r="D5338" t="inlineStr">
        <is>
          <t>UPPSALA LÄN</t>
        </is>
      </c>
      <c r="E5338" t="inlineStr">
        <is>
          <t>TIERP</t>
        </is>
      </c>
      <c r="G5338" t="n">
        <v>3.6</v>
      </c>
      <c r="H5338" t="n">
        <v>0</v>
      </c>
      <c r="I5338" t="n">
        <v>0</v>
      </c>
      <c r="J5338" t="n">
        <v>0</v>
      </c>
      <c r="K5338" t="n">
        <v>0</v>
      </c>
      <c r="L5338" t="n">
        <v>0</v>
      </c>
      <c r="M5338" t="n">
        <v>0</v>
      </c>
      <c r="N5338" t="n">
        <v>0</v>
      </c>
      <c r="O5338" t="n">
        <v>0</v>
      </c>
      <c r="P5338" t="n">
        <v>0</v>
      </c>
      <c r="Q5338" t="n">
        <v>0</v>
      </c>
      <c r="R5338" s="2" t="inlineStr"/>
    </row>
    <row r="5339" ht="15" customHeight="1">
      <c r="A5339" t="inlineStr">
        <is>
          <t>A 15878-2024</t>
        </is>
      </c>
      <c r="B5339" s="1" t="n">
        <v>45405</v>
      </c>
      <c r="C5339" s="1" t="n">
        <v>45705</v>
      </c>
      <c r="D5339" t="inlineStr">
        <is>
          <t>UPPSALA LÄN</t>
        </is>
      </c>
      <c r="E5339" t="inlineStr">
        <is>
          <t>ENKÖPING</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15893-2024</t>
        </is>
      </c>
      <c r="B5340" s="1" t="n">
        <v>45405</v>
      </c>
      <c r="C5340" s="1" t="n">
        <v>45705</v>
      </c>
      <c r="D5340" t="inlineStr">
        <is>
          <t>UPPSALA LÄN</t>
        </is>
      </c>
      <c r="E5340" t="inlineStr">
        <is>
          <t>ENKÖPING</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16167-2024</t>
        </is>
      </c>
      <c r="B5341" s="1" t="n">
        <v>45406</v>
      </c>
      <c r="C5341" s="1" t="n">
        <v>45705</v>
      </c>
      <c r="D5341" t="inlineStr">
        <is>
          <t>UPPSALA LÄN</t>
        </is>
      </c>
      <c r="E5341" t="inlineStr">
        <is>
          <t>HEBY</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16345-2024</t>
        </is>
      </c>
      <c r="B5342" s="1" t="n">
        <v>45407</v>
      </c>
      <c r="C5342" s="1" t="n">
        <v>45705</v>
      </c>
      <c r="D5342" t="inlineStr">
        <is>
          <t>UPPSALA LÄN</t>
        </is>
      </c>
      <c r="E5342" t="inlineStr">
        <is>
          <t>TIERP</t>
        </is>
      </c>
      <c r="F5342" t="inlineStr">
        <is>
          <t>Bergvik skog öst AB</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16421-2024</t>
        </is>
      </c>
      <c r="B5343" s="1" t="n">
        <v>45407</v>
      </c>
      <c r="C5343" s="1" t="n">
        <v>45705</v>
      </c>
      <c r="D5343" t="inlineStr">
        <is>
          <t>UPPSALA LÄN</t>
        </is>
      </c>
      <c r="E5343" t="inlineStr">
        <is>
          <t>TIERP</t>
        </is>
      </c>
      <c r="F5343" t="inlineStr">
        <is>
          <t>Bergvik skog öst AB</t>
        </is>
      </c>
      <c r="G5343" t="n">
        <v>16.7</v>
      </c>
      <c r="H5343" t="n">
        <v>0</v>
      </c>
      <c r="I5343" t="n">
        <v>0</v>
      </c>
      <c r="J5343" t="n">
        <v>0</v>
      </c>
      <c r="K5343" t="n">
        <v>0</v>
      </c>
      <c r="L5343" t="n">
        <v>0</v>
      </c>
      <c r="M5343" t="n">
        <v>0</v>
      </c>
      <c r="N5343" t="n">
        <v>0</v>
      </c>
      <c r="O5343" t="n">
        <v>0</v>
      </c>
      <c r="P5343" t="n">
        <v>0</v>
      </c>
      <c r="Q5343" t="n">
        <v>0</v>
      </c>
      <c r="R5343" s="2" t="inlineStr"/>
    </row>
    <row r="5344" ht="15" customHeight="1">
      <c r="A5344" t="inlineStr">
        <is>
          <t>A 16434-2024</t>
        </is>
      </c>
      <c r="B5344" s="1" t="n">
        <v>45407</v>
      </c>
      <c r="C5344" s="1" t="n">
        <v>45705</v>
      </c>
      <c r="D5344" t="inlineStr">
        <is>
          <t>UPPSALA LÄN</t>
        </is>
      </c>
      <c r="E5344" t="inlineStr">
        <is>
          <t>UPPSALA</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16324-2024</t>
        </is>
      </c>
      <c r="B5345" s="1" t="n">
        <v>45407</v>
      </c>
      <c r="C5345" s="1" t="n">
        <v>45705</v>
      </c>
      <c r="D5345" t="inlineStr">
        <is>
          <t>UPPSALA LÄN</t>
        </is>
      </c>
      <c r="E5345" t="inlineStr">
        <is>
          <t>UPPSALA</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16489-2024</t>
        </is>
      </c>
      <c r="B5346" s="1" t="n">
        <v>45408</v>
      </c>
      <c r="C5346" s="1" t="n">
        <v>45705</v>
      </c>
      <c r="D5346" t="inlineStr">
        <is>
          <t>UPPSALA LÄN</t>
        </is>
      </c>
      <c r="E5346" t="inlineStr">
        <is>
          <t>TIERP</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16497-2024</t>
        </is>
      </c>
      <c r="B5347" s="1" t="n">
        <v>45408</v>
      </c>
      <c r="C5347" s="1" t="n">
        <v>45705</v>
      </c>
      <c r="D5347" t="inlineStr">
        <is>
          <t>UPPSALA LÄN</t>
        </is>
      </c>
      <c r="E5347" t="inlineStr">
        <is>
          <t>ÖSTHAMMAR</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16500-2024</t>
        </is>
      </c>
      <c r="B5348" s="1" t="n">
        <v>45408</v>
      </c>
      <c r="C5348" s="1" t="n">
        <v>45705</v>
      </c>
      <c r="D5348" t="inlineStr">
        <is>
          <t>UPPSALA LÄN</t>
        </is>
      </c>
      <c r="E5348" t="inlineStr">
        <is>
          <t>TIERP</t>
        </is>
      </c>
      <c r="F5348" t="inlineStr">
        <is>
          <t>Bergvik skog öst AB</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16566-2024</t>
        </is>
      </c>
      <c r="B5349" s="1" t="n">
        <v>45408</v>
      </c>
      <c r="C5349" s="1" t="n">
        <v>45705</v>
      </c>
      <c r="D5349" t="inlineStr">
        <is>
          <t>UPPSALA LÄN</t>
        </is>
      </c>
      <c r="E5349" t="inlineStr">
        <is>
          <t>TIERP</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16736-2024</t>
        </is>
      </c>
      <c r="B5350" s="1" t="n">
        <v>45410</v>
      </c>
      <c r="C5350" s="1" t="n">
        <v>45705</v>
      </c>
      <c r="D5350" t="inlineStr">
        <is>
          <t>UPPSALA LÄN</t>
        </is>
      </c>
      <c r="E5350" t="inlineStr">
        <is>
          <t>ÖSTHAMMAR</t>
        </is>
      </c>
      <c r="F5350" t="inlineStr">
        <is>
          <t>Bergvik skog öst AB</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16737-2024</t>
        </is>
      </c>
      <c r="B5351" s="1" t="n">
        <v>45410</v>
      </c>
      <c r="C5351" s="1" t="n">
        <v>45705</v>
      </c>
      <c r="D5351" t="inlineStr">
        <is>
          <t>UPPSALA LÄN</t>
        </is>
      </c>
      <c r="E5351" t="inlineStr">
        <is>
          <t>ÖSTHAMMAR</t>
        </is>
      </c>
      <c r="F5351" t="inlineStr">
        <is>
          <t>Bergvik skog öst AB</t>
        </is>
      </c>
      <c r="G5351" t="n">
        <v>13.2</v>
      </c>
      <c r="H5351" t="n">
        <v>0</v>
      </c>
      <c r="I5351" t="n">
        <v>0</v>
      </c>
      <c r="J5351" t="n">
        <v>0</v>
      </c>
      <c r="K5351" t="n">
        <v>0</v>
      </c>
      <c r="L5351" t="n">
        <v>0</v>
      </c>
      <c r="M5351" t="n">
        <v>0</v>
      </c>
      <c r="N5351" t="n">
        <v>0</v>
      </c>
      <c r="O5351" t="n">
        <v>0</v>
      </c>
      <c r="P5351" t="n">
        <v>0</v>
      </c>
      <c r="Q5351" t="n">
        <v>0</v>
      </c>
      <c r="R5351" s="2" t="inlineStr"/>
    </row>
    <row r="5352" ht="15" customHeight="1">
      <c r="A5352" t="inlineStr">
        <is>
          <t>A 16735-2024</t>
        </is>
      </c>
      <c r="B5352" s="1" t="n">
        <v>45410</v>
      </c>
      <c r="C5352" s="1" t="n">
        <v>45705</v>
      </c>
      <c r="D5352" t="inlineStr">
        <is>
          <t>UPPSALA LÄN</t>
        </is>
      </c>
      <c r="E5352" t="inlineStr">
        <is>
          <t>ÖSTHAMMAR</t>
        </is>
      </c>
      <c r="F5352" t="inlineStr">
        <is>
          <t>Bergvik skog öst AB</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16734-2024</t>
        </is>
      </c>
      <c r="B5353" s="1" t="n">
        <v>45410</v>
      </c>
      <c r="C5353" s="1" t="n">
        <v>45705</v>
      </c>
      <c r="D5353" t="inlineStr">
        <is>
          <t>UPPSALA LÄN</t>
        </is>
      </c>
      <c r="E5353" t="inlineStr">
        <is>
          <t>ÖSTHAMMAR</t>
        </is>
      </c>
      <c r="F5353" t="inlineStr">
        <is>
          <t>Bergvik skog öst AB</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16847-2024</t>
        </is>
      </c>
      <c r="B5354" s="1" t="n">
        <v>45411</v>
      </c>
      <c r="C5354" s="1" t="n">
        <v>45705</v>
      </c>
      <c r="D5354" t="inlineStr">
        <is>
          <t>UPPSALA LÄN</t>
        </is>
      </c>
      <c r="E5354" t="inlineStr">
        <is>
          <t>HEBY</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16865-2024</t>
        </is>
      </c>
      <c r="B5355" s="1" t="n">
        <v>45411</v>
      </c>
      <c r="C5355" s="1" t="n">
        <v>45705</v>
      </c>
      <c r="D5355" t="inlineStr">
        <is>
          <t>UPPSALA LÄN</t>
        </is>
      </c>
      <c r="E5355" t="inlineStr">
        <is>
          <t>TIERP</t>
        </is>
      </c>
      <c r="F5355" t="inlineStr">
        <is>
          <t>Bergvik skog öst AB</t>
        </is>
      </c>
      <c r="G5355" t="n">
        <v>5</v>
      </c>
      <c r="H5355" t="n">
        <v>0</v>
      </c>
      <c r="I5355" t="n">
        <v>0</v>
      </c>
      <c r="J5355" t="n">
        <v>0</v>
      </c>
      <c r="K5355" t="n">
        <v>0</v>
      </c>
      <c r="L5355" t="n">
        <v>0</v>
      </c>
      <c r="M5355" t="n">
        <v>0</v>
      </c>
      <c r="N5355" t="n">
        <v>0</v>
      </c>
      <c r="O5355" t="n">
        <v>0</v>
      </c>
      <c r="P5355" t="n">
        <v>0</v>
      </c>
      <c r="Q5355" t="n">
        <v>0</v>
      </c>
      <c r="R5355" s="2" t="inlineStr"/>
    </row>
    <row r="5356" ht="15" customHeight="1">
      <c r="A5356" t="inlineStr">
        <is>
          <t>A 17094-2024</t>
        </is>
      </c>
      <c r="B5356" s="1" t="n">
        <v>45412</v>
      </c>
      <c r="C5356" s="1" t="n">
        <v>45705</v>
      </c>
      <c r="D5356" t="inlineStr">
        <is>
          <t>UPPSALA LÄN</t>
        </is>
      </c>
      <c r="E5356" t="inlineStr">
        <is>
          <t>TIERP</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17119-2024</t>
        </is>
      </c>
      <c r="B5357" s="1" t="n">
        <v>45412</v>
      </c>
      <c r="C5357" s="1" t="n">
        <v>45705</v>
      </c>
      <c r="D5357" t="inlineStr">
        <is>
          <t>UPPSALA LÄN</t>
        </is>
      </c>
      <c r="E5357" t="inlineStr">
        <is>
          <t>TIERP</t>
        </is>
      </c>
      <c r="F5357" t="inlineStr">
        <is>
          <t>Bergvik skog väst AB</t>
        </is>
      </c>
      <c r="G5357" t="n">
        <v>11.9</v>
      </c>
      <c r="H5357" t="n">
        <v>0</v>
      </c>
      <c r="I5357" t="n">
        <v>0</v>
      </c>
      <c r="J5357" t="n">
        <v>0</v>
      </c>
      <c r="K5357" t="n">
        <v>0</v>
      </c>
      <c r="L5357" t="n">
        <v>0</v>
      </c>
      <c r="M5357" t="n">
        <v>0</v>
      </c>
      <c r="N5357" t="n">
        <v>0</v>
      </c>
      <c r="O5357" t="n">
        <v>0</v>
      </c>
      <c r="P5357" t="n">
        <v>0</v>
      </c>
      <c r="Q5357" t="n">
        <v>0</v>
      </c>
      <c r="R5357" s="2" t="inlineStr"/>
    </row>
    <row r="5358" ht="15" customHeight="1">
      <c r="A5358" t="inlineStr">
        <is>
          <t>A 17148-2024</t>
        </is>
      </c>
      <c r="B5358" s="1" t="n">
        <v>45412</v>
      </c>
      <c r="C5358" s="1" t="n">
        <v>45705</v>
      </c>
      <c r="D5358" t="inlineStr">
        <is>
          <t>UPPSALA LÄN</t>
        </is>
      </c>
      <c r="E5358" t="inlineStr">
        <is>
          <t>HEBY</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17146-2024</t>
        </is>
      </c>
      <c r="B5359" s="1" t="n">
        <v>45412</v>
      </c>
      <c r="C5359" s="1" t="n">
        <v>45705</v>
      </c>
      <c r="D5359" t="inlineStr">
        <is>
          <t>UPPSALA LÄN</t>
        </is>
      </c>
      <c r="E5359" t="inlineStr">
        <is>
          <t>UPPSALA</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16983-2024</t>
        </is>
      </c>
      <c r="B5360" s="1" t="n">
        <v>45412</v>
      </c>
      <c r="C5360" s="1" t="n">
        <v>45705</v>
      </c>
      <c r="D5360" t="inlineStr">
        <is>
          <t>UPPSALA LÄN</t>
        </is>
      </c>
      <c r="E5360" t="inlineStr">
        <is>
          <t>ÖSTHAMMAR</t>
        </is>
      </c>
      <c r="G5360" t="n">
        <v>5.8</v>
      </c>
      <c r="H5360" t="n">
        <v>0</v>
      </c>
      <c r="I5360" t="n">
        <v>0</v>
      </c>
      <c r="J5360" t="n">
        <v>0</v>
      </c>
      <c r="K5360" t="n">
        <v>0</v>
      </c>
      <c r="L5360" t="n">
        <v>0</v>
      </c>
      <c r="M5360" t="n">
        <v>0</v>
      </c>
      <c r="N5360" t="n">
        <v>0</v>
      </c>
      <c r="O5360" t="n">
        <v>0</v>
      </c>
      <c r="P5360" t="n">
        <v>0</v>
      </c>
      <c r="Q5360" t="n">
        <v>0</v>
      </c>
      <c r="R5360" s="2" t="inlineStr"/>
    </row>
    <row r="5361" ht="15" customHeight="1">
      <c r="A5361" t="inlineStr">
        <is>
          <t>A 17117-2024</t>
        </is>
      </c>
      <c r="B5361" s="1" t="n">
        <v>45412</v>
      </c>
      <c r="C5361" s="1" t="n">
        <v>45705</v>
      </c>
      <c r="D5361" t="inlineStr">
        <is>
          <t>UPPSALA LÄN</t>
        </is>
      </c>
      <c r="E5361" t="inlineStr">
        <is>
          <t>TIERP</t>
        </is>
      </c>
      <c r="F5361" t="inlineStr">
        <is>
          <t>Bergvik skog väst AB</t>
        </is>
      </c>
      <c r="G5361" t="n">
        <v>33.6</v>
      </c>
      <c r="H5361" t="n">
        <v>0</v>
      </c>
      <c r="I5361" t="n">
        <v>0</v>
      </c>
      <c r="J5361" t="n">
        <v>0</v>
      </c>
      <c r="K5361" t="n">
        <v>0</v>
      </c>
      <c r="L5361" t="n">
        <v>0</v>
      </c>
      <c r="M5361" t="n">
        <v>0</v>
      </c>
      <c r="N5361" t="n">
        <v>0</v>
      </c>
      <c r="O5361" t="n">
        <v>0</v>
      </c>
      <c r="P5361" t="n">
        <v>0</v>
      </c>
      <c r="Q5361" t="n">
        <v>0</v>
      </c>
      <c r="R5361" s="2" t="inlineStr"/>
    </row>
    <row r="5362" ht="15" customHeight="1">
      <c r="A5362" t="inlineStr">
        <is>
          <t>A 17287-2024</t>
        </is>
      </c>
      <c r="B5362" s="1" t="n">
        <v>45414</v>
      </c>
      <c r="C5362" s="1" t="n">
        <v>45705</v>
      </c>
      <c r="D5362" t="inlineStr">
        <is>
          <t>UPPSALA LÄN</t>
        </is>
      </c>
      <c r="E5362" t="inlineStr">
        <is>
          <t>UPPSALA</t>
        </is>
      </c>
      <c r="G5362" t="n">
        <v>7.9</v>
      </c>
      <c r="H5362" t="n">
        <v>0</v>
      </c>
      <c r="I5362" t="n">
        <v>0</v>
      </c>
      <c r="J5362" t="n">
        <v>0</v>
      </c>
      <c r="K5362" t="n">
        <v>0</v>
      </c>
      <c r="L5362" t="n">
        <v>0</v>
      </c>
      <c r="M5362" t="n">
        <v>0</v>
      </c>
      <c r="N5362" t="n">
        <v>0</v>
      </c>
      <c r="O5362" t="n">
        <v>0</v>
      </c>
      <c r="P5362" t="n">
        <v>0</v>
      </c>
      <c r="Q5362" t="n">
        <v>0</v>
      </c>
      <c r="R5362" s="2" t="inlineStr"/>
    </row>
    <row r="5363" ht="15" customHeight="1">
      <c r="A5363" t="inlineStr">
        <is>
          <t>A 17331-2024</t>
        </is>
      </c>
      <c r="B5363" s="1" t="n">
        <v>45414</v>
      </c>
      <c r="C5363" s="1" t="n">
        <v>45705</v>
      </c>
      <c r="D5363" t="inlineStr">
        <is>
          <t>UPPSALA LÄN</t>
        </is>
      </c>
      <c r="E5363" t="inlineStr">
        <is>
          <t>KNIVSTA</t>
        </is>
      </c>
      <c r="G5363" t="n">
        <v>8</v>
      </c>
      <c r="H5363" t="n">
        <v>0</v>
      </c>
      <c r="I5363" t="n">
        <v>0</v>
      </c>
      <c r="J5363" t="n">
        <v>0</v>
      </c>
      <c r="K5363" t="n">
        <v>0</v>
      </c>
      <c r="L5363" t="n">
        <v>0</v>
      </c>
      <c r="M5363" t="n">
        <v>0</v>
      </c>
      <c r="N5363" t="n">
        <v>0</v>
      </c>
      <c r="O5363" t="n">
        <v>0</v>
      </c>
      <c r="P5363" t="n">
        <v>0</v>
      </c>
      <c r="Q5363" t="n">
        <v>0</v>
      </c>
      <c r="R5363" s="2" t="inlineStr"/>
    </row>
    <row r="5364" ht="15" customHeight="1">
      <c r="A5364" t="inlineStr">
        <is>
          <t>A 17333-2024</t>
        </is>
      </c>
      <c r="B5364" s="1" t="n">
        <v>45414</v>
      </c>
      <c r="C5364" s="1" t="n">
        <v>45705</v>
      </c>
      <c r="D5364" t="inlineStr">
        <is>
          <t>UPPSALA LÄN</t>
        </is>
      </c>
      <c r="E5364" t="inlineStr">
        <is>
          <t>KNIVSTA</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17341-2024</t>
        </is>
      </c>
      <c r="B5365" s="1" t="n">
        <v>45414</v>
      </c>
      <c r="C5365" s="1" t="n">
        <v>45705</v>
      </c>
      <c r="D5365" t="inlineStr">
        <is>
          <t>UPPSALA LÄN</t>
        </is>
      </c>
      <c r="E5365" t="inlineStr">
        <is>
          <t>KNIVSTA</t>
        </is>
      </c>
      <c r="G5365" t="n">
        <v>7.5</v>
      </c>
      <c r="H5365" t="n">
        <v>0</v>
      </c>
      <c r="I5365" t="n">
        <v>0</v>
      </c>
      <c r="J5365" t="n">
        <v>0</v>
      </c>
      <c r="K5365" t="n">
        <v>0</v>
      </c>
      <c r="L5365" t="n">
        <v>0</v>
      </c>
      <c r="M5365" t="n">
        <v>0</v>
      </c>
      <c r="N5365" t="n">
        <v>0</v>
      </c>
      <c r="O5365" t="n">
        <v>0</v>
      </c>
      <c r="P5365" t="n">
        <v>0</v>
      </c>
      <c r="Q5365" t="n">
        <v>0</v>
      </c>
      <c r="R5365" s="2" t="inlineStr"/>
    </row>
    <row r="5366" ht="15" customHeight="1">
      <c r="A5366" t="inlineStr">
        <is>
          <t>A 17378-2024</t>
        </is>
      </c>
      <c r="B5366" s="1" t="n">
        <v>45414</v>
      </c>
      <c r="C5366" s="1" t="n">
        <v>45705</v>
      </c>
      <c r="D5366" t="inlineStr">
        <is>
          <t>UPPSALA LÄN</t>
        </is>
      </c>
      <c r="E5366" t="inlineStr">
        <is>
          <t>HEBY</t>
        </is>
      </c>
      <c r="G5366" t="n">
        <v>3.9</v>
      </c>
      <c r="H5366" t="n">
        <v>0</v>
      </c>
      <c r="I5366" t="n">
        <v>0</v>
      </c>
      <c r="J5366" t="n">
        <v>0</v>
      </c>
      <c r="K5366" t="n">
        <v>0</v>
      </c>
      <c r="L5366" t="n">
        <v>0</v>
      </c>
      <c r="M5366" t="n">
        <v>0</v>
      </c>
      <c r="N5366" t="n">
        <v>0</v>
      </c>
      <c r="O5366" t="n">
        <v>0</v>
      </c>
      <c r="P5366" t="n">
        <v>0</v>
      </c>
      <c r="Q5366" t="n">
        <v>0</v>
      </c>
      <c r="R5366" s="2" t="inlineStr"/>
    </row>
    <row r="5367" ht="15" customHeight="1">
      <c r="A5367" t="inlineStr">
        <is>
          <t>A 17683-2024</t>
        </is>
      </c>
      <c r="B5367" s="1" t="n">
        <v>45418</v>
      </c>
      <c r="C5367" s="1" t="n">
        <v>45705</v>
      </c>
      <c r="D5367" t="inlineStr">
        <is>
          <t>UPPSALA LÄN</t>
        </is>
      </c>
      <c r="E5367" t="inlineStr">
        <is>
          <t>HEBY</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17697-2024</t>
        </is>
      </c>
      <c r="B5368" s="1" t="n">
        <v>45418</v>
      </c>
      <c r="C5368" s="1" t="n">
        <v>45705</v>
      </c>
      <c r="D5368" t="inlineStr">
        <is>
          <t>UPPSALA LÄN</t>
        </is>
      </c>
      <c r="E5368" t="inlineStr">
        <is>
          <t>HEBY</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17695-2024</t>
        </is>
      </c>
      <c r="B5369" s="1" t="n">
        <v>45418</v>
      </c>
      <c r="C5369" s="1" t="n">
        <v>45705</v>
      </c>
      <c r="D5369" t="inlineStr">
        <is>
          <t>UPPSALA LÄN</t>
        </is>
      </c>
      <c r="E5369" t="inlineStr">
        <is>
          <t>HEBY</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17761-2024</t>
        </is>
      </c>
      <c r="B5370" s="1" t="n">
        <v>45418</v>
      </c>
      <c r="C5370" s="1" t="n">
        <v>45705</v>
      </c>
      <c r="D5370" t="inlineStr">
        <is>
          <t>UPPSALA LÄN</t>
        </is>
      </c>
      <c r="E5370" t="inlineStr">
        <is>
          <t>UPPSALA</t>
        </is>
      </c>
      <c r="F5370" t="inlineStr">
        <is>
          <t>Holmen skog AB</t>
        </is>
      </c>
      <c r="G5370" t="n">
        <v>3.8</v>
      </c>
      <c r="H5370" t="n">
        <v>0</v>
      </c>
      <c r="I5370" t="n">
        <v>0</v>
      </c>
      <c r="J5370" t="n">
        <v>0</v>
      </c>
      <c r="K5370" t="n">
        <v>0</v>
      </c>
      <c r="L5370" t="n">
        <v>0</v>
      </c>
      <c r="M5370" t="n">
        <v>0</v>
      </c>
      <c r="N5370" t="n">
        <v>0</v>
      </c>
      <c r="O5370" t="n">
        <v>0</v>
      </c>
      <c r="P5370" t="n">
        <v>0</v>
      </c>
      <c r="Q5370" t="n">
        <v>0</v>
      </c>
      <c r="R5370" s="2" t="inlineStr"/>
    </row>
    <row r="5371" ht="15" customHeight="1">
      <c r="A5371" t="inlineStr">
        <is>
          <t>A 17776-2024</t>
        </is>
      </c>
      <c r="B5371" s="1" t="n">
        <v>45418</v>
      </c>
      <c r="C5371" s="1" t="n">
        <v>45705</v>
      </c>
      <c r="D5371" t="inlineStr">
        <is>
          <t>UPPSALA LÄN</t>
        </is>
      </c>
      <c r="E5371" t="inlineStr">
        <is>
          <t>ÖSTHAMMAR</t>
        </is>
      </c>
      <c r="F5371" t="inlineStr">
        <is>
          <t>Bergvik skog öst AB</t>
        </is>
      </c>
      <c r="G5371" t="n">
        <v>5.1</v>
      </c>
      <c r="H5371" t="n">
        <v>0</v>
      </c>
      <c r="I5371" t="n">
        <v>0</v>
      </c>
      <c r="J5371" t="n">
        <v>0</v>
      </c>
      <c r="K5371" t="n">
        <v>0</v>
      </c>
      <c r="L5371" t="n">
        <v>0</v>
      </c>
      <c r="M5371" t="n">
        <v>0</v>
      </c>
      <c r="N5371" t="n">
        <v>0</v>
      </c>
      <c r="O5371" t="n">
        <v>0</v>
      </c>
      <c r="P5371" t="n">
        <v>0</v>
      </c>
      <c r="Q5371" t="n">
        <v>0</v>
      </c>
      <c r="R5371" s="2" t="inlineStr"/>
    </row>
    <row r="5372" ht="15" customHeight="1">
      <c r="A5372" t="inlineStr">
        <is>
          <t>A 17867-2024</t>
        </is>
      </c>
      <c r="B5372" s="1" t="n">
        <v>45419</v>
      </c>
      <c r="C5372" s="1" t="n">
        <v>45705</v>
      </c>
      <c r="D5372" t="inlineStr">
        <is>
          <t>UPPSALA LÄN</t>
        </is>
      </c>
      <c r="E5372" t="inlineStr">
        <is>
          <t>ÖSTHAMMAR</t>
        </is>
      </c>
      <c r="G5372" t="n">
        <v>7.2</v>
      </c>
      <c r="H5372" t="n">
        <v>0</v>
      </c>
      <c r="I5372" t="n">
        <v>0</v>
      </c>
      <c r="J5372" t="n">
        <v>0</v>
      </c>
      <c r="K5372" t="n">
        <v>0</v>
      </c>
      <c r="L5372" t="n">
        <v>0</v>
      </c>
      <c r="M5372" t="n">
        <v>0</v>
      </c>
      <c r="N5372" t="n">
        <v>0</v>
      </c>
      <c r="O5372" t="n">
        <v>0</v>
      </c>
      <c r="P5372" t="n">
        <v>0</v>
      </c>
      <c r="Q5372" t="n">
        <v>0</v>
      </c>
      <c r="R5372" s="2" t="inlineStr"/>
    </row>
    <row r="5373" ht="15" customHeight="1">
      <c r="A5373" t="inlineStr">
        <is>
          <t>A 17904-2024</t>
        </is>
      </c>
      <c r="B5373" s="1" t="n">
        <v>45419</v>
      </c>
      <c r="C5373" s="1" t="n">
        <v>45705</v>
      </c>
      <c r="D5373" t="inlineStr">
        <is>
          <t>UPPSALA LÄN</t>
        </is>
      </c>
      <c r="E5373" t="inlineStr">
        <is>
          <t>KNIVSTA</t>
        </is>
      </c>
      <c r="G5373" t="n">
        <v>6.7</v>
      </c>
      <c r="H5373" t="n">
        <v>0</v>
      </c>
      <c r="I5373" t="n">
        <v>0</v>
      </c>
      <c r="J5373" t="n">
        <v>0</v>
      </c>
      <c r="K5373" t="n">
        <v>0</v>
      </c>
      <c r="L5373" t="n">
        <v>0</v>
      </c>
      <c r="M5373" t="n">
        <v>0</v>
      </c>
      <c r="N5373" t="n">
        <v>0</v>
      </c>
      <c r="O5373" t="n">
        <v>0</v>
      </c>
      <c r="P5373" t="n">
        <v>0</v>
      </c>
      <c r="Q5373" t="n">
        <v>0</v>
      </c>
      <c r="R5373" s="2" t="inlineStr"/>
    </row>
    <row r="5374" ht="15" customHeight="1">
      <c r="A5374" t="inlineStr">
        <is>
          <t>A 18069-2024</t>
        </is>
      </c>
      <c r="B5374" s="1" t="n">
        <v>45420</v>
      </c>
      <c r="C5374" s="1" t="n">
        <v>45705</v>
      </c>
      <c r="D5374" t="inlineStr">
        <is>
          <t>UPPSALA LÄN</t>
        </is>
      </c>
      <c r="E5374" t="inlineStr">
        <is>
          <t>UPPSALA</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18039-2024</t>
        </is>
      </c>
      <c r="B5375" s="1" t="n">
        <v>45420</v>
      </c>
      <c r="C5375" s="1" t="n">
        <v>45705</v>
      </c>
      <c r="D5375" t="inlineStr">
        <is>
          <t>UPPSALA LÄN</t>
        </is>
      </c>
      <c r="E5375" t="inlineStr">
        <is>
          <t>TIERP</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18354-2024</t>
        </is>
      </c>
      <c r="B5376" s="1" t="n">
        <v>45422</v>
      </c>
      <c r="C5376" s="1" t="n">
        <v>45705</v>
      </c>
      <c r="D5376" t="inlineStr">
        <is>
          <t>UPPSALA LÄN</t>
        </is>
      </c>
      <c r="E5376" t="inlineStr">
        <is>
          <t>UPPSALA</t>
        </is>
      </c>
      <c r="F5376" t="inlineStr">
        <is>
          <t>Holmen skog AB</t>
        </is>
      </c>
      <c r="G5376" t="n">
        <v>8.199999999999999</v>
      </c>
      <c r="H5376" t="n">
        <v>0</v>
      </c>
      <c r="I5376" t="n">
        <v>0</v>
      </c>
      <c r="J5376" t="n">
        <v>0</v>
      </c>
      <c r="K5376" t="n">
        <v>0</v>
      </c>
      <c r="L5376" t="n">
        <v>0</v>
      </c>
      <c r="M5376" t="n">
        <v>0</v>
      </c>
      <c r="N5376" t="n">
        <v>0</v>
      </c>
      <c r="O5376" t="n">
        <v>0</v>
      </c>
      <c r="P5376" t="n">
        <v>0</v>
      </c>
      <c r="Q5376" t="n">
        <v>0</v>
      </c>
      <c r="R5376" s="2" t="inlineStr"/>
    </row>
    <row r="5377" ht="15" customHeight="1">
      <c r="A5377" t="inlineStr">
        <is>
          <t>A 18359-2024</t>
        </is>
      </c>
      <c r="B5377" s="1" t="n">
        <v>45422</v>
      </c>
      <c r="C5377" s="1" t="n">
        <v>45705</v>
      </c>
      <c r="D5377" t="inlineStr">
        <is>
          <t>UPPSALA LÄN</t>
        </is>
      </c>
      <c r="E5377" t="inlineStr">
        <is>
          <t>HEBY</t>
        </is>
      </c>
      <c r="F5377" t="inlineStr">
        <is>
          <t>Bergvik skog väst AB</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18335-2024</t>
        </is>
      </c>
      <c r="B5378" s="1" t="n">
        <v>45422</v>
      </c>
      <c r="C5378" s="1" t="n">
        <v>45705</v>
      </c>
      <c r="D5378" t="inlineStr">
        <is>
          <t>UPPSALA LÄN</t>
        </is>
      </c>
      <c r="E5378" t="inlineStr">
        <is>
          <t>HEBY</t>
        </is>
      </c>
      <c r="G5378" t="n">
        <v>4.5</v>
      </c>
      <c r="H5378" t="n">
        <v>0</v>
      </c>
      <c r="I5378" t="n">
        <v>0</v>
      </c>
      <c r="J5378" t="n">
        <v>0</v>
      </c>
      <c r="K5378" t="n">
        <v>0</v>
      </c>
      <c r="L5378" t="n">
        <v>0</v>
      </c>
      <c r="M5378" t="n">
        <v>0</v>
      </c>
      <c r="N5378" t="n">
        <v>0</v>
      </c>
      <c r="O5378" t="n">
        <v>0</v>
      </c>
      <c r="P5378" t="n">
        <v>0</v>
      </c>
      <c r="Q5378" t="n">
        <v>0</v>
      </c>
      <c r="R5378" s="2" t="inlineStr"/>
    </row>
    <row r="5379" ht="15" customHeight="1">
      <c r="A5379" t="inlineStr">
        <is>
          <t>A 18278-2024</t>
        </is>
      </c>
      <c r="B5379" s="1" t="n">
        <v>45422</v>
      </c>
      <c r="C5379" s="1" t="n">
        <v>45705</v>
      </c>
      <c r="D5379" t="inlineStr">
        <is>
          <t>UPPSALA LÄN</t>
        </is>
      </c>
      <c r="E5379" t="inlineStr">
        <is>
          <t>HEBY</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18369-2024</t>
        </is>
      </c>
      <c r="B5380" s="1" t="n">
        <v>45422</v>
      </c>
      <c r="C5380" s="1" t="n">
        <v>45705</v>
      </c>
      <c r="D5380" t="inlineStr">
        <is>
          <t>UPPSALA LÄN</t>
        </is>
      </c>
      <c r="E5380" t="inlineStr">
        <is>
          <t>HEBY</t>
        </is>
      </c>
      <c r="F5380" t="inlineStr">
        <is>
          <t>Bergvik skog väst AB</t>
        </is>
      </c>
      <c r="G5380" t="n">
        <v>28.9</v>
      </c>
      <c r="H5380" t="n">
        <v>0</v>
      </c>
      <c r="I5380" t="n">
        <v>0</v>
      </c>
      <c r="J5380" t="n">
        <v>0</v>
      </c>
      <c r="K5380" t="n">
        <v>0</v>
      </c>
      <c r="L5380" t="n">
        <v>0</v>
      </c>
      <c r="M5380" t="n">
        <v>0</v>
      </c>
      <c r="N5380" t="n">
        <v>0</v>
      </c>
      <c r="O5380" t="n">
        <v>0</v>
      </c>
      <c r="P5380" t="n">
        <v>0</v>
      </c>
      <c r="Q5380" t="n">
        <v>0</v>
      </c>
      <c r="R5380" s="2" t="inlineStr"/>
    </row>
    <row r="5381" ht="15" customHeight="1">
      <c r="A5381" t="inlineStr">
        <is>
          <t>A 18394-2024</t>
        </is>
      </c>
      <c r="B5381" s="1" t="n">
        <v>45424</v>
      </c>
      <c r="C5381" s="1" t="n">
        <v>45705</v>
      </c>
      <c r="D5381" t="inlineStr">
        <is>
          <t>UPPSALA LÄN</t>
        </is>
      </c>
      <c r="E5381" t="inlineStr">
        <is>
          <t>TIERP</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18607-2024</t>
        </is>
      </c>
      <c r="B5382" s="1" t="n">
        <v>45426</v>
      </c>
      <c r="C5382" s="1" t="n">
        <v>45705</v>
      </c>
      <c r="D5382" t="inlineStr">
        <is>
          <t>UPPSALA LÄN</t>
        </is>
      </c>
      <c r="E5382" t="inlineStr">
        <is>
          <t>UPPSALA</t>
        </is>
      </c>
      <c r="G5382" t="n">
        <v>4.3</v>
      </c>
      <c r="H5382" t="n">
        <v>0</v>
      </c>
      <c r="I5382" t="n">
        <v>0</v>
      </c>
      <c r="J5382" t="n">
        <v>0</v>
      </c>
      <c r="K5382" t="n">
        <v>0</v>
      </c>
      <c r="L5382" t="n">
        <v>0</v>
      </c>
      <c r="M5382" t="n">
        <v>0</v>
      </c>
      <c r="N5382" t="n">
        <v>0</v>
      </c>
      <c r="O5382" t="n">
        <v>0</v>
      </c>
      <c r="P5382" t="n">
        <v>0</v>
      </c>
      <c r="Q5382" t="n">
        <v>0</v>
      </c>
      <c r="R5382" s="2" t="inlineStr"/>
    </row>
    <row r="5383" ht="15" customHeight="1">
      <c r="A5383" t="inlineStr">
        <is>
          <t>A 18490-2024</t>
        </is>
      </c>
      <c r="B5383" s="1" t="n">
        <v>45425</v>
      </c>
      <c r="C5383" s="1" t="n">
        <v>45705</v>
      </c>
      <c r="D5383" t="inlineStr">
        <is>
          <t>UPPSALA LÄN</t>
        </is>
      </c>
      <c r="E5383" t="inlineStr">
        <is>
          <t>HEBY</t>
        </is>
      </c>
      <c r="F5383" t="inlineStr">
        <is>
          <t>Kommuner</t>
        </is>
      </c>
      <c r="G5383" t="n">
        <v>5.5</v>
      </c>
      <c r="H5383" t="n">
        <v>0</v>
      </c>
      <c r="I5383" t="n">
        <v>0</v>
      </c>
      <c r="J5383" t="n">
        <v>0</v>
      </c>
      <c r="K5383" t="n">
        <v>0</v>
      </c>
      <c r="L5383" t="n">
        <v>0</v>
      </c>
      <c r="M5383" t="n">
        <v>0</v>
      </c>
      <c r="N5383" t="n">
        <v>0</v>
      </c>
      <c r="O5383" t="n">
        <v>0</v>
      </c>
      <c r="P5383" t="n">
        <v>0</v>
      </c>
      <c r="Q5383" t="n">
        <v>0</v>
      </c>
      <c r="R5383" s="2" t="inlineStr"/>
    </row>
    <row r="5384" ht="15" customHeight="1">
      <c r="A5384" t="inlineStr">
        <is>
          <t>A 18677-2024</t>
        </is>
      </c>
      <c r="B5384" s="1" t="n">
        <v>45426</v>
      </c>
      <c r="C5384" s="1" t="n">
        <v>45705</v>
      </c>
      <c r="D5384" t="inlineStr">
        <is>
          <t>UPPSALA LÄN</t>
        </is>
      </c>
      <c r="E5384" t="inlineStr">
        <is>
          <t>UPPSALA</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18667-2024</t>
        </is>
      </c>
      <c r="B5385" s="1" t="n">
        <v>45426</v>
      </c>
      <c r="C5385" s="1" t="n">
        <v>45705</v>
      </c>
      <c r="D5385" t="inlineStr">
        <is>
          <t>UPPSALA LÄN</t>
        </is>
      </c>
      <c r="E5385" t="inlineStr">
        <is>
          <t>UPPSALA</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18693-2024</t>
        </is>
      </c>
      <c r="B5386" s="1" t="n">
        <v>45426</v>
      </c>
      <c r="C5386" s="1" t="n">
        <v>45705</v>
      </c>
      <c r="D5386" t="inlineStr">
        <is>
          <t>UPPSALA LÄN</t>
        </is>
      </c>
      <c r="E5386" t="inlineStr">
        <is>
          <t>ÖSTHAMMAR</t>
        </is>
      </c>
      <c r="F5386" t="inlineStr">
        <is>
          <t>Bergvik skog öst AB</t>
        </is>
      </c>
      <c r="G5386" t="n">
        <v>10.5</v>
      </c>
      <c r="H5386" t="n">
        <v>0</v>
      </c>
      <c r="I5386" t="n">
        <v>0</v>
      </c>
      <c r="J5386" t="n">
        <v>0</v>
      </c>
      <c r="K5386" t="n">
        <v>0</v>
      </c>
      <c r="L5386" t="n">
        <v>0</v>
      </c>
      <c r="M5386" t="n">
        <v>0</v>
      </c>
      <c r="N5386" t="n">
        <v>0</v>
      </c>
      <c r="O5386" t="n">
        <v>0</v>
      </c>
      <c r="P5386" t="n">
        <v>0</v>
      </c>
      <c r="Q5386" t="n">
        <v>0</v>
      </c>
      <c r="R5386" s="2" t="inlineStr"/>
    </row>
    <row r="5387" ht="15" customHeight="1">
      <c r="A5387" t="inlineStr">
        <is>
          <t>A 18691-2024</t>
        </is>
      </c>
      <c r="B5387" s="1" t="n">
        <v>45426</v>
      </c>
      <c r="C5387" s="1" t="n">
        <v>45705</v>
      </c>
      <c r="D5387" t="inlineStr">
        <is>
          <t>UPPSALA LÄN</t>
        </is>
      </c>
      <c r="E5387" t="inlineStr">
        <is>
          <t>ÖSTHAMMAR</t>
        </is>
      </c>
      <c r="F5387" t="inlineStr">
        <is>
          <t>Bergvik skog öst AB</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18670-2024</t>
        </is>
      </c>
      <c r="B5388" s="1" t="n">
        <v>45426</v>
      </c>
      <c r="C5388" s="1" t="n">
        <v>45705</v>
      </c>
      <c r="D5388" t="inlineStr">
        <is>
          <t>UPPSALA LÄN</t>
        </is>
      </c>
      <c r="E5388" t="inlineStr">
        <is>
          <t>UPPSALA</t>
        </is>
      </c>
      <c r="G5388" t="n">
        <v>9</v>
      </c>
      <c r="H5388" t="n">
        <v>0</v>
      </c>
      <c r="I5388" t="n">
        <v>0</v>
      </c>
      <c r="J5388" t="n">
        <v>0</v>
      </c>
      <c r="K5388" t="n">
        <v>0</v>
      </c>
      <c r="L5388" t="n">
        <v>0</v>
      </c>
      <c r="M5388" t="n">
        <v>0</v>
      </c>
      <c r="N5388" t="n">
        <v>0</v>
      </c>
      <c r="O5388" t="n">
        <v>0</v>
      </c>
      <c r="P5388" t="n">
        <v>0</v>
      </c>
      <c r="Q5388" t="n">
        <v>0</v>
      </c>
      <c r="R5388" s="2" t="inlineStr"/>
    </row>
    <row r="5389" ht="15" customHeight="1">
      <c r="A5389" t="inlineStr">
        <is>
          <t>A 18675-2024</t>
        </is>
      </c>
      <c r="B5389" s="1" t="n">
        <v>45426</v>
      </c>
      <c r="C5389" s="1" t="n">
        <v>45705</v>
      </c>
      <c r="D5389" t="inlineStr">
        <is>
          <t>UPPSALA LÄN</t>
        </is>
      </c>
      <c r="E5389" t="inlineStr">
        <is>
          <t>UPPSALA</t>
        </is>
      </c>
      <c r="G5389" t="n">
        <v>8.1</v>
      </c>
      <c r="H5389" t="n">
        <v>0</v>
      </c>
      <c r="I5389" t="n">
        <v>0</v>
      </c>
      <c r="J5389" t="n">
        <v>0</v>
      </c>
      <c r="K5389" t="n">
        <v>0</v>
      </c>
      <c r="L5389" t="n">
        <v>0</v>
      </c>
      <c r="M5389" t="n">
        <v>0</v>
      </c>
      <c r="N5389" t="n">
        <v>0</v>
      </c>
      <c r="O5389" t="n">
        <v>0</v>
      </c>
      <c r="P5389" t="n">
        <v>0</v>
      </c>
      <c r="Q5389" t="n">
        <v>0</v>
      </c>
      <c r="R5389" s="2" t="inlineStr"/>
    </row>
    <row r="5390" ht="15" customHeight="1">
      <c r="A5390" t="inlineStr">
        <is>
          <t>A 18849-2024</t>
        </is>
      </c>
      <c r="B5390" s="1" t="n">
        <v>45426</v>
      </c>
      <c r="C5390" s="1" t="n">
        <v>45705</v>
      </c>
      <c r="D5390" t="inlineStr">
        <is>
          <t>UPPSALA LÄN</t>
        </is>
      </c>
      <c r="E5390" t="inlineStr">
        <is>
          <t>HEBY</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18808-2024</t>
        </is>
      </c>
      <c r="B5391" s="1" t="n">
        <v>45426</v>
      </c>
      <c r="C5391" s="1" t="n">
        <v>45705</v>
      </c>
      <c r="D5391" t="inlineStr">
        <is>
          <t>UPPSALA LÄN</t>
        </is>
      </c>
      <c r="E5391" t="inlineStr">
        <is>
          <t>UPPSALA</t>
        </is>
      </c>
      <c r="G5391" t="n">
        <v>11.5</v>
      </c>
      <c r="H5391" t="n">
        <v>0</v>
      </c>
      <c r="I5391" t="n">
        <v>0</v>
      </c>
      <c r="J5391" t="n">
        <v>0</v>
      </c>
      <c r="K5391" t="n">
        <v>0</v>
      </c>
      <c r="L5391" t="n">
        <v>0</v>
      </c>
      <c r="M5391" t="n">
        <v>0</v>
      </c>
      <c r="N5391" t="n">
        <v>0</v>
      </c>
      <c r="O5391" t="n">
        <v>0</v>
      </c>
      <c r="P5391" t="n">
        <v>0</v>
      </c>
      <c r="Q5391" t="n">
        <v>0</v>
      </c>
      <c r="R5391" s="2" t="inlineStr"/>
    </row>
    <row r="5392" ht="15" customHeight="1">
      <c r="A5392" t="inlineStr">
        <is>
          <t>A 18668-2024</t>
        </is>
      </c>
      <c r="B5392" s="1" t="n">
        <v>45426</v>
      </c>
      <c r="C5392" s="1" t="n">
        <v>45705</v>
      </c>
      <c r="D5392" t="inlineStr">
        <is>
          <t>UPPSALA LÄN</t>
        </is>
      </c>
      <c r="E5392" t="inlineStr">
        <is>
          <t>UPPSALA</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18705-2024</t>
        </is>
      </c>
      <c r="B5393" s="1" t="n">
        <v>45426</v>
      </c>
      <c r="C5393" s="1" t="n">
        <v>45705</v>
      </c>
      <c r="D5393" t="inlineStr">
        <is>
          <t>UPPSALA LÄN</t>
        </is>
      </c>
      <c r="E5393" t="inlineStr">
        <is>
          <t>ÖSTHAMMAR</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18929-2024</t>
        </is>
      </c>
      <c r="B5394" s="1" t="n">
        <v>45427</v>
      </c>
      <c r="C5394" s="1" t="n">
        <v>45705</v>
      </c>
      <c r="D5394" t="inlineStr">
        <is>
          <t>UPPSALA LÄN</t>
        </is>
      </c>
      <c r="E5394" t="inlineStr">
        <is>
          <t>TIERP</t>
        </is>
      </c>
      <c r="F5394" t="inlineStr">
        <is>
          <t>Bergvik skog öst AB</t>
        </is>
      </c>
      <c r="G5394" t="n">
        <v>5.1</v>
      </c>
      <c r="H5394" t="n">
        <v>0</v>
      </c>
      <c r="I5394" t="n">
        <v>0</v>
      </c>
      <c r="J5394" t="n">
        <v>0</v>
      </c>
      <c r="K5394" t="n">
        <v>0</v>
      </c>
      <c r="L5394" t="n">
        <v>0</v>
      </c>
      <c r="M5394" t="n">
        <v>0</v>
      </c>
      <c r="N5394" t="n">
        <v>0</v>
      </c>
      <c r="O5394" t="n">
        <v>0</v>
      </c>
      <c r="P5394" t="n">
        <v>0</v>
      </c>
      <c r="Q5394" t="n">
        <v>0</v>
      </c>
      <c r="R5394" s="2" t="inlineStr"/>
    </row>
    <row r="5395" ht="15" customHeight="1">
      <c r="A5395" t="inlineStr">
        <is>
          <t>A 19056-2024</t>
        </is>
      </c>
      <c r="B5395" s="1" t="n">
        <v>45427</v>
      </c>
      <c r="C5395" s="1" t="n">
        <v>45705</v>
      </c>
      <c r="D5395" t="inlineStr">
        <is>
          <t>UPPSALA LÄN</t>
        </is>
      </c>
      <c r="E5395" t="inlineStr">
        <is>
          <t>ÖSTHAMMAR</t>
        </is>
      </c>
      <c r="G5395" t="n">
        <v>3.2</v>
      </c>
      <c r="H5395" t="n">
        <v>0</v>
      </c>
      <c r="I5395" t="n">
        <v>0</v>
      </c>
      <c r="J5395" t="n">
        <v>0</v>
      </c>
      <c r="K5395" t="n">
        <v>0</v>
      </c>
      <c r="L5395" t="n">
        <v>0</v>
      </c>
      <c r="M5395" t="n">
        <v>0</v>
      </c>
      <c r="N5395" t="n">
        <v>0</v>
      </c>
      <c r="O5395" t="n">
        <v>0</v>
      </c>
      <c r="P5395" t="n">
        <v>0</v>
      </c>
      <c r="Q5395" t="n">
        <v>0</v>
      </c>
      <c r="R5395" s="2" t="inlineStr"/>
    </row>
    <row r="5396" ht="15" customHeight="1">
      <c r="A5396" t="inlineStr">
        <is>
          <t>A 18956-2024</t>
        </is>
      </c>
      <c r="B5396" s="1" t="n">
        <v>45427</v>
      </c>
      <c r="C5396" s="1" t="n">
        <v>45705</v>
      </c>
      <c r="D5396" t="inlineStr">
        <is>
          <t>UPPSALA LÄN</t>
        </is>
      </c>
      <c r="E5396" t="inlineStr">
        <is>
          <t>ÖSTHAMMAR</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19164-2024</t>
        </is>
      </c>
      <c r="B5397" s="1" t="n">
        <v>45428</v>
      </c>
      <c r="C5397" s="1" t="n">
        <v>45705</v>
      </c>
      <c r="D5397" t="inlineStr">
        <is>
          <t>UPPSALA LÄN</t>
        </is>
      </c>
      <c r="E5397" t="inlineStr">
        <is>
          <t>UPPSALA</t>
        </is>
      </c>
      <c r="G5397" t="n">
        <v>10</v>
      </c>
      <c r="H5397" t="n">
        <v>0</v>
      </c>
      <c r="I5397" t="n">
        <v>0</v>
      </c>
      <c r="J5397" t="n">
        <v>0</v>
      </c>
      <c r="K5397" t="n">
        <v>0</v>
      </c>
      <c r="L5397" t="n">
        <v>0</v>
      </c>
      <c r="M5397" t="n">
        <v>0</v>
      </c>
      <c r="N5397" t="n">
        <v>0</v>
      </c>
      <c r="O5397" t="n">
        <v>0</v>
      </c>
      <c r="P5397" t="n">
        <v>0</v>
      </c>
      <c r="Q5397" t="n">
        <v>0</v>
      </c>
      <c r="R5397" s="2" t="inlineStr"/>
    </row>
    <row r="5398" ht="15" customHeight="1">
      <c r="A5398" t="inlineStr">
        <is>
          <t>A 19126-2024</t>
        </is>
      </c>
      <c r="B5398" s="1" t="n">
        <v>45428</v>
      </c>
      <c r="C5398" s="1" t="n">
        <v>45705</v>
      </c>
      <c r="D5398" t="inlineStr">
        <is>
          <t>UPPSALA LÄN</t>
        </is>
      </c>
      <c r="E5398" t="inlineStr">
        <is>
          <t>UPPSALA</t>
        </is>
      </c>
      <c r="F5398" t="inlineStr">
        <is>
          <t>Allmännings- och besparingsskogar</t>
        </is>
      </c>
      <c r="G5398" t="n">
        <v>5</v>
      </c>
      <c r="H5398" t="n">
        <v>0</v>
      </c>
      <c r="I5398" t="n">
        <v>0</v>
      </c>
      <c r="J5398" t="n">
        <v>0</v>
      </c>
      <c r="K5398" t="n">
        <v>0</v>
      </c>
      <c r="L5398" t="n">
        <v>0</v>
      </c>
      <c r="M5398" t="n">
        <v>0</v>
      </c>
      <c r="N5398" t="n">
        <v>0</v>
      </c>
      <c r="O5398" t="n">
        <v>0</v>
      </c>
      <c r="P5398" t="n">
        <v>0</v>
      </c>
      <c r="Q5398" t="n">
        <v>0</v>
      </c>
      <c r="R5398" s="2" t="inlineStr"/>
    </row>
    <row r="5399" ht="15" customHeight="1">
      <c r="A5399" t="inlineStr">
        <is>
          <t>A 19147-2024</t>
        </is>
      </c>
      <c r="B5399" s="1" t="n">
        <v>45428</v>
      </c>
      <c r="C5399" s="1" t="n">
        <v>45705</v>
      </c>
      <c r="D5399" t="inlineStr">
        <is>
          <t>UPPSALA LÄN</t>
        </is>
      </c>
      <c r="E5399" t="inlineStr">
        <is>
          <t>ENKÖPING</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19151-2024</t>
        </is>
      </c>
      <c r="B5400" s="1" t="n">
        <v>45428</v>
      </c>
      <c r="C5400" s="1" t="n">
        <v>45705</v>
      </c>
      <c r="D5400" t="inlineStr">
        <is>
          <t>UPPSALA LÄN</t>
        </is>
      </c>
      <c r="E5400" t="inlineStr">
        <is>
          <t>HEBY</t>
        </is>
      </c>
      <c r="G5400" t="n">
        <v>15.1</v>
      </c>
      <c r="H5400" t="n">
        <v>0</v>
      </c>
      <c r="I5400" t="n">
        <v>0</v>
      </c>
      <c r="J5400" t="n">
        <v>0</v>
      </c>
      <c r="K5400" t="n">
        <v>0</v>
      </c>
      <c r="L5400" t="n">
        <v>0</v>
      </c>
      <c r="M5400" t="n">
        <v>0</v>
      </c>
      <c r="N5400" t="n">
        <v>0</v>
      </c>
      <c r="O5400" t="n">
        <v>0</v>
      </c>
      <c r="P5400" t="n">
        <v>0</v>
      </c>
      <c r="Q5400" t="n">
        <v>0</v>
      </c>
      <c r="R5400" s="2" t="inlineStr"/>
    </row>
    <row r="5401" ht="15" customHeight="1">
      <c r="A5401" t="inlineStr">
        <is>
          <t>A 19304-2024</t>
        </is>
      </c>
      <c r="B5401" s="1" t="n">
        <v>45428</v>
      </c>
      <c r="C5401" s="1" t="n">
        <v>45705</v>
      </c>
      <c r="D5401" t="inlineStr">
        <is>
          <t>UPPSALA LÄN</t>
        </is>
      </c>
      <c r="E5401" t="inlineStr">
        <is>
          <t>ÄLVKARLEBY</t>
        </is>
      </c>
      <c r="G5401" t="n">
        <v>0.2</v>
      </c>
      <c r="H5401" t="n">
        <v>0</v>
      </c>
      <c r="I5401" t="n">
        <v>0</v>
      </c>
      <c r="J5401" t="n">
        <v>0</v>
      </c>
      <c r="K5401" t="n">
        <v>0</v>
      </c>
      <c r="L5401" t="n">
        <v>0</v>
      </c>
      <c r="M5401" t="n">
        <v>0</v>
      </c>
      <c r="N5401" t="n">
        <v>0</v>
      </c>
      <c r="O5401" t="n">
        <v>0</v>
      </c>
      <c r="P5401" t="n">
        <v>0</v>
      </c>
      <c r="Q5401" t="n">
        <v>0</v>
      </c>
      <c r="R5401" s="2" t="inlineStr"/>
    </row>
    <row r="5402" ht="15" customHeight="1">
      <c r="A5402" t="inlineStr">
        <is>
          <t>A 19303-2024</t>
        </is>
      </c>
      <c r="B5402" s="1" t="n">
        <v>45428</v>
      </c>
      <c r="C5402" s="1" t="n">
        <v>45705</v>
      </c>
      <c r="D5402" t="inlineStr">
        <is>
          <t>UPPSALA LÄN</t>
        </is>
      </c>
      <c r="E5402" t="inlineStr">
        <is>
          <t>ÄLVKARLEBY</t>
        </is>
      </c>
      <c r="G5402" t="n">
        <v>0.4</v>
      </c>
      <c r="H5402" t="n">
        <v>0</v>
      </c>
      <c r="I5402" t="n">
        <v>0</v>
      </c>
      <c r="J5402" t="n">
        <v>0</v>
      </c>
      <c r="K5402" t="n">
        <v>0</v>
      </c>
      <c r="L5402" t="n">
        <v>0</v>
      </c>
      <c r="M5402" t="n">
        <v>0</v>
      </c>
      <c r="N5402" t="n">
        <v>0</v>
      </c>
      <c r="O5402" t="n">
        <v>0</v>
      </c>
      <c r="P5402" t="n">
        <v>0</v>
      </c>
      <c r="Q5402" t="n">
        <v>0</v>
      </c>
      <c r="R5402" s="2" t="inlineStr"/>
    </row>
    <row r="5403" ht="15" customHeight="1">
      <c r="A5403" t="inlineStr">
        <is>
          <t>A 19298-2024</t>
        </is>
      </c>
      <c r="B5403" s="1" t="n">
        <v>45428</v>
      </c>
      <c r="C5403" s="1" t="n">
        <v>45705</v>
      </c>
      <c r="D5403" t="inlineStr">
        <is>
          <t>UPPSALA LÄN</t>
        </is>
      </c>
      <c r="E5403" t="inlineStr">
        <is>
          <t>ÄLVKARLEBY</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19378-2024</t>
        </is>
      </c>
      <c r="B5404" s="1" t="n">
        <v>45429</v>
      </c>
      <c r="C5404" s="1" t="n">
        <v>45705</v>
      </c>
      <c r="D5404" t="inlineStr">
        <is>
          <t>UPPSALA LÄN</t>
        </is>
      </c>
      <c r="E5404" t="inlineStr">
        <is>
          <t>ENKÖPING</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19375-2024</t>
        </is>
      </c>
      <c r="B5405" s="1" t="n">
        <v>45429</v>
      </c>
      <c r="C5405" s="1" t="n">
        <v>45705</v>
      </c>
      <c r="D5405" t="inlineStr">
        <is>
          <t>UPPSALA LÄN</t>
        </is>
      </c>
      <c r="E5405" t="inlineStr">
        <is>
          <t>ÖSTHAMMAR</t>
        </is>
      </c>
      <c r="G5405" t="n">
        <v>7.3</v>
      </c>
      <c r="H5405" t="n">
        <v>0</v>
      </c>
      <c r="I5405" t="n">
        <v>0</v>
      </c>
      <c r="J5405" t="n">
        <v>0</v>
      </c>
      <c r="K5405" t="n">
        <v>0</v>
      </c>
      <c r="L5405" t="n">
        <v>0</v>
      </c>
      <c r="M5405" t="n">
        <v>0</v>
      </c>
      <c r="N5405" t="n">
        <v>0</v>
      </c>
      <c r="O5405" t="n">
        <v>0</v>
      </c>
      <c r="P5405" t="n">
        <v>0</v>
      </c>
      <c r="Q5405" t="n">
        <v>0</v>
      </c>
      <c r="R5405" s="2" t="inlineStr"/>
    </row>
    <row r="5406" ht="15" customHeight="1">
      <c r="A5406" t="inlineStr">
        <is>
          <t>A 19485-2024</t>
        </is>
      </c>
      <c r="B5406" s="1" t="n">
        <v>45429</v>
      </c>
      <c r="C5406" s="1" t="n">
        <v>45705</v>
      </c>
      <c r="D5406" t="inlineStr">
        <is>
          <t>UPPSALA LÄN</t>
        </is>
      </c>
      <c r="E5406" t="inlineStr">
        <is>
          <t>HEBY</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19376-2024</t>
        </is>
      </c>
      <c r="B5407" s="1" t="n">
        <v>45429</v>
      </c>
      <c r="C5407" s="1" t="n">
        <v>45705</v>
      </c>
      <c r="D5407" t="inlineStr">
        <is>
          <t>UPPSALA LÄN</t>
        </is>
      </c>
      <c r="E5407" t="inlineStr">
        <is>
          <t>ENKÖPING</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19414-2024</t>
        </is>
      </c>
      <c r="B5408" s="1" t="n">
        <v>45429</v>
      </c>
      <c r="C5408" s="1" t="n">
        <v>45705</v>
      </c>
      <c r="D5408" t="inlineStr">
        <is>
          <t>UPPSALA LÄN</t>
        </is>
      </c>
      <c r="E5408" t="inlineStr">
        <is>
          <t>UPPSALA</t>
        </is>
      </c>
      <c r="F5408" t="inlineStr">
        <is>
          <t>Kyrkan</t>
        </is>
      </c>
      <c r="G5408" t="n">
        <v>4.2</v>
      </c>
      <c r="H5408" t="n">
        <v>0</v>
      </c>
      <c r="I5408" t="n">
        <v>0</v>
      </c>
      <c r="J5408" t="n">
        <v>0</v>
      </c>
      <c r="K5408" t="n">
        <v>0</v>
      </c>
      <c r="L5408" t="n">
        <v>0</v>
      </c>
      <c r="M5408" t="n">
        <v>0</v>
      </c>
      <c r="N5408" t="n">
        <v>0</v>
      </c>
      <c r="O5408" t="n">
        <v>0</v>
      </c>
      <c r="P5408" t="n">
        <v>0</v>
      </c>
      <c r="Q5408" t="n">
        <v>0</v>
      </c>
      <c r="R5408" s="2" t="inlineStr"/>
    </row>
    <row r="5409" ht="15" customHeight="1">
      <c r="A5409" t="inlineStr">
        <is>
          <t>A 19539-2024</t>
        </is>
      </c>
      <c r="B5409" s="1" t="n">
        <v>45429</v>
      </c>
      <c r="C5409" s="1" t="n">
        <v>45705</v>
      </c>
      <c r="D5409" t="inlineStr">
        <is>
          <t>UPPSALA LÄN</t>
        </is>
      </c>
      <c r="E5409" t="inlineStr">
        <is>
          <t>UPPSALA</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19662-2024</t>
        </is>
      </c>
      <c r="B5410" s="1" t="n">
        <v>45432</v>
      </c>
      <c r="C5410" s="1" t="n">
        <v>45705</v>
      </c>
      <c r="D5410" t="inlineStr">
        <is>
          <t>UPPSALA LÄN</t>
        </is>
      </c>
      <c r="E5410" t="inlineStr">
        <is>
          <t>ÖSTHAMMAR</t>
        </is>
      </c>
      <c r="G5410" t="n">
        <v>6.9</v>
      </c>
      <c r="H5410" t="n">
        <v>0</v>
      </c>
      <c r="I5410" t="n">
        <v>0</v>
      </c>
      <c r="J5410" t="n">
        <v>0</v>
      </c>
      <c r="K5410" t="n">
        <v>0</v>
      </c>
      <c r="L5410" t="n">
        <v>0</v>
      </c>
      <c r="M5410" t="n">
        <v>0</v>
      </c>
      <c r="N5410" t="n">
        <v>0</v>
      </c>
      <c r="O5410" t="n">
        <v>0</v>
      </c>
      <c r="P5410" t="n">
        <v>0</v>
      </c>
      <c r="Q5410" t="n">
        <v>0</v>
      </c>
      <c r="R5410" s="2" t="inlineStr"/>
    </row>
    <row r="5411" ht="15" customHeight="1">
      <c r="A5411" t="inlineStr">
        <is>
          <t>A 19667-2024</t>
        </is>
      </c>
      <c r="B5411" s="1" t="n">
        <v>45432</v>
      </c>
      <c r="C5411" s="1" t="n">
        <v>45705</v>
      </c>
      <c r="D5411" t="inlineStr">
        <is>
          <t>UPPSALA LÄN</t>
        </is>
      </c>
      <c r="E5411" t="inlineStr">
        <is>
          <t>ÖSTHAMMAR</t>
        </is>
      </c>
      <c r="G5411" t="n">
        <v>7.1</v>
      </c>
      <c r="H5411" t="n">
        <v>0</v>
      </c>
      <c r="I5411" t="n">
        <v>0</v>
      </c>
      <c r="J5411" t="n">
        <v>0</v>
      </c>
      <c r="K5411" t="n">
        <v>0</v>
      </c>
      <c r="L5411" t="n">
        <v>0</v>
      </c>
      <c r="M5411" t="n">
        <v>0</v>
      </c>
      <c r="N5411" t="n">
        <v>0</v>
      </c>
      <c r="O5411" t="n">
        <v>0</v>
      </c>
      <c r="P5411" t="n">
        <v>0</v>
      </c>
      <c r="Q5411" t="n">
        <v>0</v>
      </c>
      <c r="R5411" s="2" t="inlineStr"/>
    </row>
    <row r="5412" ht="15" customHeight="1">
      <c r="A5412" t="inlineStr">
        <is>
          <t>A 19758-2024</t>
        </is>
      </c>
      <c r="B5412" s="1" t="n">
        <v>45432</v>
      </c>
      <c r="C5412" s="1" t="n">
        <v>45705</v>
      </c>
      <c r="D5412" t="inlineStr">
        <is>
          <t>UPPSALA LÄN</t>
        </is>
      </c>
      <c r="E5412" t="inlineStr">
        <is>
          <t>TIERP</t>
        </is>
      </c>
      <c r="G5412" t="n">
        <v>5.6</v>
      </c>
      <c r="H5412" t="n">
        <v>0</v>
      </c>
      <c r="I5412" t="n">
        <v>0</v>
      </c>
      <c r="J5412" t="n">
        <v>0</v>
      </c>
      <c r="K5412" t="n">
        <v>0</v>
      </c>
      <c r="L5412" t="n">
        <v>0</v>
      </c>
      <c r="M5412" t="n">
        <v>0</v>
      </c>
      <c r="N5412" t="n">
        <v>0</v>
      </c>
      <c r="O5412" t="n">
        <v>0</v>
      </c>
      <c r="P5412" t="n">
        <v>0</v>
      </c>
      <c r="Q5412" t="n">
        <v>0</v>
      </c>
      <c r="R5412" s="2" t="inlineStr"/>
    </row>
    <row r="5413" ht="15" customHeight="1">
      <c r="A5413" t="inlineStr">
        <is>
          <t>A 19766-2024</t>
        </is>
      </c>
      <c r="B5413" s="1" t="n">
        <v>45432</v>
      </c>
      <c r="C5413" s="1" t="n">
        <v>45705</v>
      </c>
      <c r="D5413" t="inlineStr">
        <is>
          <t>UPPSALA LÄN</t>
        </is>
      </c>
      <c r="E5413" t="inlineStr">
        <is>
          <t>TIERP</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19908-2024</t>
        </is>
      </c>
      <c r="B5414" s="1" t="n">
        <v>45433</v>
      </c>
      <c r="C5414" s="1" t="n">
        <v>45705</v>
      </c>
      <c r="D5414" t="inlineStr">
        <is>
          <t>UPPSALA LÄN</t>
        </is>
      </c>
      <c r="E5414" t="inlineStr">
        <is>
          <t>ÖSTHAMMAR</t>
        </is>
      </c>
      <c r="F5414" t="inlineStr">
        <is>
          <t>Bergvik skog öst AB</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19950-2024</t>
        </is>
      </c>
      <c r="B5415" s="1" t="n">
        <v>45433</v>
      </c>
      <c r="C5415" s="1" t="n">
        <v>45705</v>
      </c>
      <c r="D5415" t="inlineStr">
        <is>
          <t>UPPSALA LÄN</t>
        </is>
      </c>
      <c r="E5415" t="inlineStr">
        <is>
          <t>ÖSTHAMMAR</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19947-2024</t>
        </is>
      </c>
      <c r="B5416" s="1" t="n">
        <v>45433</v>
      </c>
      <c r="C5416" s="1" t="n">
        <v>45705</v>
      </c>
      <c r="D5416" t="inlineStr">
        <is>
          <t>UPPSALA LÄN</t>
        </is>
      </c>
      <c r="E5416" t="inlineStr">
        <is>
          <t>ÖSTHAMMAR</t>
        </is>
      </c>
      <c r="G5416" t="n">
        <v>0.3</v>
      </c>
      <c r="H5416" t="n">
        <v>0</v>
      </c>
      <c r="I5416" t="n">
        <v>0</v>
      </c>
      <c r="J5416" t="n">
        <v>0</v>
      </c>
      <c r="K5416" t="n">
        <v>0</v>
      </c>
      <c r="L5416" t="n">
        <v>0</v>
      </c>
      <c r="M5416" t="n">
        <v>0</v>
      </c>
      <c r="N5416" t="n">
        <v>0</v>
      </c>
      <c r="O5416" t="n">
        <v>0</v>
      </c>
      <c r="P5416" t="n">
        <v>0</v>
      </c>
      <c r="Q5416" t="n">
        <v>0</v>
      </c>
      <c r="R5416" s="2" t="inlineStr"/>
    </row>
    <row r="5417" ht="15" customHeight="1">
      <c r="A5417" t="inlineStr">
        <is>
          <t>A 19945-2024</t>
        </is>
      </c>
      <c r="B5417" s="1" t="n">
        <v>45433</v>
      </c>
      <c r="C5417" s="1" t="n">
        <v>45705</v>
      </c>
      <c r="D5417" t="inlineStr">
        <is>
          <t>UPPSALA LÄN</t>
        </is>
      </c>
      <c r="E5417" t="inlineStr">
        <is>
          <t>ÖSTHAMMAR</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20112-2024</t>
        </is>
      </c>
      <c r="B5418" s="1" t="n">
        <v>45434</v>
      </c>
      <c r="C5418" s="1" t="n">
        <v>45705</v>
      </c>
      <c r="D5418" t="inlineStr">
        <is>
          <t>UPPSALA LÄN</t>
        </is>
      </c>
      <c r="E5418" t="inlineStr">
        <is>
          <t>ENKÖPING</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20105-2024</t>
        </is>
      </c>
      <c r="B5419" s="1" t="n">
        <v>45434</v>
      </c>
      <c r="C5419" s="1" t="n">
        <v>45705</v>
      </c>
      <c r="D5419" t="inlineStr">
        <is>
          <t>UPPSALA LÄN</t>
        </is>
      </c>
      <c r="E5419" t="inlineStr">
        <is>
          <t>ENKÖPING</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20316-2024</t>
        </is>
      </c>
      <c r="B5420" s="1" t="n">
        <v>45435</v>
      </c>
      <c r="C5420" s="1" t="n">
        <v>45705</v>
      </c>
      <c r="D5420" t="inlineStr">
        <is>
          <t>UPPSALA LÄN</t>
        </is>
      </c>
      <c r="E5420" t="inlineStr">
        <is>
          <t>ÖSTHAMMAR</t>
        </is>
      </c>
      <c r="F5420" t="inlineStr">
        <is>
          <t>Bergvik skog öst AB</t>
        </is>
      </c>
      <c r="G5420" t="n">
        <v>5</v>
      </c>
      <c r="H5420" t="n">
        <v>0</v>
      </c>
      <c r="I5420" t="n">
        <v>0</v>
      </c>
      <c r="J5420" t="n">
        <v>0</v>
      </c>
      <c r="K5420" t="n">
        <v>0</v>
      </c>
      <c r="L5420" t="n">
        <v>0</v>
      </c>
      <c r="M5420" t="n">
        <v>0</v>
      </c>
      <c r="N5420" t="n">
        <v>0</v>
      </c>
      <c r="O5420" t="n">
        <v>0</v>
      </c>
      <c r="P5420" t="n">
        <v>0</v>
      </c>
      <c r="Q5420" t="n">
        <v>0</v>
      </c>
      <c r="R5420" s="2" t="inlineStr"/>
    </row>
    <row r="5421" ht="15" customHeight="1">
      <c r="A5421" t="inlineStr">
        <is>
          <t>A 20466-2024</t>
        </is>
      </c>
      <c r="B5421" s="1" t="n">
        <v>45435</v>
      </c>
      <c r="C5421" s="1" t="n">
        <v>45705</v>
      </c>
      <c r="D5421" t="inlineStr">
        <is>
          <t>UPPSALA LÄN</t>
        </is>
      </c>
      <c r="E5421" t="inlineStr">
        <is>
          <t>UPPSALA</t>
        </is>
      </c>
      <c r="F5421" t="inlineStr">
        <is>
          <t>Holmen skog AB</t>
        </is>
      </c>
      <c r="G5421" t="n">
        <v>10.6</v>
      </c>
      <c r="H5421" t="n">
        <v>0</v>
      </c>
      <c r="I5421" t="n">
        <v>0</v>
      </c>
      <c r="J5421" t="n">
        <v>0</v>
      </c>
      <c r="K5421" t="n">
        <v>0</v>
      </c>
      <c r="L5421" t="n">
        <v>0</v>
      </c>
      <c r="M5421" t="n">
        <v>0</v>
      </c>
      <c r="N5421" t="n">
        <v>0</v>
      </c>
      <c r="O5421" t="n">
        <v>0</v>
      </c>
      <c r="P5421" t="n">
        <v>0</v>
      </c>
      <c r="Q5421" t="n">
        <v>0</v>
      </c>
      <c r="R5421" s="2" t="inlineStr"/>
    </row>
    <row r="5422" ht="15" customHeight="1">
      <c r="A5422" t="inlineStr">
        <is>
          <t>A 20297-2024</t>
        </is>
      </c>
      <c r="B5422" s="1" t="n">
        <v>45435</v>
      </c>
      <c r="C5422" s="1" t="n">
        <v>45705</v>
      </c>
      <c r="D5422" t="inlineStr">
        <is>
          <t>UPPSALA LÄN</t>
        </is>
      </c>
      <c r="E5422" t="inlineStr">
        <is>
          <t>UPPSALA</t>
        </is>
      </c>
      <c r="F5422" t="inlineStr">
        <is>
          <t>Kyrkan</t>
        </is>
      </c>
      <c r="G5422" t="n">
        <v>3.8</v>
      </c>
      <c r="H5422" t="n">
        <v>0</v>
      </c>
      <c r="I5422" t="n">
        <v>0</v>
      </c>
      <c r="J5422" t="n">
        <v>0</v>
      </c>
      <c r="K5422" t="n">
        <v>0</v>
      </c>
      <c r="L5422" t="n">
        <v>0</v>
      </c>
      <c r="M5422" t="n">
        <v>0</v>
      </c>
      <c r="N5422" t="n">
        <v>0</v>
      </c>
      <c r="O5422" t="n">
        <v>0</v>
      </c>
      <c r="P5422" t="n">
        <v>0</v>
      </c>
      <c r="Q5422" t="n">
        <v>0</v>
      </c>
      <c r="R5422" s="2" t="inlineStr"/>
    </row>
    <row r="5423" ht="15" customHeight="1">
      <c r="A5423" t="inlineStr">
        <is>
          <t>A 20301-2024</t>
        </is>
      </c>
      <c r="B5423" s="1" t="n">
        <v>45435</v>
      </c>
      <c r="C5423" s="1" t="n">
        <v>45705</v>
      </c>
      <c r="D5423" t="inlineStr">
        <is>
          <t>UPPSALA LÄN</t>
        </is>
      </c>
      <c r="E5423" t="inlineStr">
        <is>
          <t>UPPSALA</t>
        </is>
      </c>
      <c r="F5423" t="inlineStr">
        <is>
          <t>Kyrkan</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20375-2024</t>
        </is>
      </c>
      <c r="B5424" s="1" t="n">
        <v>45435</v>
      </c>
      <c r="C5424" s="1" t="n">
        <v>45705</v>
      </c>
      <c r="D5424" t="inlineStr">
        <is>
          <t>UPPSALA LÄN</t>
        </is>
      </c>
      <c r="E5424" t="inlineStr">
        <is>
          <t>UPPSALA</t>
        </is>
      </c>
      <c r="F5424" t="inlineStr">
        <is>
          <t>Holmen skog AB</t>
        </is>
      </c>
      <c r="G5424" t="n">
        <v>6.9</v>
      </c>
      <c r="H5424" t="n">
        <v>0</v>
      </c>
      <c r="I5424" t="n">
        <v>0</v>
      </c>
      <c r="J5424" t="n">
        <v>0</v>
      </c>
      <c r="K5424" t="n">
        <v>0</v>
      </c>
      <c r="L5424" t="n">
        <v>0</v>
      </c>
      <c r="M5424" t="n">
        <v>0</v>
      </c>
      <c r="N5424" t="n">
        <v>0</v>
      </c>
      <c r="O5424" t="n">
        <v>0</v>
      </c>
      <c r="P5424" t="n">
        <v>0</v>
      </c>
      <c r="Q5424" t="n">
        <v>0</v>
      </c>
      <c r="R5424" s="2" t="inlineStr"/>
    </row>
    <row r="5425" ht="15" customHeight="1">
      <c r="A5425" t="inlineStr">
        <is>
          <t>A 20326-2024</t>
        </is>
      </c>
      <c r="B5425" s="1" t="n">
        <v>45435</v>
      </c>
      <c r="C5425" s="1" t="n">
        <v>45705</v>
      </c>
      <c r="D5425" t="inlineStr">
        <is>
          <t>UPPSALA LÄN</t>
        </is>
      </c>
      <c r="E5425" t="inlineStr">
        <is>
          <t>TIERP</t>
        </is>
      </c>
      <c r="G5425" t="n">
        <v>4.1</v>
      </c>
      <c r="H5425" t="n">
        <v>0</v>
      </c>
      <c r="I5425" t="n">
        <v>0</v>
      </c>
      <c r="J5425" t="n">
        <v>0</v>
      </c>
      <c r="K5425" t="n">
        <v>0</v>
      </c>
      <c r="L5425" t="n">
        <v>0</v>
      </c>
      <c r="M5425" t="n">
        <v>0</v>
      </c>
      <c r="N5425" t="n">
        <v>0</v>
      </c>
      <c r="O5425" t="n">
        <v>0</v>
      </c>
      <c r="P5425" t="n">
        <v>0</v>
      </c>
      <c r="Q5425" t="n">
        <v>0</v>
      </c>
      <c r="R5425" s="2" t="inlineStr"/>
    </row>
    <row r="5426" ht="15" customHeight="1">
      <c r="A5426" t="inlineStr">
        <is>
          <t>A 20419-2024</t>
        </is>
      </c>
      <c r="B5426" s="1" t="n">
        <v>45435</v>
      </c>
      <c r="C5426" s="1" t="n">
        <v>45705</v>
      </c>
      <c r="D5426" t="inlineStr">
        <is>
          <t>UPPSALA LÄN</t>
        </is>
      </c>
      <c r="E5426" t="inlineStr">
        <is>
          <t>ÖSTHAMMAR</t>
        </is>
      </c>
      <c r="F5426" t="inlineStr">
        <is>
          <t>Bergvik skog öst AB</t>
        </is>
      </c>
      <c r="G5426" t="n">
        <v>3.6</v>
      </c>
      <c r="H5426" t="n">
        <v>0</v>
      </c>
      <c r="I5426" t="n">
        <v>0</v>
      </c>
      <c r="J5426" t="n">
        <v>0</v>
      </c>
      <c r="K5426" t="n">
        <v>0</v>
      </c>
      <c r="L5426" t="n">
        <v>0</v>
      </c>
      <c r="M5426" t="n">
        <v>0</v>
      </c>
      <c r="N5426" t="n">
        <v>0</v>
      </c>
      <c r="O5426" t="n">
        <v>0</v>
      </c>
      <c r="P5426" t="n">
        <v>0</v>
      </c>
      <c r="Q5426" t="n">
        <v>0</v>
      </c>
      <c r="R5426" s="2" t="inlineStr"/>
    </row>
    <row r="5427" ht="15" customHeight="1">
      <c r="A5427" t="inlineStr">
        <is>
          <t>A 20459-2024</t>
        </is>
      </c>
      <c r="B5427" s="1" t="n">
        <v>45435</v>
      </c>
      <c r="C5427" s="1" t="n">
        <v>45705</v>
      </c>
      <c r="D5427" t="inlineStr">
        <is>
          <t>UPPSALA LÄN</t>
        </is>
      </c>
      <c r="E5427" t="inlineStr">
        <is>
          <t>UPPSALA</t>
        </is>
      </c>
      <c r="F5427" t="inlineStr">
        <is>
          <t>Kyrkan</t>
        </is>
      </c>
      <c r="G5427" t="n">
        <v>15.8</v>
      </c>
      <c r="H5427" t="n">
        <v>0</v>
      </c>
      <c r="I5427" t="n">
        <v>0</v>
      </c>
      <c r="J5427" t="n">
        <v>0</v>
      </c>
      <c r="K5427" t="n">
        <v>0</v>
      </c>
      <c r="L5427" t="n">
        <v>0</v>
      </c>
      <c r="M5427" t="n">
        <v>0</v>
      </c>
      <c r="N5427" t="n">
        <v>0</v>
      </c>
      <c r="O5427" t="n">
        <v>0</v>
      </c>
      <c r="P5427" t="n">
        <v>0</v>
      </c>
      <c r="Q5427" t="n">
        <v>0</v>
      </c>
      <c r="R5427" s="2" t="inlineStr"/>
    </row>
    <row r="5428" ht="15" customHeight="1">
      <c r="A5428" t="inlineStr">
        <is>
          <t>A 20458-2024</t>
        </is>
      </c>
      <c r="B5428" s="1" t="n">
        <v>45435</v>
      </c>
      <c r="C5428" s="1" t="n">
        <v>45705</v>
      </c>
      <c r="D5428" t="inlineStr">
        <is>
          <t>UPPSALA LÄN</t>
        </is>
      </c>
      <c r="E5428" t="inlineStr">
        <is>
          <t>UPPSALA</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20658-2024</t>
        </is>
      </c>
      <c r="B5429" s="1" t="n">
        <v>45436</v>
      </c>
      <c r="C5429" s="1" t="n">
        <v>45705</v>
      </c>
      <c r="D5429" t="inlineStr">
        <is>
          <t>UPPSALA LÄN</t>
        </is>
      </c>
      <c r="E5429" t="inlineStr">
        <is>
          <t>TIERP</t>
        </is>
      </c>
      <c r="F5429" t="inlineStr">
        <is>
          <t>Bergvik skog väst AB</t>
        </is>
      </c>
      <c r="G5429" t="n">
        <v>6.2</v>
      </c>
      <c r="H5429" t="n">
        <v>0</v>
      </c>
      <c r="I5429" t="n">
        <v>0</v>
      </c>
      <c r="J5429" t="n">
        <v>0</v>
      </c>
      <c r="K5429" t="n">
        <v>0</v>
      </c>
      <c r="L5429" t="n">
        <v>0</v>
      </c>
      <c r="M5429" t="n">
        <v>0</v>
      </c>
      <c r="N5429" t="n">
        <v>0</v>
      </c>
      <c r="O5429" t="n">
        <v>0</v>
      </c>
      <c r="P5429" t="n">
        <v>0</v>
      </c>
      <c r="Q5429" t="n">
        <v>0</v>
      </c>
      <c r="R5429" s="2" t="inlineStr"/>
    </row>
    <row r="5430" ht="15" customHeight="1">
      <c r="A5430" t="inlineStr">
        <is>
          <t>A 20634-2024</t>
        </is>
      </c>
      <c r="B5430" s="1" t="n">
        <v>45436</v>
      </c>
      <c r="C5430" s="1" t="n">
        <v>45705</v>
      </c>
      <c r="D5430" t="inlineStr">
        <is>
          <t>UPPSALA LÄN</t>
        </is>
      </c>
      <c r="E5430" t="inlineStr">
        <is>
          <t>ÖSTHAMMAR</t>
        </is>
      </c>
      <c r="G5430" t="n">
        <v>6.5</v>
      </c>
      <c r="H5430" t="n">
        <v>0</v>
      </c>
      <c r="I5430" t="n">
        <v>0</v>
      </c>
      <c r="J5430" t="n">
        <v>0</v>
      </c>
      <c r="K5430" t="n">
        <v>0</v>
      </c>
      <c r="L5430" t="n">
        <v>0</v>
      </c>
      <c r="M5430" t="n">
        <v>0</v>
      </c>
      <c r="N5430" t="n">
        <v>0</v>
      </c>
      <c r="O5430" t="n">
        <v>0</v>
      </c>
      <c r="P5430" t="n">
        <v>0</v>
      </c>
      <c r="Q5430" t="n">
        <v>0</v>
      </c>
      <c r="R5430" s="2" t="inlineStr"/>
    </row>
    <row r="5431" ht="15" customHeight="1">
      <c r="A5431" t="inlineStr">
        <is>
          <t>A 20711-2024</t>
        </is>
      </c>
      <c r="B5431" s="1" t="n">
        <v>45436</v>
      </c>
      <c r="C5431" s="1" t="n">
        <v>45705</v>
      </c>
      <c r="D5431" t="inlineStr">
        <is>
          <t>UPPSALA LÄN</t>
        </is>
      </c>
      <c r="E5431" t="inlineStr">
        <is>
          <t>UPPSALA</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20565-2024</t>
        </is>
      </c>
      <c r="B5432" s="1" t="n">
        <v>45436</v>
      </c>
      <c r="C5432" s="1" t="n">
        <v>45705</v>
      </c>
      <c r="D5432" t="inlineStr">
        <is>
          <t>UPPSALA LÄN</t>
        </is>
      </c>
      <c r="E5432" t="inlineStr">
        <is>
          <t>TIERP</t>
        </is>
      </c>
      <c r="F5432" t="inlineStr">
        <is>
          <t>Bergvik skog väst AB</t>
        </is>
      </c>
      <c r="G5432" t="n">
        <v>15.6</v>
      </c>
      <c r="H5432" t="n">
        <v>0</v>
      </c>
      <c r="I5432" t="n">
        <v>0</v>
      </c>
      <c r="J5432" t="n">
        <v>0</v>
      </c>
      <c r="K5432" t="n">
        <v>0</v>
      </c>
      <c r="L5432" t="n">
        <v>0</v>
      </c>
      <c r="M5432" t="n">
        <v>0</v>
      </c>
      <c r="N5432" t="n">
        <v>0</v>
      </c>
      <c r="O5432" t="n">
        <v>0</v>
      </c>
      <c r="P5432" t="n">
        <v>0</v>
      </c>
      <c r="Q5432" t="n">
        <v>0</v>
      </c>
      <c r="R5432" s="2" t="inlineStr"/>
    </row>
    <row r="5433" ht="15" customHeight="1">
      <c r="A5433" t="inlineStr">
        <is>
          <t>A 20536-2024</t>
        </is>
      </c>
      <c r="B5433" s="1" t="n">
        <v>45436</v>
      </c>
      <c r="C5433" s="1" t="n">
        <v>45705</v>
      </c>
      <c r="D5433" t="inlineStr">
        <is>
          <t>UPPSALA LÄN</t>
        </is>
      </c>
      <c r="E5433" t="inlineStr">
        <is>
          <t>KNIVSTA</t>
        </is>
      </c>
      <c r="G5433" t="n">
        <v>6.3</v>
      </c>
      <c r="H5433" t="n">
        <v>0</v>
      </c>
      <c r="I5433" t="n">
        <v>0</v>
      </c>
      <c r="J5433" t="n">
        <v>0</v>
      </c>
      <c r="K5433" t="n">
        <v>0</v>
      </c>
      <c r="L5433" t="n">
        <v>0</v>
      </c>
      <c r="M5433" t="n">
        <v>0</v>
      </c>
      <c r="N5433" t="n">
        <v>0</v>
      </c>
      <c r="O5433" t="n">
        <v>0</v>
      </c>
      <c r="P5433" t="n">
        <v>0</v>
      </c>
      <c r="Q5433" t="n">
        <v>0</v>
      </c>
      <c r="R5433" s="2" t="inlineStr"/>
    </row>
    <row r="5434" ht="15" customHeight="1">
      <c r="A5434" t="inlineStr">
        <is>
          <t>A 20851-2024</t>
        </is>
      </c>
      <c r="B5434" s="1" t="n">
        <v>45439</v>
      </c>
      <c r="C5434" s="1" t="n">
        <v>45705</v>
      </c>
      <c r="D5434" t="inlineStr">
        <is>
          <t>UPPSALA LÄN</t>
        </is>
      </c>
      <c r="E5434" t="inlineStr">
        <is>
          <t>UPPSALA</t>
        </is>
      </c>
      <c r="F5434" t="inlineStr">
        <is>
          <t>Holmen skog AB</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20887-2024</t>
        </is>
      </c>
      <c r="B5435" s="1" t="n">
        <v>45439</v>
      </c>
      <c r="C5435" s="1" t="n">
        <v>45705</v>
      </c>
      <c r="D5435" t="inlineStr">
        <is>
          <t>UPPSALA LÄN</t>
        </is>
      </c>
      <c r="E5435" t="inlineStr">
        <is>
          <t>HEBY</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20902-2024</t>
        </is>
      </c>
      <c r="B5436" s="1" t="n">
        <v>45439</v>
      </c>
      <c r="C5436" s="1" t="n">
        <v>45705</v>
      </c>
      <c r="D5436" t="inlineStr">
        <is>
          <t>UPPSALA LÄN</t>
        </is>
      </c>
      <c r="E5436" t="inlineStr">
        <is>
          <t>KNIVSTA</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20935-2024</t>
        </is>
      </c>
      <c r="B5437" s="1" t="n">
        <v>45439</v>
      </c>
      <c r="C5437" s="1" t="n">
        <v>45705</v>
      </c>
      <c r="D5437" t="inlineStr">
        <is>
          <t>UPPSALA LÄN</t>
        </is>
      </c>
      <c r="E5437" t="inlineStr">
        <is>
          <t>HEBY</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20864-2024</t>
        </is>
      </c>
      <c r="B5438" s="1" t="n">
        <v>45439</v>
      </c>
      <c r="C5438" s="1" t="n">
        <v>45705</v>
      </c>
      <c r="D5438" t="inlineStr">
        <is>
          <t>UPPSALA LÄN</t>
        </is>
      </c>
      <c r="E5438" t="inlineStr">
        <is>
          <t>HEBY</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20860-2024</t>
        </is>
      </c>
      <c r="B5439" s="1" t="n">
        <v>45439</v>
      </c>
      <c r="C5439" s="1" t="n">
        <v>45705</v>
      </c>
      <c r="D5439" t="inlineStr">
        <is>
          <t>UPPSALA LÄN</t>
        </is>
      </c>
      <c r="E5439" t="inlineStr">
        <is>
          <t>TIERP</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21015-2024</t>
        </is>
      </c>
      <c r="B5440" s="1" t="n">
        <v>45439</v>
      </c>
      <c r="C5440" s="1" t="n">
        <v>45705</v>
      </c>
      <c r="D5440" t="inlineStr">
        <is>
          <t>UPPSALA LÄN</t>
        </is>
      </c>
      <c r="E5440" t="inlineStr">
        <is>
          <t>UPPSALA</t>
        </is>
      </c>
      <c r="G5440" t="n">
        <v>4.1</v>
      </c>
      <c r="H5440" t="n">
        <v>0</v>
      </c>
      <c r="I5440" t="n">
        <v>0</v>
      </c>
      <c r="J5440" t="n">
        <v>0</v>
      </c>
      <c r="K5440" t="n">
        <v>0</v>
      </c>
      <c r="L5440" t="n">
        <v>0</v>
      </c>
      <c r="M5440" t="n">
        <v>0</v>
      </c>
      <c r="N5440" t="n">
        <v>0</v>
      </c>
      <c r="O5440" t="n">
        <v>0</v>
      </c>
      <c r="P5440" t="n">
        <v>0</v>
      </c>
      <c r="Q5440" t="n">
        <v>0</v>
      </c>
      <c r="R5440" s="2" t="inlineStr"/>
    </row>
    <row r="5441" ht="15" customHeight="1">
      <c r="A5441" t="inlineStr">
        <is>
          <t>A 20857-2024</t>
        </is>
      </c>
      <c r="B5441" s="1" t="n">
        <v>45439</v>
      </c>
      <c r="C5441" s="1" t="n">
        <v>45705</v>
      </c>
      <c r="D5441" t="inlineStr">
        <is>
          <t>UPPSALA LÄN</t>
        </is>
      </c>
      <c r="E5441" t="inlineStr">
        <is>
          <t>TIERP</t>
        </is>
      </c>
      <c r="G5441" t="n">
        <v>9</v>
      </c>
      <c r="H5441" t="n">
        <v>0</v>
      </c>
      <c r="I5441" t="n">
        <v>0</v>
      </c>
      <c r="J5441" t="n">
        <v>0</v>
      </c>
      <c r="K5441" t="n">
        <v>0</v>
      </c>
      <c r="L5441" t="n">
        <v>0</v>
      </c>
      <c r="M5441" t="n">
        <v>0</v>
      </c>
      <c r="N5441" t="n">
        <v>0</v>
      </c>
      <c r="O5441" t="n">
        <v>0</v>
      </c>
      <c r="P5441" t="n">
        <v>0</v>
      </c>
      <c r="Q5441" t="n">
        <v>0</v>
      </c>
      <c r="R5441" s="2" t="inlineStr"/>
    </row>
    <row r="5442" ht="15" customHeight="1">
      <c r="A5442" t="inlineStr">
        <is>
          <t>A 20883-2024</t>
        </is>
      </c>
      <c r="B5442" s="1" t="n">
        <v>45439</v>
      </c>
      <c r="C5442" s="1" t="n">
        <v>45705</v>
      </c>
      <c r="D5442" t="inlineStr">
        <is>
          <t>UPPSALA LÄN</t>
        </is>
      </c>
      <c r="E5442" t="inlineStr">
        <is>
          <t>HEBY</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20903-2024</t>
        </is>
      </c>
      <c r="B5443" s="1" t="n">
        <v>45439</v>
      </c>
      <c r="C5443" s="1" t="n">
        <v>45705</v>
      </c>
      <c r="D5443" t="inlineStr">
        <is>
          <t>UPPSALA LÄN</t>
        </is>
      </c>
      <c r="E5443" t="inlineStr">
        <is>
          <t>UPPSALA</t>
        </is>
      </c>
      <c r="F5443" t="inlineStr">
        <is>
          <t>Holmen skog AB</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20898-2024</t>
        </is>
      </c>
      <c r="B5444" s="1" t="n">
        <v>45439</v>
      </c>
      <c r="C5444" s="1" t="n">
        <v>45705</v>
      </c>
      <c r="D5444" t="inlineStr">
        <is>
          <t>UPPSALA LÄN</t>
        </is>
      </c>
      <c r="E5444" t="inlineStr">
        <is>
          <t>HEBY</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20894-2024</t>
        </is>
      </c>
      <c r="B5445" s="1" t="n">
        <v>45439</v>
      </c>
      <c r="C5445" s="1" t="n">
        <v>45705</v>
      </c>
      <c r="D5445" t="inlineStr">
        <is>
          <t>UPPSALA LÄN</t>
        </is>
      </c>
      <c r="E5445" t="inlineStr">
        <is>
          <t>HEBY</t>
        </is>
      </c>
      <c r="G5445" t="n">
        <v>3.1</v>
      </c>
      <c r="H5445" t="n">
        <v>0</v>
      </c>
      <c r="I5445" t="n">
        <v>0</v>
      </c>
      <c r="J5445" t="n">
        <v>0</v>
      </c>
      <c r="K5445" t="n">
        <v>0</v>
      </c>
      <c r="L5445" t="n">
        <v>0</v>
      </c>
      <c r="M5445" t="n">
        <v>0</v>
      </c>
      <c r="N5445" t="n">
        <v>0</v>
      </c>
      <c r="O5445" t="n">
        <v>0</v>
      </c>
      <c r="P5445" t="n">
        <v>0</v>
      </c>
      <c r="Q5445" t="n">
        <v>0</v>
      </c>
      <c r="R5445" s="2" t="inlineStr"/>
    </row>
    <row r="5446" ht="15" customHeight="1">
      <c r="A5446" t="inlineStr">
        <is>
          <t>A 20866-2024</t>
        </is>
      </c>
      <c r="B5446" s="1" t="n">
        <v>45439</v>
      </c>
      <c r="C5446" s="1" t="n">
        <v>45705</v>
      </c>
      <c r="D5446" t="inlineStr">
        <is>
          <t>UPPSALA LÄN</t>
        </is>
      </c>
      <c r="E5446" t="inlineStr">
        <is>
          <t>HEBY</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20854-2024</t>
        </is>
      </c>
      <c r="B5447" s="1" t="n">
        <v>45439</v>
      </c>
      <c r="C5447" s="1" t="n">
        <v>45705</v>
      </c>
      <c r="D5447" t="inlineStr">
        <is>
          <t>UPPSALA LÄN</t>
        </is>
      </c>
      <c r="E5447" t="inlineStr">
        <is>
          <t>TIERP</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20850-2024</t>
        </is>
      </c>
      <c r="B5448" s="1" t="n">
        <v>45439</v>
      </c>
      <c r="C5448" s="1" t="n">
        <v>45705</v>
      </c>
      <c r="D5448" t="inlineStr">
        <is>
          <t>UPPSALA LÄN</t>
        </is>
      </c>
      <c r="E5448" t="inlineStr">
        <is>
          <t>TIERP</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20846-2024</t>
        </is>
      </c>
      <c r="B5449" s="1" t="n">
        <v>45439</v>
      </c>
      <c r="C5449" s="1" t="n">
        <v>45705</v>
      </c>
      <c r="D5449" t="inlineStr">
        <is>
          <t>UPPSALA LÄN</t>
        </is>
      </c>
      <c r="E5449" t="inlineStr">
        <is>
          <t>TIERP</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21182-2024</t>
        </is>
      </c>
      <c r="B5450" s="1" t="n">
        <v>45440</v>
      </c>
      <c r="C5450" s="1" t="n">
        <v>45705</v>
      </c>
      <c r="D5450" t="inlineStr">
        <is>
          <t>UPPSALA LÄN</t>
        </is>
      </c>
      <c r="E5450" t="inlineStr">
        <is>
          <t>UPPSALA</t>
        </is>
      </c>
      <c r="F5450" t="inlineStr">
        <is>
          <t>Holmen skog AB</t>
        </is>
      </c>
      <c r="G5450" t="n">
        <v>7.9</v>
      </c>
      <c r="H5450" t="n">
        <v>0</v>
      </c>
      <c r="I5450" t="n">
        <v>0</v>
      </c>
      <c r="J5450" t="n">
        <v>0</v>
      </c>
      <c r="K5450" t="n">
        <v>0</v>
      </c>
      <c r="L5450" t="n">
        <v>0</v>
      </c>
      <c r="M5450" t="n">
        <v>0</v>
      </c>
      <c r="N5450" t="n">
        <v>0</v>
      </c>
      <c r="O5450" t="n">
        <v>0</v>
      </c>
      <c r="P5450" t="n">
        <v>0</v>
      </c>
      <c r="Q5450" t="n">
        <v>0</v>
      </c>
      <c r="R5450" s="2" t="inlineStr"/>
    </row>
    <row r="5451" ht="15" customHeight="1">
      <c r="A5451" t="inlineStr">
        <is>
          <t>A 21231-2024</t>
        </is>
      </c>
      <c r="B5451" s="1" t="n">
        <v>45440</v>
      </c>
      <c r="C5451" s="1" t="n">
        <v>45705</v>
      </c>
      <c r="D5451" t="inlineStr">
        <is>
          <t>UPPSALA LÄN</t>
        </is>
      </c>
      <c r="E5451" t="inlineStr">
        <is>
          <t>ÖSTHAMMAR</t>
        </is>
      </c>
      <c r="G5451" t="n">
        <v>4.8</v>
      </c>
      <c r="H5451" t="n">
        <v>0</v>
      </c>
      <c r="I5451" t="n">
        <v>0</v>
      </c>
      <c r="J5451" t="n">
        <v>0</v>
      </c>
      <c r="K5451" t="n">
        <v>0</v>
      </c>
      <c r="L5451" t="n">
        <v>0</v>
      </c>
      <c r="M5451" t="n">
        <v>0</v>
      </c>
      <c r="N5451" t="n">
        <v>0</v>
      </c>
      <c r="O5451" t="n">
        <v>0</v>
      </c>
      <c r="P5451" t="n">
        <v>0</v>
      </c>
      <c r="Q5451" t="n">
        <v>0</v>
      </c>
      <c r="R5451" s="2" t="inlineStr"/>
    </row>
    <row r="5452" ht="15" customHeight="1">
      <c r="A5452" t="inlineStr">
        <is>
          <t>A 21139-2024</t>
        </is>
      </c>
      <c r="B5452" s="1" t="n">
        <v>45440</v>
      </c>
      <c r="C5452" s="1" t="n">
        <v>45705</v>
      </c>
      <c r="D5452" t="inlineStr">
        <is>
          <t>UPPSALA LÄN</t>
        </is>
      </c>
      <c r="E5452" t="inlineStr">
        <is>
          <t>TIERP</t>
        </is>
      </c>
      <c r="G5452" t="n">
        <v>7.4</v>
      </c>
      <c r="H5452" t="n">
        <v>0</v>
      </c>
      <c r="I5452" t="n">
        <v>0</v>
      </c>
      <c r="J5452" t="n">
        <v>0</v>
      </c>
      <c r="K5452" t="n">
        <v>0</v>
      </c>
      <c r="L5452" t="n">
        <v>0</v>
      </c>
      <c r="M5452" t="n">
        <v>0</v>
      </c>
      <c r="N5452" t="n">
        <v>0</v>
      </c>
      <c r="O5452" t="n">
        <v>0</v>
      </c>
      <c r="P5452" t="n">
        <v>0</v>
      </c>
      <c r="Q5452" t="n">
        <v>0</v>
      </c>
      <c r="R5452" s="2" t="inlineStr"/>
    </row>
    <row r="5453" ht="15" customHeight="1">
      <c r="A5453" t="inlineStr">
        <is>
          <t>A 21310-2024</t>
        </is>
      </c>
      <c r="B5453" s="1" t="n">
        <v>45440</v>
      </c>
      <c r="C5453" s="1" t="n">
        <v>45705</v>
      </c>
      <c r="D5453" t="inlineStr">
        <is>
          <t>UPPSALA LÄN</t>
        </is>
      </c>
      <c r="E5453" t="inlineStr">
        <is>
          <t>UPPSALA</t>
        </is>
      </c>
      <c r="F5453" t="inlineStr">
        <is>
          <t>Holmen skog AB</t>
        </is>
      </c>
      <c r="G5453" t="n">
        <v>4.4</v>
      </c>
      <c r="H5453" t="n">
        <v>0</v>
      </c>
      <c r="I5453" t="n">
        <v>0</v>
      </c>
      <c r="J5453" t="n">
        <v>0</v>
      </c>
      <c r="K5453" t="n">
        <v>0</v>
      </c>
      <c r="L5453" t="n">
        <v>0</v>
      </c>
      <c r="M5453" t="n">
        <v>0</v>
      </c>
      <c r="N5453" t="n">
        <v>0</v>
      </c>
      <c r="O5453" t="n">
        <v>0</v>
      </c>
      <c r="P5453" t="n">
        <v>0</v>
      </c>
      <c r="Q5453" t="n">
        <v>0</v>
      </c>
      <c r="R5453" s="2" t="inlineStr"/>
    </row>
    <row r="5454" ht="15" customHeight="1">
      <c r="A5454" t="inlineStr">
        <is>
          <t>A 21424-2024</t>
        </is>
      </c>
      <c r="B5454" s="1" t="n">
        <v>45441</v>
      </c>
      <c r="C5454" s="1" t="n">
        <v>45705</v>
      </c>
      <c r="D5454" t="inlineStr">
        <is>
          <t>UPPSALA LÄN</t>
        </is>
      </c>
      <c r="E5454" t="inlineStr">
        <is>
          <t>ÖSTHAMMAR</t>
        </is>
      </c>
      <c r="F5454" t="inlineStr">
        <is>
          <t>Bergvik skog öst AB</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21526-2024</t>
        </is>
      </c>
      <c r="B5455" s="1" t="n">
        <v>45441</v>
      </c>
      <c r="C5455" s="1" t="n">
        <v>45705</v>
      </c>
      <c r="D5455" t="inlineStr">
        <is>
          <t>UPPSALA LÄN</t>
        </is>
      </c>
      <c r="E5455" t="inlineStr">
        <is>
          <t>UPPSALA</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21435-2024</t>
        </is>
      </c>
      <c r="B5456" s="1" t="n">
        <v>45441</v>
      </c>
      <c r="C5456" s="1" t="n">
        <v>45705</v>
      </c>
      <c r="D5456" t="inlineStr">
        <is>
          <t>UPPSALA LÄN</t>
        </is>
      </c>
      <c r="E5456" t="inlineStr">
        <is>
          <t>ENKÖPING</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21413-2024</t>
        </is>
      </c>
      <c r="B5457" s="1" t="n">
        <v>45441</v>
      </c>
      <c r="C5457" s="1" t="n">
        <v>45705</v>
      </c>
      <c r="D5457" t="inlineStr">
        <is>
          <t>UPPSALA LÄN</t>
        </is>
      </c>
      <c r="E5457" t="inlineStr">
        <is>
          <t>ÖSTHAMMAR</t>
        </is>
      </c>
      <c r="F5457" t="inlineStr">
        <is>
          <t>Bergvik skog öst AB</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21547-2024</t>
        </is>
      </c>
      <c r="B5458" s="1" t="n">
        <v>45441</v>
      </c>
      <c r="C5458" s="1" t="n">
        <v>45705</v>
      </c>
      <c r="D5458" t="inlineStr">
        <is>
          <t>UPPSALA LÄN</t>
        </is>
      </c>
      <c r="E5458" t="inlineStr">
        <is>
          <t>ÖSTHAMMAR</t>
        </is>
      </c>
      <c r="F5458" t="inlineStr">
        <is>
          <t>Bergvik skog öst AB</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21555-2024</t>
        </is>
      </c>
      <c r="B5459" s="1" t="n">
        <v>45441</v>
      </c>
      <c r="C5459" s="1" t="n">
        <v>45705</v>
      </c>
      <c r="D5459" t="inlineStr">
        <is>
          <t>UPPSALA LÄN</t>
        </is>
      </c>
      <c r="E5459" t="inlineStr">
        <is>
          <t>UPPSALA</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21505-2024</t>
        </is>
      </c>
      <c r="B5460" s="1" t="n">
        <v>45441</v>
      </c>
      <c r="C5460" s="1" t="n">
        <v>45705</v>
      </c>
      <c r="D5460" t="inlineStr">
        <is>
          <t>UPPSALA LÄN</t>
        </is>
      </c>
      <c r="E5460" t="inlineStr">
        <is>
          <t>ÖSTHAMMAR</t>
        </is>
      </c>
      <c r="F5460" t="inlineStr">
        <is>
          <t>Bergvik skog öst AB</t>
        </is>
      </c>
      <c r="G5460" t="n">
        <v>21.7</v>
      </c>
      <c r="H5460" t="n">
        <v>0</v>
      </c>
      <c r="I5460" t="n">
        <v>0</v>
      </c>
      <c r="J5460" t="n">
        <v>0</v>
      </c>
      <c r="K5460" t="n">
        <v>0</v>
      </c>
      <c r="L5460" t="n">
        <v>0</v>
      </c>
      <c r="M5460" t="n">
        <v>0</v>
      </c>
      <c r="N5460" t="n">
        <v>0</v>
      </c>
      <c r="O5460" t="n">
        <v>0</v>
      </c>
      <c r="P5460" t="n">
        <v>0</v>
      </c>
      <c r="Q5460" t="n">
        <v>0</v>
      </c>
      <c r="R5460" s="2" t="inlineStr"/>
    </row>
    <row r="5461" ht="15" customHeight="1">
      <c r="A5461" t="inlineStr">
        <is>
          <t>A 21655-2024</t>
        </is>
      </c>
      <c r="B5461" s="1" t="n">
        <v>45442</v>
      </c>
      <c r="C5461" s="1" t="n">
        <v>45705</v>
      </c>
      <c r="D5461" t="inlineStr">
        <is>
          <t>UPPSALA LÄN</t>
        </is>
      </c>
      <c r="E5461" t="inlineStr">
        <is>
          <t>ÖSTHAMMAR</t>
        </is>
      </c>
      <c r="F5461" t="inlineStr">
        <is>
          <t>Bergvik skog öst AB</t>
        </is>
      </c>
      <c r="G5461" t="n">
        <v>15.2</v>
      </c>
      <c r="H5461" t="n">
        <v>0</v>
      </c>
      <c r="I5461" t="n">
        <v>0</v>
      </c>
      <c r="J5461" t="n">
        <v>0</v>
      </c>
      <c r="K5461" t="n">
        <v>0</v>
      </c>
      <c r="L5461" t="n">
        <v>0</v>
      </c>
      <c r="M5461" t="n">
        <v>0</v>
      </c>
      <c r="N5461" t="n">
        <v>0</v>
      </c>
      <c r="O5461" t="n">
        <v>0</v>
      </c>
      <c r="P5461" t="n">
        <v>0</v>
      </c>
      <c r="Q5461" t="n">
        <v>0</v>
      </c>
      <c r="R5461" s="2" t="inlineStr"/>
    </row>
    <row r="5462" ht="15" customHeight="1">
      <c r="A5462" t="inlineStr">
        <is>
          <t>A 21657-2024</t>
        </is>
      </c>
      <c r="B5462" s="1" t="n">
        <v>45442</v>
      </c>
      <c r="C5462" s="1" t="n">
        <v>45705</v>
      </c>
      <c r="D5462" t="inlineStr">
        <is>
          <t>UPPSALA LÄN</t>
        </is>
      </c>
      <c r="E5462" t="inlineStr">
        <is>
          <t>UPPSALA</t>
        </is>
      </c>
      <c r="G5462" t="n">
        <v>5.7</v>
      </c>
      <c r="H5462" t="n">
        <v>0</v>
      </c>
      <c r="I5462" t="n">
        <v>0</v>
      </c>
      <c r="J5462" t="n">
        <v>0</v>
      </c>
      <c r="K5462" t="n">
        <v>0</v>
      </c>
      <c r="L5462" t="n">
        <v>0</v>
      </c>
      <c r="M5462" t="n">
        <v>0</v>
      </c>
      <c r="N5462" t="n">
        <v>0</v>
      </c>
      <c r="O5462" t="n">
        <v>0</v>
      </c>
      <c r="P5462" t="n">
        <v>0</v>
      </c>
      <c r="Q5462" t="n">
        <v>0</v>
      </c>
      <c r="R5462" s="2" t="inlineStr"/>
    </row>
    <row r="5463" ht="15" customHeight="1">
      <c r="A5463" t="inlineStr">
        <is>
          <t>A 21786-2024</t>
        </is>
      </c>
      <c r="B5463" s="1" t="n">
        <v>45442</v>
      </c>
      <c r="C5463" s="1" t="n">
        <v>45705</v>
      </c>
      <c r="D5463" t="inlineStr">
        <is>
          <t>UPPSALA LÄN</t>
        </is>
      </c>
      <c r="E5463" t="inlineStr">
        <is>
          <t>UPPSALA</t>
        </is>
      </c>
      <c r="F5463" t="inlineStr">
        <is>
          <t>Allmännings- och besparingsskogar</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21641-2024</t>
        </is>
      </c>
      <c r="B5464" s="1" t="n">
        <v>45442</v>
      </c>
      <c r="C5464" s="1" t="n">
        <v>45705</v>
      </c>
      <c r="D5464" t="inlineStr">
        <is>
          <t>UPPSALA LÄN</t>
        </is>
      </c>
      <c r="E5464" t="inlineStr">
        <is>
          <t>UPPSALA</t>
        </is>
      </c>
      <c r="F5464" t="inlineStr">
        <is>
          <t>Kyrkan</t>
        </is>
      </c>
      <c r="G5464" t="n">
        <v>3.6</v>
      </c>
      <c r="H5464" t="n">
        <v>0</v>
      </c>
      <c r="I5464" t="n">
        <v>0</v>
      </c>
      <c r="J5464" t="n">
        <v>0</v>
      </c>
      <c r="K5464" t="n">
        <v>0</v>
      </c>
      <c r="L5464" t="n">
        <v>0</v>
      </c>
      <c r="M5464" t="n">
        <v>0</v>
      </c>
      <c r="N5464" t="n">
        <v>0</v>
      </c>
      <c r="O5464" t="n">
        <v>0</v>
      </c>
      <c r="P5464" t="n">
        <v>0</v>
      </c>
      <c r="Q5464" t="n">
        <v>0</v>
      </c>
      <c r="R5464" s="2" t="inlineStr"/>
    </row>
    <row r="5465" ht="15" customHeight="1">
      <c r="A5465" t="inlineStr">
        <is>
          <t>A 22057-2024</t>
        </is>
      </c>
      <c r="B5465" s="1" t="n">
        <v>45443</v>
      </c>
      <c r="C5465" s="1" t="n">
        <v>45705</v>
      </c>
      <c r="D5465" t="inlineStr">
        <is>
          <t>UPPSALA LÄN</t>
        </is>
      </c>
      <c r="E5465" t="inlineStr">
        <is>
          <t>ÖSTHAMMAR</t>
        </is>
      </c>
      <c r="F5465" t="inlineStr">
        <is>
          <t>Bergvik skog öst AB</t>
        </is>
      </c>
      <c r="G5465" t="n">
        <v>9</v>
      </c>
      <c r="H5465" t="n">
        <v>0</v>
      </c>
      <c r="I5465" t="n">
        <v>0</v>
      </c>
      <c r="J5465" t="n">
        <v>0</v>
      </c>
      <c r="K5465" t="n">
        <v>0</v>
      </c>
      <c r="L5465" t="n">
        <v>0</v>
      </c>
      <c r="M5465" t="n">
        <v>0</v>
      </c>
      <c r="N5465" t="n">
        <v>0</v>
      </c>
      <c r="O5465" t="n">
        <v>0</v>
      </c>
      <c r="P5465" t="n">
        <v>0</v>
      </c>
      <c r="Q5465" t="n">
        <v>0</v>
      </c>
      <c r="R5465" s="2" t="inlineStr"/>
    </row>
    <row r="5466" ht="15" customHeight="1">
      <c r="A5466" t="inlineStr">
        <is>
          <t>A 21859-2024</t>
        </is>
      </c>
      <c r="B5466" s="1" t="n">
        <v>45443</v>
      </c>
      <c r="C5466" s="1" t="n">
        <v>45705</v>
      </c>
      <c r="D5466" t="inlineStr">
        <is>
          <t>UPPSALA LÄN</t>
        </is>
      </c>
      <c r="E5466" t="inlineStr">
        <is>
          <t>UPPSALA</t>
        </is>
      </c>
      <c r="F5466" t="inlineStr">
        <is>
          <t>Kyrkan</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21892-2024</t>
        </is>
      </c>
      <c r="B5467" s="1" t="n">
        <v>45443</v>
      </c>
      <c r="C5467" s="1" t="n">
        <v>45705</v>
      </c>
      <c r="D5467" t="inlineStr">
        <is>
          <t>UPPSALA LÄN</t>
        </is>
      </c>
      <c r="E5467" t="inlineStr">
        <is>
          <t>TIERP</t>
        </is>
      </c>
      <c r="G5467" t="n">
        <v>6.5</v>
      </c>
      <c r="H5467" t="n">
        <v>0</v>
      </c>
      <c r="I5467" t="n">
        <v>0</v>
      </c>
      <c r="J5467" t="n">
        <v>0</v>
      </c>
      <c r="K5467" t="n">
        <v>0</v>
      </c>
      <c r="L5467" t="n">
        <v>0</v>
      </c>
      <c r="M5467" t="n">
        <v>0</v>
      </c>
      <c r="N5467" t="n">
        <v>0</v>
      </c>
      <c r="O5467" t="n">
        <v>0</v>
      </c>
      <c r="P5467" t="n">
        <v>0</v>
      </c>
      <c r="Q5467" t="n">
        <v>0</v>
      </c>
      <c r="R5467" s="2" t="inlineStr"/>
    </row>
    <row r="5468" ht="15" customHeight="1">
      <c r="A5468" t="inlineStr">
        <is>
          <t>A 22212-2024</t>
        </is>
      </c>
      <c r="B5468" s="1" t="n">
        <v>45445</v>
      </c>
      <c r="C5468" s="1" t="n">
        <v>45705</v>
      </c>
      <c r="D5468" t="inlineStr">
        <is>
          <t>UPPSALA LÄN</t>
        </is>
      </c>
      <c r="E5468" t="inlineStr">
        <is>
          <t>HEBY</t>
        </is>
      </c>
      <c r="F5468" t="inlineStr">
        <is>
          <t>Bergvik skog väst AB</t>
        </is>
      </c>
      <c r="G5468" t="n">
        <v>3.4</v>
      </c>
      <c r="H5468" t="n">
        <v>0</v>
      </c>
      <c r="I5468" t="n">
        <v>0</v>
      </c>
      <c r="J5468" t="n">
        <v>0</v>
      </c>
      <c r="K5468" t="n">
        <v>0</v>
      </c>
      <c r="L5468" t="n">
        <v>0</v>
      </c>
      <c r="M5468" t="n">
        <v>0</v>
      </c>
      <c r="N5468" t="n">
        <v>0</v>
      </c>
      <c r="O5468" t="n">
        <v>0</v>
      </c>
      <c r="P5468" t="n">
        <v>0</v>
      </c>
      <c r="Q5468" t="n">
        <v>0</v>
      </c>
      <c r="R5468" s="2" t="inlineStr"/>
    </row>
    <row r="5469" ht="15" customHeight="1">
      <c r="A5469" t="inlineStr">
        <is>
          <t>A 22217-2024</t>
        </is>
      </c>
      <c r="B5469" s="1" t="n">
        <v>45446</v>
      </c>
      <c r="C5469" s="1" t="n">
        <v>45705</v>
      </c>
      <c r="D5469" t="inlineStr">
        <is>
          <t>UPPSALA LÄN</t>
        </is>
      </c>
      <c r="E5469" t="inlineStr">
        <is>
          <t>ÖSTHAMMAR</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22372-2024</t>
        </is>
      </c>
      <c r="B5470" s="1" t="n">
        <v>45446</v>
      </c>
      <c r="C5470" s="1" t="n">
        <v>45705</v>
      </c>
      <c r="D5470" t="inlineStr">
        <is>
          <t>UPPSALA LÄN</t>
        </is>
      </c>
      <c r="E5470" t="inlineStr">
        <is>
          <t>ÖSTHAMMAR</t>
        </is>
      </c>
      <c r="F5470" t="inlineStr">
        <is>
          <t>Bergvik skog öst AB</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22393-2024</t>
        </is>
      </c>
      <c r="B5471" s="1" t="n">
        <v>45446</v>
      </c>
      <c r="C5471" s="1" t="n">
        <v>45705</v>
      </c>
      <c r="D5471" t="inlineStr">
        <is>
          <t>UPPSALA LÄN</t>
        </is>
      </c>
      <c r="E5471" t="inlineStr">
        <is>
          <t>TIERP</t>
        </is>
      </c>
      <c r="F5471" t="inlineStr">
        <is>
          <t>Bergvik skog väst AB</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22373-2024</t>
        </is>
      </c>
      <c r="B5472" s="1" t="n">
        <v>45446</v>
      </c>
      <c r="C5472" s="1" t="n">
        <v>45705</v>
      </c>
      <c r="D5472" t="inlineStr">
        <is>
          <t>UPPSALA LÄN</t>
        </is>
      </c>
      <c r="E5472" t="inlineStr">
        <is>
          <t>ÖSTHAMMAR</t>
        </is>
      </c>
      <c r="F5472" t="inlineStr">
        <is>
          <t>Bergvik skog öst AB</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22403-2024</t>
        </is>
      </c>
      <c r="B5473" s="1" t="n">
        <v>45446</v>
      </c>
      <c r="C5473" s="1" t="n">
        <v>45705</v>
      </c>
      <c r="D5473" t="inlineStr">
        <is>
          <t>UPPSALA LÄN</t>
        </is>
      </c>
      <c r="E5473" t="inlineStr">
        <is>
          <t>TIERP</t>
        </is>
      </c>
      <c r="F5473" t="inlineStr">
        <is>
          <t>Bergvik skog väst AB</t>
        </is>
      </c>
      <c r="G5473" t="n">
        <v>31.3</v>
      </c>
      <c r="H5473" t="n">
        <v>0</v>
      </c>
      <c r="I5473" t="n">
        <v>0</v>
      </c>
      <c r="J5473" t="n">
        <v>0</v>
      </c>
      <c r="K5473" t="n">
        <v>0</v>
      </c>
      <c r="L5473" t="n">
        <v>0</v>
      </c>
      <c r="M5473" t="n">
        <v>0</v>
      </c>
      <c r="N5473" t="n">
        <v>0</v>
      </c>
      <c r="O5473" t="n">
        <v>0</v>
      </c>
      <c r="P5473" t="n">
        <v>0</v>
      </c>
      <c r="Q5473" t="n">
        <v>0</v>
      </c>
      <c r="R5473" s="2" t="inlineStr"/>
    </row>
    <row r="5474" ht="15" customHeight="1">
      <c r="A5474" t="inlineStr">
        <is>
          <t>A 22431-2024</t>
        </is>
      </c>
      <c r="B5474" s="1" t="n">
        <v>45446</v>
      </c>
      <c r="C5474" s="1" t="n">
        <v>45705</v>
      </c>
      <c r="D5474" t="inlineStr">
        <is>
          <t>UPPSALA LÄN</t>
        </is>
      </c>
      <c r="E5474" t="inlineStr">
        <is>
          <t>UPPSALA</t>
        </is>
      </c>
      <c r="F5474" t="inlineStr">
        <is>
          <t>Bergvik skog öst AB</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22320-2024</t>
        </is>
      </c>
      <c r="B5475" s="1" t="n">
        <v>45446</v>
      </c>
      <c r="C5475" s="1" t="n">
        <v>45705</v>
      </c>
      <c r="D5475" t="inlineStr">
        <is>
          <t>UPPSALA LÄN</t>
        </is>
      </c>
      <c r="E5475" t="inlineStr">
        <is>
          <t>TIERP</t>
        </is>
      </c>
      <c r="G5475" t="n">
        <v>6</v>
      </c>
      <c r="H5475" t="n">
        <v>0</v>
      </c>
      <c r="I5475" t="n">
        <v>0</v>
      </c>
      <c r="J5475" t="n">
        <v>0</v>
      </c>
      <c r="K5475" t="n">
        <v>0</v>
      </c>
      <c r="L5475" t="n">
        <v>0</v>
      </c>
      <c r="M5475" t="n">
        <v>0</v>
      </c>
      <c r="N5475" t="n">
        <v>0</v>
      </c>
      <c r="O5475" t="n">
        <v>0</v>
      </c>
      <c r="P5475" t="n">
        <v>0</v>
      </c>
      <c r="Q5475" t="n">
        <v>0</v>
      </c>
      <c r="R5475" s="2" t="inlineStr"/>
    </row>
    <row r="5476" ht="15" customHeight="1">
      <c r="A5476" t="inlineStr">
        <is>
          <t>A 22437-2024</t>
        </is>
      </c>
      <c r="B5476" s="1" t="n">
        <v>45446</v>
      </c>
      <c r="C5476" s="1" t="n">
        <v>45705</v>
      </c>
      <c r="D5476" t="inlineStr">
        <is>
          <t>UPPSALA LÄN</t>
        </is>
      </c>
      <c r="E5476" t="inlineStr">
        <is>
          <t>UPPSALA</t>
        </is>
      </c>
      <c r="F5476" t="inlineStr">
        <is>
          <t>Bergvik skog öst AB</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22433-2024</t>
        </is>
      </c>
      <c r="B5477" s="1" t="n">
        <v>45446</v>
      </c>
      <c r="C5477" s="1" t="n">
        <v>45705</v>
      </c>
      <c r="D5477" t="inlineStr">
        <is>
          <t>UPPSALA LÄN</t>
        </is>
      </c>
      <c r="E5477" t="inlineStr">
        <is>
          <t>UPPSALA</t>
        </is>
      </c>
      <c r="F5477" t="inlineStr">
        <is>
          <t>Bergvik skog öst AB</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22359-2024</t>
        </is>
      </c>
      <c r="B5478" s="1" t="n">
        <v>45446</v>
      </c>
      <c r="C5478" s="1" t="n">
        <v>45705</v>
      </c>
      <c r="D5478" t="inlineStr">
        <is>
          <t>UPPSALA LÄN</t>
        </is>
      </c>
      <c r="E5478" t="inlineStr">
        <is>
          <t>HEBY</t>
        </is>
      </c>
      <c r="G5478" t="n">
        <v>7.8</v>
      </c>
      <c r="H5478" t="n">
        <v>0</v>
      </c>
      <c r="I5478" t="n">
        <v>0</v>
      </c>
      <c r="J5478" t="n">
        <v>0</v>
      </c>
      <c r="K5478" t="n">
        <v>0</v>
      </c>
      <c r="L5478" t="n">
        <v>0</v>
      </c>
      <c r="M5478" t="n">
        <v>0</v>
      </c>
      <c r="N5478" t="n">
        <v>0</v>
      </c>
      <c r="O5478" t="n">
        <v>0</v>
      </c>
      <c r="P5478" t="n">
        <v>0</v>
      </c>
      <c r="Q5478" t="n">
        <v>0</v>
      </c>
      <c r="R5478" s="2" t="inlineStr"/>
    </row>
    <row r="5479" ht="15" customHeight="1">
      <c r="A5479" t="inlineStr">
        <is>
          <t>A 22371-2024</t>
        </is>
      </c>
      <c r="B5479" s="1" t="n">
        <v>45446</v>
      </c>
      <c r="C5479" s="1" t="n">
        <v>45705</v>
      </c>
      <c r="D5479" t="inlineStr">
        <is>
          <t>UPPSALA LÄN</t>
        </is>
      </c>
      <c r="E5479" t="inlineStr">
        <is>
          <t>ÖSTHAMMAR</t>
        </is>
      </c>
      <c r="F5479" t="inlineStr">
        <is>
          <t>Bergvik skog öst AB</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22432-2024</t>
        </is>
      </c>
      <c r="B5480" s="1" t="n">
        <v>45446</v>
      </c>
      <c r="C5480" s="1" t="n">
        <v>45705</v>
      </c>
      <c r="D5480" t="inlineStr">
        <is>
          <t>UPPSALA LÄN</t>
        </is>
      </c>
      <c r="E5480" t="inlineStr">
        <is>
          <t>UPPSALA</t>
        </is>
      </c>
      <c r="F5480" t="inlineStr">
        <is>
          <t>Bergvik skog öst AB</t>
        </is>
      </c>
      <c r="G5480" t="n">
        <v>8.4</v>
      </c>
      <c r="H5480" t="n">
        <v>0</v>
      </c>
      <c r="I5480" t="n">
        <v>0</v>
      </c>
      <c r="J5480" t="n">
        <v>0</v>
      </c>
      <c r="K5480" t="n">
        <v>0</v>
      </c>
      <c r="L5480" t="n">
        <v>0</v>
      </c>
      <c r="M5480" t="n">
        <v>0</v>
      </c>
      <c r="N5480" t="n">
        <v>0</v>
      </c>
      <c r="O5480" t="n">
        <v>0</v>
      </c>
      <c r="P5480" t="n">
        <v>0</v>
      </c>
      <c r="Q5480" t="n">
        <v>0</v>
      </c>
      <c r="R5480" s="2" t="inlineStr"/>
    </row>
    <row r="5481" ht="15" customHeight="1">
      <c r="A5481" t="inlineStr">
        <is>
          <t>A 22636-2024</t>
        </is>
      </c>
      <c r="B5481" s="1" t="n">
        <v>45447</v>
      </c>
      <c r="C5481" s="1" t="n">
        <v>45705</v>
      </c>
      <c r="D5481" t="inlineStr">
        <is>
          <t>UPPSALA LÄN</t>
        </is>
      </c>
      <c r="E5481" t="inlineStr">
        <is>
          <t>TIERP</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22884-2024</t>
        </is>
      </c>
      <c r="B5482" s="1" t="n">
        <v>45448</v>
      </c>
      <c r="C5482" s="1" t="n">
        <v>45705</v>
      </c>
      <c r="D5482" t="inlineStr">
        <is>
          <t>UPPSALA LÄN</t>
        </is>
      </c>
      <c r="E5482" t="inlineStr">
        <is>
          <t>ÖSTHAMMAR</t>
        </is>
      </c>
      <c r="G5482" t="n">
        <v>3.3</v>
      </c>
      <c r="H5482" t="n">
        <v>0</v>
      </c>
      <c r="I5482" t="n">
        <v>0</v>
      </c>
      <c r="J5482" t="n">
        <v>0</v>
      </c>
      <c r="K5482" t="n">
        <v>0</v>
      </c>
      <c r="L5482" t="n">
        <v>0</v>
      </c>
      <c r="M5482" t="n">
        <v>0</v>
      </c>
      <c r="N5482" t="n">
        <v>0</v>
      </c>
      <c r="O5482" t="n">
        <v>0</v>
      </c>
      <c r="P5482" t="n">
        <v>0</v>
      </c>
      <c r="Q5482" t="n">
        <v>0</v>
      </c>
      <c r="R5482" s="2" t="inlineStr"/>
    </row>
    <row r="5483" ht="15" customHeight="1">
      <c r="A5483" t="inlineStr">
        <is>
          <t>A 22900-2024</t>
        </is>
      </c>
      <c r="B5483" s="1" t="n">
        <v>45448</v>
      </c>
      <c r="C5483" s="1" t="n">
        <v>45705</v>
      </c>
      <c r="D5483" t="inlineStr">
        <is>
          <t>UPPSALA LÄN</t>
        </is>
      </c>
      <c r="E5483" t="inlineStr">
        <is>
          <t>UPPSALA</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22759-2024</t>
        </is>
      </c>
      <c r="B5484" s="1" t="n">
        <v>45448</v>
      </c>
      <c r="C5484" s="1" t="n">
        <v>45705</v>
      </c>
      <c r="D5484" t="inlineStr">
        <is>
          <t>UPPSALA LÄN</t>
        </is>
      </c>
      <c r="E5484" t="inlineStr">
        <is>
          <t>TIERP</t>
        </is>
      </c>
      <c r="G5484" t="n">
        <v>6.9</v>
      </c>
      <c r="H5484" t="n">
        <v>0</v>
      </c>
      <c r="I5484" t="n">
        <v>0</v>
      </c>
      <c r="J5484" t="n">
        <v>0</v>
      </c>
      <c r="K5484" t="n">
        <v>0</v>
      </c>
      <c r="L5484" t="n">
        <v>0</v>
      </c>
      <c r="M5484" t="n">
        <v>0</v>
      </c>
      <c r="N5484" t="n">
        <v>0</v>
      </c>
      <c r="O5484" t="n">
        <v>0</v>
      </c>
      <c r="P5484" t="n">
        <v>0</v>
      </c>
      <c r="Q5484" t="n">
        <v>0</v>
      </c>
      <c r="R5484" s="2" t="inlineStr"/>
    </row>
    <row r="5485" ht="15" customHeight="1">
      <c r="A5485" t="inlineStr">
        <is>
          <t>A 22725-2024</t>
        </is>
      </c>
      <c r="B5485" s="1" t="n">
        <v>45448</v>
      </c>
      <c r="C5485" s="1" t="n">
        <v>45705</v>
      </c>
      <c r="D5485" t="inlineStr">
        <is>
          <t>UPPSALA LÄN</t>
        </is>
      </c>
      <c r="E5485" t="inlineStr">
        <is>
          <t>ÖSTHAMMAR</t>
        </is>
      </c>
      <c r="F5485" t="inlineStr">
        <is>
          <t>Bergvik skog öst AB</t>
        </is>
      </c>
      <c r="G5485" t="n">
        <v>5.8</v>
      </c>
      <c r="H5485" t="n">
        <v>0</v>
      </c>
      <c r="I5485" t="n">
        <v>0</v>
      </c>
      <c r="J5485" t="n">
        <v>0</v>
      </c>
      <c r="K5485" t="n">
        <v>0</v>
      </c>
      <c r="L5485" t="n">
        <v>0</v>
      </c>
      <c r="M5485" t="n">
        <v>0</v>
      </c>
      <c r="N5485" t="n">
        <v>0</v>
      </c>
      <c r="O5485" t="n">
        <v>0</v>
      </c>
      <c r="P5485" t="n">
        <v>0</v>
      </c>
      <c r="Q5485" t="n">
        <v>0</v>
      </c>
      <c r="R5485" s="2" t="inlineStr"/>
    </row>
    <row r="5486" ht="15" customHeight="1">
      <c r="A5486" t="inlineStr">
        <is>
          <t>A 22766-2024</t>
        </is>
      </c>
      <c r="B5486" s="1" t="n">
        <v>45448</v>
      </c>
      <c r="C5486" s="1" t="n">
        <v>45705</v>
      </c>
      <c r="D5486" t="inlineStr">
        <is>
          <t>UPPSALA LÄN</t>
        </is>
      </c>
      <c r="E5486" t="inlineStr">
        <is>
          <t>HEBY</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22912-2024</t>
        </is>
      </c>
      <c r="B5487" s="1" t="n">
        <v>45448</v>
      </c>
      <c r="C5487" s="1" t="n">
        <v>45705</v>
      </c>
      <c r="D5487" t="inlineStr">
        <is>
          <t>UPPSALA LÄN</t>
        </is>
      </c>
      <c r="E5487" t="inlineStr">
        <is>
          <t>ENKÖPING</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22915-2024</t>
        </is>
      </c>
      <c r="B5488" s="1" t="n">
        <v>45448</v>
      </c>
      <c r="C5488" s="1" t="n">
        <v>45705</v>
      </c>
      <c r="D5488" t="inlineStr">
        <is>
          <t>UPPSALA LÄN</t>
        </is>
      </c>
      <c r="E5488" t="inlineStr">
        <is>
          <t>ÖSTHAMMAR</t>
        </is>
      </c>
      <c r="F5488" t="inlineStr">
        <is>
          <t>Bergvik skog öst AB</t>
        </is>
      </c>
      <c r="G5488" t="n">
        <v>7.4</v>
      </c>
      <c r="H5488" t="n">
        <v>0</v>
      </c>
      <c r="I5488" t="n">
        <v>0</v>
      </c>
      <c r="J5488" t="n">
        <v>0</v>
      </c>
      <c r="K5488" t="n">
        <v>0</v>
      </c>
      <c r="L5488" t="n">
        <v>0</v>
      </c>
      <c r="M5488" t="n">
        <v>0</v>
      </c>
      <c r="N5488" t="n">
        <v>0</v>
      </c>
      <c r="O5488" t="n">
        <v>0</v>
      </c>
      <c r="P5488" t="n">
        <v>0</v>
      </c>
      <c r="Q5488" t="n">
        <v>0</v>
      </c>
      <c r="R5488" s="2" t="inlineStr"/>
    </row>
    <row r="5489" ht="15" customHeight="1">
      <c r="A5489" t="inlineStr">
        <is>
          <t>A 22919-2024</t>
        </is>
      </c>
      <c r="B5489" s="1" t="n">
        <v>45448</v>
      </c>
      <c r="C5489" s="1" t="n">
        <v>45705</v>
      </c>
      <c r="D5489" t="inlineStr">
        <is>
          <t>UPPSALA LÄN</t>
        </is>
      </c>
      <c r="E5489" t="inlineStr">
        <is>
          <t>ÖSTHAMMAR</t>
        </is>
      </c>
      <c r="F5489" t="inlineStr">
        <is>
          <t>Bergvik skog öst AB</t>
        </is>
      </c>
      <c r="G5489" t="n">
        <v>10.2</v>
      </c>
      <c r="H5489" t="n">
        <v>0</v>
      </c>
      <c r="I5489" t="n">
        <v>0</v>
      </c>
      <c r="J5489" t="n">
        <v>0</v>
      </c>
      <c r="K5489" t="n">
        <v>0</v>
      </c>
      <c r="L5489" t="n">
        <v>0</v>
      </c>
      <c r="M5489" t="n">
        <v>0</v>
      </c>
      <c r="N5489" t="n">
        <v>0</v>
      </c>
      <c r="O5489" t="n">
        <v>0</v>
      </c>
      <c r="P5489" t="n">
        <v>0</v>
      </c>
      <c r="Q5489" t="n">
        <v>0</v>
      </c>
      <c r="R5489" s="2" t="inlineStr"/>
    </row>
    <row r="5490" ht="15" customHeight="1">
      <c r="A5490" t="inlineStr">
        <is>
          <t>A 23301-2024</t>
        </is>
      </c>
      <c r="B5490" s="1" t="n">
        <v>45453</v>
      </c>
      <c r="C5490" s="1" t="n">
        <v>45705</v>
      </c>
      <c r="D5490" t="inlineStr">
        <is>
          <t>UPPSALA LÄN</t>
        </is>
      </c>
      <c r="E5490" t="inlineStr">
        <is>
          <t>ENKÖPING</t>
        </is>
      </c>
      <c r="G5490" t="n">
        <v>4.3</v>
      </c>
      <c r="H5490" t="n">
        <v>0</v>
      </c>
      <c r="I5490" t="n">
        <v>0</v>
      </c>
      <c r="J5490" t="n">
        <v>0</v>
      </c>
      <c r="K5490" t="n">
        <v>0</v>
      </c>
      <c r="L5490" t="n">
        <v>0</v>
      </c>
      <c r="M5490" t="n">
        <v>0</v>
      </c>
      <c r="N5490" t="n">
        <v>0</v>
      </c>
      <c r="O5490" t="n">
        <v>0</v>
      </c>
      <c r="P5490" t="n">
        <v>0</v>
      </c>
      <c r="Q5490" t="n">
        <v>0</v>
      </c>
      <c r="R5490" s="2" t="inlineStr"/>
    </row>
    <row r="5491" ht="15" customHeight="1">
      <c r="A5491" t="inlineStr">
        <is>
          <t>A 23291-2024</t>
        </is>
      </c>
      <c r="B5491" s="1" t="n">
        <v>45453</v>
      </c>
      <c r="C5491" s="1" t="n">
        <v>45705</v>
      </c>
      <c r="D5491" t="inlineStr">
        <is>
          <t>UPPSALA LÄN</t>
        </is>
      </c>
      <c r="E5491" t="inlineStr">
        <is>
          <t>UPPSALA</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23494-2024</t>
        </is>
      </c>
      <c r="B5492" s="1" t="n">
        <v>45453</v>
      </c>
      <c r="C5492" s="1" t="n">
        <v>45705</v>
      </c>
      <c r="D5492" t="inlineStr">
        <is>
          <t>UPPSALA LÄN</t>
        </is>
      </c>
      <c r="E5492" t="inlineStr">
        <is>
          <t>UPPSALA</t>
        </is>
      </c>
      <c r="F5492" t="inlineStr">
        <is>
          <t>Kyrkan</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23410-2024</t>
        </is>
      </c>
      <c r="B5493" s="1" t="n">
        <v>45453</v>
      </c>
      <c r="C5493" s="1" t="n">
        <v>45705</v>
      </c>
      <c r="D5493" t="inlineStr">
        <is>
          <t>UPPSALA LÄN</t>
        </is>
      </c>
      <c r="E5493" t="inlineStr">
        <is>
          <t>HEBY</t>
        </is>
      </c>
      <c r="F5493" t="inlineStr">
        <is>
          <t>Bergvik skog väst AB</t>
        </is>
      </c>
      <c r="G5493" t="n">
        <v>3.9</v>
      </c>
      <c r="H5493" t="n">
        <v>0</v>
      </c>
      <c r="I5493" t="n">
        <v>0</v>
      </c>
      <c r="J5493" t="n">
        <v>0</v>
      </c>
      <c r="K5493" t="n">
        <v>0</v>
      </c>
      <c r="L5493" t="n">
        <v>0</v>
      </c>
      <c r="M5493" t="n">
        <v>0</v>
      </c>
      <c r="N5493" t="n">
        <v>0</v>
      </c>
      <c r="O5493" t="n">
        <v>0</v>
      </c>
      <c r="P5493" t="n">
        <v>0</v>
      </c>
      <c r="Q5493" t="n">
        <v>0</v>
      </c>
      <c r="R5493" s="2" t="inlineStr"/>
    </row>
    <row r="5494" ht="15" customHeight="1">
      <c r="A5494" t="inlineStr">
        <is>
          <t>A 23264-2024</t>
        </is>
      </c>
      <c r="B5494" s="1" t="n">
        <v>45453</v>
      </c>
      <c r="C5494" s="1" t="n">
        <v>45705</v>
      </c>
      <c r="D5494" t="inlineStr">
        <is>
          <t>UPPSALA LÄN</t>
        </is>
      </c>
      <c r="E5494" t="inlineStr">
        <is>
          <t>ENKÖPING</t>
        </is>
      </c>
      <c r="G5494" t="n">
        <v>9.4</v>
      </c>
      <c r="H5494" t="n">
        <v>0</v>
      </c>
      <c r="I5494" t="n">
        <v>0</v>
      </c>
      <c r="J5494" t="n">
        <v>0</v>
      </c>
      <c r="K5494" t="n">
        <v>0</v>
      </c>
      <c r="L5494" t="n">
        <v>0</v>
      </c>
      <c r="M5494" t="n">
        <v>0</v>
      </c>
      <c r="N5494" t="n">
        <v>0</v>
      </c>
      <c r="O5494" t="n">
        <v>0</v>
      </c>
      <c r="P5494" t="n">
        <v>0</v>
      </c>
      <c r="Q5494" t="n">
        <v>0</v>
      </c>
      <c r="R5494" s="2" t="inlineStr"/>
    </row>
    <row r="5495" ht="15" customHeight="1">
      <c r="A5495" t="inlineStr">
        <is>
          <t>A 23411-2024</t>
        </is>
      </c>
      <c r="B5495" s="1" t="n">
        <v>45453</v>
      </c>
      <c r="C5495" s="1" t="n">
        <v>45705</v>
      </c>
      <c r="D5495" t="inlineStr">
        <is>
          <t>UPPSALA LÄN</t>
        </is>
      </c>
      <c r="E5495" t="inlineStr">
        <is>
          <t>HEBY</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23671-2024</t>
        </is>
      </c>
      <c r="B5496" s="1" t="n">
        <v>45454</v>
      </c>
      <c r="C5496" s="1" t="n">
        <v>45705</v>
      </c>
      <c r="D5496" t="inlineStr">
        <is>
          <t>UPPSALA LÄN</t>
        </is>
      </c>
      <c r="E5496" t="inlineStr">
        <is>
          <t>HEBY</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23720-2024</t>
        </is>
      </c>
      <c r="B5497" s="1" t="n">
        <v>45454</v>
      </c>
      <c r="C5497" s="1" t="n">
        <v>45705</v>
      </c>
      <c r="D5497" t="inlineStr">
        <is>
          <t>UPPSALA LÄN</t>
        </is>
      </c>
      <c r="E5497" t="inlineStr">
        <is>
          <t>TIERP</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23652-2024</t>
        </is>
      </c>
      <c r="B5498" s="1" t="n">
        <v>45454</v>
      </c>
      <c r="C5498" s="1" t="n">
        <v>45705</v>
      </c>
      <c r="D5498" t="inlineStr">
        <is>
          <t>UPPSALA LÄN</t>
        </is>
      </c>
      <c r="E5498" t="inlineStr">
        <is>
          <t>ÖSTHAMMAR</t>
        </is>
      </c>
      <c r="F5498" t="inlineStr">
        <is>
          <t>Bergvik skog öst AB</t>
        </is>
      </c>
      <c r="G5498" t="n">
        <v>6.8</v>
      </c>
      <c r="H5498" t="n">
        <v>0</v>
      </c>
      <c r="I5498" t="n">
        <v>0</v>
      </c>
      <c r="J5498" t="n">
        <v>0</v>
      </c>
      <c r="K5498" t="n">
        <v>0</v>
      </c>
      <c r="L5498" t="n">
        <v>0</v>
      </c>
      <c r="M5498" t="n">
        <v>0</v>
      </c>
      <c r="N5498" t="n">
        <v>0</v>
      </c>
      <c r="O5498" t="n">
        <v>0</v>
      </c>
      <c r="P5498" t="n">
        <v>0</v>
      </c>
      <c r="Q5498" t="n">
        <v>0</v>
      </c>
      <c r="R5498" s="2" t="inlineStr"/>
    </row>
    <row r="5499" ht="15" customHeight="1">
      <c r="A5499" t="inlineStr">
        <is>
          <t>A 23759-2024</t>
        </is>
      </c>
      <c r="B5499" s="1" t="n">
        <v>45455</v>
      </c>
      <c r="C5499" s="1" t="n">
        <v>45705</v>
      </c>
      <c r="D5499" t="inlineStr">
        <is>
          <t>UPPSALA LÄN</t>
        </is>
      </c>
      <c r="E5499" t="inlineStr">
        <is>
          <t>TIERP</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23740-2024</t>
        </is>
      </c>
      <c r="B5500" s="1" t="n">
        <v>45455</v>
      </c>
      <c r="C5500" s="1" t="n">
        <v>45705</v>
      </c>
      <c r="D5500" t="inlineStr">
        <is>
          <t>UPPSALA LÄN</t>
        </is>
      </c>
      <c r="E5500" t="inlineStr">
        <is>
          <t>ÖSTHAMMAR</t>
        </is>
      </c>
      <c r="F5500" t="inlineStr">
        <is>
          <t>Bergvik skog öst AB</t>
        </is>
      </c>
      <c r="G5500" t="n">
        <v>2.9</v>
      </c>
      <c r="H5500" t="n">
        <v>0</v>
      </c>
      <c r="I5500" t="n">
        <v>0</v>
      </c>
      <c r="J5500" t="n">
        <v>0</v>
      </c>
      <c r="K5500" t="n">
        <v>0</v>
      </c>
      <c r="L5500" t="n">
        <v>0</v>
      </c>
      <c r="M5500" t="n">
        <v>0</v>
      </c>
      <c r="N5500" t="n">
        <v>0</v>
      </c>
      <c r="O5500" t="n">
        <v>0</v>
      </c>
      <c r="P5500" t="n">
        <v>0</v>
      </c>
      <c r="Q5500" t="n">
        <v>0</v>
      </c>
      <c r="R5500" s="2" t="inlineStr"/>
    </row>
    <row r="5501" ht="15" customHeight="1">
      <c r="A5501" t="inlineStr">
        <is>
          <t>A 23836-2024</t>
        </is>
      </c>
      <c r="B5501" s="1" t="n">
        <v>45455</v>
      </c>
      <c r="C5501" s="1" t="n">
        <v>45705</v>
      </c>
      <c r="D5501" t="inlineStr">
        <is>
          <t>UPPSALA LÄN</t>
        </is>
      </c>
      <c r="E5501" t="inlineStr">
        <is>
          <t>HEBY</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23742-2024</t>
        </is>
      </c>
      <c r="B5502" s="1" t="n">
        <v>45455</v>
      </c>
      <c r="C5502" s="1" t="n">
        <v>45705</v>
      </c>
      <c r="D5502" t="inlineStr">
        <is>
          <t>UPPSALA LÄN</t>
        </is>
      </c>
      <c r="E5502" t="inlineStr">
        <is>
          <t>ÖSTHAMMAR</t>
        </is>
      </c>
      <c r="F5502" t="inlineStr">
        <is>
          <t>Bergvik skog öst AB</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23741-2024</t>
        </is>
      </c>
      <c r="B5503" s="1" t="n">
        <v>45455</v>
      </c>
      <c r="C5503" s="1" t="n">
        <v>45705</v>
      </c>
      <c r="D5503" t="inlineStr">
        <is>
          <t>UPPSALA LÄN</t>
        </is>
      </c>
      <c r="E5503" t="inlineStr">
        <is>
          <t>ÖSTHAMMAR</t>
        </is>
      </c>
      <c r="F5503" t="inlineStr">
        <is>
          <t>Bergvik skog öst AB</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24029-2024</t>
        </is>
      </c>
      <c r="B5504" s="1" t="n">
        <v>45456</v>
      </c>
      <c r="C5504" s="1" t="n">
        <v>45705</v>
      </c>
      <c r="D5504" t="inlineStr">
        <is>
          <t>UPPSALA LÄN</t>
        </is>
      </c>
      <c r="E5504" t="inlineStr">
        <is>
          <t>TIERP</t>
        </is>
      </c>
      <c r="F5504" t="inlineStr">
        <is>
          <t>Bergvik skog öst AB</t>
        </is>
      </c>
      <c r="G5504" t="n">
        <v>7.6</v>
      </c>
      <c r="H5504" t="n">
        <v>0</v>
      </c>
      <c r="I5504" t="n">
        <v>0</v>
      </c>
      <c r="J5504" t="n">
        <v>0</v>
      </c>
      <c r="K5504" t="n">
        <v>0</v>
      </c>
      <c r="L5504" t="n">
        <v>0</v>
      </c>
      <c r="M5504" t="n">
        <v>0</v>
      </c>
      <c r="N5504" t="n">
        <v>0</v>
      </c>
      <c r="O5504" t="n">
        <v>0</v>
      </c>
      <c r="P5504" t="n">
        <v>0</v>
      </c>
      <c r="Q5504" t="n">
        <v>0</v>
      </c>
      <c r="R5504" s="2" t="inlineStr"/>
    </row>
    <row r="5505" ht="15" customHeight="1">
      <c r="A5505" t="inlineStr">
        <is>
          <t>A 24098-2024</t>
        </is>
      </c>
      <c r="B5505" s="1" t="n">
        <v>45456</v>
      </c>
      <c r="C5505" s="1" t="n">
        <v>45705</v>
      </c>
      <c r="D5505" t="inlineStr">
        <is>
          <t>UPPSALA LÄN</t>
        </is>
      </c>
      <c r="E5505" t="inlineStr">
        <is>
          <t>UPPSALA</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24160-2024</t>
        </is>
      </c>
      <c r="B5506" s="1" t="n">
        <v>45456</v>
      </c>
      <c r="C5506" s="1" t="n">
        <v>45705</v>
      </c>
      <c r="D5506" t="inlineStr">
        <is>
          <t>UPPSALA LÄN</t>
        </is>
      </c>
      <c r="E5506" t="inlineStr">
        <is>
          <t>ÖSTHAMMAR</t>
        </is>
      </c>
      <c r="F5506" t="inlineStr">
        <is>
          <t>Bergvik skog öst AB</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24161-2024</t>
        </is>
      </c>
      <c r="B5507" s="1" t="n">
        <v>45456</v>
      </c>
      <c r="C5507" s="1" t="n">
        <v>45705</v>
      </c>
      <c r="D5507" t="inlineStr">
        <is>
          <t>UPPSALA LÄN</t>
        </is>
      </c>
      <c r="E5507" t="inlineStr">
        <is>
          <t>ÖSTHAMMAR</t>
        </is>
      </c>
      <c r="F5507" t="inlineStr">
        <is>
          <t>Bergvik skog öst AB</t>
        </is>
      </c>
      <c r="G5507" t="n">
        <v>9.9</v>
      </c>
      <c r="H5507" t="n">
        <v>0</v>
      </c>
      <c r="I5507" t="n">
        <v>0</v>
      </c>
      <c r="J5507" t="n">
        <v>0</v>
      </c>
      <c r="K5507" t="n">
        <v>0</v>
      </c>
      <c r="L5507" t="n">
        <v>0</v>
      </c>
      <c r="M5507" t="n">
        <v>0</v>
      </c>
      <c r="N5507" t="n">
        <v>0</v>
      </c>
      <c r="O5507" t="n">
        <v>0</v>
      </c>
      <c r="P5507" t="n">
        <v>0</v>
      </c>
      <c r="Q5507" t="n">
        <v>0</v>
      </c>
      <c r="R5507" s="2" t="inlineStr"/>
    </row>
    <row r="5508" ht="15" customHeight="1">
      <c r="A5508" t="inlineStr">
        <is>
          <t>A 24091-2024</t>
        </is>
      </c>
      <c r="B5508" s="1" t="n">
        <v>45456</v>
      </c>
      <c r="C5508" s="1" t="n">
        <v>45705</v>
      </c>
      <c r="D5508" t="inlineStr">
        <is>
          <t>UPPSALA LÄN</t>
        </is>
      </c>
      <c r="E5508" t="inlineStr">
        <is>
          <t>UPPSALA</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24180-2024</t>
        </is>
      </c>
      <c r="B5509" s="1" t="n">
        <v>45456</v>
      </c>
      <c r="C5509" s="1" t="n">
        <v>45705</v>
      </c>
      <c r="D5509" t="inlineStr">
        <is>
          <t>UPPSALA LÄN</t>
        </is>
      </c>
      <c r="E5509" t="inlineStr">
        <is>
          <t>HEBY</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24238-2024</t>
        </is>
      </c>
      <c r="B5510" s="1" t="n">
        <v>45457</v>
      </c>
      <c r="C5510" s="1" t="n">
        <v>45705</v>
      </c>
      <c r="D5510" t="inlineStr">
        <is>
          <t>UPPSALA LÄN</t>
        </is>
      </c>
      <c r="E5510" t="inlineStr">
        <is>
          <t>TIERP</t>
        </is>
      </c>
      <c r="G5510" t="n">
        <v>4.2</v>
      </c>
      <c r="H5510" t="n">
        <v>0</v>
      </c>
      <c r="I5510" t="n">
        <v>0</v>
      </c>
      <c r="J5510" t="n">
        <v>0</v>
      </c>
      <c r="K5510" t="n">
        <v>0</v>
      </c>
      <c r="L5510" t="n">
        <v>0</v>
      </c>
      <c r="M5510" t="n">
        <v>0</v>
      </c>
      <c r="N5510" t="n">
        <v>0</v>
      </c>
      <c r="O5510" t="n">
        <v>0</v>
      </c>
      <c r="P5510" t="n">
        <v>0</v>
      </c>
      <c r="Q5510" t="n">
        <v>0</v>
      </c>
      <c r="R5510" s="2" t="inlineStr"/>
    </row>
    <row r="5511" ht="15" customHeight="1">
      <c r="A5511" t="inlineStr">
        <is>
          <t>A 24306-2024</t>
        </is>
      </c>
      <c r="B5511" s="1" t="n">
        <v>45457</v>
      </c>
      <c r="C5511" s="1" t="n">
        <v>45705</v>
      </c>
      <c r="D5511" t="inlineStr">
        <is>
          <t>UPPSALA LÄN</t>
        </is>
      </c>
      <c r="E5511" t="inlineStr">
        <is>
          <t>ENKÖPING</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24259-2024</t>
        </is>
      </c>
      <c r="B5512" s="1" t="n">
        <v>45457</v>
      </c>
      <c r="C5512" s="1" t="n">
        <v>45705</v>
      </c>
      <c r="D5512" t="inlineStr">
        <is>
          <t>UPPSALA LÄN</t>
        </is>
      </c>
      <c r="E5512" t="inlineStr">
        <is>
          <t>ENKÖPING</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24291-2024</t>
        </is>
      </c>
      <c r="B5513" s="1" t="n">
        <v>45457</v>
      </c>
      <c r="C5513" s="1" t="n">
        <v>45705</v>
      </c>
      <c r="D5513" t="inlineStr">
        <is>
          <t>UPPSALA LÄN</t>
        </is>
      </c>
      <c r="E5513" t="inlineStr">
        <is>
          <t>ENKÖPING</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24411-2024</t>
        </is>
      </c>
      <c r="B5514" s="1" t="n">
        <v>45457</v>
      </c>
      <c r="C5514" s="1" t="n">
        <v>45705</v>
      </c>
      <c r="D5514" t="inlineStr">
        <is>
          <t>UPPSALA LÄN</t>
        </is>
      </c>
      <c r="E5514" t="inlineStr">
        <is>
          <t>ENKÖPING</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24472-2024</t>
        </is>
      </c>
      <c r="B5515" s="1" t="n">
        <v>45458</v>
      </c>
      <c r="C5515" s="1" t="n">
        <v>45705</v>
      </c>
      <c r="D5515" t="inlineStr">
        <is>
          <t>UPPSALA LÄN</t>
        </is>
      </c>
      <c r="E5515" t="inlineStr">
        <is>
          <t>ÖSTHAMMAR</t>
        </is>
      </c>
      <c r="F5515" t="inlineStr">
        <is>
          <t>Bergvik skog öst AB</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24476-2024</t>
        </is>
      </c>
      <c r="B5516" s="1" t="n">
        <v>45458</v>
      </c>
      <c r="C5516" s="1" t="n">
        <v>45705</v>
      </c>
      <c r="D5516" t="inlineStr">
        <is>
          <t>UPPSALA LÄN</t>
        </is>
      </c>
      <c r="E5516" t="inlineStr">
        <is>
          <t>ÖSTHAMMAR</t>
        </is>
      </c>
      <c r="F5516" t="inlineStr">
        <is>
          <t>Bergvik skog öst AB</t>
        </is>
      </c>
      <c r="G5516" t="n">
        <v>7.8</v>
      </c>
      <c r="H5516" t="n">
        <v>0</v>
      </c>
      <c r="I5516" t="n">
        <v>0</v>
      </c>
      <c r="J5516" t="n">
        <v>0</v>
      </c>
      <c r="K5516" t="n">
        <v>0</v>
      </c>
      <c r="L5516" t="n">
        <v>0</v>
      </c>
      <c r="M5516" t="n">
        <v>0</v>
      </c>
      <c r="N5516" t="n">
        <v>0</v>
      </c>
      <c r="O5516" t="n">
        <v>0</v>
      </c>
      <c r="P5516" t="n">
        <v>0</v>
      </c>
      <c r="Q5516" t="n">
        <v>0</v>
      </c>
      <c r="R5516" s="2" t="inlineStr"/>
    </row>
    <row r="5517" ht="15" customHeight="1">
      <c r="A5517" t="inlineStr">
        <is>
          <t>A 24471-2024</t>
        </is>
      </c>
      <c r="B5517" s="1" t="n">
        <v>45458</v>
      </c>
      <c r="C5517" s="1" t="n">
        <v>45705</v>
      </c>
      <c r="D5517" t="inlineStr">
        <is>
          <t>UPPSALA LÄN</t>
        </is>
      </c>
      <c r="E5517" t="inlineStr">
        <is>
          <t>ÖSTHAMMAR</t>
        </is>
      </c>
      <c r="F5517" t="inlineStr">
        <is>
          <t>Bergvik skog öst AB</t>
        </is>
      </c>
      <c r="G5517" t="n">
        <v>22.7</v>
      </c>
      <c r="H5517" t="n">
        <v>0</v>
      </c>
      <c r="I5517" t="n">
        <v>0</v>
      </c>
      <c r="J5517" t="n">
        <v>0</v>
      </c>
      <c r="K5517" t="n">
        <v>0</v>
      </c>
      <c r="L5517" t="n">
        <v>0</v>
      </c>
      <c r="M5517" t="n">
        <v>0</v>
      </c>
      <c r="N5517" t="n">
        <v>0</v>
      </c>
      <c r="O5517" t="n">
        <v>0</v>
      </c>
      <c r="P5517" t="n">
        <v>0</v>
      </c>
      <c r="Q5517" t="n">
        <v>0</v>
      </c>
      <c r="R5517" s="2" t="inlineStr"/>
    </row>
    <row r="5518" ht="15" customHeight="1">
      <c r="A5518" t="inlineStr">
        <is>
          <t>A 24475-2024</t>
        </is>
      </c>
      <c r="B5518" s="1" t="n">
        <v>45458</v>
      </c>
      <c r="C5518" s="1" t="n">
        <v>45705</v>
      </c>
      <c r="D5518" t="inlineStr">
        <is>
          <t>UPPSALA LÄN</t>
        </is>
      </c>
      <c r="E5518" t="inlineStr">
        <is>
          <t>ÖSTHAMMAR</t>
        </is>
      </c>
      <c r="F5518" t="inlineStr">
        <is>
          <t>Bergvik skog öst AB</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24770-2024</t>
        </is>
      </c>
      <c r="B5519" s="1" t="n">
        <v>45460</v>
      </c>
      <c r="C5519" s="1" t="n">
        <v>45705</v>
      </c>
      <c r="D5519" t="inlineStr">
        <is>
          <t>UPPSALA LÄN</t>
        </is>
      </c>
      <c r="E5519" t="inlineStr">
        <is>
          <t>ÖSTHAMMAR</t>
        </is>
      </c>
      <c r="F5519" t="inlineStr">
        <is>
          <t>Bergvik skog öst AB</t>
        </is>
      </c>
      <c r="G5519" t="n">
        <v>5.4</v>
      </c>
      <c r="H5519" t="n">
        <v>0</v>
      </c>
      <c r="I5519" t="n">
        <v>0</v>
      </c>
      <c r="J5519" t="n">
        <v>0</v>
      </c>
      <c r="K5519" t="n">
        <v>0</v>
      </c>
      <c r="L5519" t="n">
        <v>0</v>
      </c>
      <c r="M5519" t="n">
        <v>0</v>
      </c>
      <c r="N5519" t="n">
        <v>0</v>
      </c>
      <c r="O5519" t="n">
        <v>0</v>
      </c>
      <c r="P5519" t="n">
        <v>0</v>
      </c>
      <c r="Q5519" t="n">
        <v>0</v>
      </c>
      <c r="R5519" s="2" t="inlineStr"/>
    </row>
    <row r="5520" ht="15" customHeight="1">
      <c r="A5520" t="inlineStr">
        <is>
          <t>A 24747-2024</t>
        </is>
      </c>
      <c r="B5520" s="1" t="n">
        <v>45460</v>
      </c>
      <c r="C5520" s="1" t="n">
        <v>45705</v>
      </c>
      <c r="D5520" t="inlineStr">
        <is>
          <t>UPPSALA LÄN</t>
        </is>
      </c>
      <c r="E5520" t="inlineStr">
        <is>
          <t>ÖSTHAMMAR</t>
        </is>
      </c>
      <c r="F5520" t="inlineStr">
        <is>
          <t>Bergvik skog öst AB</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24588-2024</t>
        </is>
      </c>
      <c r="B5521" s="1" t="n">
        <v>45460</v>
      </c>
      <c r="C5521" s="1" t="n">
        <v>45705</v>
      </c>
      <c r="D5521" t="inlineStr">
        <is>
          <t>UPPSALA LÄN</t>
        </is>
      </c>
      <c r="E5521" t="inlineStr">
        <is>
          <t>ÖSTHAMMAR</t>
        </is>
      </c>
      <c r="F5521" t="inlineStr">
        <is>
          <t>Bergvik skog öst AB</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24606-2024</t>
        </is>
      </c>
      <c r="B5522" s="1" t="n">
        <v>45460</v>
      </c>
      <c r="C5522" s="1" t="n">
        <v>45705</v>
      </c>
      <c r="D5522" t="inlineStr">
        <is>
          <t>UPPSALA LÄN</t>
        </is>
      </c>
      <c r="E5522" t="inlineStr">
        <is>
          <t>ÖSTHAMMAR</t>
        </is>
      </c>
      <c r="F5522" t="inlineStr">
        <is>
          <t>Bergvik skog öst AB</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24787-2024</t>
        </is>
      </c>
      <c r="B5523" s="1" t="n">
        <v>45460</v>
      </c>
      <c r="C5523" s="1" t="n">
        <v>45705</v>
      </c>
      <c r="D5523" t="inlineStr">
        <is>
          <t>UPPSALA LÄN</t>
        </is>
      </c>
      <c r="E5523" t="inlineStr">
        <is>
          <t>UPPSALA</t>
        </is>
      </c>
      <c r="F5523" t="inlineStr">
        <is>
          <t>Övriga Aktiebolag</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24560-2024</t>
        </is>
      </c>
      <c r="B5524" s="1" t="n">
        <v>45460</v>
      </c>
      <c r="C5524" s="1" t="n">
        <v>45705</v>
      </c>
      <c r="D5524" t="inlineStr">
        <is>
          <t>UPPSALA LÄN</t>
        </is>
      </c>
      <c r="E5524" t="inlineStr">
        <is>
          <t>ÖSTHAMMAR</t>
        </is>
      </c>
      <c r="F5524" t="inlineStr">
        <is>
          <t>Bergvik skog öst AB</t>
        </is>
      </c>
      <c r="G5524" t="n">
        <v>3.8</v>
      </c>
      <c r="H5524" t="n">
        <v>0</v>
      </c>
      <c r="I5524" t="n">
        <v>0</v>
      </c>
      <c r="J5524" t="n">
        <v>0</v>
      </c>
      <c r="K5524" t="n">
        <v>0</v>
      </c>
      <c r="L5524" t="n">
        <v>0</v>
      </c>
      <c r="M5524" t="n">
        <v>0</v>
      </c>
      <c r="N5524" t="n">
        <v>0</v>
      </c>
      <c r="O5524" t="n">
        <v>0</v>
      </c>
      <c r="P5524" t="n">
        <v>0</v>
      </c>
      <c r="Q5524" t="n">
        <v>0</v>
      </c>
      <c r="R5524" s="2" t="inlineStr"/>
    </row>
    <row r="5525" ht="15" customHeight="1">
      <c r="A5525" t="inlineStr">
        <is>
          <t>A 24589-2024</t>
        </is>
      </c>
      <c r="B5525" s="1" t="n">
        <v>45460</v>
      </c>
      <c r="C5525" s="1" t="n">
        <v>45705</v>
      </c>
      <c r="D5525" t="inlineStr">
        <is>
          <t>UPPSALA LÄN</t>
        </is>
      </c>
      <c r="E5525" t="inlineStr">
        <is>
          <t>ÖSTHAMMAR</t>
        </is>
      </c>
      <c r="F5525" t="inlineStr">
        <is>
          <t>Bergvik skog öst AB</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24853-2024</t>
        </is>
      </c>
      <c r="B5526" s="1" t="n">
        <v>45461</v>
      </c>
      <c r="C5526" s="1" t="n">
        <v>45705</v>
      </c>
      <c r="D5526" t="inlineStr">
        <is>
          <t>UPPSALA LÄN</t>
        </is>
      </c>
      <c r="E5526" t="inlineStr">
        <is>
          <t>ÖSTHAMMAR</t>
        </is>
      </c>
      <c r="G5526" t="n">
        <v>5</v>
      </c>
      <c r="H5526" t="n">
        <v>0</v>
      </c>
      <c r="I5526" t="n">
        <v>0</v>
      </c>
      <c r="J5526" t="n">
        <v>0</v>
      </c>
      <c r="K5526" t="n">
        <v>0</v>
      </c>
      <c r="L5526" t="n">
        <v>0</v>
      </c>
      <c r="M5526" t="n">
        <v>0</v>
      </c>
      <c r="N5526" t="n">
        <v>0</v>
      </c>
      <c r="O5526" t="n">
        <v>0</v>
      </c>
      <c r="P5526" t="n">
        <v>0</v>
      </c>
      <c r="Q5526" t="n">
        <v>0</v>
      </c>
      <c r="R5526" s="2" t="inlineStr"/>
    </row>
    <row r="5527" ht="15" customHeight="1">
      <c r="A5527" t="inlineStr">
        <is>
          <t>A 25289-2024</t>
        </is>
      </c>
      <c r="B5527" s="1" t="n">
        <v>45462</v>
      </c>
      <c r="C5527" s="1" t="n">
        <v>45705</v>
      </c>
      <c r="D5527" t="inlineStr">
        <is>
          <t>UPPSALA LÄN</t>
        </is>
      </c>
      <c r="E5527" t="inlineStr">
        <is>
          <t>ÖSTHAMMAR</t>
        </is>
      </c>
      <c r="F5527" t="inlineStr">
        <is>
          <t>Bergvik skog öst AB</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25269-2024</t>
        </is>
      </c>
      <c r="B5528" s="1" t="n">
        <v>45462</v>
      </c>
      <c r="C5528" s="1" t="n">
        <v>45705</v>
      </c>
      <c r="D5528" t="inlineStr">
        <is>
          <t>UPPSALA LÄN</t>
        </is>
      </c>
      <c r="E5528" t="inlineStr">
        <is>
          <t>ÖSTHAMMAR</t>
        </is>
      </c>
      <c r="F5528" t="inlineStr">
        <is>
          <t>Bergvik skog öst AB</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25252-2024</t>
        </is>
      </c>
      <c r="B5529" s="1" t="n">
        <v>45462</v>
      </c>
      <c r="C5529" s="1" t="n">
        <v>45705</v>
      </c>
      <c r="D5529" t="inlineStr">
        <is>
          <t>UPPSALA LÄN</t>
        </is>
      </c>
      <c r="E5529" t="inlineStr">
        <is>
          <t>ÖSTHAMMAR</t>
        </is>
      </c>
      <c r="G5529" t="n">
        <v>4.3</v>
      </c>
      <c r="H5529" t="n">
        <v>0</v>
      </c>
      <c r="I5529" t="n">
        <v>0</v>
      </c>
      <c r="J5529" t="n">
        <v>0</v>
      </c>
      <c r="K5529" t="n">
        <v>0</v>
      </c>
      <c r="L5529" t="n">
        <v>0</v>
      </c>
      <c r="M5529" t="n">
        <v>0</v>
      </c>
      <c r="N5529" t="n">
        <v>0</v>
      </c>
      <c r="O5529" t="n">
        <v>0</v>
      </c>
      <c r="P5529" t="n">
        <v>0</v>
      </c>
      <c r="Q5529" t="n">
        <v>0</v>
      </c>
      <c r="R5529" s="2" t="inlineStr"/>
    </row>
    <row r="5530" ht="15" customHeight="1">
      <c r="A5530" t="inlineStr">
        <is>
          <t>A 25188-2024</t>
        </is>
      </c>
      <c r="B5530" s="1" t="n">
        <v>45462</v>
      </c>
      <c r="C5530" s="1" t="n">
        <v>45705</v>
      </c>
      <c r="D5530" t="inlineStr">
        <is>
          <t>UPPSALA LÄN</t>
        </is>
      </c>
      <c r="E5530" t="inlineStr">
        <is>
          <t>TIERP</t>
        </is>
      </c>
      <c r="F5530" t="inlineStr">
        <is>
          <t>Bergvik skog öst AB</t>
        </is>
      </c>
      <c r="G5530" t="n">
        <v>5.7</v>
      </c>
      <c r="H5530" t="n">
        <v>0</v>
      </c>
      <c r="I5530" t="n">
        <v>0</v>
      </c>
      <c r="J5530" t="n">
        <v>0</v>
      </c>
      <c r="K5530" t="n">
        <v>0</v>
      </c>
      <c r="L5530" t="n">
        <v>0</v>
      </c>
      <c r="M5530" t="n">
        <v>0</v>
      </c>
      <c r="N5530" t="n">
        <v>0</v>
      </c>
      <c r="O5530" t="n">
        <v>0</v>
      </c>
      <c r="P5530" t="n">
        <v>0</v>
      </c>
      <c r="Q5530" t="n">
        <v>0</v>
      </c>
      <c r="R5530" s="2" t="inlineStr"/>
    </row>
    <row r="5531" ht="15" customHeight="1">
      <c r="A5531" t="inlineStr">
        <is>
          <t>A 25607-2024</t>
        </is>
      </c>
      <c r="B5531" s="1" t="n">
        <v>45463</v>
      </c>
      <c r="C5531" s="1" t="n">
        <v>45705</v>
      </c>
      <c r="D5531" t="inlineStr">
        <is>
          <t>UPPSALA LÄN</t>
        </is>
      </c>
      <c r="E5531" t="inlineStr">
        <is>
          <t>ENKÖPING</t>
        </is>
      </c>
      <c r="G5531" t="n">
        <v>6.3</v>
      </c>
      <c r="H5531" t="n">
        <v>0</v>
      </c>
      <c r="I5531" t="n">
        <v>0</v>
      </c>
      <c r="J5531" t="n">
        <v>0</v>
      </c>
      <c r="K5531" t="n">
        <v>0</v>
      </c>
      <c r="L5531" t="n">
        <v>0</v>
      </c>
      <c r="M5531" t="n">
        <v>0</v>
      </c>
      <c r="N5531" t="n">
        <v>0</v>
      </c>
      <c r="O5531" t="n">
        <v>0</v>
      </c>
      <c r="P5531" t="n">
        <v>0</v>
      </c>
      <c r="Q5531" t="n">
        <v>0</v>
      </c>
      <c r="R5531" s="2" t="inlineStr"/>
    </row>
    <row r="5532" ht="15" customHeight="1">
      <c r="A5532" t="inlineStr">
        <is>
          <t>A 25595-2024</t>
        </is>
      </c>
      <c r="B5532" s="1" t="n">
        <v>45463</v>
      </c>
      <c r="C5532" s="1" t="n">
        <v>45705</v>
      </c>
      <c r="D5532" t="inlineStr">
        <is>
          <t>UPPSALA LÄN</t>
        </is>
      </c>
      <c r="E5532" t="inlineStr">
        <is>
          <t>ENKÖPING</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25539-2024</t>
        </is>
      </c>
      <c r="B5533" s="1" t="n">
        <v>45463</v>
      </c>
      <c r="C5533" s="1" t="n">
        <v>45705</v>
      </c>
      <c r="D5533" t="inlineStr">
        <is>
          <t>UPPSALA LÄN</t>
        </is>
      </c>
      <c r="E5533" t="inlineStr">
        <is>
          <t>UPPSALA</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25601-2024</t>
        </is>
      </c>
      <c r="B5534" s="1" t="n">
        <v>45463</v>
      </c>
      <c r="C5534" s="1" t="n">
        <v>45705</v>
      </c>
      <c r="D5534" t="inlineStr">
        <is>
          <t>UPPSALA LÄN</t>
        </is>
      </c>
      <c r="E5534" t="inlineStr">
        <is>
          <t>ENKÖPING</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25537-2024</t>
        </is>
      </c>
      <c r="B5535" s="1" t="n">
        <v>45463</v>
      </c>
      <c r="C5535" s="1" t="n">
        <v>45705</v>
      </c>
      <c r="D5535" t="inlineStr">
        <is>
          <t>UPPSALA LÄN</t>
        </is>
      </c>
      <c r="E5535" t="inlineStr">
        <is>
          <t>UPPSALA</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25536-2024</t>
        </is>
      </c>
      <c r="B5536" s="1" t="n">
        <v>45463</v>
      </c>
      <c r="C5536" s="1" t="n">
        <v>45705</v>
      </c>
      <c r="D5536" t="inlineStr">
        <is>
          <t>UPPSALA LÄN</t>
        </is>
      </c>
      <c r="E5536" t="inlineStr">
        <is>
          <t>UPPSALA</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25487-2024</t>
        </is>
      </c>
      <c r="B5537" s="1" t="n">
        <v>45463</v>
      </c>
      <c r="C5537" s="1" t="n">
        <v>45705</v>
      </c>
      <c r="D5537" t="inlineStr">
        <is>
          <t>UPPSALA LÄN</t>
        </is>
      </c>
      <c r="E5537" t="inlineStr">
        <is>
          <t>UPPSALA</t>
        </is>
      </c>
      <c r="F5537" t="inlineStr">
        <is>
          <t>Övriga Aktiebolag</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25403-2024</t>
        </is>
      </c>
      <c r="B5538" s="1" t="n">
        <v>45463</v>
      </c>
      <c r="C5538" s="1" t="n">
        <v>45705</v>
      </c>
      <c r="D5538" t="inlineStr">
        <is>
          <t>UPPSALA LÄN</t>
        </is>
      </c>
      <c r="E5538" t="inlineStr">
        <is>
          <t>UPPSALA</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25490-2024</t>
        </is>
      </c>
      <c r="B5539" s="1" t="n">
        <v>45463</v>
      </c>
      <c r="C5539" s="1" t="n">
        <v>45705</v>
      </c>
      <c r="D5539" t="inlineStr">
        <is>
          <t>UPPSALA LÄN</t>
        </is>
      </c>
      <c r="E5539" t="inlineStr">
        <is>
          <t>UPPSALA</t>
        </is>
      </c>
      <c r="F5539" t="inlineStr">
        <is>
          <t>Övriga Aktiebolag</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25772-2024</t>
        </is>
      </c>
      <c r="B5540" s="1" t="n">
        <v>45466</v>
      </c>
      <c r="C5540" s="1" t="n">
        <v>45705</v>
      </c>
      <c r="D5540" t="inlineStr">
        <is>
          <t>UPPSALA LÄN</t>
        </is>
      </c>
      <c r="E5540" t="inlineStr">
        <is>
          <t>ÖSTHAMMAR</t>
        </is>
      </c>
      <c r="F5540" t="inlineStr">
        <is>
          <t>Bergvik skog öst AB</t>
        </is>
      </c>
      <c r="G5540" t="n">
        <v>4.2</v>
      </c>
      <c r="H5540" t="n">
        <v>0</v>
      </c>
      <c r="I5540" t="n">
        <v>0</v>
      </c>
      <c r="J5540" t="n">
        <v>0</v>
      </c>
      <c r="K5540" t="n">
        <v>0</v>
      </c>
      <c r="L5540" t="n">
        <v>0</v>
      </c>
      <c r="M5540" t="n">
        <v>0</v>
      </c>
      <c r="N5540" t="n">
        <v>0</v>
      </c>
      <c r="O5540" t="n">
        <v>0</v>
      </c>
      <c r="P5540" t="n">
        <v>0</v>
      </c>
      <c r="Q5540" t="n">
        <v>0</v>
      </c>
      <c r="R5540" s="2" t="inlineStr"/>
    </row>
    <row r="5541" ht="15" customHeight="1">
      <c r="A5541" t="inlineStr">
        <is>
          <t>A 25770-2024</t>
        </is>
      </c>
      <c r="B5541" s="1" t="n">
        <v>45466</v>
      </c>
      <c r="C5541" s="1" t="n">
        <v>45705</v>
      </c>
      <c r="D5541" t="inlineStr">
        <is>
          <t>UPPSALA LÄN</t>
        </is>
      </c>
      <c r="E5541" t="inlineStr">
        <is>
          <t>ÖSTHAMMAR</t>
        </is>
      </c>
      <c r="F5541" t="inlineStr">
        <is>
          <t>Bergvik skog öst AB</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25771-2024</t>
        </is>
      </c>
      <c r="B5542" s="1" t="n">
        <v>45466</v>
      </c>
      <c r="C5542" s="1" t="n">
        <v>45705</v>
      </c>
      <c r="D5542" t="inlineStr">
        <is>
          <t>UPPSALA LÄN</t>
        </is>
      </c>
      <c r="E5542" t="inlineStr">
        <is>
          <t>ÖSTHAMMAR</t>
        </is>
      </c>
      <c r="F5542" t="inlineStr">
        <is>
          <t>Bergvik skog öst AB</t>
        </is>
      </c>
      <c r="G5542" t="n">
        <v>3.3</v>
      </c>
      <c r="H5542" t="n">
        <v>0</v>
      </c>
      <c r="I5542" t="n">
        <v>0</v>
      </c>
      <c r="J5542" t="n">
        <v>0</v>
      </c>
      <c r="K5542" t="n">
        <v>0</v>
      </c>
      <c r="L5542" t="n">
        <v>0</v>
      </c>
      <c r="M5542" t="n">
        <v>0</v>
      </c>
      <c r="N5542" t="n">
        <v>0</v>
      </c>
      <c r="O5542" t="n">
        <v>0</v>
      </c>
      <c r="P5542" t="n">
        <v>0</v>
      </c>
      <c r="Q5542" t="n">
        <v>0</v>
      </c>
      <c r="R5542" s="2" t="inlineStr"/>
    </row>
    <row r="5543" ht="15" customHeight="1">
      <c r="A5543" t="inlineStr">
        <is>
          <t>A 25930-2024</t>
        </is>
      </c>
      <c r="B5543" s="1" t="n">
        <v>45467</v>
      </c>
      <c r="C5543" s="1" t="n">
        <v>45705</v>
      </c>
      <c r="D5543" t="inlineStr">
        <is>
          <t>UPPSALA LÄN</t>
        </is>
      </c>
      <c r="E5543" t="inlineStr">
        <is>
          <t>ENKÖPING</t>
        </is>
      </c>
      <c r="G5543" t="n">
        <v>5.7</v>
      </c>
      <c r="H5543" t="n">
        <v>0</v>
      </c>
      <c r="I5543" t="n">
        <v>0</v>
      </c>
      <c r="J5543" t="n">
        <v>0</v>
      </c>
      <c r="K5543" t="n">
        <v>0</v>
      </c>
      <c r="L5543" t="n">
        <v>0</v>
      </c>
      <c r="M5543" t="n">
        <v>0</v>
      </c>
      <c r="N5543" t="n">
        <v>0</v>
      </c>
      <c r="O5543" t="n">
        <v>0</v>
      </c>
      <c r="P5543" t="n">
        <v>0</v>
      </c>
      <c r="Q5543" t="n">
        <v>0</v>
      </c>
      <c r="R5543" s="2" t="inlineStr"/>
    </row>
    <row r="5544" ht="15" customHeight="1">
      <c r="A5544" t="inlineStr">
        <is>
          <t>A 25938-2024</t>
        </is>
      </c>
      <c r="B5544" s="1" t="n">
        <v>45467</v>
      </c>
      <c r="C5544" s="1" t="n">
        <v>45705</v>
      </c>
      <c r="D5544" t="inlineStr">
        <is>
          <t>UPPSALA LÄN</t>
        </is>
      </c>
      <c r="E5544" t="inlineStr">
        <is>
          <t>ÖSTHAMMAR</t>
        </is>
      </c>
      <c r="F5544" t="inlineStr">
        <is>
          <t>Bergvik skog öst AB</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25859-2024</t>
        </is>
      </c>
      <c r="B5545" s="1" t="n">
        <v>45467</v>
      </c>
      <c r="C5545" s="1" t="n">
        <v>45705</v>
      </c>
      <c r="D5545" t="inlineStr">
        <is>
          <t>UPPSALA LÄN</t>
        </is>
      </c>
      <c r="E5545" t="inlineStr">
        <is>
          <t>ÖSTHAMMAR</t>
        </is>
      </c>
      <c r="G5545" t="n">
        <v>7.9</v>
      </c>
      <c r="H5545" t="n">
        <v>0</v>
      </c>
      <c r="I5545" t="n">
        <v>0</v>
      </c>
      <c r="J5545" t="n">
        <v>0</v>
      </c>
      <c r="K5545" t="n">
        <v>0</v>
      </c>
      <c r="L5545" t="n">
        <v>0</v>
      </c>
      <c r="M5545" t="n">
        <v>0</v>
      </c>
      <c r="N5545" t="n">
        <v>0</v>
      </c>
      <c r="O5545" t="n">
        <v>0</v>
      </c>
      <c r="P5545" t="n">
        <v>0</v>
      </c>
      <c r="Q5545" t="n">
        <v>0</v>
      </c>
      <c r="R5545" s="2" t="inlineStr"/>
    </row>
    <row r="5546" ht="15" customHeight="1">
      <c r="A5546" t="inlineStr">
        <is>
          <t>A 25953-2024</t>
        </is>
      </c>
      <c r="B5546" s="1" t="n">
        <v>45467</v>
      </c>
      <c r="C5546" s="1" t="n">
        <v>45705</v>
      </c>
      <c r="D5546" t="inlineStr">
        <is>
          <t>UPPSALA LÄN</t>
        </is>
      </c>
      <c r="E5546" t="inlineStr">
        <is>
          <t>ÖSTHAMMAR</t>
        </is>
      </c>
      <c r="F5546" t="inlineStr">
        <is>
          <t>Bergvik skog öst AB</t>
        </is>
      </c>
      <c r="G5546" t="n">
        <v>3.4</v>
      </c>
      <c r="H5546" t="n">
        <v>0</v>
      </c>
      <c r="I5546" t="n">
        <v>0</v>
      </c>
      <c r="J5546" t="n">
        <v>0</v>
      </c>
      <c r="K5546" t="n">
        <v>0</v>
      </c>
      <c r="L5546" t="n">
        <v>0</v>
      </c>
      <c r="M5546" t="n">
        <v>0</v>
      </c>
      <c r="N5546" t="n">
        <v>0</v>
      </c>
      <c r="O5546" t="n">
        <v>0</v>
      </c>
      <c r="P5546" t="n">
        <v>0</v>
      </c>
      <c r="Q5546" t="n">
        <v>0</v>
      </c>
      <c r="R5546" s="2" t="inlineStr"/>
    </row>
    <row r="5547" ht="15" customHeight="1">
      <c r="A5547" t="inlineStr">
        <is>
          <t>A 26303-2024</t>
        </is>
      </c>
      <c r="B5547" s="1" t="n">
        <v>45468</v>
      </c>
      <c r="C5547" s="1" t="n">
        <v>45705</v>
      </c>
      <c r="D5547" t="inlineStr">
        <is>
          <t>UPPSALA LÄN</t>
        </is>
      </c>
      <c r="E5547" t="inlineStr">
        <is>
          <t>ÖSTHAMMAR</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26242-2024</t>
        </is>
      </c>
      <c r="B5548" s="1" t="n">
        <v>45468</v>
      </c>
      <c r="C5548" s="1" t="n">
        <v>45705</v>
      </c>
      <c r="D5548" t="inlineStr">
        <is>
          <t>UPPSALA LÄN</t>
        </is>
      </c>
      <c r="E5548" t="inlineStr">
        <is>
          <t>TIERP</t>
        </is>
      </c>
      <c r="F5548" t="inlineStr">
        <is>
          <t>Bergvik skog öst AB</t>
        </is>
      </c>
      <c r="G5548" t="n">
        <v>5.4</v>
      </c>
      <c r="H5548" t="n">
        <v>0</v>
      </c>
      <c r="I5548" t="n">
        <v>0</v>
      </c>
      <c r="J5548" t="n">
        <v>0</v>
      </c>
      <c r="K5548" t="n">
        <v>0</v>
      </c>
      <c r="L5548" t="n">
        <v>0</v>
      </c>
      <c r="M5548" t="n">
        <v>0</v>
      </c>
      <c r="N5548" t="n">
        <v>0</v>
      </c>
      <c r="O5548" t="n">
        <v>0</v>
      </c>
      <c r="P5548" t="n">
        <v>0</v>
      </c>
      <c r="Q5548" t="n">
        <v>0</v>
      </c>
      <c r="R5548" s="2" t="inlineStr"/>
    </row>
    <row r="5549" ht="15" customHeight="1">
      <c r="A5549" t="inlineStr">
        <is>
          <t>A 26305-2024</t>
        </is>
      </c>
      <c r="B5549" s="1" t="n">
        <v>45468</v>
      </c>
      <c r="C5549" s="1" t="n">
        <v>45705</v>
      </c>
      <c r="D5549" t="inlineStr">
        <is>
          <t>UPPSALA LÄN</t>
        </is>
      </c>
      <c r="E5549" t="inlineStr">
        <is>
          <t>ÖSTHAMMAR</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26072-2024</t>
        </is>
      </c>
      <c r="B5550" s="1" t="n">
        <v>45468</v>
      </c>
      <c r="C5550" s="1" t="n">
        <v>45705</v>
      </c>
      <c r="D5550" t="inlineStr">
        <is>
          <t>UPPSALA LÄN</t>
        </is>
      </c>
      <c r="E5550" t="inlineStr">
        <is>
          <t>HEBY</t>
        </is>
      </c>
      <c r="F5550" t="inlineStr">
        <is>
          <t>Kyrkan</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26272-2024</t>
        </is>
      </c>
      <c r="B5551" s="1" t="n">
        <v>45468</v>
      </c>
      <c r="C5551" s="1" t="n">
        <v>45705</v>
      </c>
      <c r="D5551" t="inlineStr">
        <is>
          <t>UPPSALA LÄN</t>
        </is>
      </c>
      <c r="E5551" t="inlineStr">
        <is>
          <t>ÖSTHAMMAR</t>
        </is>
      </c>
      <c r="G5551" t="n">
        <v>11.7</v>
      </c>
      <c r="H5551" t="n">
        <v>0</v>
      </c>
      <c r="I5551" t="n">
        <v>0</v>
      </c>
      <c r="J5551" t="n">
        <v>0</v>
      </c>
      <c r="K5551" t="n">
        <v>0</v>
      </c>
      <c r="L5551" t="n">
        <v>0</v>
      </c>
      <c r="M5551" t="n">
        <v>0</v>
      </c>
      <c r="N5551" t="n">
        <v>0</v>
      </c>
      <c r="O5551" t="n">
        <v>0</v>
      </c>
      <c r="P5551" t="n">
        <v>0</v>
      </c>
      <c r="Q5551" t="n">
        <v>0</v>
      </c>
      <c r="R5551" s="2" t="inlineStr"/>
    </row>
    <row r="5552" ht="15" customHeight="1">
      <c r="A5552" t="inlineStr">
        <is>
          <t>A 26192-2024</t>
        </is>
      </c>
      <c r="B5552" s="1" t="n">
        <v>45468</v>
      </c>
      <c r="C5552" s="1" t="n">
        <v>45705</v>
      </c>
      <c r="D5552" t="inlineStr">
        <is>
          <t>UPPSALA LÄN</t>
        </is>
      </c>
      <c r="E5552" t="inlineStr">
        <is>
          <t>TIERP</t>
        </is>
      </c>
      <c r="F5552" t="inlineStr">
        <is>
          <t>Bergvik skog öst AB</t>
        </is>
      </c>
      <c r="G5552" t="n">
        <v>19.3</v>
      </c>
      <c r="H5552" t="n">
        <v>0</v>
      </c>
      <c r="I5552" t="n">
        <v>0</v>
      </c>
      <c r="J5552" t="n">
        <v>0</v>
      </c>
      <c r="K5552" t="n">
        <v>0</v>
      </c>
      <c r="L5552" t="n">
        <v>0</v>
      </c>
      <c r="M5552" t="n">
        <v>0</v>
      </c>
      <c r="N5552" t="n">
        <v>0</v>
      </c>
      <c r="O5552" t="n">
        <v>0</v>
      </c>
      <c r="P5552" t="n">
        <v>0</v>
      </c>
      <c r="Q5552" t="n">
        <v>0</v>
      </c>
      <c r="R5552" s="2" t="inlineStr"/>
    </row>
    <row r="5553" ht="15" customHeight="1">
      <c r="A5553" t="inlineStr">
        <is>
          <t>A 26099-2024</t>
        </is>
      </c>
      <c r="B5553" s="1" t="n">
        <v>45468</v>
      </c>
      <c r="C5553" s="1" t="n">
        <v>45705</v>
      </c>
      <c r="D5553" t="inlineStr">
        <is>
          <t>UPPSALA LÄN</t>
        </is>
      </c>
      <c r="E5553" t="inlineStr">
        <is>
          <t>UPPSALA</t>
        </is>
      </c>
      <c r="G5553" t="n">
        <v>0.3</v>
      </c>
      <c r="H5553" t="n">
        <v>0</v>
      </c>
      <c r="I5553" t="n">
        <v>0</v>
      </c>
      <c r="J5553" t="n">
        <v>0</v>
      </c>
      <c r="K5553" t="n">
        <v>0</v>
      </c>
      <c r="L5553" t="n">
        <v>0</v>
      </c>
      <c r="M5553" t="n">
        <v>0</v>
      </c>
      <c r="N5553" t="n">
        <v>0</v>
      </c>
      <c r="O5553" t="n">
        <v>0</v>
      </c>
      <c r="P5553" t="n">
        <v>0</v>
      </c>
      <c r="Q5553" t="n">
        <v>0</v>
      </c>
      <c r="R5553" s="2" t="inlineStr"/>
    </row>
    <row r="5554" ht="15" customHeight="1">
      <c r="A5554" t="inlineStr">
        <is>
          <t>A 26045-2024</t>
        </is>
      </c>
      <c r="B5554" s="1" t="n">
        <v>45468</v>
      </c>
      <c r="C5554" s="1" t="n">
        <v>45705</v>
      </c>
      <c r="D5554" t="inlineStr">
        <is>
          <t>UPPSALA LÄN</t>
        </is>
      </c>
      <c r="E5554" t="inlineStr">
        <is>
          <t>HEBY</t>
        </is>
      </c>
      <c r="F5554" t="inlineStr">
        <is>
          <t>Kyrkan</t>
        </is>
      </c>
      <c r="G5554" t="n">
        <v>13.2</v>
      </c>
      <c r="H5554" t="n">
        <v>0</v>
      </c>
      <c r="I5554" t="n">
        <v>0</v>
      </c>
      <c r="J5554" t="n">
        <v>0</v>
      </c>
      <c r="K5554" t="n">
        <v>0</v>
      </c>
      <c r="L5554" t="n">
        <v>0</v>
      </c>
      <c r="M5554" t="n">
        <v>0</v>
      </c>
      <c r="N5554" t="n">
        <v>0</v>
      </c>
      <c r="O5554" t="n">
        <v>0</v>
      </c>
      <c r="P5554" t="n">
        <v>0</v>
      </c>
      <c r="Q5554" t="n">
        <v>0</v>
      </c>
      <c r="R5554" s="2" t="inlineStr"/>
    </row>
    <row r="5555" ht="15" customHeight="1">
      <c r="A5555" t="inlineStr">
        <is>
          <t>A 26404-2024</t>
        </is>
      </c>
      <c r="B5555" s="1" t="n">
        <v>45469</v>
      </c>
      <c r="C5555" s="1" t="n">
        <v>45705</v>
      </c>
      <c r="D5555" t="inlineStr">
        <is>
          <t>UPPSALA LÄN</t>
        </is>
      </c>
      <c r="E5555" t="inlineStr">
        <is>
          <t>TIERP</t>
        </is>
      </c>
      <c r="G5555" t="n">
        <v>3.4</v>
      </c>
      <c r="H5555" t="n">
        <v>0</v>
      </c>
      <c r="I5555" t="n">
        <v>0</v>
      </c>
      <c r="J5555" t="n">
        <v>0</v>
      </c>
      <c r="K5555" t="n">
        <v>0</v>
      </c>
      <c r="L5555" t="n">
        <v>0</v>
      </c>
      <c r="M5555" t="n">
        <v>0</v>
      </c>
      <c r="N5555" t="n">
        <v>0</v>
      </c>
      <c r="O5555" t="n">
        <v>0</v>
      </c>
      <c r="P5555" t="n">
        <v>0</v>
      </c>
      <c r="Q5555" t="n">
        <v>0</v>
      </c>
      <c r="R5555" s="2" t="inlineStr"/>
    </row>
    <row r="5556" ht="15" customHeight="1">
      <c r="A5556" t="inlineStr">
        <is>
          <t>A 26458-2024</t>
        </is>
      </c>
      <c r="B5556" s="1" t="n">
        <v>45469</v>
      </c>
      <c r="C5556" s="1" t="n">
        <v>45705</v>
      </c>
      <c r="D5556" t="inlineStr">
        <is>
          <t>UPPSALA LÄN</t>
        </is>
      </c>
      <c r="E5556" t="inlineStr">
        <is>
          <t>TIERP</t>
        </is>
      </c>
      <c r="F5556" t="inlineStr">
        <is>
          <t>Bergvik skog väst AB</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26462-2024</t>
        </is>
      </c>
      <c r="B5557" s="1" t="n">
        <v>45469</v>
      </c>
      <c r="C5557" s="1" t="n">
        <v>45705</v>
      </c>
      <c r="D5557" t="inlineStr">
        <is>
          <t>UPPSALA LÄN</t>
        </is>
      </c>
      <c r="E5557" t="inlineStr">
        <is>
          <t>TIERP</t>
        </is>
      </c>
      <c r="F5557" t="inlineStr">
        <is>
          <t>Bergvik skog väst AB</t>
        </is>
      </c>
      <c r="G5557" t="n">
        <v>7</v>
      </c>
      <c r="H5557" t="n">
        <v>0</v>
      </c>
      <c r="I5557" t="n">
        <v>0</v>
      </c>
      <c r="J5557" t="n">
        <v>0</v>
      </c>
      <c r="K5557" t="n">
        <v>0</v>
      </c>
      <c r="L5557" t="n">
        <v>0</v>
      </c>
      <c r="M5557" t="n">
        <v>0</v>
      </c>
      <c r="N5557" t="n">
        <v>0</v>
      </c>
      <c r="O5557" t="n">
        <v>0</v>
      </c>
      <c r="P5557" t="n">
        <v>0</v>
      </c>
      <c r="Q5557" t="n">
        <v>0</v>
      </c>
      <c r="R5557" s="2" t="inlineStr"/>
    </row>
    <row r="5558" ht="15" customHeight="1">
      <c r="A5558" t="inlineStr">
        <is>
          <t>A 26426-2024</t>
        </is>
      </c>
      <c r="B5558" s="1" t="n">
        <v>45469</v>
      </c>
      <c r="C5558" s="1" t="n">
        <v>45705</v>
      </c>
      <c r="D5558" t="inlineStr">
        <is>
          <t>UPPSALA LÄN</t>
        </is>
      </c>
      <c r="E5558" t="inlineStr">
        <is>
          <t>ÖSTHAMMAR</t>
        </is>
      </c>
      <c r="F5558" t="inlineStr">
        <is>
          <t>Bergvik skog öst AB</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26455-2024</t>
        </is>
      </c>
      <c r="B5559" s="1" t="n">
        <v>45469</v>
      </c>
      <c r="C5559" s="1" t="n">
        <v>45705</v>
      </c>
      <c r="D5559" t="inlineStr">
        <is>
          <t>UPPSALA LÄN</t>
        </is>
      </c>
      <c r="E5559" t="inlineStr">
        <is>
          <t>TIERP</t>
        </is>
      </c>
      <c r="F5559" t="inlineStr">
        <is>
          <t>Bergvik skog väst AB</t>
        </is>
      </c>
      <c r="G5559" t="n">
        <v>3.8</v>
      </c>
      <c r="H5559" t="n">
        <v>0</v>
      </c>
      <c r="I5559" t="n">
        <v>0</v>
      </c>
      <c r="J5559" t="n">
        <v>0</v>
      </c>
      <c r="K5559" t="n">
        <v>0</v>
      </c>
      <c r="L5559" t="n">
        <v>0</v>
      </c>
      <c r="M5559" t="n">
        <v>0</v>
      </c>
      <c r="N5559" t="n">
        <v>0</v>
      </c>
      <c r="O5559" t="n">
        <v>0</v>
      </c>
      <c r="P5559" t="n">
        <v>0</v>
      </c>
      <c r="Q5559" t="n">
        <v>0</v>
      </c>
      <c r="R5559" s="2" t="inlineStr"/>
    </row>
    <row r="5560" ht="15" customHeight="1">
      <c r="A5560" t="inlineStr">
        <is>
          <t>A 26436-2024</t>
        </is>
      </c>
      <c r="B5560" s="1" t="n">
        <v>45469</v>
      </c>
      <c r="C5560" s="1" t="n">
        <v>45705</v>
      </c>
      <c r="D5560" t="inlineStr">
        <is>
          <t>UPPSALA LÄN</t>
        </is>
      </c>
      <c r="E5560" t="inlineStr">
        <is>
          <t>ÖSTHAMMAR</t>
        </is>
      </c>
      <c r="F5560" t="inlineStr">
        <is>
          <t>Kyrkan</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26427-2024</t>
        </is>
      </c>
      <c r="B5561" s="1" t="n">
        <v>45469</v>
      </c>
      <c r="C5561" s="1" t="n">
        <v>45705</v>
      </c>
      <c r="D5561" t="inlineStr">
        <is>
          <t>UPPSALA LÄN</t>
        </is>
      </c>
      <c r="E5561" t="inlineStr">
        <is>
          <t>TIERP</t>
        </is>
      </c>
      <c r="F5561" t="inlineStr">
        <is>
          <t>Bergvik skog väst AB</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26419-2024</t>
        </is>
      </c>
      <c r="B5562" s="1" t="n">
        <v>45469</v>
      </c>
      <c r="C5562" s="1" t="n">
        <v>45705</v>
      </c>
      <c r="D5562" t="inlineStr">
        <is>
          <t>UPPSALA LÄN</t>
        </is>
      </c>
      <c r="E5562" t="inlineStr">
        <is>
          <t>HEBY</t>
        </is>
      </c>
      <c r="G5562" t="n">
        <v>3.7</v>
      </c>
      <c r="H5562" t="n">
        <v>0</v>
      </c>
      <c r="I5562" t="n">
        <v>0</v>
      </c>
      <c r="J5562" t="n">
        <v>0</v>
      </c>
      <c r="K5562" t="n">
        <v>0</v>
      </c>
      <c r="L5562" t="n">
        <v>0</v>
      </c>
      <c r="M5562" t="n">
        <v>0</v>
      </c>
      <c r="N5562" t="n">
        <v>0</v>
      </c>
      <c r="O5562" t="n">
        <v>0</v>
      </c>
      <c r="P5562" t="n">
        <v>0</v>
      </c>
      <c r="Q5562" t="n">
        <v>0</v>
      </c>
      <c r="R5562" s="2" t="inlineStr"/>
    </row>
    <row r="5563" ht="15" customHeight="1">
      <c r="A5563" t="inlineStr">
        <is>
          <t>A 26398-2024</t>
        </is>
      </c>
      <c r="B5563" s="1" t="n">
        <v>45469</v>
      </c>
      <c r="C5563" s="1" t="n">
        <v>45705</v>
      </c>
      <c r="D5563" t="inlineStr">
        <is>
          <t>UPPSALA LÄN</t>
        </is>
      </c>
      <c r="E5563" t="inlineStr">
        <is>
          <t>TIERP</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26528-2024</t>
        </is>
      </c>
      <c r="B5564" s="1" t="n">
        <v>45469</v>
      </c>
      <c r="C5564" s="1" t="n">
        <v>45705</v>
      </c>
      <c r="D5564" t="inlineStr">
        <is>
          <t>UPPSALA LÄN</t>
        </is>
      </c>
      <c r="E5564" t="inlineStr">
        <is>
          <t>TIERP</t>
        </is>
      </c>
      <c r="F5564" t="inlineStr">
        <is>
          <t>Bergvik skog väst AB</t>
        </is>
      </c>
      <c r="G5564" t="n">
        <v>10.3</v>
      </c>
      <c r="H5564" t="n">
        <v>0</v>
      </c>
      <c r="I5564" t="n">
        <v>0</v>
      </c>
      <c r="J5564" t="n">
        <v>0</v>
      </c>
      <c r="K5564" t="n">
        <v>0</v>
      </c>
      <c r="L5564" t="n">
        <v>0</v>
      </c>
      <c r="M5564" t="n">
        <v>0</v>
      </c>
      <c r="N5564" t="n">
        <v>0</v>
      </c>
      <c r="O5564" t="n">
        <v>0</v>
      </c>
      <c r="P5564" t="n">
        <v>0</v>
      </c>
      <c r="Q5564" t="n">
        <v>0</v>
      </c>
      <c r="R5564" s="2" t="inlineStr"/>
    </row>
    <row r="5565" ht="15" customHeight="1">
      <c r="A5565" t="inlineStr">
        <is>
          <t>A 26596-2024</t>
        </is>
      </c>
      <c r="B5565" s="1" t="n">
        <v>45469</v>
      </c>
      <c r="C5565" s="1" t="n">
        <v>45705</v>
      </c>
      <c r="D5565" t="inlineStr">
        <is>
          <t>UPPSALA LÄN</t>
        </is>
      </c>
      <c r="E5565" t="inlineStr">
        <is>
          <t>HEBY</t>
        </is>
      </c>
      <c r="G5565" t="n">
        <v>5.1</v>
      </c>
      <c r="H5565" t="n">
        <v>0</v>
      </c>
      <c r="I5565" t="n">
        <v>0</v>
      </c>
      <c r="J5565" t="n">
        <v>0</v>
      </c>
      <c r="K5565" t="n">
        <v>0</v>
      </c>
      <c r="L5565" t="n">
        <v>0</v>
      </c>
      <c r="M5565" t="n">
        <v>0</v>
      </c>
      <c r="N5565" t="n">
        <v>0</v>
      </c>
      <c r="O5565" t="n">
        <v>0</v>
      </c>
      <c r="P5565" t="n">
        <v>0</v>
      </c>
      <c r="Q5565" t="n">
        <v>0</v>
      </c>
      <c r="R5565" s="2" t="inlineStr"/>
    </row>
    <row r="5566" ht="15" customHeight="1">
      <c r="A5566" t="inlineStr">
        <is>
          <t>A 26771-2024</t>
        </is>
      </c>
      <c r="B5566" s="1" t="n">
        <v>45470</v>
      </c>
      <c r="C5566" s="1" t="n">
        <v>45705</v>
      </c>
      <c r="D5566" t="inlineStr">
        <is>
          <t>UPPSALA LÄN</t>
        </is>
      </c>
      <c r="E5566" t="inlineStr">
        <is>
          <t>TIERP</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26884-2024</t>
        </is>
      </c>
      <c r="B5567" s="1" t="n">
        <v>45470</v>
      </c>
      <c r="C5567" s="1" t="n">
        <v>45705</v>
      </c>
      <c r="D5567" t="inlineStr">
        <is>
          <t>UPPSALA LÄN</t>
        </is>
      </c>
      <c r="E5567" t="inlineStr">
        <is>
          <t>TIERP</t>
        </is>
      </c>
      <c r="G5567" t="n">
        <v>4.5</v>
      </c>
      <c r="H5567" t="n">
        <v>0</v>
      </c>
      <c r="I5567" t="n">
        <v>0</v>
      </c>
      <c r="J5567" t="n">
        <v>0</v>
      </c>
      <c r="K5567" t="n">
        <v>0</v>
      </c>
      <c r="L5567" t="n">
        <v>0</v>
      </c>
      <c r="M5567" t="n">
        <v>0</v>
      </c>
      <c r="N5567" t="n">
        <v>0</v>
      </c>
      <c r="O5567" t="n">
        <v>0</v>
      </c>
      <c r="P5567" t="n">
        <v>0</v>
      </c>
      <c r="Q5567" t="n">
        <v>0</v>
      </c>
      <c r="R5567" s="2" t="inlineStr"/>
    </row>
    <row r="5568" ht="15" customHeight="1">
      <c r="A5568" t="inlineStr">
        <is>
          <t>A 26683-2024</t>
        </is>
      </c>
      <c r="B5568" s="1" t="n">
        <v>45470</v>
      </c>
      <c r="C5568" s="1" t="n">
        <v>45705</v>
      </c>
      <c r="D5568" t="inlineStr">
        <is>
          <t>UPPSALA LÄN</t>
        </is>
      </c>
      <c r="E5568" t="inlineStr">
        <is>
          <t>HEBY</t>
        </is>
      </c>
      <c r="G5568" t="n">
        <v>3.3</v>
      </c>
      <c r="H5568" t="n">
        <v>0</v>
      </c>
      <c r="I5568" t="n">
        <v>0</v>
      </c>
      <c r="J5568" t="n">
        <v>0</v>
      </c>
      <c r="K5568" t="n">
        <v>0</v>
      </c>
      <c r="L5568" t="n">
        <v>0</v>
      </c>
      <c r="M5568" t="n">
        <v>0</v>
      </c>
      <c r="N5568" t="n">
        <v>0</v>
      </c>
      <c r="O5568" t="n">
        <v>0</v>
      </c>
      <c r="P5568" t="n">
        <v>0</v>
      </c>
      <c r="Q5568" t="n">
        <v>0</v>
      </c>
      <c r="R5568" s="2" t="inlineStr"/>
    </row>
    <row r="5569" ht="15" customHeight="1">
      <c r="A5569" t="inlineStr">
        <is>
          <t>A 26983-2024</t>
        </is>
      </c>
      <c r="B5569" s="1" t="n">
        <v>45471</v>
      </c>
      <c r="C5569" s="1" t="n">
        <v>45705</v>
      </c>
      <c r="D5569" t="inlineStr">
        <is>
          <t>UPPSALA LÄN</t>
        </is>
      </c>
      <c r="E5569" t="inlineStr">
        <is>
          <t>ÖSTHAMMAR</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27172-2024</t>
        </is>
      </c>
      <c r="B5570" s="1" t="n">
        <v>45471</v>
      </c>
      <c r="C5570" s="1" t="n">
        <v>45705</v>
      </c>
      <c r="D5570" t="inlineStr">
        <is>
          <t>UPPSALA LÄN</t>
        </is>
      </c>
      <c r="E5570" t="inlineStr">
        <is>
          <t>ENKÖPING</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27476-2024</t>
        </is>
      </c>
      <c r="B5571" s="1" t="n">
        <v>45474</v>
      </c>
      <c r="C5571" s="1" t="n">
        <v>45705</v>
      </c>
      <c r="D5571" t="inlineStr">
        <is>
          <t>UPPSALA LÄN</t>
        </is>
      </c>
      <c r="E5571" t="inlineStr">
        <is>
          <t>UPPSALA</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27473-2024</t>
        </is>
      </c>
      <c r="B5572" s="1" t="n">
        <v>45474</v>
      </c>
      <c r="C5572" s="1" t="n">
        <v>45705</v>
      </c>
      <c r="D5572" t="inlineStr">
        <is>
          <t>UPPSALA LÄN</t>
        </is>
      </c>
      <c r="E5572" t="inlineStr">
        <is>
          <t>UPPSALA</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27442-2024</t>
        </is>
      </c>
      <c r="B5573" s="1" t="n">
        <v>45474</v>
      </c>
      <c r="C5573" s="1" t="n">
        <v>45705</v>
      </c>
      <c r="D5573" t="inlineStr">
        <is>
          <t>UPPSALA LÄN</t>
        </is>
      </c>
      <c r="E5573" t="inlineStr">
        <is>
          <t>UPPSALA</t>
        </is>
      </c>
      <c r="F5573" t="inlineStr">
        <is>
          <t>Holmen skog AB</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27603-2024</t>
        </is>
      </c>
      <c r="B5574" s="1" t="n">
        <v>45474</v>
      </c>
      <c r="C5574" s="1" t="n">
        <v>45705</v>
      </c>
      <c r="D5574" t="inlineStr">
        <is>
          <t>UPPSALA LÄN</t>
        </is>
      </c>
      <c r="E5574" t="inlineStr">
        <is>
          <t>HÅBO</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27474-2024</t>
        </is>
      </c>
      <c r="B5575" s="1" t="n">
        <v>45474</v>
      </c>
      <c r="C5575" s="1" t="n">
        <v>45705</v>
      </c>
      <c r="D5575" t="inlineStr">
        <is>
          <t>UPPSALA LÄN</t>
        </is>
      </c>
      <c r="E5575" t="inlineStr">
        <is>
          <t>UPPSALA</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27498-2024</t>
        </is>
      </c>
      <c r="B5576" s="1" t="n">
        <v>45474</v>
      </c>
      <c r="C5576" s="1" t="n">
        <v>45705</v>
      </c>
      <c r="D5576" t="inlineStr">
        <is>
          <t>UPPSALA LÄN</t>
        </is>
      </c>
      <c r="E5576" t="inlineStr">
        <is>
          <t>UPPSALA</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27534-2024</t>
        </is>
      </c>
      <c r="B5577" s="1" t="n">
        <v>45474</v>
      </c>
      <c r="C5577" s="1" t="n">
        <v>45705</v>
      </c>
      <c r="D5577" t="inlineStr">
        <is>
          <t>UPPSALA LÄN</t>
        </is>
      </c>
      <c r="E5577" t="inlineStr">
        <is>
          <t>ÖSTHAMMAR</t>
        </is>
      </c>
      <c r="F5577" t="inlineStr">
        <is>
          <t>Bergvik skog öst AB</t>
        </is>
      </c>
      <c r="G5577" t="n">
        <v>5</v>
      </c>
      <c r="H5577" t="n">
        <v>0</v>
      </c>
      <c r="I5577" t="n">
        <v>0</v>
      </c>
      <c r="J5577" t="n">
        <v>0</v>
      </c>
      <c r="K5577" t="n">
        <v>0</v>
      </c>
      <c r="L5577" t="n">
        <v>0</v>
      </c>
      <c r="M5577" t="n">
        <v>0</v>
      </c>
      <c r="N5577" t="n">
        <v>0</v>
      </c>
      <c r="O5577" t="n">
        <v>0</v>
      </c>
      <c r="P5577" t="n">
        <v>0</v>
      </c>
      <c r="Q5577" t="n">
        <v>0</v>
      </c>
      <c r="R5577" s="2" t="inlineStr"/>
    </row>
    <row r="5578" ht="15" customHeight="1">
      <c r="A5578" t="inlineStr">
        <is>
          <t>A 27604-2024</t>
        </is>
      </c>
      <c r="B5578" s="1" t="n">
        <v>45474</v>
      </c>
      <c r="C5578" s="1" t="n">
        <v>45705</v>
      </c>
      <c r="D5578" t="inlineStr">
        <is>
          <t>UPPSALA LÄN</t>
        </is>
      </c>
      <c r="E5578" t="inlineStr">
        <is>
          <t>HÅBO</t>
        </is>
      </c>
      <c r="G5578" t="n">
        <v>8</v>
      </c>
      <c r="H5578" t="n">
        <v>0</v>
      </c>
      <c r="I5578" t="n">
        <v>0</v>
      </c>
      <c r="J5578" t="n">
        <v>0</v>
      </c>
      <c r="K5578" t="n">
        <v>0</v>
      </c>
      <c r="L5578" t="n">
        <v>0</v>
      </c>
      <c r="M5578" t="n">
        <v>0</v>
      </c>
      <c r="N5578" t="n">
        <v>0</v>
      </c>
      <c r="O5578" t="n">
        <v>0</v>
      </c>
      <c r="P5578" t="n">
        <v>0</v>
      </c>
      <c r="Q5578" t="n">
        <v>0</v>
      </c>
      <c r="R5578" s="2" t="inlineStr"/>
    </row>
    <row r="5579" ht="15" customHeight="1">
      <c r="A5579" t="inlineStr">
        <is>
          <t>A 27748-2024</t>
        </is>
      </c>
      <c r="B5579" s="1" t="n">
        <v>45475</v>
      </c>
      <c r="C5579" s="1" t="n">
        <v>45705</v>
      </c>
      <c r="D5579" t="inlineStr">
        <is>
          <t>UPPSALA LÄN</t>
        </is>
      </c>
      <c r="E5579" t="inlineStr">
        <is>
          <t>ÖSTHAMMAR</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27857-2024</t>
        </is>
      </c>
      <c r="B5580" s="1" t="n">
        <v>45475</v>
      </c>
      <c r="C5580" s="1" t="n">
        <v>45705</v>
      </c>
      <c r="D5580" t="inlineStr">
        <is>
          <t>UPPSALA LÄN</t>
        </is>
      </c>
      <c r="E5580" t="inlineStr">
        <is>
          <t>UPPSALA</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27833-2024</t>
        </is>
      </c>
      <c r="B5581" s="1" t="n">
        <v>45475</v>
      </c>
      <c r="C5581" s="1" t="n">
        <v>45705</v>
      </c>
      <c r="D5581" t="inlineStr">
        <is>
          <t>UPPSALA LÄN</t>
        </is>
      </c>
      <c r="E5581" t="inlineStr">
        <is>
          <t>HEBY</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27773-2024</t>
        </is>
      </c>
      <c r="B5582" s="1" t="n">
        <v>45475</v>
      </c>
      <c r="C5582" s="1" t="n">
        <v>45705</v>
      </c>
      <c r="D5582" t="inlineStr">
        <is>
          <t>UPPSALA LÄN</t>
        </is>
      </c>
      <c r="E5582" t="inlineStr">
        <is>
          <t>TIERP</t>
        </is>
      </c>
      <c r="F5582" t="inlineStr">
        <is>
          <t>Bergvik skog öst AB</t>
        </is>
      </c>
      <c r="G5582" t="n">
        <v>3.9</v>
      </c>
      <c r="H5582" t="n">
        <v>0</v>
      </c>
      <c r="I5582" t="n">
        <v>0</v>
      </c>
      <c r="J5582" t="n">
        <v>0</v>
      </c>
      <c r="K5582" t="n">
        <v>0</v>
      </c>
      <c r="L5582" t="n">
        <v>0</v>
      </c>
      <c r="M5582" t="n">
        <v>0</v>
      </c>
      <c r="N5582" t="n">
        <v>0</v>
      </c>
      <c r="O5582" t="n">
        <v>0</v>
      </c>
      <c r="P5582" t="n">
        <v>0</v>
      </c>
      <c r="Q5582" t="n">
        <v>0</v>
      </c>
      <c r="R5582" s="2" t="inlineStr"/>
    </row>
    <row r="5583" ht="15" customHeight="1">
      <c r="A5583" t="inlineStr">
        <is>
          <t>A 27839-2024</t>
        </is>
      </c>
      <c r="B5583" s="1" t="n">
        <v>45475</v>
      </c>
      <c r="C5583" s="1" t="n">
        <v>45705</v>
      </c>
      <c r="D5583" t="inlineStr">
        <is>
          <t>UPPSALA LÄN</t>
        </is>
      </c>
      <c r="E5583" t="inlineStr">
        <is>
          <t>HEBY</t>
        </is>
      </c>
      <c r="G5583" t="n">
        <v>4.1</v>
      </c>
      <c r="H5583" t="n">
        <v>0</v>
      </c>
      <c r="I5583" t="n">
        <v>0</v>
      </c>
      <c r="J5583" t="n">
        <v>0</v>
      </c>
      <c r="K5583" t="n">
        <v>0</v>
      </c>
      <c r="L5583" t="n">
        <v>0</v>
      </c>
      <c r="M5583" t="n">
        <v>0</v>
      </c>
      <c r="N5583" t="n">
        <v>0</v>
      </c>
      <c r="O5583" t="n">
        <v>0</v>
      </c>
      <c r="P5583" t="n">
        <v>0</v>
      </c>
      <c r="Q5583" t="n">
        <v>0</v>
      </c>
      <c r="R5583" s="2" t="inlineStr"/>
    </row>
    <row r="5584" ht="15" customHeight="1">
      <c r="A5584" t="inlineStr">
        <is>
          <t>A 28151-2024</t>
        </is>
      </c>
      <c r="B5584" s="1" t="n">
        <v>45476</v>
      </c>
      <c r="C5584" s="1" t="n">
        <v>45705</v>
      </c>
      <c r="D5584" t="inlineStr">
        <is>
          <t>UPPSALA LÄN</t>
        </is>
      </c>
      <c r="E5584" t="inlineStr">
        <is>
          <t>ÖSTHAMMAR</t>
        </is>
      </c>
      <c r="F5584" t="inlineStr">
        <is>
          <t>Bergvik skog öst AB</t>
        </is>
      </c>
      <c r="G5584" t="n">
        <v>3.9</v>
      </c>
      <c r="H5584" t="n">
        <v>0</v>
      </c>
      <c r="I5584" t="n">
        <v>0</v>
      </c>
      <c r="J5584" t="n">
        <v>0</v>
      </c>
      <c r="K5584" t="n">
        <v>0</v>
      </c>
      <c r="L5584" t="n">
        <v>0</v>
      </c>
      <c r="M5584" t="n">
        <v>0</v>
      </c>
      <c r="N5584" t="n">
        <v>0</v>
      </c>
      <c r="O5584" t="n">
        <v>0</v>
      </c>
      <c r="P5584" t="n">
        <v>0</v>
      </c>
      <c r="Q5584" t="n">
        <v>0</v>
      </c>
      <c r="R5584" s="2" t="inlineStr"/>
    </row>
    <row r="5585" ht="15" customHeight="1">
      <c r="A5585" t="inlineStr">
        <is>
          <t>A 28152-2024</t>
        </is>
      </c>
      <c r="B5585" s="1" t="n">
        <v>45476</v>
      </c>
      <c r="C5585" s="1" t="n">
        <v>45705</v>
      </c>
      <c r="D5585" t="inlineStr">
        <is>
          <t>UPPSALA LÄN</t>
        </is>
      </c>
      <c r="E5585" t="inlineStr">
        <is>
          <t>ÖSTHAMMAR</t>
        </is>
      </c>
      <c r="F5585" t="inlineStr">
        <is>
          <t>Bergvik skog öst AB</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28154-2024</t>
        </is>
      </c>
      <c r="B5586" s="1" t="n">
        <v>45476</v>
      </c>
      <c r="C5586" s="1" t="n">
        <v>45705</v>
      </c>
      <c r="D5586" t="inlineStr">
        <is>
          <t>UPPSALA LÄN</t>
        </is>
      </c>
      <c r="E5586" t="inlineStr">
        <is>
          <t>ÖSTHAMMAR</t>
        </is>
      </c>
      <c r="F5586" t="inlineStr">
        <is>
          <t>Bergvik skog öst AB</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27998-2024</t>
        </is>
      </c>
      <c r="B5587" s="1" t="n">
        <v>45476</v>
      </c>
      <c r="C5587" s="1" t="n">
        <v>45705</v>
      </c>
      <c r="D5587" t="inlineStr">
        <is>
          <t>UPPSALA LÄN</t>
        </is>
      </c>
      <c r="E5587" t="inlineStr">
        <is>
          <t>ENKÖPING</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27994-2024</t>
        </is>
      </c>
      <c r="B5588" s="1" t="n">
        <v>45476</v>
      </c>
      <c r="C5588" s="1" t="n">
        <v>45705</v>
      </c>
      <c r="D5588" t="inlineStr">
        <is>
          <t>UPPSALA LÄN</t>
        </is>
      </c>
      <c r="E5588" t="inlineStr">
        <is>
          <t>UPPSALA</t>
        </is>
      </c>
      <c r="F5588" t="inlineStr">
        <is>
          <t>Holmen skog AB</t>
        </is>
      </c>
      <c r="G5588" t="n">
        <v>3.4</v>
      </c>
      <c r="H5588" t="n">
        <v>0</v>
      </c>
      <c r="I5588" t="n">
        <v>0</v>
      </c>
      <c r="J5588" t="n">
        <v>0</v>
      </c>
      <c r="K5588" t="n">
        <v>0</v>
      </c>
      <c r="L5588" t="n">
        <v>0</v>
      </c>
      <c r="M5588" t="n">
        <v>0</v>
      </c>
      <c r="N5588" t="n">
        <v>0</v>
      </c>
      <c r="O5588" t="n">
        <v>0</v>
      </c>
      <c r="P5588" t="n">
        <v>0</v>
      </c>
      <c r="Q5588" t="n">
        <v>0</v>
      </c>
      <c r="R5588" s="2" t="inlineStr"/>
    </row>
    <row r="5589" ht="15" customHeight="1">
      <c r="A5589" t="inlineStr">
        <is>
          <t>A 28153-2024</t>
        </is>
      </c>
      <c r="B5589" s="1" t="n">
        <v>45476</v>
      </c>
      <c r="C5589" s="1" t="n">
        <v>45705</v>
      </c>
      <c r="D5589" t="inlineStr">
        <is>
          <t>UPPSALA LÄN</t>
        </is>
      </c>
      <c r="E5589" t="inlineStr">
        <is>
          <t>ÖSTHAMMAR</t>
        </is>
      </c>
      <c r="F5589" t="inlineStr">
        <is>
          <t>Bergvik skog öst AB</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27983-2024</t>
        </is>
      </c>
      <c r="B5590" s="1" t="n">
        <v>45476</v>
      </c>
      <c r="C5590" s="1" t="n">
        <v>45705</v>
      </c>
      <c r="D5590" t="inlineStr">
        <is>
          <t>UPPSALA LÄN</t>
        </is>
      </c>
      <c r="E5590" t="inlineStr">
        <is>
          <t>ENKÖPING</t>
        </is>
      </c>
      <c r="G5590" t="n">
        <v>3.2</v>
      </c>
      <c r="H5590" t="n">
        <v>0</v>
      </c>
      <c r="I5590" t="n">
        <v>0</v>
      </c>
      <c r="J5590" t="n">
        <v>0</v>
      </c>
      <c r="K5590" t="n">
        <v>0</v>
      </c>
      <c r="L5590" t="n">
        <v>0</v>
      </c>
      <c r="M5590" t="n">
        <v>0</v>
      </c>
      <c r="N5590" t="n">
        <v>0</v>
      </c>
      <c r="O5590" t="n">
        <v>0</v>
      </c>
      <c r="P5590" t="n">
        <v>0</v>
      </c>
      <c r="Q5590" t="n">
        <v>0</v>
      </c>
      <c r="R5590" s="2" t="inlineStr"/>
    </row>
    <row r="5591" ht="15" customHeight="1">
      <c r="A5591" t="inlineStr">
        <is>
          <t>A 27993-2024</t>
        </is>
      </c>
      <c r="B5591" s="1" t="n">
        <v>45476</v>
      </c>
      <c r="C5591" s="1" t="n">
        <v>45705</v>
      </c>
      <c r="D5591" t="inlineStr">
        <is>
          <t>UPPSALA LÄN</t>
        </is>
      </c>
      <c r="E5591" t="inlineStr">
        <is>
          <t>ENKÖPING</t>
        </is>
      </c>
      <c r="G5591" t="n">
        <v>3.3</v>
      </c>
      <c r="H5591" t="n">
        <v>0</v>
      </c>
      <c r="I5591" t="n">
        <v>0</v>
      </c>
      <c r="J5591" t="n">
        <v>0</v>
      </c>
      <c r="K5591" t="n">
        <v>0</v>
      </c>
      <c r="L5591" t="n">
        <v>0</v>
      </c>
      <c r="M5591" t="n">
        <v>0</v>
      </c>
      <c r="N5591" t="n">
        <v>0</v>
      </c>
      <c r="O5591" t="n">
        <v>0</v>
      </c>
      <c r="P5591" t="n">
        <v>0</v>
      </c>
      <c r="Q5591" t="n">
        <v>0</v>
      </c>
      <c r="R5591" s="2" t="inlineStr"/>
    </row>
    <row r="5592" ht="15" customHeight="1">
      <c r="A5592" t="inlineStr">
        <is>
          <t>A 27981-2024</t>
        </is>
      </c>
      <c r="B5592" s="1" t="n">
        <v>45476</v>
      </c>
      <c r="C5592" s="1" t="n">
        <v>45705</v>
      </c>
      <c r="D5592" t="inlineStr">
        <is>
          <t>UPPSALA LÄN</t>
        </is>
      </c>
      <c r="E5592" t="inlineStr">
        <is>
          <t>UPPSALA</t>
        </is>
      </c>
      <c r="F5592" t="inlineStr">
        <is>
          <t>Holmen skog AB</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27973-2024</t>
        </is>
      </c>
      <c r="B5593" s="1" t="n">
        <v>45476</v>
      </c>
      <c r="C5593" s="1" t="n">
        <v>45705</v>
      </c>
      <c r="D5593" t="inlineStr">
        <is>
          <t>UPPSALA LÄN</t>
        </is>
      </c>
      <c r="E5593" t="inlineStr">
        <is>
          <t>UPPSALA</t>
        </is>
      </c>
      <c r="F5593" t="inlineStr">
        <is>
          <t>Holmen skog AB</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28453-2024</t>
        </is>
      </c>
      <c r="B5594" s="1" t="n">
        <v>45477</v>
      </c>
      <c r="C5594" s="1" t="n">
        <v>45705</v>
      </c>
      <c r="D5594" t="inlineStr">
        <is>
          <t>UPPSALA LÄN</t>
        </is>
      </c>
      <c r="E5594" t="inlineStr">
        <is>
          <t>UPPSALA</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28325-2024</t>
        </is>
      </c>
      <c r="B5595" s="1" t="n">
        <v>45477</v>
      </c>
      <c r="C5595" s="1" t="n">
        <v>45705</v>
      </c>
      <c r="D5595" t="inlineStr">
        <is>
          <t>UPPSALA LÄN</t>
        </is>
      </c>
      <c r="E5595" t="inlineStr">
        <is>
          <t>ENKÖPING</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28518-2024</t>
        </is>
      </c>
      <c r="B5596" s="1" t="n">
        <v>45477</v>
      </c>
      <c r="C5596" s="1" t="n">
        <v>45705</v>
      </c>
      <c r="D5596" t="inlineStr">
        <is>
          <t>UPPSALA LÄN</t>
        </is>
      </c>
      <c r="E5596" t="inlineStr">
        <is>
          <t>ENKÖPING</t>
        </is>
      </c>
      <c r="G5596" t="n">
        <v>3.4</v>
      </c>
      <c r="H5596" t="n">
        <v>0</v>
      </c>
      <c r="I5596" t="n">
        <v>0</v>
      </c>
      <c r="J5596" t="n">
        <v>0</v>
      </c>
      <c r="K5596" t="n">
        <v>0</v>
      </c>
      <c r="L5596" t="n">
        <v>0</v>
      </c>
      <c r="M5596" t="n">
        <v>0</v>
      </c>
      <c r="N5596" t="n">
        <v>0</v>
      </c>
      <c r="O5596" t="n">
        <v>0</v>
      </c>
      <c r="P5596" t="n">
        <v>0</v>
      </c>
      <c r="Q5596" t="n">
        <v>0</v>
      </c>
      <c r="R5596" s="2" t="inlineStr"/>
    </row>
    <row r="5597" ht="15" customHeight="1">
      <c r="A5597" t="inlineStr">
        <is>
          <t>A 28318-2024</t>
        </is>
      </c>
      <c r="B5597" s="1" t="n">
        <v>45477</v>
      </c>
      <c r="C5597" s="1" t="n">
        <v>45705</v>
      </c>
      <c r="D5597" t="inlineStr">
        <is>
          <t>UPPSALA LÄN</t>
        </is>
      </c>
      <c r="E5597" t="inlineStr">
        <is>
          <t>ENKÖPING</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28515-2024</t>
        </is>
      </c>
      <c r="B5598" s="1" t="n">
        <v>45477</v>
      </c>
      <c r="C5598" s="1" t="n">
        <v>45705</v>
      </c>
      <c r="D5598" t="inlineStr">
        <is>
          <t>UPPSALA LÄN</t>
        </is>
      </c>
      <c r="E5598" t="inlineStr">
        <is>
          <t>ENKÖPING</t>
        </is>
      </c>
      <c r="G5598" t="n">
        <v>5.9</v>
      </c>
      <c r="H5598" t="n">
        <v>0</v>
      </c>
      <c r="I5598" t="n">
        <v>0</v>
      </c>
      <c r="J5598" t="n">
        <v>0</v>
      </c>
      <c r="K5598" t="n">
        <v>0</v>
      </c>
      <c r="L5598" t="n">
        <v>0</v>
      </c>
      <c r="M5598" t="n">
        <v>0</v>
      </c>
      <c r="N5598" t="n">
        <v>0</v>
      </c>
      <c r="O5598" t="n">
        <v>0</v>
      </c>
      <c r="P5598" t="n">
        <v>0</v>
      </c>
      <c r="Q5598" t="n">
        <v>0</v>
      </c>
      <c r="R5598" s="2" t="inlineStr"/>
    </row>
    <row r="5599" ht="15" customHeight="1">
      <c r="A5599" t="inlineStr">
        <is>
          <t>A 28538-2024</t>
        </is>
      </c>
      <c r="B5599" s="1" t="n">
        <v>45478</v>
      </c>
      <c r="C5599" s="1" t="n">
        <v>45705</v>
      </c>
      <c r="D5599" t="inlineStr">
        <is>
          <t>UPPSALA LÄN</t>
        </is>
      </c>
      <c r="E5599" t="inlineStr">
        <is>
          <t>TIERP</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28825-2024</t>
        </is>
      </c>
      <c r="B5600" s="1" t="n">
        <v>45478</v>
      </c>
      <c r="C5600" s="1" t="n">
        <v>45705</v>
      </c>
      <c r="D5600" t="inlineStr">
        <is>
          <t>UPPSALA LÄN</t>
        </is>
      </c>
      <c r="E5600" t="inlineStr">
        <is>
          <t>UPPSALA</t>
        </is>
      </c>
      <c r="F5600" t="inlineStr">
        <is>
          <t>Holmen skog AB</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28608-2024</t>
        </is>
      </c>
      <c r="B5601" s="1" t="n">
        <v>45478</v>
      </c>
      <c r="C5601" s="1" t="n">
        <v>45705</v>
      </c>
      <c r="D5601" t="inlineStr">
        <is>
          <t>UPPSALA LÄN</t>
        </is>
      </c>
      <c r="E5601" t="inlineStr">
        <is>
          <t>HÅBO</t>
        </is>
      </c>
      <c r="G5601" t="n">
        <v>3.3</v>
      </c>
      <c r="H5601" t="n">
        <v>0</v>
      </c>
      <c r="I5601" t="n">
        <v>0</v>
      </c>
      <c r="J5601" t="n">
        <v>0</v>
      </c>
      <c r="K5601" t="n">
        <v>0</v>
      </c>
      <c r="L5601" t="n">
        <v>0</v>
      </c>
      <c r="M5601" t="n">
        <v>0</v>
      </c>
      <c r="N5601" t="n">
        <v>0</v>
      </c>
      <c r="O5601" t="n">
        <v>0</v>
      </c>
      <c r="P5601" t="n">
        <v>0</v>
      </c>
      <c r="Q5601" t="n">
        <v>0</v>
      </c>
      <c r="R5601" s="2" t="inlineStr"/>
    </row>
    <row r="5602" ht="15" customHeight="1">
      <c r="A5602" t="inlineStr">
        <is>
          <t>A 28782-2024</t>
        </is>
      </c>
      <c r="B5602" s="1" t="n">
        <v>45478</v>
      </c>
      <c r="C5602" s="1" t="n">
        <v>45705</v>
      </c>
      <c r="D5602" t="inlineStr">
        <is>
          <t>UPPSALA LÄN</t>
        </is>
      </c>
      <c r="E5602" t="inlineStr">
        <is>
          <t>UPPSALA</t>
        </is>
      </c>
      <c r="F5602" t="inlineStr">
        <is>
          <t>Holmen skog AB</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28666-2024</t>
        </is>
      </c>
      <c r="B5603" s="1" t="n">
        <v>45478</v>
      </c>
      <c r="C5603" s="1" t="n">
        <v>45705</v>
      </c>
      <c r="D5603" t="inlineStr">
        <is>
          <t>UPPSALA LÄN</t>
        </is>
      </c>
      <c r="E5603" t="inlineStr">
        <is>
          <t>TIERP</t>
        </is>
      </c>
      <c r="F5603" t="inlineStr">
        <is>
          <t>Bergvik skog öst AB</t>
        </is>
      </c>
      <c r="G5603" t="n">
        <v>8.699999999999999</v>
      </c>
      <c r="H5603" t="n">
        <v>0</v>
      </c>
      <c r="I5603" t="n">
        <v>0</v>
      </c>
      <c r="J5603" t="n">
        <v>0</v>
      </c>
      <c r="K5603" t="n">
        <v>0</v>
      </c>
      <c r="L5603" t="n">
        <v>0</v>
      </c>
      <c r="M5603" t="n">
        <v>0</v>
      </c>
      <c r="N5603" t="n">
        <v>0</v>
      </c>
      <c r="O5603" t="n">
        <v>0</v>
      </c>
      <c r="P5603" t="n">
        <v>0</v>
      </c>
      <c r="Q5603" t="n">
        <v>0</v>
      </c>
      <c r="R5603" s="2" t="inlineStr"/>
    </row>
    <row r="5604" ht="15" customHeight="1">
      <c r="A5604" t="inlineStr">
        <is>
          <t>A 28848-2024</t>
        </is>
      </c>
      <c r="B5604" s="1" t="n">
        <v>45478</v>
      </c>
      <c r="C5604" s="1" t="n">
        <v>45705</v>
      </c>
      <c r="D5604" t="inlineStr">
        <is>
          <t>UPPSALA LÄN</t>
        </is>
      </c>
      <c r="E5604" t="inlineStr">
        <is>
          <t>ENKÖPING</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28914-2024</t>
        </is>
      </c>
      <c r="B5605" s="1" t="n">
        <v>45480</v>
      </c>
      <c r="C5605" s="1" t="n">
        <v>45705</v>
      </c>
      <c r="D5605" t="inlineStr">
        <is>
          <t>UPPSALA LÄN</t>
        </is>
      </c>
      <c r="E5605" t="inlineStr">
        <is>
          <t>ÖSTHAMMAR</t>
        </is>
      </c>
      <c r="F5605" t="inlineStr">
        <is>
          <t>Bergvik skog öst AB</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28915-2024</t>
        </is>
      </c>
      <c r="B5606" s="1" t="n">
        <v>45480</v>
      </c>
      <c r="C5606" s="1" t="n">
        <v>45705</v>
      </c>
      <c r="D5606" t="inlineStr">
        <is>
          <t>UPPSALA LÄN</t>
        </is>
      </c>
      <c r="E5606" t="inlineStr">
        <is>
          <t>ÖSTHAMMAR</t>
        </is>
      </c>
      <c r="F5606" t="inlineStr">
        <is>
          <t>Bergvik skog öst AB</t>
        </is>
      </c>
      <c r="G5606" t="n">
        <v>5.1</v>
      </c>
      <c r="H5606" t="n">
        <v>0</v>
      </c>
      <c r="I5606" t="n">
        <v>0</v>
      </c>
      <c r="J5606" t="n">
        <v>0</v>
      </c>
      <c r="K5606" t="n">
        <v>0</v>
      </c>
      <c r="L5606" t="n">
        <v>0</v>
      </c>
      <c r="M5606" t="n">
        <v>0</v>
      </c>
      <c r="N5606" t="n">
        <v>0</v>
      </c>
      <c r="O5606" t="n">
        <v>0</v>
      </c>
      <c r="P5606" t="n">
        <v>0</v>
      </c>
      <c r="Q5606" t="n">
        <v>0</v>
      </c>
      <c r="R5606" s="2" t="inlineStr"/>
    </row>
    <row r="5607" ht="15" customHeight="1">
      <c r="A5607" t="inlineStr">
        <is>
          <t>A 29081-2024</t>
        </is>
      </c>
      <c r="B5607" s="1" t="n">
        <v>45481</v>
      </c>
      <c r="C5607" s="1" t="n">
        <v>45705</v>
      </c>
      <c r="D5607" t="inlineStr">
        <is>
          <t>UPPSALA LÄN</t>
        </is>
      </c>
      <c r="E5607" t="inlineStr">
        <is>
          <t>UPPSALA</t>
        </is>
      </c>
      <c r="G5607" t="n">
        <v>6.1</v>
      </c>
      <c r="H5607" t="n">
        <v>0</v>
      </c>
      <c r="I5607" t="n">
        <v>0</v>
      </c>
      <c r="J5607" t="n">
        <v>0</v>
      </c>
      <c r="K5607" t="n">
        <v>0</v>
      </c>
      <c r="L5607" t="n">
        <v>0</v>
      </c>
      <c r="M5607" t="n">
        <v>0</v>
      </c>
      <c r="N5607" t="n">
        <v>0</v>
      </c>
      <c r="O5607" t="n">
        <v>0</v>
      </c>
      <c r="P5607" t="n">
        <v>0</v>
      </c>
      <c r="Q5607" t="n">
        <v>0</v>
      </c>
      <c r="R5607" s="2" t="inlineStr"/>
    </row>
    <row r="5608" ht="15" customHeight="1">
      <c r="A5608" t="inlineStr">
        <is>
          <t>A 29082-2024</t>
        </is>
      </c>
      <c r="B5608" s="1" t="n">
        <v>45481</v>
      </c>
      <c r="C5608" s="1" t="n">
        <v>45705</v>
      </c>
      <c r="D5608" t="inlineStr">
        <is>
          <t>UPPSALA LÄN</t>
        </is>
      </c>
      <c r="E5608" t="inlineStr">
        <is>
          <t>UPPSALA</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28944-2024</t>
        </is>
      </c>
      <c r="B5609" s="1" t="n">
        <v>45481</v>
      </c>
      <c r="C5609" s="1" t="n">
        <v>45705</v>
      </c>
      <c r="D5609" t="inlineStr">
        <is>
          <t>UPPSALA LÄN</t>
        </is>
      </c>
      <c r="E5609" t="inlineStr">
        <is>
          <t>TIERP</t>
        </is>
      </c>
      <c r="G5609" t="n">
        <v>3.8</v>
      </c>
      <c r="H5609" t="n">
        <v>0</v>
      </c>
      <c r="I5609" t="n">
        <v>0</v>
      </c>
      <c r="J5609" t="n">
        <v>0</v>
      </c>
      <c r="K5609" t="n">
        <v>0</v>
      </c>
      <c r="L5609" t="n">
        <v>0</v>
      </c>
      <c r="M5609" t="n">
        <v>0</v>
      </c>
      <c r="N5609" t="n">
        <v>0</v>
      </c>
      <c r="O5609" t="n">
        <v>0</v>
      </c>
      <c r="P5609" t="n">
        <v>0</v>
      </c>
      <c r="Q5609" t="n">
        <v>0</v>
      </c>
      <c r="R5609" s="2" t="inlineStr"/>
    </row>
    <row r="5610" ht="15" customHeight="1">
      <c r="A5610" t="inlineStr">
        <is>
          <t>A 29164-2024</t>
        </is>
      </c>
      <c r="B5610" s="1" t="n">
        <v>45482</v>
      </c>
      <c r="C5610" s="1" t="n">
        <v>45705</v>
      </c>
      <c r="D5610" t="inlineStr">
        <is>
          <t>UPPSALA LÄN</t>
        </is>
      </c>
      <c r="E5610" t="inlineStr">
        <is>
          <t>UPPSALA</t>
        </is>
      </c>
      <c r="F5610" t="inlineStr">
        <is>
          <t>Allmännings- och besparingsskogar</t>
        </is>
      </c>
      <c r="G5610" t="n">
        <v>4.5</v>
      </c>
      <c r="H5610" t="n">
        <v>0</v>
      </c>
      <c r="I5610" t="n">
        <v>0</v>
      </c>
      <c r="J5610" t="n">
        <v>0</v>
      </c>
      <c r="K5610" t="n">
        <v>0</v>
      </c>
      <c r="L5610" t="n">
        <v>0</v>
      </c>
      <c r="M5610" t="n">
        <v>0</v>
      </c>
      <c r="N5610" t="n">
        <v>0</v>
      </c>
      <c r="O5610" t="n">
        <v>0</v>
      </c>
      <c r="P5610" t="n">
        <v>0</v>
      </c>
      <c r="Q5610" t="n">
        <v>0</v>
      </c>
      <c r="R5610" s="2" t="inlineStr"/>
    </row>
    <row r="5611" ht="15" customHeight="1">
      <c r="A5611" t="inlineStr">
        <is>
          <t>A 29230-2024</t>
        </is>
      </c>
      <c r="B5611" s="1" t="n">
        <v>45482</v>
      </c>
      <c r="C5611" s="1" t="n">
        <v>45705</v>
      </c>
      <c r="D5611" t="inlineStr">
        <is>
          <t>UPPSALA LÄN</t>
        </is>
      </c>
      <c r="E5611" t="inlineStr">
        <is>
          <t>ÖSTHAMMAR</t>
        </is>
      </c>
      <c r="F5611" t="inlineStr">
        <is>
          <t>Bergvik skog öst AB</t>
        </is>
      </c>
      <c r="G5611" t="n">
        <v>7.2</v>
      </c>
      <c r="H5611" t="n">
        <v>0</v>
      </c>
      <c r="I5611" t="n">
        <v>0</v>
      </c>
      <c r="J5611" t="n">
        <v>0</v>
      </c>
      <c r="K5611" t="n">
        <v>0</v>
      </c>
      <c r="L5611" t="n">
        <v>0</v>
      </c>
      <c r="M5611" t="n">
        <v>0</v>
      </c>
      <c r="N5611" t="n">
        <v>0</v>
      </c>
      <c r="O5611" t="n">
        <v>0</v>
      </c>
      <c r="P5611" t="n">
        <v>0</v>
      </c>
      <c r="Q5611" t="n">
        <v>0</v>
      </c>
      <c r="R5611" s="2" t="inlineStr"/>
    </row>
    <row r="5612" ht="15" customHeight="1">
      <c r="A5612" t="inlineStr">
        <is>
          <t>A 29174-2024</t>
        </is>
      </c>
      <c r="B5612" s="1" t="n">
        <v>45482</v>
      </c>
      <c r="C5612" s="1" t="n">
        <v>45705</v>
      </c>
      <c r="D5612" t="inlineStr">
        <is>
          <t>UPPSALA LÄN</t>
        </is>
      </c>
      <c r="E5612" t="inlineStr">
        <is>
          <t>TIERP</t>
        </is>
      </c>
      <c r="F5612" t="inlineStr">
        <is>
          <t>Bergvik skog öst AB</t>
        </is>
      </c>
      <c r="G5612" t="n">
        <v>7</v>
      </c>
      <c r="H5612" t="n">
        <v>0</v>
      </c>
      <c r="I5612" t="n">
        <v>0</v>
      </c>
      <c r="J5612" t="n">
        <v>0</v>
      </c>
      <c r="K5612" t="n">
        <v>0</v>
      </c>
      <c r="L5612" t="n">
        <v>0</v>
      </c>
      <c r="M5612" t="n">
        <v>0</v>
      </c>
      <c r="N5612" t="n">
        <v>0</v>
      </c>
      <c r="O5612" t="n">
        <v>0</v>
      </c>
      <c r="P5612" t="n">
        <v>0</v>
      </c>
      <c r="Q5612" t="n">
        <v>0</v>
      </c>
      <c r="R5612" s="2" t="inlineStr"/>
    </row>
    <row r="5613" ht="15" customHeight="1">
      <c r="A5613" t="inlineStr">
        <is>
          <t>A 29145-2024</t>
        </is>
      </c>
      <c r="B5613" s="1" t="n">
        <v>45482</v>
      </c>
      <c r="C5613" s="1" t="n">
        <v>45705</v>
      </c>
      <c r="D5613" t="inlineStr">
        <is>
          <t>UPPSALA LÄN</t>
        </is>
      </c>
      <c r="E5613" t="inlineStr">
        <is>
          <t>TIERP</t>
        </is>
      </c>
      <c r="F5613" t="inlineStr">
        <is>
          <t>Bergvik skog öst AB</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29231-2024</t>
        </is>
      </c>
      <c r="B5614" s="1" t="n">
        <v>45482</v>
      </c>
      <c r="C5614" s="1" t="n">
        <v>45705</v>
      </c>
      <c r="D5614" t="inlineStr">
        <is>
          <t>UPPSALA LÄN</t>
        </is>
      </c>
      <c r="E5614" t="inlineStr">
        <is>
          <t>ÖSTHAMMAR</t>
        </is>
      </c>
      <c r="F5614" t="inlineStr">
        <is>
          <t>Bergvik skog öst AB</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29438-2024</t>
        </is>
      </c>
      <c r="B5615" s="1" t="n">
        <v>45483</v>
      </c>
      <c r="C5615" s="1" t="n">
        <v>45705</v>
      </c>
      <c r="D5615" t="inlineStr">
        <is>
          <t>UPPSALA LÄN</t>
        </is>
      </c>
      <c r="E5615" t="inlineStr">
        <is>
          <t>ÖSTHAMMAR</t>
        </is>
      </c>
      <c r="F5615" t="inlineStr">
        <is>
          <t>Bergvik skog öst AB</t>
        </is>
      </c>
      <c r="G5615" t="n">
        <v>5.1</v>
      </c>
      <c r="H5615" t="n">
        <v>0</v>
      </c>
      <c r="I5615" t="n">
        <v>0</v>
      </c>
      <c r="J5615" t="n">
        <v>0</v>
      </c>
      <c r="K5615" t="n">
        <v>0</v>
      </c>
      <c r="L5615" t="n">
        <v>0</v>
      </c>
      <c r="M5615" t="n">
        <v>0</v>
      </c>
      <c r="N5615" t="n">
        <v>0</v>
      </c>
      <c r="O5615" t="n">
        <v>0</v>
      </c>
      <c r="P5615" t="n">
        <v>0</v>
      </c>
      <c r="Q5615" t="n">
        <v>0</v>
      </c>
      <c r="R5615" s="2" t="inlineStr"/>
    </row>
    <row r="5616" ht="15" customHeight="1">
      <c r="A5616" t="inlineStr">
        <is>
          <t>A 29823-2024</t>
        </is>
      </c>
      <c r="B5616" s="1" t="n">
        <v>45485</v>
      </c>
      <c r="C5616" s="1" t="n">
        <v>45705</v>
      </c>
      <c r="D5616" t="inlineStr">
        <is>
          <t>UPPSALA LÄN</t>
        </is>
      </c>
      <c r="E5616" t="inlineStr">
        <is>
          <t>ÖSTHAMMAR</t>
        </is>
      </c>
      <c r="F5616" t="inlineStr">
        <is>
          <t>Bergvik skog öst AB</t>
        </is>
      </c>
      <c r="G5616" t="n">
        <v>9</v>
      </c>
      <c r="H5616" t="n">
        <v>0</v>
      </c>
      <c r="I5616" t="n">
        <v>0</v>
      </c>
      <c r="J5616" t="n">
        <v>0</v>
      </c>
      <c r="K5616" t="n">
        <v>0</v>
      </c>
      <c r="L5616" t="n">
        <v>0</v>
      </c>
      <c r="M5616" t="n">
        <v>0</v>
      </c>
      <c r="N5616" t="n">
        <v>0</v>
      </c>
      <c r="O5616" t="n">
        <v>0</v>
      </c>
      <c r="P5616" t="n">
        <v>0</v>
      </c>
      <c r="Q5616" t="n">
        <v>0</v>
      </c>
      <c r="R5616" s="2" t="inlineStr"/>
    </row>
    <row r="5617" ht="15" customHeight="1">
      <c r="A5617" t="inlineStr">
        <is>
          <t>A 30086-2024</t>
        </is>
      </c>
      <c r="B5617" s="1" t="n">
        <v>45485</v>
      </c>
      <c r="C5617" s="1" t="n">
        <v>45705</v>
      </c>
      <c r="D5617" t="inlineStr">
        <is>
          <t>UPPSALA LÄN</t>
        </is>
      </c>
      <c r="E5617" t="inlineStr">
        <is>
          <t>HEBY</t>
        </is>
      </c>
      <c r="F5617" t="inlineStr">
        <is>
          <t>Bergvik skog väst AB</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29899-2024</t>
        </is>
      </c>
      <c r="B5618" s="1" t="n">
        <v>45487</v>
      </c>
      <c r="C5618" s="1" t="n">
        <v>45705</v>
      </c>
      <c r="D5618" t="inlineStr">
        <is>
          <t>UPPSALA LÄN</t>
        </is>
      </c>
      <c r="E5618" t="inlineStr">
        <is>
          <t>ÄLVKARLEBY</t>
        </is>
      </c>
      <c r="F5618" t="inlineStr">
        <is>
          <t>Bergvik skog väst AB</t>
        </is>
      </c>
      <c r="G5618" t="n">
        <v>7.1</v>
      </c>
      <c r="H5618" t="n">
        <v>0</v>
      </c>
      <c r="I5618" t="n">
        <v>0</v>
      </c>
      <c r="J5618" t="n">
        <v>0</v>
      </c>
      <c r="K5618" t="n">
        <v>0</v>
      </c>
      <c r="L5618" t="n">
        <v>0</v>
      </c>
      <c r="M5618" t="n">
        <v>0</v>
      </c>
      <c r="N5618" t="n">
        <v>0</v>
      </c>
      <c r="O5618" t="n">
        <v>0</v>
      </c>
      <c r="P5618" t="n">
        <v>0</v>
      </c>
      <c r="Q5618" t="n">
        <v>0</v>
      </c>
      <c r="R5618" s="2" t="inlineStr"/>
    </row>
    <row r="5619" ht="15" customHeight="1">
      <c r="A5619" t="inlineStr">
        <is>
          <t>A 30165-2024</t>
        </is>
      </c>
      <c r="B5619" s="1" t="n">
        <v>45488</v>
      </c>
      <c r="C5619" s="1" t="n">
        <v>45705</v>
      </c>
      <c r="D5619" t="inlineStr">
        <is>
          <t>UPPSALA LÄN</t>
        </is>
      </c>
      <c r="E5619" t="inlineStr">
        <is>
          <t>HÅBO</t>
        </is>
      </c>
      <c r="G5619" t="n">
        <v>4.4</v>
      </c>
      <c r="H5619" t="n">
        <v>0</v>
      </c>
      <c r="I5619" t="n">
        <v>0</v>
      </c>
      <c r="J5619" t="n">
        <v>0</v>
      </c>
      <c r="K5619" t="n">
        <v>0</v>
      </c>
      <c r="L5619" t="n">
        <v>0</v>
      </c>
      <c r="M5619" t="n">
        <v>0</v>
      </c>
      <c r="N5619" t="n">
        <v>0</v>
      </c>
      <c r="O5619" t="n">
        <v>0</v>
      </c>
      <c r="P5619" t="n">
        <v>0</v>
      </c>
      <c r="Q5619" t="n">
        <v>0</v>
      </c>
      <c r="R5619" s="2" t="inlineStr"/>
    </row>
    <row r="5620" ht="15" customHeight="1">
      <c r="A5620" t="inlineStr">
        <is>
          <t>A 30110-2024</t>
        </is>
      </c>
      <c r="B5620" s="1" t="n">
        <v>45489</v>
      </c>
      <c r="C5620" s="1" t="n">
        <v>45705</v>
      </c>
      <c r="D5620" t="inlineStr">
        <is>
          <t>UPPSALA LÄN</t>
        </is>
      </c>
      <c r="E5620" t="inlineStr">
        <is>
          <t>TIERP</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30092-2024</t>
        </is>
      </c>
      <c r="B5621" s="1" t="n">
        <v>45489</v>
      </c>
      <c r="C5621" s="1" t="n">
        <v>45705</v>
      </c>
      <c r="D5621" t="inlineStr">
        <is>
          <t>UPPSALA LÄN</t>
        </is>
      </c>
      <c r="E5621" t="inlineStr">
        <is>
          <t>ENKÖPING</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30079-2024</t>
        </is>
      </c>
      <c r="B5622" s="1" t="n">
        <v>45489</v>
      </c>
      <c r="C5622" s="1" t="n">
        <v>45705</v>
      </c>
      <c r="D5622" t="inlineStr">
        <is>
          <t>UPPSALA LÄN</t>
        </is>
      </c>
      <c r="E5622" t="inlineStr">
        <is>
          <t>UPPSALA</t>
        </is>
      </c>
      <c r="F5622" t="inlineStr">
        <is>
          <t>Holmen skog AB</t>
        </is>
      </c>
      <c r="G5622" t="n">
        <v>7.5</v>
      </c>
      <c r="H5622" t="n">
        <v>0</v>
      </c>
      <c r="I5622" t="n">
        <v>0</v>
      </c>
      <c r="J5622" t="n">
        <v>0</v>
      </c>
      <c r="K5622" t="n">
        <v>0</v>
      </c>
      <c r="L5622" t="n">
        <v>0</v>
      </c>
      <c r="M5622" t="n">
        <v>0</v>
      </c>
      <c r="N5622" t="n">
        <v>0</v>
      </c>
      <c r="O5622" t="n">
        <v>0</v>
      </c>
      <c r="P5622" t="n">
        <v>0</v>
      </c>
      <c r="Q5622" t="n">
        <v>0</v>
      </c>
      <c r="R5622" s="2" t="inlineStr"/>
    </row>
    <row r="5623" ht="15" customHeight="1">
      <c r="A5623" t="inlineStr">
        <is>
          <t>A 30113-2024</t>
        </is>
      </c>
      <c r="B5623" s="1" t="n">
        <v>45489</v>
      </c>
      <c r="C5623" s="1" t="n">
        <v>45705</v>
      </c>
      <c r="D5623" t="inlineStr">
        <is>
          <t>UPPSALA LÄN</t>
        </is>
      </c>
      <c r="E5623" t="inlineStr">
        <is>
          <t>TIERP</t>
        </is>
      </c>
      <c r="G5623" t="n">
        <v>2.8</v>
      </c>
      <c r="H5623" t="n">
        <v>0</v>
      </c>
      <c r="I5623" t="n">
        <v>0</v>
      </c>
      <c r="J5623" t="n">
        <v>0</v>
      </c>
      <c r="K5623" t="n">
        <v>0</v>
      </c>
      <c r="L5623" t="n">
        <v>0</v>
      </c>
      <c r="M5623" t="n">
        <v>0</v>
      </c>
      <c r="N5623" t="n">
        <v>0</v>
      </c>
      <c r="O5623" t="n">
        <v>0</v>
      </c>
      <c r="P5623" t="n">
        <v>0</v>
      </c>
      <c r="Q5623" t="n">
        <v>0</v>
      </c>
      <c r="R5623" s="2" t="inlineStr"/>
    </row>
    <row r="5624" ht="15" customHeight="1">
      <c r="A5624" t="inlineStr">
        <is>
          <t>A 30109-2024</t>
        </is>
      </c>
      <c r="B5624" s="1" t="n">
        <v>45489</v>
      </c>
      <c r="C5624" s="1" t="n">
        <v>45705</v>
      </c>
      <c r="D5624" t="inlineStr">
        <is>
          <t>UPPSALA LÄN</t>
        </is>
      </c>
      <c r="E5624" t="inlineStr">
        <is>
          <t>ENKÖPING</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30098-2024</t>
        </is>
      </c>
      <c r="B5625" s="1" t="n">
        <v>45489</v>
      </c>
      <c r="C5625" s="1" t="n">
        <v>45705</v>
      </c>
      <c r="D5625" t="inlineStr">
        <is>
          <t>UPPSALA LÄN</t>
        </is>
      </c>
      <c r="E5625" t="inlineStr">
        <is>
          <t>ENKÖPING</t>
        </is>
      </c>
      <c r="G5625" t="n">
        <v>8.199999999999999</v>
      </c>
      <c r="H5625" t="n">
        <v>0</v>
      </c>
      <c r="I5625" t="n">
        <v>0</v>
      </c>
      <c r="J5625" t="n">
        <v>0</v>
      </c>
      <c r="K5625" t="n">
        <v>0</v>
      </c>
      <c r="L5625" t="n">
        <v>0</v>
      </c>
      <c r="M5625" t="n">
        <v>0</v>
      </c>
      <c r="N5625" t="n">
        <v>0</v>
      </c>
      <c r="O5625" t="n">
        <v>0</v>
      </c>
      <c r="P5625" t="n">
        <v>0</v>
      </c>
      <c r="Q5625" t="n">
        <v>0</v>
      </c>
      <c r="R5625" s="2" t="inlineStr"/>
    </row>
    <row r="5626" ht="15" customHeight="1">
      <c r="A5626" t="inlineStr">
        <is>
          <t>A 30087-2024</t>
        </is>
      </c>
      <c r="B5626" s="1" t="n">
        <v>45489</v>
      </c>
      <c r="C5626" s="1" t="n">
        <v>45705</v>
      </c>
      <c r="D5626" t="inlineStr">
        <is>
          <t>UPPSALA LÄN</t>
        </is>
      </c>
      <c r="E5626" t="inlineStr">
        <is>
          <t>ENKÖPING</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30125-2024</t>
        </is>
      </c>
      <c r="B5627" s="1" t="n">
        <v>45489</v>
      </c>
      <c r="C5627" s="1" t="n">
        <v>45705</v>
      </c>
      <c r="D5627" t="inlineStr">
        <is>
          <t>UPPSALA LÄN</t>
        </is>
      </c>
      <c r="E5627" t="inlineStr">
        <is>
          <t>TIERP</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30097-2024</t>
        </is>
      </c>
      <c r="B5628" s="1" t="n">
        <v>45489</v>
      </c>
      <c r="C5628" s="1" t="n">
        <v>45705</v>
      </c>
      <c r="D5628" t="inlineStr">
        <is>
          <t>UPPSALA LÄN</t>
        </is>
      </c>
      <c r="E5628" t="inlineStr">
        <is>
          <t>TIERP</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30319-2024</t>
        </is>
      </c>
      <c r="B5629" s="1" t="n">
        <v>45490</v>
      </c>
      <c r="C5629" s="1" t="n">
        <v>45705</v>
      </c>
      <c r="D5629" t="inlineStr">
        <is>
          <t>UPPSALA LÄN</t>
        </is>
      </c>
      <c r="E5629" t="inlineStr">
        <is>
          <t>UPPSALA</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30381-2024</t>
        </is>
      </c>
      <c r="B5630" s="1" t="n">
        <v>45491</v>
      </c>
      <c r="C5630" s="1" t="n">
        <v>45705</v>
      </c>
      <c r="D5630" t="inlineStr">
        <is>
          <t>UPPSALA LÄN</t>
        </is>
      </c>
      <c r="E5630" t="inlineStr">
        <is>
          <t>TIERP</t>
        </is>
      </c>
      <c r="F5630" t="inlineStr">
        <is>
          <t>Bergvik skog öst AB</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30394-2024</t>
        </is>
      </c>
      <c r="B5631" s="1" t="n">
        <v>45491</v>
      </c>
      <c r="C5631" s="1" t="n">
        <v>45705</v>
      </c>
      <c r="D5631" t="inlineStr">
        <is>
          <t>UPPSALA LÄN</t>
        </is>
      </c>
      <c r="E5631" t="inlineStr">
        <is>
          <t>ENKÖPING</t>
        </is>
      </c>
      <c r="G5631" t="n">
        <v>4.8</v>
      </c>
      <c r="H5631" t="n">
        <v>0</v>
      </c>
      <c r="I5631" t="n">
        <v>0</v>
      </c>
      <c r="J5631" t="n">
        <v>0</v>
      </c>
      <c r="K5631" t="n">
        <v>0</v>
      </c>
      <c r="L5631" t="n">
        <v>0</v>
      </c>
      <c r="M5631" t="n">
        <v>0</v>
      </c>
      <c r="N5631" t="n">
        <v>0</v>
      </c>
      <c r="O5631" t="n">
        <v>0</v>
      </c>
      <c r="P5631" t="n">
        <v>0</v>
      </c>
      <c r="Q5631" t="n">
        <v>0</v>
      </c>
      <c r="R5631" s="2" t="inlineStr"/>
    </row>
    <row r="5632" ht="15" customHeight="1">
      <c r="A5632" t="inlineStr">
        <is>
          <t>A 30509-2024</t>
        </is>
      </c>
      <c r="B5632" s="1" t="n">
        <v>45492</v>
      </c>
      <c r="C5632" s="1" t="n">
        <v>45705</v>
      </c>
      <c r="D5632" t="inlineStr">
        <is>
          <t>UPPSALA LÄN</t>
        </is>
      </c>
      <c r="E5632" t="inlineStr">
        <is>
          <t>TIERP</t>
        </is>
      </c>
      <c r="F5632" t="inlineStr">
        <is>
          <t>Bergvik skog öst AB</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30605-2024</t>
        </is>
      </c>
      <c r="B5633" s="1" t="n">
        <v>45494</v>
      </c>
      <c r="C5633" s="1" t="n">
        <v>45705</v>
      </c>
      <c r="D5633" t="inlineStr">
        <is>
          <t>UPPSALA LÄN</t>
        </is>
      </c>
      <c r="E5633" t="inlineStr">
        <is>
          <t>ÖSTHAMMAR</t>
        </is>
      </c>
      <c r="F5633" t="inlineStr">
        <is>
          <t>Bergvik skog öst AB</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30604-2024</t>
        </is>
      </c>
      <c r="B5634" s="1" t="n">
        <v>45494</v>
      </c>
      <c r="C5634" s="1" t="n">
        <v>45705</v>
      </c>
      <c r="D5634" t="inlineStr">
        <is>
          <t>UPPSALA LÄN</t>
        </is>
      </c>
      <c r="E5634" t="inlineStr">
        <is>
          <t>ÖSTHAMMAR</t>
        </is>
      </c>
      <c r="F5634" t="inlineStr">
        <is>
          <t>Bergvik skog öst AB</t>
        </is>
      </c>
      <c r="G5634" t="n">
        <v>7.6</v>
      </c>
      <c r="H5634" t="n">
        <v>0</v>
      </c>
      <c r="I5634" t="n">
        <v>0</v>
      </c>
      <c r="J5634" t="n">
        <v>0</v>
      </c>
      <c r="K5634" t="n">
        <v>0</v>
      </c>
      <c r="L5634" t="n">
        <v>0</v>
      </c>
      <c r="M5634" t="n">
        <v>0</v>
      </c>
      <c r="N5634" t="n">
        <v>0</v>
      </c>
      <c r="O5634" t="n">
        <v>0</v>
      </c>
      <c r="P5634" t="n">
        <v>0</v>
      </c>
      <c r="Q5634" t="n">
        <v>0</v>
      </c>
      <c r="R5634" s="2" t="inlineStr"/>
    </row>
    <row r="5635" ht="15" customHeight="1">
      <c r="A5635" t="inlineStr">
        <is>
          <t>A 30756-2024</t>
        </is>
      </c>
      <c r="B5635" s="1" t="n">
        <v>45496</v>
      </c>
      <c r="C5635" s="1" t="n">
        <v>45705</v>
      </c>
      <c r="D5635" t="inlineStr">
        <is>
          <t>UPPSALA LÄN</t>
        </is>
      </c>
      <c r="E5635" t="inlineStr">
        <is>
          <t>ÖSTHAMMAR</t>
        </is>
      </c>
      <c r="F5635" t="inlineStr">
        <is>
          <t>Bergvik skog öst AB</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30755-2024</t>
        </is>
      </c>
      <c r="B5636" s="1" t="n">
        <v>45496</v>
      </c>
      <c r="C5636" s="1" t="n">
        <v>45705</v>
      </c>
      <c r="D5636" t="inlineStr">
        <is>
          <t>UPPSALA LÄN</t>
        </is>
      </c>
      <c r="E5636" t="inlineStr">
        <is>
          <t>ÖSTHAMMAR</t>
        </is>
      </c>
      <c r="F5636" t="inlineStr">
        <is>
          <t>Bergvik skog öst AB</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30972-2024</t>
        </is>
      </c>
      <c r="B5637" s="1" t="n">
        <v>45499</v>
      </c>
      <c r="C5637" s="1" t="n">
        <v>45705</v>
      </c>
      <c r="D5637" t="inlineStr">
        <is>
          <t>UPPSALA LÄN</t>
        </is>
      </c>
      <c r="E5637" t="inlineStr">
        <is>
          <t>ÖSTHAMMAR</t>
        </is>
      </c>
      <c r="F5637" t="inlineStr">
        <is>
          <t>Bergvik skog öst AB</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30973-2024</t>
        </is>
      </c>
      <c r="B5638" s="1" t="n">
        <v>45499</v>
      </c>
      <c r="C5638" s="1" t="n">
        <v>45705</v>
      </c>
      <c r="D5638" t="inlineStr">
        <is>
          <t>UPPSALA LÄN</t>
        </is>
      </c>
      <c r="E5638" t="inlineStr">
        <is>
          <t>ÖSTHAMMAR</t>
        </is>
      </c>
      <c r="F5638" t="inlineStr">
        <is>
          <t>Bergvik skog öst AB</t>
        </is>
      </c>
      <c r="G5638" t="n">
        <v>4.7</v>
      </c>
      <c r="H5638" t="n">
        <v>0</v>
      </c>
      <c r="I5638" t="n">
        <v>0</v>
      </c>
      <c r="J5638" t="n">
        <v>0</v>
      </c>
      <c r="K5638" t="n">
        <v>0</v>
      </c>
      <c r="L5638" t="n">
        <v>0</v>
      </c>
      <c r="M5638" t="n">
        <v>0</v>
      </c>
      <c r="N5638" t="n">
        <v>0</v>
      </c>
      <c r="O5638" t="n">
        <v>0</v>
      </c>
      <c r="P5638" t="n">
        <v>0</v>
      </c>
      <c r="Q5638" t="n">
        <v>0</v>
      </c>
      <c r="R5638" s="2" t="inlineStr"/>
    </row>
    <row r="5639" ht="15" customHeight="1">
      <c r="A5639" t="inlineStr">
        <is>
          <t>A 31070-2024</t>
        </is>
      </c>
      <c r="B5639" s="1" t="n">
        <v>45502</v>
      </c>
      <c r="C5639" s="1" t="n">
        <v>45705</v>
      </c>
      <c r="D5639" t="inlineStr">
        <is>
          <t>UPPSALA LÄN</t>
        </is>
      </c>
      <c r="E5639" t="inlineStr">
        <is>
          <t>KNIVSTA</t>
        </is>
      </c>
      <c r="G5639" t="n">
        <v>5.9</v>
      </c>
      <c r="H5639" t="n">
        <v>0</v>
      </c>
      <c r="I5639" t="n">
        <v>0</v>
      </c>
      <c r="J5639" t="n">
        <v>0</v>
      </c>
      <c r="K5639" t="n">
        <v>0</v>
      </c>
      <c r="L5639" t="n">
        <v>0</v>
      </c>
      <c r="M5639" t="n">
        <v>0</v>
      </c>
      <c r="N5639" t="n">
        <v>0</v>
      </c>
      <c r="O5639" t="n">
        <v>0</v>
      </c>
      <c r="P5639" t="n">
        <v>0</v>
      </c>
      <c r="Q5639" t="n">
        <v>0</v>
      </c>
      <c r="R5639" s="2" t="inlineStr"/>
    </row>
    <row r="5640" ht="15" customHeight="1">
      <c r="A5640" t="inlineStr">
        <is>
          <t>A 31101-2024</t>
        </is>
      </c>
      <c r="B5640" s="1" t="n">
        <v>45502</v>
      </c>
      <c r="C5640" s="1" t="n">
        <v>45705</v>
      </c>
      <c r="D5640" t="inlineStr">
        <is>
          <t>UPPSALA LÄN</t>
        </is>
      </c>
      <c r="E5640" t="inlineStr">
        <is>
          <t>HEBY</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31178-2024</t>
        </is>
      </c>
      <c r="B5641" s="1" t="n">
        <v>45503</v>
      </c>
      <c r="C5641" s="1" t="n">
        <v>45705</v>
      </c>
      <c r="D5641" t="inlineStr">
        <is>
          <t>UPPSALA LÄN</t>
        </is>
      </c>
      <c r="E5641" t="inlineStr">
        <is>
          <t>HEBY</t>
        </is>
      </c>
      <c r="G5641" t="n">
        <v>3.7</v>
      </c>
      <c r="H5641" t="n">
        <v>0</v>
      </c>
      <c r="I5641" t="n">
        <v>0</v>
      </c>
      <c r="J5641" t="n">
        <v>0</v>
      </c>
      <c r="K5641" t="n">
        <v>0</v>
      </c>
      <c r="L5641" t="n">
        <v>0</v>
      </c>
      <c r="M5641" t="n">
        <v>0</v>
      </c>
      <c r="N5641" t="n">
        <v>0</v>
      </c>
      <c r="O5641" t="n">
        <v>0</v>
      </c>
      <c r="P5641" t="n">
        <v>0</v>
      </c>
      <c r="Q5641" t="n">
        <v>0</v>
      </c>
      <c r="R5641" s="2" t="inlineStr"/>
    </row>
    <row r="5642" ht="15" customHeight="1">
      <c r="A5642" t="inlineStr">
        <is>
          <t>A 31241-2024</t>
        </is>
      </c>
      <c r="B5642" s="1" t="n">
        <v>45503</v>
      </c>
      <c r="C5642" s="1" t="n">
        <v>45705</v>
      </c>
      <c r="D5642" t="inlineStr">
        <is>
          <t>UPPSALA LÄN</t>
        </is>
      </c>
      <c r="E5642" t="inlineStr">
        <is>
          <t>ENKÖPING</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31252-2024</t>
        </is>
      </c>
      <c r="B5643" s="1" t="n">
        <v>45503</v>
      </c>
      <c r="C5643" s="1" t="n">
        <v>45705</v>
      </c>
      <c r="D5643" t="inlineStr">
        <is>
          <t>UPPSALA LÄN</t>
        </is>
      </c>
      <c r="E5643" t="inlineStr">
        <is>
          <t>ENKÖPING</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31240-2024</t>
        </is>
      </c>
      <c r="B5644" s="1" t="n">
        <v>45503</v>
      </c>
      <c r="C5644" s="1" t="n">
        <v>45705</v>
      </c>
      <c r="D5644" t="inlineStr">
        <is>
          <t>UPPSALA LÄN</t>
        </is>
      </c>
      <c r="E5644" t="inlineStr">
        <is>
          <t>ENKÖPING</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31253-2024</t>
        </is>
      </c>
      <c r="B5645" s="1" t="n">
        <v>45503</v>
      </c>
      <c r="C5645" s="1" t="n">
        <v>45705</v>
      </c>
      <c r="D5645" t="inlineStr">
        <is>
          <t>UPPSALA LÄN</t>
        </is>
      </c>
      <c r="E5645" t="inlineStr">
        <is>
          <t>ENKÖPING</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31266-2024</t>
        </is>
      </c>
      <c r="B5646" s="1" t="n">
        <v>45504</v>
      </c>
      <c r="C5646" s="1" t="n">
        <v>45705</v>
      </c>
      <c r="D5646" t="inlineStr">
        <is>
          <t>UPPSALA LÄN</t>
        </is>
      </c>
      <c r="E5646" t="inlineStr">
        <is>
          <t>HEBY</t>
        </is>
      </c>
      <c r="G5646" t="n">
        <v>11.5</v>
      </c>
      <c r="H5646" t="n">
        <v>0</v>
      </c>
      <c r="I5646" t="n">
        <v>0</v>
      </c>
      <c r="J5646" t="n">
        <v>0</v>
      </c>
      <c r="K5646" t="n">
        <v>0</v>
      </c>
      <c r="L5646" t="n">
        <v>0</v>
      </c>
      <c r="M5646" t="n">
        <v>0</v>
      </c>
      <c r="N5646" t="n">
        <v>0</v>
      </c>
      <c r="O5646" t="n">
        <v>0</v>
      </c>
      <c r="P5646" t="n">
        <v>0</v>
      </c>
      <c r="Q5646" t="n">
        <v>0</v>
      </c>
      <c r="R5646" s="2" t="inlineStr"/>
    </row>
    <row r="5647" ht="15" customHeight="1">
      <c r="A5647" t="inlineStr">
        <is>
          <t>A 31593-2024</t>
        </is>
      </c>
      <c r="B5647" s="1" t="n">
        <v>45506</v>
      </c>
      <c r="C5647" s="1" t="n">
        <v>45705</v>
      </c>
      <c r="D5647" t="inlineStr">
        <is>
          <t>UPPSALA LÄN</t>
        </is>
      </c>
      <c r="E5647" t="inlineStr">
        <is>
          <t>TIERP</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31592-2024</t>
        </is>
      </c>
      <c r="B5648" s="1" t="n">
        <v>45506</v>
      </c>
      <c r="C5648" s="1" t="n">
        <v>45705</v>
      </c>
      <c r="D5648" t="inlineStr">
        <is>
          <t>UPPSALA LÄN</t>
        </is>
      </c>
      <c r="E5648" t="inlineStr">
        <is>
          <t>TIERP</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31590-2024</t>
        </is>
      </c>
      <c r="B5649" s="1" t="n">
        <v>45506</v>
      </c>
      <c r="C5649" s="1" t="n">
        <v>45705</v>
      </c>
      <c r="D5649" t="inlineStr">
        <is>
          <t>UPPSALA LÄN</t>
        </is>
      </c>
      <c r="E5649" t="inlineStr">
        <is>
          <t>TIERP</t>
        </is>
      </c>
      <c r="G5649" t="n">
        <v>9.800000000000001</v>
      </c>
      <c r="H5649" t="n">
        <v>0</v>
      </c>
      <c r="I5649" t="n">
        <v>0</v>
      </c>
      <c r="J5649" t="n">
        <v>0</v>
      </c>
      <c r="K5649" t="n">
        <v>0</v>
      </c>
      <c r="L5649" t="n">
        <v>0</v>
      </c>
      <c r="M5649" t="n">
        <v>0</v>
      </c>
      <c r="N5649" t="n">
        <v>0</v>
      </c>
      <c r="O5649" t="n">
        <v>0</v>
      </c>
      <c r="P5649" t="n">
        <v>0</v>
      </c>
      <c r="Q5649" t="n">
        <v>0</v>
      </c>
      <c r="R5649" s="2" t="inlineStr"/>
    </row>
    <row r="5650" ht="15" customHeight="1">
      <c r="A5650" t="inlineStr">
        <is>
          <t>A 31595-2024</t>
        </is>
      </c>
      <c r="B5650" s="1" t="n">
        <v>45506</v>
      </c>
      <c r="C5650" s="1" t="n">
        <v>45705</v>
      </c>
      <c r="D5650" t="inlineStr">
        <is>
          <t>UPPSALA LÄN</t>
        </is>
      </c>
      <c r="E5650" t="inlineStr">
        <is>
          <t>TIERP</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31838-2024</t>
        </is>
      </c>
      <c r="B5651" s="1" t="n">
        <v>45509</v>
      </c>
      <c r="C5651" s="1" t="n">
        <v>45705</v>
      </c>
      <c r="D5651" t="inlineStr">
        <is>
          <t>UPPSALA LÄN</t>
        </is>
      </c>
      <c r="E5651" t="inlineStr">
        <is>
          <t>HEBY</t>
        </is>
      </c>
      <c r="F5651" t="inlineStr">
        <is>
          <t>Allmännings- och besparingsskogar</t>
        </is>
      </c>
      <c r="G5651" t="n">
        <v>5.3</v>
      </c>
      <c r="H5651" t="n">
        <v>0</v>
      </c>
      <c r="I5651" t="n">
        <v>0</v>
      </c>
      <c r="J5651" t="n">
        <v>0</v>
      </c>
      <c r="K5651" t="n">
        <v>0</v>
      </c>
      <c r="L5651" t="n">
        <v>0</v>
      </c>
      <c r="M5651" t="n">
        <v>0</v>
      </c>
      <c r="N5651" t="n">
        <v>0</v>
      </c>
      <c r="O5651" t="n">
        <v>0</v>
      </c>
      <c r="P5651" t="n">
        <v>0</v>
      </c>
      <c r="Q5651" t="n">
        <v>0</v>
      </c>
      <c r="R5651" s="2" t="inlineStr"/>
    </row>
    <row r="5652" ht="15" customHeight="1">
      <c r="A5652" t="inlineStr">
        <is>
          <t>A 31717-2024</t>
        </is>
      </c>
      <c r="B5652" s="1" t="n">
        <v>45509</v>
      </c>
      <c r="C5652" s="1" t="n">
        <v>45705</v>
      </c>
      <c r="D5652" t="inlineStr">
        <is>
          <t>UPPSALA LÄN</t>
        </is>
      </c>
      <c r="E5652" t="inlineStr">
        <is>
          <t>UPPSALA</t>
        </is>
      </c>
      <c r="F5652" t="inlineStr">
        <is>
          <t>Bergvik skog öst AB</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32028-2024</t>
        </is>
      </c>
      <c r="B5653" s="1" t="n">
        <v>45510</v>
      </c>
      <c r="C5653" s="1" t="n">
        <v>45705</v>
      </c>
      <c r="D5653" t="inlineStr">
        <is>
          <t>UPPSALA LÄN</t>
        </is>
      </c>
      <c r="E5653" t="inlineStr">
        <is>
          <t>ENKÖPING</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32083-2024</t>
        </is>
      </c>
      <c r="B5654" s="1" t="n">
        <v>45511</v>
      </c>
      <c r="C5654" s="1" t="n">
        <v>45705</v>
      </c>
      <c r="D5654" t="inlineStr">
        <is>
          <t>UPPSALA LÄN</t>
        </is>
      </c>
      <c r="E5654" t="inlineStr">
        <is>
          <t>ENKÖPING</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32119-2024</t>
        </is>
      </c>
      <c r="B5655" s="1" t="n">
        <v>45511</v>
      </c>
      <c r="C5655" s="1" t="n">
        <v>45705</v>
      </c>
      <c r="D5655" t="inlineStr">
        <is>
          <t>UPPSALA LÄN</t>
        </is>
      </c>
      <c r="E5655" t="inlineStr">
        <is>
          <t>UPPSALA</t>
        </is>
      </c>
      <c r="G5655" t="n">
        <v>3.3</v>
      </c>
      <c r="H5655" t="n">
        <v>0</v>
      </c>
      <c r="I5655" t="n">
        <v>0</v>
      </c>
      <c r="J5655" t="n">
        <v>0</v>
      </c>
      <c r="K5655" t="n">
        <v>0</v>
      </c>
      <c r="L5655" t="n">
        <v>0</v>
      </c>
      <c r="M5655" t="n">
        <v>0</v>
      </c>
      <c r="N5655" t="n">
        <v>0</v>
      </c>
      <c r="O5655" t="n">
        <v>0</v>
      </c>
      <c r="P5655" t="n">
        <v>0</v>
      </c>
      <c r="Q5655" t="n">
        <v>0</v>
      </c>
      <c r="R5655" s="2" t="inlineStr"/>
    </row>
    <row r="5656" ht="15" customHeight="1">
      <c r="A5656" t="inlineStr">
        <is>
          <t>A 32127-2024</t>
        </is>
      </c>
      <c r="B5656" s="1" t="n">
        <v>45511</v>
      </c>
      <c r="C5656" s="1" t="n">
        <v>45705</v>
      </c>
      <c r="D5656" t="inlineStr">
        <is>
          <t>UPPSALA LÄN</t>
        </is>
      </c>
      <c r="E5656" t="inlineStr">
        <is>
          <t>UPPSALA</t>
        </is>
      </c>
      <c r="G5656" t="n">
        <v>3.7</v>
      </c>
      <c r="H5656" t="n">
        <v>0</v>
      </c>
      <c r="I5656" t="n">
        <v>0</v>
      </c>
      <c r="J5656" t="n">
        <v>0</v>
      </c>
      <c r="K5656" t="n">
        <v>0</v>
      </c>
      <c r="L5656" t="n">
        <v>0</v>
      </c>
      <c r="M5656" t="n">
        <v>0</v>
      </c>
      <c r="N5656" t="n">
        <v>0</v>
      </c>
      <c r="O5656" t="n">
        <v>0</v>
      </c>
      <c r="P5656" t="n">
        <v>0</v>
      </c>
      <c r="Q5656" t="n">
        <v>0</v>
      </c>
      <c r="R5656" s="2" t="inlineStr"/>
    </row>
    <row r="5657" ht="15" customHeight="1">
      <c r="A5657" t="inlineStr">
        <is>
          <t>A 32086-2024</t>
        </is>
      </c>
      <c r="B5657" s="1" t="n">
        <v>45511</v>
      </c>
      <c r="C5657" s="1" t="n">
        <v>45705</v>
      </c>
      <c r="D5657" t="inlineStr">
        <is>
          <t>UPPSALA LÄN</t>
        </is>
      </c>
      <c r="E5657" t="inlineStr">
        <is>
          <t>ENKÖPING</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32212-2024</t>
        </is>
      </c>
      <c r="B5658" s="1" t="n">
        <v>45511</v>
      </c>
      <c r="C5658" s="1" t="n">
        <v>45705</v>
      </c>
      <c r="D5658" t="inlineStr">
        <is>
          <t>UPPSALA LÄN</t>
        </is>
      </c>
      <c r="E5658" t="inlineStr">
        <is>
          <t>TIERP</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32098-2024</t>
        </is>
      </c>
      <c r="B5659" s="1" t="n">
        <v>45511</v>
      </c>
      <c r="C5659" s="1" t="n">
        <v>45705</v>
      </c>
      <c r="D5659" t="inlineStr">
        <is>
          <t>UPPSALA LÄN</t>
        </is>
      </c>
      <c r="E5659" t="inlineStr">
        <is>
          <t>TIERP</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32106-2024</t>
        </is>
      </c>
      <c r="B5660" s="1" t="n">
        <v>45511</v>
      </c>
      <c r="C5660" s="1" t="n">
        <v>45705</v>
      </c>
      <c r="D5660" t="inlineStr">
        <is>
          <t>UPPSALA LÄN</t>
        </is>
      </c>
      <c r="E5660" t="inlineStr">
        <is>
          <t>UPPSALA</t>
        </is>
      </c>
      <c r="G5660" t="n">
        <v>5.9</v>
      </c>
      <c r="H5660" t="n">
        <v>0</v>
      </c>
      <c r="I5660" t="n">
        <v>0</v>
      </c>
      <c r="J5660" t="n">
        <v>0</v>
      </c>
      <c r="K5660" t="n">
        <v>0</v>
      </c>
      <c r="L5660" t="n">
        <v>0</v>
      </c>
      <c r="M5660" t="n">
        <v>0</v>
      </c>
      <c r="N5660" t="n">
        <v>0</v>
      </c>
      <c r="O5660" t="n">
        <v>0</v>
      </c>
      <c r="P5660" t="n">
        <v>0</v>
      </c>
      <c r="Q5660" t="n">
        <v>0</v>
      </c>
      <c r="R5660" s="2" t="inlineStr"/>
    </row>
    <row r="5661" ht="15" customHeight="1">
      <c r="A5661" t="inlineStr">
        <is>
          <t>A 32150-2024</t>
        </is>
      </c>
      <c r="B5661" s="1" t="n">
        <v>45511</v>
      </c>
      <c r="C5661" s="1" t="n">
        <v>45705</v>
      </c>
      <c r="D5661" t="inlineStr">
        <is>
          <t>UPPSALA LÄN</t>
        </is>
      </c>
      <c r="E5661" t="inlineStr">
        <is>
          <t>HEBY</t>
        </is>
      </c>
      <c r="G5661" t="n">
        <v>6.3</v>
      </c>
      <c r="H5661" t="n">
        <v>0</v>
      </c>
      <c r="I5661" t="n">
        <v>0</v>
      </c>
      <c r="J5661" t="n">
        <v>0</v>
      </c>
      <c r="K5661" t="n">
        <v>0</v>
      </c>
      <c r="L5661" t="n">
        <v>0</v>
      </c>
      <c r="M5661" t="n">
        <v>0</v>
      </c>
      <c r="N5661" t="n">
        <v>0</v>
      </c>
      <c r="O5661" t="n">
        <v>0</v>
      </c>
      <c r="P5661" t="n">
        <v>0</v>
      </c>
      <c r="Q5661" t="n">
        <v>0</v>
      </c>
      <c r="R5661" s="2" t="inlineStr"/>
    </row>
    <row r="5662" ht="15" customHeight="1">
      <c r="A5662" t="inlineStr">
        <is>
          <t>A 32080-2024</t>
        </is>
      </c>
      <c r="B5662" s="1" t="n">
        <v>45511</v>
      </c>
      <c r="C5662" s="1" t="n">
        <v>45705</v>
      </c>
      <c r="D5662" t="inlineStr">
        <is>
          <t>UPPSALA LÄN</t>
        </is>
      </c>
      <c r="E5662" t="inlineStr">
        <is>
          <t>ENKÖPING</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32190-2024</t>
        </is>
      </c>
      <c r="B5663" s="1" t="n">
        <v>45511</v>
      </c>
      <c r="C5663" s="1" t="n">
        <v>45705</v>
      </c>
      <c r="D5663" t="inlineStr">
        <is>
          <t>UPPSALA LÄN</t>
        </is>
      </c>
      <c r="E5663" t="inlineStr">
        <is>
          <t>ÖSTHAMMAR</t>
        </is>
      </c>
      <c r="F5663" t="inlineStr">
        <is>
          <t>Bergvik skog öst AB</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32192-2024</t>
        </is>
      </c>
      <c r="B5664" s="1" t="n">
        <v>45511</v>
      </c>
      <c r="C5664" s="1" t="n">
        <v>45705</v>
      </c>
      <c r="D5664" t="inlineStr">
        <is>
          <t>UPPSALA LÄN</t>
        </is>
      </c>
      <c r="E5664" t="inlineStr">
        <is>
          <t>ÖSTHAMMAR</t>
        </is>
      </c>
      <c r="F5664" t="inlineStr">
        <is>
          <t>Bergvik skog öst AB</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32193-2024</t>
        </is>
      </c>
      <c r="B5665" s="1" t="n">
        <v>45511</v>
      </c>
      <c r="C5665" s="1" t="n">
        <v>45705</v>
      </c>
      <c r="D5665" t="inlineStr">
        <is>
          <t>UPPSALA LÄN</t>
        </is>
      </c>
      <c r="E5665" t="inlineStr">
        <is>
          <t>ÖSTHAMMAR</t>
        </is>
      </c>
      <c r="F5665" t="inlineStr">
        <is>
          <t>Bergvik skog öst AB</t>
        </is>
      </c>
      <c r="G5665" t="n">
        <v>9.1</v>
      </c>
      <c r="H5665" t="n">
        <v>0</v>
      </c>
      <c r="I5665" t="n">
        <v>0</v>
      </c>
      <c r="J5665" t="n">
        <v>0</v>
      </c>
      <c r="K5665" t="n">
        <v>0</v>
      </c>
      <c r="L5665" t="n">
        <v>0</v>
      </c>
      <c r="M5665" t="n">
        <v>0</v>
      </c>
      <c r="N5665" t="n">
        <v>0</v>
      </c>
      <c r="O5665" t="n">
        <v>0</v>
      </c>
      <c r="P5665" t="n">
        <v>0</v>
      </c>
      <c r="Q5665" t="n">
        <v>0</v>
      </c>
      <c r="R5665" s="2" t="inlineStr"/>
    </row>
    <row r="5666" ht="15" customHeight="1">
      <c r="A5666" t="inlineStr">
        <is>
          <t>A 32181-2024</t>
        </is>
      </c>
      <c r="B5666" s="1" t="n">
        <v>45511</v>
      </c>
      <c r="C5666" s="1" t="n">
        <v>45705</v>
      </c>
      <c r="D5666" t="inlineStr">
        <is>
          <t>UPPSALA LÄN</t>
        </is>
      </c>
      <c r="E5666" t="inlineStr">
        <is>
          <t>HEBY</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32117-2024</t>
        </is>
      </c>
      <c r="B5667" s="1" t="n">
        <v>45511</v>
      </c>
      <c r="C5667" s="1" t="n">
        <v>45705</v>
      </c>
      <c r="D5667" t="inlineStr">
        <is>
          <t>UPPSALA LÄN</t>
        </is>
      </c>
      <c r="E5667" t="inlineStr">
        <is>
          <t>UPPSALA</t>
        </is>
      </c>
      <c r="F5667" t="inlineStr">
        <is>
          <t>Allmännings- och besparingsskogar</t>
        </is>
      </c>
      <c r="G5667" t="n">
        <v>7.4</v>
      </c>
      <c r="H5667" t="n">
        <v>0</v>
      </c>
      <c r="I5667" t="n">
        <v>0</v>
      </c>
      <c r="J5667" t="n">
        <v>0</v>
      </c>
      <c r="K5667" t="n">
        <v>0</v>
      </c>
      <c r="L5667" t="n">
        <v>0</v>
      </c>
      <c r="M5667" t="n">
        <v>0</v>
      </c>
      <c r="N5667" t="n">
        <v>0</v>
      </c>
      <c r="O5667" t="n">
        <v>0</v>
      </c>
      <c r="P5667" t="n">
        <v>0</v>
      </c>
      <c r="Q5667" t="n">
        <v>0</v>
      </c>
      <c r="R5667" s="2" t="inlineStr"/>
    </row>
    <row r="5668" ht="15" customHeight="1">
      <c r="A5668" t="inlineStr">
        <is>
          <t>A 32085-2024</t>
        </is>
      </c>
      <c r="B5668" s="1" t="n">
        <v>45511</v>
      </c>
      <c r="C5668" s="1" t="n">
        <v>45705</v>
      </c>
      <c r="D5668" t="inlineStr">
        <is>
          <t>UPPSALA LÄN</t>
        </is>
      </c>
      <c r="E5668" t="inlineStr">
        <is>
          <t>ENKÖPING</t>
        </is>
      </c>
      <c r="G5668" t="n">
        <v>7.1</v>
      </c>
      <c r="H5668" t="n">
        <v>0</v>
      </c>
      <c r="I5668" t="n">
        <v>0</v>
      </c>
      <c r="J5668" t="n">
        <v>0</v>
      </c>
      <c r="K5668" t="n">
        <v>0</v>
      </c>
      <c r="L5668" t="n">
        <v>0</v>
      </c>
      <c r="M5668" t="n">
        <v>0</v>
      </c>
      <c r="N5668" t="n">
        <v>0</v>
      </c>
      <c r="O5668" t="n">
        <v>0</v>
      </c>
      <c r="P5668" t="n">
        <v>0</v>
      </c>
      <c r="Q5668" t="n">
        <v>0</v>
      </c>
      <c r="R5668" s="2" t="inlineStr"/>
    </row>
    <row r="5669" ht="15" customHeight="1">
      <c r="A5669" t="inlineStr">
        <is>
          <t>A 32081-2024</t>
        </is>
      </c>
      <c r="B5669" s="1" t="n">
        <v>45511</v>
      </c>
      <c r="C5669" s="1" t="n">
        <v>45705</v>
      </c>
      <c r="D5669" t="inlineStr">
        <is>
          <t>UPPSALA LÄN</t>
        </is>
      </c>
      <c r="E5669" t="inlineStr">
        <is>
          <t>ENKÖPING</t>
        </is>
      </c>
      <c r="G5669" t="n">
        <v>5.4</v>
      </c>
      <c r="H5669" t="n">
        <v>0</v>
      </c>
      <c r="I5669" t="n">
        <v>0</v>
      </c>
      <c r="J5669" t="n">
        <v>0</v>
      </c>
      <c r="K5669" t="n">
        <v>0</v>
      </c>
      <c r="L5669" t="n">
        <v>0</v>
      </c>
      <c r="M5669" t="n">
        <v>0</v>
      </c>
      <c r="N5669" t="n">
        <v>0</v>
      </c>
      <c r="O5669" t="n">
        <v>0</v>
      </c>
      <c r="P5669" t="n">
        <v>0</v>
      </c>
      <c r="Q5669" t="n">
        <v>0</v>
      </c>
      <c r="R5669" s="2" t="inlineStr"/>
    </row>
    <row r="5670" ht="15" customHeight="1">
      <c r="A5670" t="inlineStr">
        <is>
          <t>A 32292-2024</t>
        </is>
      </c>
      <c r="B5670" s="1" t="n">
        <v>45512</v>
      </c>
      <c r="C5670" s="1" t="n">
        <v>45705</v>
      </c>
      <c r="D5670" t="inlineStr">
        <is>
          <t>UPPSALA LÄN</t>
        </is>
      </c>
      <c r="E5670" t="inlineStr">
        <is>
          <t>HEBY</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32373-2024</t>
        </is>
      </c>
      <c r="B5671" s="1" t="n">
        <v>45512</v>
      </c>
      <c r="C5671" s="1" t="n">
        <v>45705</v>
      </c>
      <c r="D5671" t="inlineStr">
        <is>
          <t>UPPSALA LÄN</t>
        </is>
      </c>
      <c r="E5671" t="inlineStr">
        <is>
          <t>HEBY</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32476-2024</t>
        </is>
      </c>
      <c r="B5672" s="1" t="n">
        <v>45513</v>
      </c>
      <c r="C5672" s="1" t="n">
        <v>45705</v>
      </c>
      <c r="D5672" t="inlineStr">
        <is>
          <t>UPPSALA LÄN</t>
        </is>
      </c>
      <c r="E5672" t="inlineStr">
        <is>
          <t>ÖSTHAMMAR</t>
        </is>
      </c>
      <c r="F5672" t="inlineStr">
        <is>
          <t>Bergvik skog öst AB</t>
        </is>
      </c>
      <c r="G5672" t="n">
        <v>13.2</v>
      </c>
      <c r="H5672" t="n">
        <v>0</v>
      </c>
      <c r="I5672" t="n">
        <v>0</v>
      </c>
      <c r="J5672" t="n">
        <v>0</v>
      </c>
      <c r="K5672" t="n">
        <v>0</v>
      </c>
      <c r="L5672" t="n">
        <v>0</v>
      </c>
      <c r="M5672" t="n">
        <v>0</v>
      </c>
      <c r="N5672" t="n">
        <v>0</v>
      </c>
      <c r="O5672" t="n">
        <v>0</v>
      </c>
      <c r="P5672" t="n">
        <v>0</v>
      </c>
      <c r="Q5672" t="n">
        <v>0</v>
      </c>
      <c r="R5672" s="2" t="inlineStr"/>
    </row>
    <row r="5673" ht="15" customHeight="1">
      <c r="A5673" t="inlineStr">
        <is>
          <t>A 32483-2024</t>
        </is>
      </c>
      <c r="B5673" s="1" t="n">
        <v>45513</v>
      </c>
      <c r="C5673" s="1" t="n">
        <v>45705</v>
      </c>
      <c r="D5673" t="inlineStr">
        <is>
          <t>UPPSALA LÄN</t>
        </is>
      </c>
      <c r="E5673" t="inlineStr">
        <is>
          <t>ÖSTHAMMAR</t>
        </is>
      </c>
      <c r="F5673" t="inlineStr">
        <is>
          <t>Kyrkan</t>
        </is>
      </c>
      <c r="G5673" t="n">
        <v>4.7</v>
      </c>
      <c r="H5673" t="n">
        <v>0</v>
      </c>
      <c r="I5673" t="n">
        <v>0</v>
      </c>
      <c r="J5673" t="n">
        <v>0</v>
      </c>
      <c r="K5673" t="n">
        <v>0</v>
      </c>
      <c r="L5673" t="n">
        <v>0</v>
      </c>
      <c r="M5673" t="n">
        <v>0</v>
      </c>
      <c r="N5673" t="n">
        <v>0</v>
      </c>
      <c r="O5673" t="n">
        <v>0</v>
      </c>
      <c r="P5673" t="n">
        <v>0</v>
      </c>
      <c r="Q5673" t="n">
        <v>0</v>
      </c>
      <c r="R5673" s="2" t="inlineStr"/>
    </row>
    <row r="5674" ht="15" customHeight="1">
      <c r="A5674" t="inlineStr">
        <is>
          <t>A 32554-2024</t>
        </is>
      </c>
      <c r="B5674" s="1" t="n">
        <v>45513</v>
      </c>
      <c r="C5674" s="1" t="n">
        <v>45705</v>
      </c>
      <c r="D5674" t="inlineStr">
        <is>
          <t>UPPSALA LÄN</t>
        </is>
      </c>
      <c r="E5674" t="inlineStr">
        <is>
          <t>UPPSALA</t>
        </is>
      </c>
      <c r="F5674" t="inlineStr">
        <is>
          <t>Bergvik skog öst AB</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32553-2024</t>
        </is>
      </c>
      <c r="B5675" s="1" t="n">
        <v>45513</v>
      </c>
      <c r="C5675" s="1" t="n">
        <v>45705</v>
      </c>
      <c r="D5675" t="inlineStr">
        <is>
          <t>UPPSALA LÄN</t>
        </is>
      </c>
      <c r="E5675" t="inlineStr">
        <is>
          <t>UPPSALA</t>
        </is>
      </c>
      <c r="F5675" t="inlineStr">
        <is>
          <t>Bergvik skog öst AB</t>
        </is>
      </c>
      <c r="G5675" t="n">
        <v>4.1</v>
      </c>
      <c r="H5675" t="n">
        <v>0</v>
      </c>
      <c r="I5675" t="n">
        <v>0</v>
      </c>
      <c r="J5675" t="n">
        <v>0</v>
      </c>
      <c r="K5675" t="n">
        <v>0</v>
      </c>
      <c r="L5675" t="n">
        <v>0</v>
      </c>
      <c r="M5675" t="n">
        <v>0</v>
      </c>
      <c r="N5675" t="n">
        <v>0</v>
      </c>
      <c r="O5675" t="n">
        <v>0</v>
      </c>
      <c r="P5675" t="n">
        <v>0</v>
      </c>
      <c r="Q5675" t="n">
        <v>0</v>
      </c>
      <c r="R5675" s="2" t="inlineStr"/>
    </row>
    <row r="5676" ht="15" customHeight="1">
      <c r="A5676" t="inlineStr">
        <is>
          <t>A 32878-2024</t>
        </is>
      </c>
      <c r="B5676" s="1" t="n">
        <v>45516</v>
      </c>
      <c r="C5676" s="1" t="n">
        <v>45705</v>
      </c>
      <c r="D5676" t="inlineStr">
        <is>
          <t>UPPSALA LÄN</t>
        </is>
      </c>
      <c r="E5676" t="inlineStr">
        <is>
          <t>ÖSTHAMMAR</t>
        </is>
      </c>
      <c r="F5676" t="inlineStr">
        <is>
          <t>Bergvik skog öst AB</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32873-2024</t>
        </is>
      </c>
      <c r="B5677" s="1" t="n">
        <v>45516</v>
      </c>
      <c r="C5677" s="1" t="n">
        <v>45705</v>
      </c>
      <c r="D5677" t="inlineStr">
        <is>
          <t>UPPSALA LÄN</t>
        </is>
      </c>
      <c r="E5677" t="inlineStr">
        <is>
          <t>TIERP</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32815-2024</t>
        </is>
      </c>
      <c r="B5678" s="1" t="n">
        <v>45516</v>
      </c>
      <c r="C5678" s="1" t="n">
        <v>45705</v>
      </c>
      <c r="D5678" t="inlineStr">
        <is>
          <t>UPPSALA LÄN</t>
        </is>
      </c>
      <c r="E5678" t="inlineStr">
        <is>
          <t>ÖSTHAMMAR</t>
        </is>
      </c>
      <c r="F5678" t="inlineStr">
        <is>
          <t>Bergvik skog öst AB</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32884-2024</t>
        </is>
      </c>
      <c r="B5679" s="1" t="n">
        <v>45516</v>
      </c>
      <c r="C5679" s="1" t="n">
        <v>45705</v>
      </c>
      <c r="D5679" t="inlineStr">
        <is>
          <t>UPPSALA LÄN</t>
        </is>
      </c>
      <c r="E5679" t="inlineStr">
        <is>
          <t>ÖSTHAMMAR</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32802-2024</t>
        </is>
      </c>
      <c r="B5680" s="1" t="n">
        <v>45516</v>
      </c>
      <c r="C5680" s="1" t="n">
        <v>45705</v>
      </c>
      <c r="D5680" t="inlineStr">
        <is>
          <t>UPPSALA LÄN</t>
        </is>
      </c>
      <c r="E5680" t="inlineStr">
        <is>
          <t>TIERP</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32871-2024</t>
        </is>
      </c>
      <c r="B5681" s="1" t="n">
        <v>45516</v>
      </c>
      <c r="C5681" s="1" t="n">
        <v>45705</v>
      </c>
      <c r="D5681" t="inlineStr">
        <is>
          <t>UPPSALA LÄN</t>
        </is>
      </c>
      <c r="E5681" t="inlineStr">
        <is>
          <t>TIERP</t>
        </is>
      </c>
      <c r="G5681" t="n">
        <v>4.8</v>
      </c>
      <c r="H5681" t="n">
        <v>0</v>
      </c>
      <c r="I5681" t="n">
        <v>0</v>
      </c>
      <c r="J5681" t="n">
        <v>0</v>
      </c>
      <c r="K5681" t="n">
        <v>0</v>
      </c>
      <c r="L5681" t="n">
        <v>0</v>
      </c>
      <c r="M5681" t="n">
        <v>0</v>
      </c>
      <c r="N5681" t="n">
        <v>0</v>
      </c>
      <c r="O5681" t="n">
        <v>0</v>
      </c>
      <c r="P5681" t="n">
        <v>0</v>
      </c>
      <c r="Q5681" t="n">
        <v>0</v>
      </c>
      <c r="R5681" s="2" t="inlineStr"/>
    </row>
    <row r="5682" ht="15" customHeight="1">
      <c r="A5682" t="inlineStr">
        <is>
          <t>A 32787-2024</t>
        </is>
      </c>
      <c r="B5682" s="1" t="n">
        <v>45516</v>
      </c>
      <c r="C5682" s="1" t="n">
        <v>45705</v>
      </c>
      <c r="D5682" t="inlineStr">
        <is>
          <t>UPPSALA LÄN</t>
        </is>
      </c>
      <c r="E5682" t="inlineStr">
        <is>
          <t>HEBY</t>
        </is>
      </c>
      <c r="G5682" t="n">
        <v>3.2</v>
      </c>
      <c r="H5682" t="n">
        <v>0</v>
      </c>
      <c r="I5682" t="n">
        <v>0</v>
      </c>
      <c r="J5682" t="n">
        <v>0</v>
      </c>
      <c r="K5682" t="n">
        <v>0</v>
      </c>
      <c r="L5682" t="n">
        <v>0</v>
      </c>
      <c r="M5682" t="n">
        <v>0</v>
      </c>
      <c r="N5682" t="n">
        <v>0</v>
      </c>
      <c r="O5682" t="n">
        <v>0</v>
      </c>
      <c r="P5682" t="n">
        <v>0</v>
      </c>
      <c r="Q5682" t="n">
        <v>0</v>
      </c>
      <c r="R5682" s="2" t="inlineStr"/>
    </row>
    <row r="5683" ht="15" customHeight="1">
      <c r="A5683" t="inlineStr">
        <is>
          <t>A 32946-2024</t>
        </is>
      </c>
      <c r="B5683" s="1" t="n">
        <v>45517</v>
      </c>
      <c r="C5683" s="1" t="n">
        <v>45705</v>
      </c>
      <c r="D5683" t="inlineStr">
        <is>
          <t>UPPSALA LÄN</t>
        </is>
      </c>
      <c r="E5683" t="inlineStr">
        <is>
          <t>HEBY</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32928-2024</t>
        </is>
      </c>
      <c r="B5684" s="1" t="n">
        <v>45517</v>
      </c>
      <c r="C5684" s="1" t="n">
        <v>45705</v>
      </c>
      <c r="D5684" t="inlineStr">
        <is>
          <t>UPPSALA LÄN</t>
        </is>
      </c>
      <c r="E5684" t="inlineStr">
        <is>
          <t>ÖSTHAMMAR</t>
        </is>
      </c>
      <c r="F5684" t="inlineStr">
        <is>
          <t>Bergvik skog öst AB</t>
        </is>
      </c>
      <c r="G5684" t="n">
        <v>4</v>
      </c>
      <c r="H5684" t="n">
        <v>0</v>
      </c>
      <c r="I5684" t="n">
        <v>0</v>
      </c>
      <c r="J5684" t="n">
        <v>0</v>
      </c>
      <c r="K5684" t="n">
        <v>0</v>
      </c>
      <c r="L5684" t="n">
        <v>0</v>
      </c>
      <c r="M5684" t="n">
        <v>0</v>
      </c>
      <c r="N5684" t="n">
        <v>0</v>
      </c>
      <c r="O5684" t="n">
        <v>0</v>
      </c>
      <c r="P5684" t="n">
        <v>0</v>
      </c>
      <c r="Q5684" t="n">
        <v>0</v>
      </c>
      <c r="R5684" s="2" t="inlineStr"/>
    </row>
    <row r="5685" ht="15" customHeight="1">
      <c r="A5685" t="inlineStr">
        <is>
          <t>A 32949-2024</t>
        </is>
      </c>
      <c r="B5685" s="1" t="n">
        <v>45517</v>
      </c>
      <c r="C5685" s="1" t="n">
        <v>45705</v>
      </c>
      <c r="D5685" t="inlineStr">
        <is>
          <t>UPPSALA LÄN</t>
        </is>
      </c>
      <c r="E5685" t="inlineStr">
        <is>
          <t>HEBY</t>
        </is>
      </c>
      <c r="G5685" t="n">
        <v>17.6</v>
      </c>
      <c r="H5685" t="n">
        <v>0</v>
      </c>
      <c r="I5685" t="n">
        <v>0</v>
      </c>
      <c r="J5685" t="n">
        <v>0</v>
      </c>
      <c r="K5685" t="n">
        <v>0</v>
      </c>
      <c r="L5685" t="n">
        <v>0</v>
      </c>
      <c r="M5685" t="n">
        <v>0</v>
      </c>
      <c r="N5685" t="n">
        <v>0</v>
      </c>
      <c r="O5685" t="n">
        <v>0</v>
      </c>
      <c r="P5685" t="n">
        <v>0</v>
      </c>
      <c r="Q5685" t="n">
        <v>0</v>
      </c>
      <c r="R5685" s="2" t="inlineStr"/>
    </row>
    <row r="5686" ht="15" customHeight="1">
      <c r="A5686" t="inlineStr">
        <is>
          <t>A 32967-2024</t>
        </is>
      </c>
      <c r="B5686" s="1" t="n">
        <v>45517</v>
      </c>
      <c r="C5686" s="1" t="n">
        <v>45705</v>
      </c>
      <c r="D5686" t="inlineStr">
        <is>
          <t>UPPSALA LÄN</t>
        </is>
      </c>
      <c r="E5686" t="inlineStr">
        <is>
          <t>ÖSTHAMMAR</t>
        </is>
      </c>
      <c r="F5686" t="inlineStr">
        <is>
          <t>Kyrkan</t>
        </is>
      </c>
      <c r="G5686" t="n">
        <v>6.5</v>
      </c>
      <c r="H5686" t="n">
        <v>0</v>
      </c>
      <c r="I5686" t="n">
        <v>0</v>
      </c>
      <c r="J5686" t="n">
        <v>0</v>
      </c>
      <c r="K5686" t="n">
        <v>0</v>
      </c>
      <c r="L5686" t="n">
        <v>0</v>
      </c>
      <c r="M5686" t="n">
        <v>0</v>
      </c>
      <c r="N5686" t="n">
        <v>0</v>
      </c>
      <c r="O5686" t="n">
        <v>0</v>
      </c>
      <c r="P5686" t="n">
        <v>0</v>
      </c>
      <c r="Q5686" t="n">
        <v>0</v>
      </c>
      <c r="R5686" s="2" t="inlineStr"/>
    </row>
    <row r="5687" ht="15" customHeight="1">
      <c r="A5687" t="inlineStr">
        <is>
          <t>A 33145-2024</t>
        </is>
      </c>
      <c r="B5687" s="1" t="n">
        <v>45518</v>
      </c>
      <c r="C5687" s="1" t="n">
        <v>45705</v>
      </c>
      <c r="D5687" t="inlineStr">
        <is>
          <t>UPPSALA LÄN</t>
        </is>
      </c>
      <c r="E5687" t="inlineStr">
        <is>
          <t>KNIVSTA</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33130-2024</t>
        </is>
      </c>
      <c r="B5688" s="1" t="n">
        <v>45518</v>
      </c>
      <c r="C5688" s="1" t="n">
        <v>45705</v>
      </c>
      <c r="D5688" t="inlineStr">
        <is>
          <t>UPPSALA LÄN</t>
        </is>
      </c>
      <c r="E5688" t="inlineStr">
        <is>
          <t>KNIVSTA</t>
        </is>
      </c>
      <c r="G5688" t="n">
        <v>9.300000000000001</v>
      </c>
      <c r="H5688" t="n">
        <v>0</v>
      </c>
      <c r="I5688" t="n">
        <v>0</v>
      </c>
      <c r="J5688" t="n">
        <v>0</v>
      </c>
      <c r="K5688" t="n">
        <v>0</v>
      </c>
      <c r="L5688" t="n">
        <v>0</v>
      </c>
      <c r="M5688" t="n">
        <v>0</v>
      </c>
      <c r="N5688" t="n">
        <v>0</v>
      </c>
      <c r="O5688" t="n">
        <v>0</v>
      </c>
      <c r="P5688" t="n">
        <v>0</v>
      </c>
      <c r="Q5688" t="n">
        <v>0</v>
      </c>
      <c r="R5688" s="2" t="inlineStr"/>
    </row>
    <row r="5689" ht="15" customHeight="1">
      <c r="A5689" t="inlineStr">
        <is>
          <t>A 33376-2024</t>
        </is>
      </c>
      <c r="B5689" s="1" t="n">
        <v>45519</v>
      </c>
      <c r="C5689" s="1" t="n">
        <v>45705</v>
      </c>
      <c r="D5689" t="inlineStr">
        <is>
          <t>UPPSALA LÄN</t>
        </is>
      </c>
      <c r="E5689" t="inlineStr">
        <is>
          <t>HEBY</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33350-2024</t>
        </is>
      </c>
      <c r="B5690" s="1" t="n">
        <v>45519</v>
      </c>
      <c r="C5690" s="1" t="n">
        <v>45705</v>
      </c>
      <c r="D5690" t="inlineStr">
        <is>
          <t>UPPSALA LÄN</t>
        </is>
      </c>
      <c r="E5690" t="inlineStr">
        <is>
          <t>HEBY</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33366-2024</t>
        </is>
      </c>
      <c r="B5691" s="1" t="n">
        <v>45519</v>
      </c>
      <c r="C5691" s="1" t="n">
        <v>45705</v>
      </c>
      <c r="D5691" t="inlineStr">
        <is>
          <t>UPPSALA LÄN</t>
        </is>
      </c>
      <c r="E5691" t="inlineStr">
        <is>
          <t>HEBY</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33349-2024</t>
        </is>
      </c>
      <c r="B5692" s="1" t="n">
        <v>45519</v>
      </c>
      <c r="C5692" s="1" t="n">
        <v>45705</v>
      </c>
      <c r="D5692" t="inlineStr">
        <is>
          <t>UPPSALA LÄN</t>
        </is>
      </c>
      <c r="E5692" t="inlineStr">
        <is>
          <t>ENKÖPING</t>
        </is>
      </c>
      <c r="G5692" t="n">
        <v>3.6</v>
      </c>
      <c r="H5692" t="n">
        <v>0</v>
      </c>
      <c r="I5692" t="n">
        <v>0</v>
      </c>
      <c r="J5692" t="n">
        <v>0</v>
      </c>
      <c r="K5692" t="n">
        <v>0</v>
      </c>
      <c r="L5692" t="n">
        <v>0</v>
      </c>
      <c r="M5692" t="n">
        <v>0</v>
      </c>
      <c r="N5692" t="n">
        <v>0</v>
      </c>
      <c r="O5692" t="n">
        <v>0</v>
      </c>
      <c r="P5692" t="n">
        <v>0</v>
      </c>
      <c r="Q5692" t="n">
        <v>0</v>
      </c>
      <c r="R5692" s="2" t="inlineStr"/>
    </row>
    <row r="5693" ht="15" customHeight="1">
      <c r="A5693" t="inlineStr">
        <is>
          <t>A 33381-2024</t>
        </is>
      </c>
      <c r="B5693" s="1" t="n">
        <v>45519</v>
      </c>
      <c r="C5693" s="1" t="n">
        <v>45705</v>
      </c>
      <c r="D5693" t="inlineStr">
        <is>
          <t>UPPSALA LÄN</t>
        </is>
      </c>
      <c r="E5693" t="inlineStr">
        <is>
          <t>HEBY</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33409-2024</t>
        </is>
      </c>
      <c r="B5694" s="1" t="n">
        <v>45519</v>
      </c>
      <c r="C5694" s="1" t="n">
        <v>45705</v>
      </c>
      <c r="D5694" t="inlineStr">
        <is>
          <t>UPPSALA LÄN</t>
        </is>
      </c>
      <c r="E5694" t="inlineStr">
        <is>
          <t>HEBY</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33445-2024</t>
        </is>
      </c>
      <c r="B5695" s="1" t="n">
        <v>45519</v>
      </c>
      <c r="C5695" s="1" t="n">
        <v>45705</v>
      </c>
      <c r="D5695" t="inlineStr">
        <is>
          <t>UPPSALA LÄN</t>
        </is>
      </c>
      <c r="E5695" t="inlineStr">
        <is>
          <t>ÖSTHAMMAR</t>
        </is>
      </c>
      <c r="F5695" t="inlineStr">
        <is>
          <t>Bergvik skog öst AB</t>
        </is>
      </c>
      <c r="G5695" t="n">
        <v>5.6</v>
      </c>
      <c r="H5695" t="n">
        <v>0</v>
      </c>
      <c r="I5695" t="n">
        <v>0</v>
      </c>
      <c r="J5695" t="n">
        <v>0</v>
      </c>
      <c r="K5695" t="n">
        <v>0</v>
      </c>
      <c r="L5695" t="n">
        <v>0</v>
      </c>
      <c r="M5695" t="n">
        <v>0</v>
      </c>
      <c r="N5695" t="n">
        <v>0</v>
      </c>
      <c r="O5695" t="n">
        <v>0</v>
      </c>
      <c r="P5695" t="n">
        <v>0</v>
      </c>
      <c r="Q5695" t="n">
        <v>0</v>
      </c>
      <c r="R5695" s="2" t="inlineStr"/>
    </row>
    <row r="5696" ht="15" customHeight="1">
      <c r="A5696" t="inlineStr">
        <is>
          <t>A 33550-2024</t>
        </is>
      </c>
      <c r="B5696" s="1" t="n">
        <v>45519</v>
      </c>
      <c r="C5696" s="1" t="n">
        <v>45705</v>
      </c>
      <c r="D5696" t="inlineStr">
        <is>
          <t>UPPSALA LÄN</t>
        </is>
      </c>
      <c r="E5696" t="inlineStr">
        <is>
          <t>ÖSTHAMMAR</t>
        </is>
      </c>
      <c r="F5696" t="inlineStr">
        <is>
          <t>Bergvik skog öst AB</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33394-2024</t>
        </is>
      </c>
      <c r="B5697" s="1" t="n">
        <v>45519</v>
      </c>
      <c r="C5697" s="1" t="n">
        <v>45705</v>
      </c>
      <c r="D5697" t="inlineStr">
        <is>
          <t>UPPSALA LÄN</t>
        </is>
      </c>
      <c r="E5697" t="inlineStr">
        <is>
          <t>HEBY</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33540-2024</t>
        </is>
      </c>
      <c r="B5698" s="1" t="n">
        <v>45519</v>
      </c>
      <c r="C5698" s="1" t="n">
        <v>45705</v>
      </c>
      <c r="D5698" t="inlineStr">
        <is>
          <t>UPPSALA LÄN</t>
        </is>
      </c>
      <c r="E5698" t="inlineStr">
        <is>
          <t>KNIVSTA</t>
        </is>
      </c>
      <c r="G5698" t="n">
        <v>8</v>
      </c>
      <c r="H5698" t="n">
        <v>0</v>
      </c>
      <c r="I5698" t="n">
        <v>0</v>
      </c>
      <c r="J5698" t="n">
        <v>0</v>
      </c>
      <c r="K5698" t="n">
        <v>0</v>
      </c>
      <c r="L5698" t="n">
        <v>0</v>
      </c>
      <c r="M5698" t="n">
        <v>0</v>
      </c>
      <c r="N5698" t="n">
        <v>0</v>
      </c>
      <c r="O5698" t="n">
        <v>0</v>
      </c>
      <c r="P5698" t="n">
        <v>0</v>
      </c>
      <c r="Q5698" t="n">
        <v>0</v>
      </c>
      <c r="R5698" s="2" t="inlineStr"/>
    </row>
    <row r="5699" ht="15" customHeight="1">
      <c r="A5699" t="inlineStr">
        <is>
          <t>A 33552-2024</t>
        </is>
      </c>
      <c r="B5699" s="1" t="n">
        <v>45519</v>
      </c>
      <c r="C5699" s="1" t="n">
        <v>45705</v>
      </c>
      <c r="D5699" t="inlineStr">
        <is>
          <t>UPPSALA LÄN</t>
        </is>
      </c>
      <c r="E5699" t="inlineStr">
        <is>
          <t>ÖSTHAMMAR</t>
        </is>
      </c>
      <c r="F5699" t="inlineStr">
        <is>
          <t>Bergvik skog öst AB</t>
        </is>
      </c>
      <c r="G5699" t="n">
        <v>0.4</v>
      </c>
      <c r="H5699" t="n">
        <v>0</v>
      </c>
      <c r="I5699" t="n">
        <v>0</v>
      </c>
      <c r="J5699" t="n">
        <v>0</v>
      </c>
      <c r="K5699" t="n">
        <v>0</v>
      </c>
      <c r="L5699" t="n">
        <v>0</v>
      </c>
      <c r="M5699" t="n">
        <v>0</v>
      </c>
      <c r="N5699" t="n">
        <v>0</v>
      </c>
      <c r="O5699" t="n">
        <v>0</v>
      </c>
      <c r="P5699" t="n">
        <v>0</v>
      </c>
      <c r="Q5699" t="n">
        <v>0</v>
      </c>
      <c r="R5699" s="2" t="inlineStr"/>
    </row>
    <row r="5700" ht="15" customHeight="1">
      <c r="A5700" t="inlineStr">
        <is>
          <t>A 33343-2024</t>
        </is>
      </c>
      <c r="B5700" s="1" t="n">
        <v>45519</v>
      </c>
      <c r="C5700" s="1" t="n">
        <v>45705</v>
      </c>
      <c r="D5700" t="inlineStr">
        <is>
          <t>UPPSALA LÄN</t>
        </is>
      </c>
      <c r="E5700" t="inlineStr">
        <is>
          <t>ENKÖPING</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33444-2024</t>
        </is>
      </c>
      <c r="B5701" s="1" t="n">
        <v>45519</v>
      </c>
      <c r="C5701" s="1" t="n">
        <v>45705</v>
      </c>
      <c r="D5701" t="inlineStr">
        <is>
          <t>UPPSALA LÄN</t>
        </is>
      </c>
      <c r="E5701" t="inlineStr">
        <is>
          <t>TIERP</t>
        </is>
      </c>
      <c r="F5701" t="inlineStr">
        <is>
          <t>Bergvik skog väst AB</t>
        </is>
      </c>
      <c r="G5701" t="n">
        <v>57.7</v>
      </c>
      <c r="H5701" t="n">
        <v>0</v>
      </c>
      <c r="I5701" t="n">
        <v>0</v>
      </c>
      <c r="J5701" t="n">
        <v>0</v>
      </c>
      <c r="K5701" t="n">
        <v>0</v>
      </c>
      <c r="L5701" t="n">
        <v>0</v>
      </c>
      <c r="M5701" t="n">
        <v>0</v>
      </c>
      <c r="N5701" t="n">
        <v>0</v>
      </c>
      <c r="O5701" t="n">
        <v>0</v>
      </c>
      <c r="P5701" t="n">
        <v>0</v>
      </c>
      <c r="Q5701" t="n">
        <v>0</v>
      </c>
      <c r="R5701" s="2" t="inlineStr"/>
    </row>
    <row r="5702" ht="15" customHeight="1">
      <c r="A5702" t="inlineStr">
        <is>
          <t>A 33448-2024</t>
        </is>
      </c>
      <c r="B5702" s="1" t="n">
        <v>45519</v>
      </c>
      <c r="C5702" s="1" t="n">
        <v>45705</v>
      </c>
      <c r="D5702" t="inlineStr">
        <is>
          <t>UPPSALA LÄN</t>
        </is>
      </c>
      <c r="E5702" t="inlineStr">
        <is>
          <t>ENKÖPING</t>
        </is>
      </c>
      <c r="G5702" t="n">
        <v>6.1</v>
      </c>
      <c r="H5702" t="n">
        <v>0</v>
      </c>
      <c r="I5702" t="n">
        <v>0</v>
      </c>
      <c r="J5702" t="n">
        <v>0</v>
      </c>
      <c r="K5702" t="n">
        <v>0</v>
      </c>
      <c r="L5702" t="n">
        <v>0</v>
      </c>
      <c r="M5702" t="n">
        <v>0</v>
      </c>
      <c r="N5702" t="n">
        <v>0</v>
      </c>
      <c r="O5702" t="n">
        <v>0</v>
      </c>
      <c r="P5702" t="n">
        <v>0</v>
      </c>
      <c r="Q5702" t="n">
        <v>0</v>
      </c>
      <c r="R5702" s="2" t="inlineStr"/>
    </row>
    <row r="5703" ht="15" customHeight="1">
      <c r="A5703" t="inlineStr">
        <is>
          <t>A 33492-2024</t>
        </is>
      </c>
      <c r="B5703" s="1" t="n">
        <v>45519</v>
      </c>
      <c r="C5703" s="1" t="n">
        <v>45705</v>
      </c>
      <c r="D5703" t="inlineStr">
        <is>
          <t>UPPSALA LÄN</t>
        </is>
      </c>
      <c r="E5703" t="inlineStr">
        <is>
          <t>TIERP</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33496-2024</t>
        </is>
      </c>
      <c r="B5704" s="1" t="n">
        <v>45519</v>
      </c>
      <c r="C5704" s="1" t="n">
        <v>45705</v>
      </c>
      <c r="D5704" t="inlineStr">
        <is>
          <t>UPPSALA LÄN</t>
        </is>
      </c>
      <c r="E5704" t="inlineStr">
        <is>
          <t>HEBY</t>
        </is>
      </c>
      <c r="F5704" t="inlineStr">
        <is>
          <t>Övriga Aktiebolag</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33553-2024</t>
        </is>
      </c>
      <c r="B5705" s="1" t="n">
        <v>45519</v>
      </c>
      <c r="C5705" s="1" t="n">
        <v>45705</v>
      </c>
      <c r="D5705" t="inlineStr">
        <is>
          <t>UPPSALA LÄN</t>
        </is>
      </c>
      <c r="E5705" t="inlineStr">
        <is>
          <t>ÖSTHAMMAR</t>
        </is>
      </c>
      <c r="F5705" t="inlineStr">
        <is>
          <t>Bergvik skog öst AB</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33599-2024</t>
        </is>
      </c>
      <c r="B5706" s="1" t="n">
        <v>45520</v>
      </c>
      <c r="C5706" s="1" t="n">
        <v>45705</v>
      </c>
      <c r="D5706" t="inlineStr">
        <is>
          <t>UPPSALA LÄN</t>
        </is>
      </c>
      <c r="E5706" t="inlineStr">
        <is>
          <t>ÖSTHAMMAR</t>
        </is>
      </c>
      <c r="F5706" t="inlineStr">
        <is>
          <t>Övriga Aktiebolag</t>
        </is>
      </c>
      <c r="G5706" t="n">
        <v>4.2</v>
      </c>
      <c r="H5706" t="n">
        <v>0</v>
      </c>
      <c r="I5706" t="n">
        <v>0</v>
      </c>
      <c r="J5706" t="n">
        <v>0</v>
      </c>
      <c r="K5706" t="n">
        <v>0</v>
      </c>
      <c r="L5706" t="n">
        <v>0</v>
      </c>
      <c r="M5706" t="n">
        <v>0</v>
      </c>
      <c r="N5706" t="n">
        <v>0</v>
      </c>
      <c r="O5706" t="n">
        <v>0</v>
      </c>
      <c r="P5706" t="n">
        <v>0</v>
      </c>
      <c r="Q5706" t="n">
        <v>0</v>
      </c>
      <c r="R5706" s="2" t="inlineStr"/>
    </row>
    <row r="5707" ht="15" customHeight="1">
      <c r="A5707" t="inlineStr">
        <is>
          <t>A 33603-2024</t>
        </is>
      </c>
      <c r="B5707" s="1" t="n">
        <v>45520</v>
      </c>
      <c r="C5707" s="1" t="n">
        <v>45705</v>
      </c>
      <c r="D5707" t="inlineStr">
        <is>
          <t>UPPSALA LÄN</t>
        </is>
      </c>
      <c r="E5707" t="inlineStr">
        <is>
          <t>ÖSTHAMMAR</t>
        </is>
      </c>
      <c r="F5707" t="inlineStr">
        <is>
          <t>Övriga Aktiebolag</t>
        </is>
      </c>
      <c r="G5707" t="n">
        <v>9.199999999999999</v>
      </c>
      <c r="H5707" t="n">
        <v>0</v>
      </c>
      <c r="I5707" t="n">
        <v>0</v>
      </c>
      <c r="J5707" t="n">
        <v>0</v>
      </c>
      <c r="K5707" t="n">
        <v>0</v>
      </c>
      <c r="L5707" t="n">
        <v>0</v>
      </c>
      <c r="M5707" t="n">
        <v>0</v>
      </c>
      <c r="N5707" t="n">
        <v>0</v>
      </c>
      <c r="O5707" t="n">
        <v>0</v>
      </c>
      <c r="P5707" t="n">
        <v>0</v>
      </c>
      <c r="Q5707" t="n">
        <v>0</v>
      </c>
      <c r="R5707" s="2" t="inlineStr"/>
    </row>
    <row r="5708" ht="15" customHeight="1">
      <c r="A5708" t="inlineStr">
        <is>
          <t>A 33601-2024</t>
        </is>
      </c>
      <c r="B5708" s="1" t="n">
        <v>45520</v>
      </c>
      <c r="C5708" s="1" t="n">
        <v>45705</v>
      </c>
      <c r="D5708" t="inlineStr">
        <is>
          <t>UPPSALA LÄN</t>
        </is>
      </c>
      <c r="E5708" t="inlineStr">
        <is>
          <t>ÖSTHAMMAR</t>
        </is>
      </c>
      <c r="F5708" t="inlineStr">
        <is>
          <t>Övriga Aktiebolag</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33622-2024</t>
        </is>
      </c>
      <c r="B5709" s="1" t="n">
        <v>45520</v>
      </c>
      <c r="C5709" s="1" t="n">
        <v>45705</v>
      </c>
      <c r="D5709" t="inlineStr">
        <is>
          <t>UPPSALA LÄN</t>
        </is>
      </c>
      <c r="E5709" t="inlineStr">
        <is>
          <t>UPPSALA</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33665-2024</t>
        </is>
      </c>
      <c r="B5710" s="1" t="n">
        <v>45520</v>
      </c>
      <c r="C5710" s="1" t="n">
        <v>45705</v>
      </c>
      <c r="D5710" t="inlineStr">
        <is>
          <t>UPPSALA LÄN</t>
        </is>
      </c>
      <c r="E5710" t="inlineStr">
        <is>
          <t>ENKÖPING</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33669-2024</t>
        </is>
      </c>
      <c r="B5711" s="1" t="n">
        <v>45520</v>
      </c>
      <c r="C5711" s="1" t="n">
        <v>45705</v>
      </c>
      <c r="D5711" t="inlineStr">
        <is>
          <t>UPPSALA LÄN</t>
        </is>
      </c>
      <c r="E5711" t="inlineStr">
        <is>
          <t>ENKÖPING</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33663-2024</t>
        </is>
      </c>
      <c r="B5712" s="1" t="n">
        <v>45520</v>
      </c>
      <c r="C5712" s="1" t="n">
        <v>45705</v>
      </c>
      <c r="D5712" t="inlineStr">
        <is>
          <t>UPPSALA LÄN</t>
        </is>
      </c>
      <c r="E5712" t="inlineStr">
        <is>
          <t>ENKÖPING</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33667-2024</t>
        </is>
      </c>
      <c r="B5713" s="1" t="n">
        <v>45520</v>
      </c>
      <c r="C5713" s="1" t="n">
        <v>45705</v>
      </c>
      <c r="D5713" t="inlineStr">
        <is>
          <t>UPPSALA LÄN</t>
        </is>
      </c>
      <c r="E5713" t="inlineStr">
        <is>
          <t>UPPSALA</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33680-2024</t>
        </is>
      </c>
      <c r="B5714" s="1" t="n">
        <v>45520</v>
      </c>
      <c r="C5714" s="1" t="n">
        <v>45705</v>
      </c>
      <c r="D5714" t="inlineStr">
        <is>
          <t>UPPSALA LÄN</t>
        </is>
      </c>
      <c r="E5714" t="inlineStr">
        <is>
          <t>ÖSTHAMMAR</t>
        </is>
      </c>
      <c r="F5714" t="inlineStr">
        <is>
          <t>Bergvik skog öst AB</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33781-2024</t>
        </is>
      </c>
      <c r="B5715" s="1" t="n">
        <v>45520</v>
      </c>
      <c r="C5715" s="1" t="n">
        <v>45705</v>
      </c>
      <c r="D5715" t="inlineStr">
        <is>
          <t>UPPSALA LÄN</t>
        </is>
      </c>
      <c r="E5715" t="inlineStr">
        <is>
          <t>ÄLVKARLEBY</t>
        </is>
      </c>
      <c r="F5715" t="inlineStr">
        <is>
          <t>Bergvik skog väst AB</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33767-2024</t>
        </is>
      </c>
      <c r="B5716" s="1" t="n">
        <v>45520</v>
      </c>
      <c r="C5716" s="1" t="n">
        <v>45705</v>
      </c>
      <c r="D5716" t="inlineStr">
        <is>
          <t>UPPSALA LÄN</t>
        </is>
      </c>
      <c r="E5716" t="inlineStr">
        <is>
          <t>ÖSTHAMMAR</t>
        </is>
      </c>
      <c r="F5716" t="inlineStr">
        <is>
          <t>Övriga Aktiebolag</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33800-2024</t>
        </is>
      </c>
      <c r="B5717" s="1" t="n">
        <v>45520</v>
      </c>
      <c r="C5717" s="1" t="n">
        <v>45705</v>
      </c>
      <c r="D5717" t="inlineStr">
        <is>
          <t>UPPSALA LÄN</t>
        </is>
      </c>
      <c r="E5717" t="inlineStr">
        <is>
          <t>ÖSTHAMMAR</t>
        </is>
      </c>
      <c r="F5717" t="inlineStr">
        <is>
          <t>Naturvårdsverket</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33670-2024</t>
        </is>
      </c>
      <c r="B5718" s="1" t="n">
        <v>45520</v>
      </c>
      <c r="C5718" s="1" t="n">
        <v>45705</v>
      </c>
      <c r="D5718" t="inlineStr">
        <is>
          <t>UPPSALA LÄN</t>
        </is>
      </c>
      <c r="E5718" t="inlineStr">
        <is>
          <t>ENKÖPING</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33816-2024</t>
        </is>
      </c>
      <c r="B5719" s="1" t="n">
        <v>45520</v>
      </c>
      <c r="C5719" s="1" t="n">
        <v>45705</v>
      </c>
      <c r="D5719" t="inlineStr">
        <is>
          <t>UPPSALA LÄN</t>
        </is>
      </c>
      <c r="E5719" t="inlineStr">
        <is>
          <t>UPPSALA</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33683-2024</t>
        </is>
      </c>
      <c r="B5720" s="1" t="n">
        <v>45520</v>
      </c>
      <c r="C5720" s="1" t="n">
        <v>45705</v>
      </c>
      <c r="D5720" t="inlineStr">
        <is>
          <t>UPPSALA LÄN</t>
        </is>
      </c>
      <c r="E5720" t="inlineStr">
        <is>
          <t>HEBY</t>
        </is>
      </c>
      <c r="G5720" t="n">
        <v>8</v>
      </c>
      <c r="H5720" t="n">
        <v>0</v>
      </c>
      <c r="I5720" t="n">
        <v>0</v>
      </c>
      <c r="J5720" t="n">
        <v>0</v>
      </c>
      <c r="K5720" t="n">
        <v>0</v>
      </c>
      <c r="L5720" t="n">
        <v>0</v>
      </c>
      <c r="M5720" t="n">
        <v>0</v>
      </c>
      <c r="N5720" t="n">
        <v>0</v>
      </c>
      <c r="O5720" t="n">
        <v>0</v>
      </c>
      <c r="P5720" t="n">
        <v>0</v>
      </c>
      <c r="Q5720" t="n">
        <v>0</v>
      </c>
      <c r="R5720" s="2" t="inlineStr"/>
    </row>
    <row r="5721" ht="15" customHeight="1">
      <c r="A5721" t="inlineStr">
        <is>
          <t>A 33688-2024</t>
        </is>
      </c>
      <c r="B5721" s="1" t="n">
        <v>45520</v>
      </c>
      <c r="C5721" s="1" t="n">
        <v>45705</v>
      </c>
      <c r="D5721" t="inlineStr">
        <is>
          <t>UPPSALA LÄN</t>
        </is>
      </c>
      <c r="E5721" t="inlineStr">
        <is>
          <t>ÖSTHAMMAR</t>
        </is>
      </c>
      <c r="F5721" t="inlineStr">
        <is>
          <t>Bergvik skog öst AB</t>
        </is>
      </c>
      <c r="G5721" t="n">
        <v>5.1</v>
      </c>
      <c r="H5721" t="n">
        <v>0</v>
      </c>
      <c r="I5721" t="n">
        <v>0</v>
      </c>
      <c r="J5721" t="n">
        <v>0</v>
      </c>
      <c r="K5721" t="n">
        <v>0</v>
      </c>
      <c r="L5721" t="n">
        <v>0</v>
      </c>
      <c r="M5721" t="n">
        <v>0</v>
      </c>
      <c r="N5721" t="n">
        <v>0</v>
      </c>
      <c r="O5721" t="n">
        <v>0</v>
      </c>
      <c r="P5721" t="n">
        <v>0</v>
      </c>
      <c r="Q5721" t="n">
        <v>0</v>
      </c>
      <c r="R5721" s="2" t="inlineStr"/>
    </row>
    <row r="5722" ht="15" customHeight="1">
      <c r="A5722" t="inlineStr">
        <is>
          <t>A 33681-2024</t>
        </is>
      </c>
      <c r="B5722" s="1" t="n">
        <v>45520</v>
      </c>
      <c r="C5722" s="1" t="n">
        <v>45705</v>
      </c>
      <c r="D5722" t="inlineStr">
        <is>
          <t>UPPSALA LÄN</t>
        </is>
      </c>
      <c r="E5722" t="inlineStr">
        <is>
          <t>ÖSTHAMMAR</t>
        </is>
      </c>
      <c r="F5722" t="inlineStr">
        <is>
          <t>Bergvik skog öst AB</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33685-2024</t>
        </is>
      </c>
      <c r="B5723" s="1" t="n">
        <v>45520</v>
      </c>
      <c r="C5723" s="1" t="n">
        <v>45705</v>
      </c>
      <c r="D5723" t="inlineStr">
        <is>
          <t>UPPSALA LÄN</t>
        </is>
      </c>
      <c r="E5723" t="inlineStr">
        <is>
          <t>ÖSTHAMMAR</t>
        </is>
      </c>
      <c r="F5723" t="inlineStr">
        <is>
          <t>Bergvik skog öst AB</t>
        </is>
      </c>
      <c r="G5723" t="n">
        <v>3.8</v>
      </c>
      <c r="H5723" t="n">
        <v>0</v>
      </c>
      <c r="I5723" t="n">
        <v>0</v>
      </c>
      <c r="J5723" t="n">
        <v>0</v>
      </c>
      <c r="K5723" t="n">
        <v>0</v>
      </c>
      <c r="L5723" t="n">
        <v>0</v>
      </c>
      <c r="M5723" t="n">
        <v>0</v>
      </c>
      <c r="N5723" t="n">
        <v>0</v>
      </c>
      <c r="O5723" t="n">
        <v>0</v>
      </c>
      <c r="P5723" t="n">
        <v>0</v>
      </c>
      <c r="Q5723" t="n">
        <v>0</v>
      </c>
      <c r="R5723" s="2" t="inlineStr"/>
    </row>
    <row r="5724" ht="15" customHeight="1">
      <c r="A5724" t="inlineStr">
        <is>
          <t>A 33760-2024</t>
        </is>
      </c>
      <c r="B5724" s="1" t="n">
        <v>45520</v>
      </c>
      <c r="C5724" s="1" t="n">
        <v>45705</v>
      </c>
      <c r="D5724" t="inlineStr">
        <is>
          <t>UPPSALA LÄN</t>
        </is>
      </c>
      <c r="E5724" t="inlineStr">
        <is>
          <t>ÖSTHAMMAR</t>
        </is>
      </c>
      <c r="F5724" t="inlineStr">
        <is>
          <t>Övriga Aktiebolag</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33784-2024</t>
        </is>
      </c>
      <c r="B5725" s="1" t="n">
        <v>45520</v>
      </c>
      <c r="C5725" s="1" t="n">
        <v>45705</v>
      </c>
      <c r="D5725" t="inlineStr">
        <is>
          <t>UPPSALA LÄN</t>
        </is>
      </c>
      <c r="E5725" t="inlineStr">
        <is>
          <t>ÖSTHAMMAR</t>
        </is>
      </c>
      <c r="F5725" t="inlineStr">
        <is>
          <t>Naturvårdsverket</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33754-2024</t>
        </is>
      </c>
      <c r="B5726" s="1" t="n">
        <v>45520</v>
      </c>
      <c r="C5726" s="1" t="n">
        <v>45705</v>
      </c>
      <c r="D5726" t="inlineStr">
        <is>
          <t>UPPSALA LÄN</t>
        </is>
      </c>
      <c r="E5726" t="inlineStr">
        <is>
          <t>ÖSTHAMMAR</t>
        </is>
      </c>
      <c r="F5726" t="inlineStr">
        <is>
          <t>Övriga Aktiebolag</t>
        </is>
      </c>
      <c r="G5726" t="n">
        <v>6.9</v>
      </c>
      <c r="H5726" t="n">
        <v>0</v>
      </c>
      <c r="I5726" t="n">
        <v>0</v>
      </c>
      <c r="J5726" t="n">
        <v>0</v>
      </c>
      <c r="K5726" t="n">
        <v>0</v>
      </c>
      <c r="L5726" t="n">
        <v>0</v>
      </c>
      <c r="M5726" t="n">
        <v>0</v>
      </c>
      <c r="N5726" t="n">
        <v>0</v>
      </c>
      <c r="O5726" t="n">
        <v>0</v>
      </c>
      <c r="P5726" t="n">
        <v>0</v>
      </c>
      <c r="Q5726" t="n">
        <v>0</v>
      </c>
      <c r="R5726" s="2" t="inlineStr"/>
    </row>
    <row r="5727" ht="15" customHeight="1">
      <c r="A5727" t="inlineStr">
        <is>
          <t>A 33758-2024</t>
        </is>
      </c>
      <c r="B5727" s="1" t="n">
        <v>45520</v>
      </c>
      <c r="C5727" s="1" t="n">
        <v>45705</v>
      </c>
      <c r="D5727" t="inlineStr">
        <is>
          <t>UPPSALA LÄN</t>
        </is>
      </c>
      <c r="E5727" t="inlineStr">
        <is>
          <t>ÖSTHAMMAR</t>
        </is>
      </c>
      <c r="G5727" t="n">
        <v>6.5</v>
      </c>
      <c r="H5727" t="n">
        <v>0</v>
      </c>
      <c r="I5727" t="n">
        <v>0</v>
      </c>
      <c r="J5727" t="n">
        <v>0</v>
      </c>
      <c r="K5727" t="n">
        <v>0</v>
      </c>
      <c r="L5727" t="n">
        <v>0</v>
      </c>
      <c r="M5727" t="n">
        <v>0</v>
      </c>
      <c r="N5727" t="n">
        <v>0</v>
      </c>
      <c r="O5727" t="n">
        <v>0</v>
      </c>
      <c r="P5727" t="n">
        <v>0</v>
      </c>
      <c r="Q5727" t="n">
        <v>0</v>
      </c>
      <c r="R5727" s="2" t="inlineStr"/>
    </row>
    <row r="5728" ht="15" customHeight="1">
      <c r="A5728" t="inlineStr">
        <is>
          <t>A 33956-2024</t>
        </is>
      </c>
      <c r="B5728" s="1" t="n">
        <v>45523</v>
      </c>
      <c r="C5728" s="1" t="n">
        <v>45705</v>
      </c>
      <c r="D5728" t="inlineStr">
        <is>
          <t>UPPSALA LÄN</t>
        </is>
      </c>
      <c r="E5728" t="inlineStr">
        <is>
          <t>ENKÖPING</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33996-2024</t>
        </is>
      </c>
      <c r="B5729" s="1" t="n">
        <v>45523</v>
      </c>
      <c r="C5729" s="1" t="n">
        <v>45705</v>
      </c>
      <c r="D5729" t="inlineStr">
        <is>
          <t>UPPSALA LÄN</t>
        </is>
      </c>
      <c r="E5729" t="inlineStr">
        <is>
          <t>HEBY</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33939-2024</t>
        </is>
      </c>
      <c r="B5730" s="1" t="n">
        <v>45523</v>
      </c>
      <c r="C5730" s="1" t="n">
        <v>45705</v>
      </c>
      <c r="D5730" t="inlineStr">
        <is>
          <t>UPPSALA LÄN</t>
        </is>
      </c>
      <c r="E5730" t="inlineStr">
        <is>
          <t>UPPSALA</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33951-2024</t>
        </is>
      </c>
      <c r="B5731" s="1" t="n">
        <v>45523</v>
      </c>
      <c r="C5731" s="1" t="n">
        <v>45705</v>
      </c>
      <c r="D5731" t="inlineStr">
        <is>
          <t>UPPSALA LÄN</t>
        </is>
      </c>
      <c r="E5731" t="inlineStr">
        <is>
          <t>ENKÖPING</t>
        </is>
      </c>
      <c r="G5731" t="n">
        <v>3.5</v>
      </c>
      <c r="H5731" t="n">
        <v>0</v>
      </c>
      <c r="I5731" t="n">
        <v>0</v>
      </c>
      <c r="J5731" t="n">
        <v>0</v>
      </c>
      <c r="K5731" t="n">
        <v>0</v>
      </c>
      <c r="L5731" t="n">
        <v>0</v>
      </c>
      <c r="M5731" t="n">
        <v>0</v>
      </c>
      <c r="N5731" t="n">
        <v>0</v>
      </c>
      <c r="O5731" t="n">
        <v>0</v>
      </c>
      <c r="P5731" t="n">
        <v>0</v>
      </c>
      <c r="Q5731" t="n">
        <v>0</v>
      </c>
      <c r="R5731" s="2" t="inlineStr"/>
    </row>
    <row r="5732" ht="15" customHeight="1">
      <c r="A5732" t="inlineStr">
        <is>
          <t>A 33955-2024</t>
        </is>
      </c>
      <c r="B5732" s="1" t="n">
        <v>45523</v>
      </c>
      <c r="C5732" s="1" t="n">
        <v>45705</v>
      </c>
      <c r="D5732" t="inlineStr">
        <is>
          <t>UPPSALA LÄN</t>
        </is>
      </c>
      <c r="E5732" t="inlineStr">
        <is>
          <t>ENKÖPING</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34005-2024</t>
        </is>
      </c>
      <c r="B5733" s="1" t="n">
        <v>45523</v>
      </c>
      <c r="C5733" s="1" t="n">
        <v>45705</v>
      </c>
      <c r="D5733" t="inlineStr">
        <is>
          <t>UPPSALA LÄN</t>
        </is>
      </c>
      <c r="E5733" t="inlineStr">
        <is>
          <t>HEBY</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34095-2024</t>
        </is>
      </c>
      <c r="B5734" s="1" t="n">
        <v>45523</v>
      </c>
      <c r="C5734" s="1" t="n">
        <v>45705</v>
      </c>
      <c r="D5734" t="inlineStr">
        <is>
          <t>UPPSALA LÄN</t>
        </is>
      </c>
      <c r="E5734" t="inlineStr">
        <is>
          <t>TIERP</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34060-2024</t>
        </is>
      </c>
      <c r="B5735" s="1" t="n">
        <v>45523</v>
      </c>
      <c r="C5735" s="1" t="n">
        <v>45705</v>
      </c>
      <c r="D5735" t="inlineStr">
        <is>
          <t>UPPSALA LÄN</t>
        </is>
      </c>
      <c r="E5735" t="inlineStr">
        <is>
          <t>ENKÖPING</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34147-2024</t>
        </is>
      </c>
      <c r="B5736" s="1" t="n">
        <v>45524</v>
      </c>
      <c r="C5736" s="1" t="n">
        <v>45705</v>
      </c>
      <c r="D5736" t="inlineStr">
        <is>
          <t>UPPSALA LÄN</t>
        </is>
      </c>
      <c r="E5736" t="inlineStr">
        <is>
          <t>UPPSALA</t>
        </is>
      </c>
      <c r="F5736" t="inlineStr">
        <is>
          <t>Allmännings- och besparingsskogar</t>
        </is>
      </c>
      <c r="G5736" t="n">
        <v>0.2</v>
      </c>
      <c r="H5736" t="n">
        <v>0</v>
      </c>
      <c r="I5736" t="n">
        <v>0</v>
      </c>
      <c r="J5736" t="n">
        <v>0</v>
      </c>
      <c r="K5736" t="n">
        <v>0</v>
      </c>
      <c r="L5736" t="n">
        <v>0</v>
      </c>
      <c r="M5736" t="n">
        <v>0</v>
      </c>
      <c r="N5736" t="n">
        <v>0</v>
      </c>
      <c r="O5736" t="n">
        <v>0</v>
      </c>
      <c r="P5736" t="n">
        <v>0</v>
      </c>
      <c r="Q5736" t="n">
        <v>0</v>
      </c>
      <c r="R5736" s="2" t="inlineStr"/>
    </row>
    <row r="5737" ht="15" customHeight="1">
      <c r="A5737" t="inlineStr">
        <is>
          <t>A 34185-2024</t>
        </is>
      </c>
      <c r="B5737" s="1" t="n">
        <v>45524</v>
      </c>
      <c r="C5737" s="1" t="n">
        <v>45705</v>
      </c>
      <c r="D5737" t="inlineStr">
        <is>
          <t>UPPSALA LÄN</t>
        </is>
      </c>
      <c r="E5737" t="inlineStr">
        <is>
          <t>ÖSTHAMMAR</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34189-2024</t>
        </is>
      </c>
      <c r="B5738" s="1" t="n">
        <v>45524</v>
      </c>
      <c r="C5738" s="1" t="n">
        <v>45705</v>
      </c>
      <c r="D5738" t="inlineStr">
        <is>
          <t>UPPSALA LÄN</t>
        </is>
      </c>
      <c r="E5738" t="inlineStr">
        <is>
          <t>ÖSTHAMMAR</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34114-2024</t>
        </is>
      </c>
      <c r="B5739" s="1" t="n">
        <v>45524</v>
      </c>
      <c r="C5739" s="1" t="n">
        <v>45705</v>
      </c>
      <c r="D5739" t="inlineStr">
        <is>
          <t>UPPSALA LÄN</t>
        </is>
      </c>
      <c r="E5739" t="inlineStr">
        <is>
          <t>UPPSALA</t>
        </is>
      </c>
      <c r="F5739" t="inlineStr">
        <is>
          <t>Allmännings- och besparingsskogar</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34178-2024</t>
        </is>
      </c>
      <c r="B5740" s="1" t="n">
        <v>45524</v>
      </c>
      <c r="C5740" s="1" t="n">
        <v>45705</v>
      </c>
      <c r="D5740" t="inlineStr">
        <is>
          <t>UPPSALA LÄN</t>
        </is>
      </c>
      <c r="E5740" t="inlineStr">
        <is>
          <t>ÖSTHAMMAR</t>
        </is>
      </c>
      <c r="G5740" t="n">
        <v>3.8</v>
      </c>
      <c r="H5740" t="n">
        <v>0</v>
      </c>
      <c r="I5740" t="n">
        <v>0</v>
      </c>
      <c r="J5740" t="n">
        <v>0</v>
      </c>
      <c r="K5740" t="n">
        <v>0</v>
      </c>
      <c r="L5740" t="n">
        <v>0</v>
      </c>
      <c r="M5740" t="n">
        <v>0</v>
      </c>
      <c r="N5740" t="n">
        <v>0</v>
      </c>
      <c r="O5740" t="n">
        <v>0</v>
      </c>
      <c r="P5740" t="n">
        <v>0</v>
      </c>
      <c r="Q5740" t="n">
        <v>0</v>
      </c>
      <c r="R5740" s="2" t="inlineStr"/>
    </row>
    <row r="5741" ht="15" customHeight="1">
      <c r="A5741" t="inlineStr">
        <is>
          <t>A 34182-2024</t>
        </is>
      </c>
      <c r="B5741" s="1" t="n">
        <v>45524</v>
      </c>
      <c r="C5741" s="1" t="n">
        <v>45705</v>
      </c>
      <c r="D5741" t="inlineStr">
        <is>
          <t>UPPSALA LÄN</t>
        </is>
      </c>
      <c r="E5741" t="inlineStr">
        <is>
          <t>ÖSTHAMMAR</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34494-2024</t>
        </is>
      </c>
      <c r="B5742" s="1" t="n">
        <v>45525</v>
      </c>
      <c r="C5742" s="1" t="n">
        <v>45705</v>
      </c>
      <c r="D5742" t="inlineStr">
        <is>
          <t>UPPSALA LÄN</t>
        </is>
      </c>
      <c r="E5742" t="inlineStr">
        <is>
          <t>TIERP</t>
        </is>
      </c>
      <c r="F5742" t="inlineStr">
        <is>
          <t>Bergvik skog öst AB</t>
        </is>
      </c>
      <c r="G5742" t="n">
        <v>11.6</v>
      </c>
      <c r="H5742" t="n">
        <v>0</v>
      </c>
      <c r="I5742" t="n">
        <v>0</v>
      </c>
      <c r="J5742" t="n">
        <v>0</v>
      </c>
      <c r="K5742" t="n">
        <v>0</v>
      </c>
      <c r="L5742" t="n">
        <v>0</v>
      </c>
      <c r="M5742" t="n">
        <v>0</v>
      </c>
      <c r="N5742" t="n">
        <v>0</v>
      </c>
      <c r="O5742" t="n">
        <v>0</v>
      </c>
      <c r="P5742" t="n">
        <v>0</v>
      </c>
      <c r="Q5742" t="n">
        <v>0</v>
      </c>
      <c r="R5742" s="2" t="inlineStr"/>
    </row>
    <row r="5743" ht="15" customHeight="1">
      <c r="A5743" t="inlineStr">
        <is>
          <t>A 34520-2024</t>
        </is>
      </c>
      <c r="B5743" s="1" t="n">
        <v>45525</v>
      </c>
      <c r="C5743" s="1" t="n">
        <v>45705</v>
      </c>
      <c r="D5743" t="inlineStr">
        <is>
          <t>UPPSALA LÄN</t>
        </is>
      </c>
      <c r="E5743" t="inlineStr">
        <is>
          <t>UPPSALA</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34656-2024</t>
        </is>
      </c>
      <c r="B5744" s="1" t="n">
        <v>45526</v>
      </c>
      <c r="C5744" s="1" t="n">
        <v>45705</v>
      </c>
      <c r="D5744" t="inlineStr">
        <is>
          <t>UPPSALA LÄN</t>
        </is>
      </c>
      <c r="E5744" t="inlineStr">
        <is>
          <t>UPPSALA</t>
        </is>
      </c>
      <c r="G5744" t="n">
        <v>8.199999999999999</v>
      </c>
      <c r="H5744" t="n">
        <v>0</v>
      </c>
      <c r="I5744" t="n">
        <v>0</v>
      </c>
      <c r="J5744" t="n">
        <v>0</v>
      </c>
      <c r="K5744" t="n">
        <v>0</v>
      </c>
      <c r="L5744" t="n">
        <v>0</v>
      </c>
      <c r="M5744" t="n">
        <v>0</v>
      </c>
      <c r="N5744" t="n">
        <v>0</v>
      </c>
      <c r="O5744" t="n">
        <v>0</v>
      </c>
      <c r="P5744" t="n">
        <v>0</v>
      </c>
      <c r="Q5744" t="n">
        <v>0</v>
      </c>
      <c r="R5744" s="2" t="inlineStr"/>
    </row>
    <row r="5745" ht="15" customHeight="1">
      <c r="A5745" t="inlineStr">
        <is>
          <t>A 34805-2024</t>
        </is>
      </c>
      <c r="B5745" s="1" t="n">
        <v>45526</v>
      </c>
      <c r="C5745" s="1" t="n">
        <v>45705</v>
      </c>
      <c r="D5745" t="inlineStr">
        <is>
          <t>UPPSALA LÄN</t>
        </is>
      </c>
      <c r="E5745" t="inlineStr">
        <is>
          <t>ENKÖPING</t>
        </is>
      </c>
      <c r="G5745" t="n">
        <v>3.6</v>
      </c>
      <c r="H5745" t="n">
        <v>0</v>
      </c>
      <c r="I5745" t="n">
        <v>0</v>
      </c>
      <c r="J5745" t="n">
        <v>0</v>
      </c>
      <c r="K5745" t="n">
        <v>0</v>
      </c>
      <c r="L5745" t="n">
        <v>0</v>
      </c>
      <c r="M5745" t="n">
        <v>0</v>
      </c>
      <c r="N5745" t="n">
        <v>0</v>
      </c>
      <c r="O5745" t="n">
        <v>0</v>
      </c>
      <c r="P5745" t="n">
        <v>0</v>
      </c>
      <c r="Q5745" t="n">
        <v>0</v>
      </c>
      <c r="R5745" s="2" t="inlineStr"/>
    </row>
    <row r="5746" ht="15" customHeight="1">
      <c r="A5746" t="inlineStr">
        <is>
          <t>A 34623-2024</t>
        </is>
      </c>
      <c r="B5746" s="1" t="n">
        <v>45526</v>
      </c>
      <c r="C5746" s="1" t="n">
        <v>45705</v>
      </c>
      <c r="D5746" t="inlineStr">
        <is>
          <t>UPPSALA LÄN</t>
        </is>
      </c>
      <c r="E5746" t="inlineStr">
        <is>
          <t>UPPSALA</t>
        </is>
      </c>
      <c r="G5746" t="n">
        <v>21.5</v>
      </c>
      <c r="H5746" t="n">
        <v>0</v>
      </c>
      <c r="I5746" t="n">
        <v>0</v>
      </c>
      <c r="J5746" t="n">
        <v>0</v>
      </c>
      <c r="K5746" t="n">
        <v>0</v>
      </c>
      <c r="L5746" t="n">
        <v>0</v>
      </c>
      <c r="M5746" t="n">
        <v>0</v>
      </c>
      <c r="N5746" t="n">
        <v>0</v>
      </c>
      <c r="O5746" t="n">
        <v>0</v>
      </c>
      <c r="P5746" t="n">
        <v>0</v>
      </c>
      <c r="Q5746" t="n">
        <v>0</v>
      </c>
      <c r="R5746" s="2" t="inlineStr"/>
    </row>
    <row r="5747" ht="15" customHeight="1">
      <c r="A5747" t="inlineStr">
        <is>
          <t>A 34627-2024</t>
        </is>
      </c>
      <c r="B5747" s="1" t="n">
        <v>45526</v>
      </c>
      <c r="C5747" s="1" t="n">
        <v>45705</v>
      </c>
      <c r="D5747" t="inlineStr">
        <is>
          <t>UPPSALA LÄN</t>
        </is>
      </c>
      <c r="E5747" t="inlineStr">
        <is>
          <t>HEBY</t>
        </is>
      </c>
      <c r="G5747" t="n">
        <v>16.1</v>
      </c>
      <c r="H5747" t="n">
        <v>0</v>
      </c>
      <c r="I5747" t="n">
        <v>0</v>
      </c>
      <c r="J5747" t="n">
        <v>0</v>
      </c>
      <c r="K5747" t="n">
        <v>0</v>
      </c>
      <c r="L5747" t="n">
        <v>0</v>
      </c>
      <c r="M5747" t="n">
        <v>0</v>
      </c>
      <c r="N5747" t="n">
        <v>0</v>
      </c>
      <c r="O5747" t="n">
        <v>0</v>
      </c>
      <c r="P5747" t="n">
        <v>0</v>
      </c>
      <c r="Q5747" t="n">
        <v>0</v>
      </c>
      <c r="R5747" s="2" t="inlineStr"/>
    </row>
    <row r="5748" ht="15" customHeight="1">
      <c r="A5748" t="inlineStr">
        <is>
          <t>A 34835-2024</t>
        </is>
      </c>
      <c r="B5748" s="1" t="n">
        <v>45526</v>
      </c>
      <c r="C5748" s="1" t="n">
        <v>45705</v>
      </c>
      <c r="D5748" t="inlineStr">
        <is>
          <t>UPPSALA LÄN</t>
        </is>
      </c>
      <c r="E5748" t="inlineStr">
        <is>
          <t>TIERP</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34838-2024</t>
        </is>
      </c>
      <c r="B5749" s="1" t="n">
        <v>45526</v>
      </c>
      <c r="C5749" s="1" t="n">
        <v>45705</v>
      </c>
      <c r="D5749" t="inlineStr">
        <is>
          <t>UPPSALA LÄN</t>
        </is>
      </c>
      <c r="E5749" t="inlineStr">
        <is>
          <t>TIERP</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34837-2024</t>
        </is>
      </c>
      <c r="B5750" s="1" t="n">
        <v>45526</v>
      </c>
      <c r="C5750" s="1" t="n">
        <v>45705</v>
      </c>
      <c r="D5750" t="inlineStr">
        <is>
          <t>UPPSALA LÄN</t>
        </is>
      </c>
      <c r="E5750" t="inlineStr">
        <is>
          <t>TIERP</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35004-2024</t>
        </is>
      </c>
      <c r="B5751" s="1" t="n">
        <v>45527</v>
      </c>
      <c r="C5751" s="1" t="n">
        <v>45705</v>
      </c>
      <c r="D5751" t="inlineStr">
        <is>
          <t>UPPSALA LÄN</t>
        </is>
      </c>
      <c r="E5751" t="inlineStr">
        <is>
          <t>TIERP</t>
        </is>
      </c>
      <c r="F5751" t="inlineStr">
        <is>
          <t>Bergvik skog väst AB</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35020-2024</t>
        </is>
      </c>
      <c r="B5752" s="1" t="n">
        <v>45527</v>
      </c>
      <c r="C5752" s="1" t="n">
        <v>45705</v>
      </c>
      <c r="D5752" t="inlineStr">
        <is>
          <t>UPPSALA LÄN</t>
        </is>
      </c>
      <c r="E5752" t="inlineStr">
        <is>
          <t>TIERP</t>
        </is>
      </c>
      <c r="F5752" t="inlineStr">
        <is>
          <t>Bergvik skog väst AB</t>
        </is>
      </c>
      <c r="G5752" t="n">
        <v>19.8</v>
      </c>
      <c r="H5752" t="n">
        <v>0</v>
      </c>
      <c r="I5752" t="n">
        <v>0</v>
      </c>
      <c r="J5752" t="n">
        <v>0</v>
      </c>
      <c r="K5752" t="n">
        <v>0</v>
      </c>
      <c r="L5752" t="n">
        <v>0</v>
      </c>
      <c r="M5752" t="n">
        <v>0</v>
      </c>
      <c r="N5752" t="n">
        <v>0</v>
      </c>
      <c r="O5752" t="n">
        <v>0</v>
      </c>
      <c r="P5752" t="n">
        <v>0</v>
      </c>
      <c r="Q5752" t="n">
        <v>0</v>
      </c>
      <c r="R5752" s="2" t="inlineStr"/>
    </row>
    <row r="5753" ht="15" customHeight="1">
      <c r="A5753" t="inlineStr">
        <is>
          <t>A 35052-2024</t>
        </is>
      </c>
      <c r="B5753" s="1" t="n">
        <v>45527</v>
      </c>
      <c r="C5753" s="1" t="n">
        <v>45705</v>
      </c>
      <c r="D5753" t="inlineStr">
        <is>
          <t>UPPSALA LÄN</t>
        </is>
      </c>
      <c r="E5753" t="inlineStr">
        <is>
          <t>ENKÖPING</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35056-2024</t>
        </is>
      </c>
      <c r="B5754" s="1" t="n">
        <v>45527</v>
      </c>
      <c r="C5754" s="1" t="n">
        <v>45705</v>
      </c>
      <c r="D5754" t="inlineStr">
        <is>
          <t>UPPSALA LÄN</t>
        </is>
      </c>
      <c r="E5754" t="inlineStr">
        <is>
          <t>ENKÖPING</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35064-2024</t>
        </is>
      </c>
      <c r="B5755" s="1" t="n">
        <v>45527</v>
      </c>
      <c r="C5755" s="1" t="n">
        <v>45705</v>
      </c>
      <c r="D5755" t="inlineStr">
        <is>
          <t>UPPSALA LÄN</t>
        </is>
      </c>
      <c r="E5755" t="inlineStr">
        <is>
          <t>ENKÖPING</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35072-2024</t>
        </is>
      </c>
      <c r="B5756" s="1" t="n">
        <v>45527</v>
      </c>
      <c r="C5756" s="1" t="n">
        <v>45705</v>
      </c>
      <c r="D5756" t="inlineStr">
        <is>
          <t>UPPSALA LÄN</t>
        </is>
      </c>
      <c r="E5756" t="inlineStr">
        <is>
          <t>ENKÖPING</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35067-2024</t>
        </is>
      </c>
      <c r="B5757" s="1" t="n">
        <v>45527</v>
      </c>
      <c r="C5757" s="1" t="n">
        <v>45705</v>
      </c>
      <c r="D5757" t="inlineStr">
        <is>
          <t>UPPSALA LÄN</t>
        </is>
      </c>
      <c r="E5757" t="inlineStr">
        <is>
          <t>ENKÖPING</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35079-2024</t>
        </is>
      </c>
      <c r="B5758" s="1" t="n">
        <v>45527</v>
      </c>
      <c r="C5758" s="1" t="n">
        <v>45705</v>
      </c>
      <c r="D5758" t="inlineStr">
        <is>
          <t>UPPSALA LÄN</t>
        </is>
      </c>
      <c r="E5758" t="inlineStr">
        <is>
          <t>ENKÖPING</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34980-2024</t>
        </is>
      </c>
      <c r="B5759" s="1" t="n">
        <v>45527</v>
      </c>
      <c r="C5759" s="1" t="n">
        <v>45705</v>
      </c>
      <c r="D5759" t="inlineStr">
        <is>
          <t>UPPSALA LÄN</t>
        </is>
      </c>
      <c r="E5759" t="inlineStr">
        <is>
          <t>TIERP</t>
        </is>
      </c>
      <c r="G5759" t="n">
        <v>4.6</v>
      </c>
      <c r="H5759" t="n">
        <v>0</v>
      </c>
      <c r="I5759" t="n">
        <v>0</v>
      </c>
      <c r="J5759" t="n">
        <v>0</v>
      </c>
      <c r="K5759" t="n">
        <v>0</v>
      </c>
      <c r="L5759" t="n">
        <v>0</v>
      </c>
      <c r="M5759" t="n">
        <v>0</v>
      </c>
      <c r="N5759" t="n">
        <v>0</v>
      </c>
      <c r="O5759" t="n">
        <v>0</v>
      </c>
      <c r="P5759" t="n">
        <v>0</v>
      </c>
      <c r="Q5759" t="n">
        <v>0</v>
      </c>
      <c r="R5759" s="2" t="inlineStr"/>
    </row>
    <row r="5760" ht="15" customHeight="1">
      <c r="A5760" t="inlineStr">
        <is>
          <t>A 35001-2024</t>
        </is>
      </c>
      <c r="B5760" s="1" t="n">
        <v>45527</v>
      </c>
      <c r="C5760" s="1" t="n">
        <v>45705</v>
      </c>
      <c r="D5760" t="inlineStr">
        <is>
          <t>UPPSALA LÄN</t>
        </is>
      </c>
      <c r="E5760" t="inlineStr">
        <is>
          <t>TIERP</t>
        </is>
      </c>
      <c r="F5760" t="inlineStr">
        <is>
          <t>Bergvik skog väst AB</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34963-2024</t>
        </is>
      </c>
      <c r="B5761" s="1" t="n">
        <v>45527</v>
      </c>
      <c r="C5761" s="1" t="n">
        <v>45705</v>
      </c>
      <c r="D5761" t="inlineStr">
        <is>
          <t>UPPSALA LÄN</t>
        </is>
      </c>
      <c r="E5761" t="inlineStr">
        <is>
          <t>ÄLVKARLEBY</t>
        </is>
      </c>
      <c r="F5761" t="inlineStr">
        <is>
          <t>Bergvik skog väst AB</t>
        </is>
      </c>
      <c r="G5761" t="n">
        <v>8.1</v>
      </c>
      <c r="H5761" t="n">
        <v>0</v>
      </c>
      <c r="I5761" t="n">
        <v>0</v>
      </c>
      <c r="J5761" t="n">
        <v>0</v>
      </c>
      <c r="K5761" t="n">
        <v>0</v>
      </c>
      <c r="L5761" t="n">
        <v>0</v>
      </c>
      <c r="M5761" t="n">
        <v>0</v>
      </c>
      <c r="N5761" t="n">
        <v>0</v>
      </c>
      <c r="O5761" t="n">
        <v>0</v>
      </c>
      <c r="P5761" t="n">
        <v>0</v>
      </c>
      <c r="Q5761" t="n">
        <v>0</v>
      </c>
      <c r="R5761" s="2" t="inlineStr"/>
    </row>
    <row r="5762" ht="15" customHeight="1">
      <c r="A5762" t="inlineStr">
        <is>
          <t>A 34855-2024</t>
        </is>
      </c>
      <c r="B5762" s="1" t="n">
        <v>45527</v>
      </c>
      <c r="C5762" s="1" t="n">
        <v>45705</v>
      </c>
      <c r="D5762" t="inlineStr">
        <is>
          <t>UPPSALA LÄN</t>
        </is>
      </c>
      <c r="E5762" t="inlineStr">
        <is>
          <t>TIERP</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35183-2024</t>
        </is>
      </c>
      <c r="B5763" s="1" t="n">
        <v>45530</v>
      </c>
      <c r="C5763" s="1" t="n">
        <v>45705</v>
      </c>
      <c r="D5763" t="inlineStr">
        <is>
          <t>UPPSALA LÄN</t>
        </is>
      </c>
      <c r="E5763" t="inlineStr">
        <is>
          <t>TIERP</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35269-2024</t>
        </is>
      </c>
      <c r="B5764" s="1" t="n">
        <v>45530</v>
      </c>
      <c r="C5764" s="1" t="n">
        <v>45705</v>
      </c>
      <c r="D5764" t="inlineStr">
        <is>
          <t>UPPSALA LÄN</t>
        </is>
      </c>
      <c r="E5764" t="inlineStr">
        <is>
          <t>HEBY</t>
        </is>
      </c>
      <c r="G5764" t="n">
        <v>3.6</v>
      </c>
      <c r="H5764" t="n">
        <v>0</v>
      </c>
      <c r="I5764" t="n">
        <v>0</v>
      </c>
      <c r="J5764" t="n">
        <v>0</v>
      </c>
      <c r="K5764" t="n">
        <v>0</v>
      </c>
      <c r="L5764" t="n">
        <v>0</v>
      </c>
      <c r="M5764" t="n">
        <v>0</v>
      </c>
      <c r="N5764" t="n">
        <v>0</v>
      </c>
      <c r="O5764" t="n">
        <v>0</v>
      </c>
      <c r="P5764" t="n">
        <v>0</v>
      </c>
      <c r="Q5764" t="n">
        <v>0</v>
      </c>
      <c r="R5764" s="2" t="inlineStr"/>
    </row>
    <row r="5765" ht="15" customHeight="1">
      <c r="A5765" t="inlineStr">
        <is>
          <t>A 35291-2024</t>
        </is>
      </c>
      <c r="B5765" s="1" t="n">
        <v>45530</v>
      </c>
      <c r="C5765" s="1" t="n">
        <v>45705</v>
      </c>
      <c r="D5765" t="inlineStr">
        <is>
          <t>UPPSALA LÄN</t>
        </is>
      </c>
      <c r="E5765" t="inlineStr">
        <is>
          <t>KNIVSTA</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35293-2024</t>
        </is>
      </c>
      <c r="B5766" s="1" t="n">
        <v>45530</v>
      </c>
      <c r="C5766" s="1" t="n">
        <v>45705</v>
      </c>
      <c r="D5766" t="inlineStr">
        <is>
          <t>UPPSALA LÄN</t>
        </is>
      </c>
      <c r="E5766" t="inlineStr">
        <is>
          <t>TIERP</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35321-2024</t>
        </is>
      </c>
      <c r="B5767" s="1" t="n">
        <v>45530</v>
      </c>
      <c r="C5767" s="1" t="n">
        <v>45705</v>
      </c>
      <c r="D5767" t="inlineStr">
        <is>
          <t>UPPSALA LÄN</t>
        </is>
      </c>
      <c r="E5767" t="inlineStr">
        <is>
          <t>ÖSTHAMMAR</t>
        </is>
      </c>
      <c r="F5767" t="inlineStr">
        <is>
          <t>Bergvik skog öst AB</t>
        </is>
      </c>
      <c r="G5767" t="n">
        <v>6</v>
      </c>
      <c r="H5767" t="n">
        <v>0</v>
      </c>
      <c r="I5767" t="n">
        <v>0</v>
      </c>
      <c r="J5767" t="n">
        <v>0</v>
      </c>
      <c r="K5767" t="n">
        <v>0</v>
      </c>
      <c r="L5767" t="n">
        <v>0</v>
      </c>
      <c r="M5767" t="n">
        <v>0</v>
      </c>
      <c r="N5767" t="n">
        <v>0</v>
      </c>
      <c r="O5767" t="n">
        <v>0</v>
      </c>
      <c r="P5767" t="n">
        <v>0</v>
      </c>
      <c r="Q5767" t="n">
        <v>0</v>
      </c>
      <c r="R5767" s="2" t="inlineStr"/>
    </row>
    <row r="5768" ht="15" customHeight="1">
      <c r="A5768" t="inlineStr">
        <is>
          <t>A 35319-2024</t>
        </is>
      </c>
      <c r="B5768" s="1" t="n">
        <v>45530</v>
      </c>
      <c r="C5768" s="1" t="n">
        <v>45705</v>
      </c>
      <c r="D5768" t="inlineStr">
        <is>
          <t>UPPSALA LÄN</t>
        </is>
      </c>
      <c r="E5768" t="inlineStr">
        <is>
          <t>ÖSTHAMMAR</t>
        </is>
      </c>
      <c r="F5768" t="inlineStr">
        <is>
          <t>Bergvik skog öst AB</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35296-2024</t>
        </is>
      </c>
      <c r="B5769" s="1" t="n">
        <v>45530</v>
      </c>
      <c r="C5769" s="1" t="n">
        <v>45705</v>
      </c>
      <c r="D5769" t="inlineStr">
        <is>
          <t>UPPSALA LÄN</t>
        </is>
      </c>
      <c r="E5769" t="inlineStr">
        <is>
          <t>KNIVSTA</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35300-2024</t>
        </is>
      </c>
      <c r="B5770" s="1" t="n">
        <v>45530</v>
      </c>
      <c r="C5770" s="1" t="n">
        <v>45705</v>
      </c>
      <c r="D5770" t="inlineStr">
        <is>
          <t>UPPSALA LÄN</t>
        </is>
      </c>
      <c r="E5770" t="inlineStr">
        <is>
          <t>ÖSTHAMMAR</t>
        </is>
      </c>
      <c r="F5770" t="inlineStr">
        <is>
          <t>Bergvik skog öst AB</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35312-2024</t>
        </is>
      </c>
      <c r="B5771" s="1" t="n">
        <v>45530</v>
      </c>
      <c r="C5771" s="1" t="n">
        <v>45705</v>
      </c>
      <c r="D5771" t="inlineStr">
        <is>
          <t>UPPSALA LÄN</t>
        </is>
      </c>
      <c r="E5771" t="inlineStr">
        <is>
          <t>ÖSTHAMMAR</t>
        </is>
      </c>
      <c r="F5771" t="inlineStr">
        <is>
          <t>Bergvik skog öst AB</t>
        </is>
      </c>
      <c r="G5771" t="n">
        <v>0.2</v>
      </c>
      <c r="H5771" t="n">
        <v>0</v>
      </c>
      <c r="I5771" t="n">
        <v>0</v>
      </c>
      <c r="J5771" t="n">
        <v>0</v>
      </c>
      <c r="K5771" t="n">
        <v>0</v>
      </c>
      <c r="L5771" t="n">
        <v>0</v>
      </c>
      <c r="M5771" t="n">
        <v>0</v>
      </c>
      <c r="N5771" t="n">
        <v>0</v>
      </c>
      <c r="O5771" t="n">
        <v>0</v>
      </c>
      <c r="P5771" t="n">
        <v>0</v>
      </c>
      <c r="Q5771" t="n">
        <v>0</v>
      </c>
      <c r="R5771" s="2" t="inlineStr"/>
    </row>
    <row r="5772" ht="15" customHeight="1">
      <c r="A5772" t="inlineStr">
        <is>
          <t>A 35316-2024</t>
        </is>
      </c>
      <c r="B5772" s="1" t="n">
        <v>45530</v>
      </c>
      <c r="C5772" s="1" t="n">
        <v>45705</v>
      </c>
      <c r="D5772" t="inlineStr">
        <is>
          <t>UPPSALA LÄN</t>
        </is>
      </c>
      <c r="E5772" t="inlineStr">
        <is>
          <t>ÖSTHAMMAR</t>
        </is>
      </c>
      <c r="F5772" t="inlineStr">
        <is>
          <t>Bergvik skog öst AB</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35268-2024</t>
        </is>
      </c>
      <c r="B5773" s="1" t="n">
        <v>45530</v>
      </c>
      <c r="C5773" s="1" t="n">
        <v>45705</v>
      </c>
      <c r="D5773" t="inlineStr">
        <is>
          <t>UPPSALA LÄN</t>
        </is>
      </c>
      <c r="E5773" t="inlineStr">
        <is>
          <t>HEBY</t>
        </is>
      </c>
      <c r="G5773" t="n">
        <v>4.5</v>
      </c>
      <c r="H5773" t="n">
        <v>0</v>
      </c>
      <c r="I5773" t="n">
        <v>0</v>
      </c>
      <c r="J5773" t="n">
        <v>0</v>
      </c>
      <c r="K5773" t="n">
        <v>0</v>
      </c>
      <c r="L5773" t="n">
        <v>0</v>
      </c>
      <c r="M5773" t="n">
        <v>0</v>
      </c>
      <c r="N5773" t="n">
        <v>0</v>
      </c>
      <c r="O5773" t="n">
        <v>0</v>
      </c>
      <c r="P5773" t="n">
        <v>0</v>
      </c>
      <c r="Q5773" t="n">
        <v>0</v>
      </c>
      <c r="R5773" s="2" t="inlineStr"/>
    </row>
    <row r="5774" ht="15" customHeight="1">
      <c r="A5774" t="inlineStr">
        <is>
          <t>A 35264-2024</t>
        </is>
      </c>
      <c r="B5774" s="1" t="n">
        <v>45530</v>
      </c>
      <c r="C5774" s="1" t="n">
        <v>45705</v>
      </c>
      <c r="D5774" t="inlineStr">
        <is>
          <t>UPPSALA LÄN</t>
        </is>
      </c>
      <c r="E5774" t="inlineStr">
        <is>
          <t>HEBY</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35177-2024</t>
        </is>
      </c>
      <c r="B5775" s="1" t="n">
        <v>45530</v>
      </c>
      <c r="C5775" s="1" t="n">
        <v>45705</v>
      </c>
      <c r="D5775" t="inlineStr">
        <is>
          <t>UPPSALA LÄN</t>
        </is>
      </c>
      <c r="E5775" t="inlineStr">
        <is>
          <t>ÖSTHAMMAR</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35306-2024</t>
        </is>
      </c>
      <c r="B5776" s="1" t="n">
        <v>45530</v>
      </c>
      <c r="C5776" s="1" t="n">
        <v>45705</v>
      </c>
      <c r="D5776" t="inlineStr">
        <is>
          <t>UPPSALA LÄN</t>
        </is>
      </c>
      <c r="E5776" t="inlineStr">
        <is>
          <t>ÖSTHAMMAR</t>
        </is>
      </c>
      <c r="F5776" t="inlineStr">
        <is>
          <t>Bergvik skog öst AB</t>
        </is>
      </c>
      <c r="G5776" t="n">
        <v>0.3</v>
      </c>
      <c r="H5776" t="n">
        <v>0</v>
      </c>
      <c r="I5776" t="n">
        <v>0</v>
      </c>
      <c r="J5776" t="n">
        <v>0</v>
      </c>
      <c r="K5776" t="n">
        <v>0</v>
      </c>
      <c r="L5776" t="n">
        <v>0</v>
      </c>
      <c r="M5776" t="n">
        <v>0</v>
      </c>
      <c r="N5776" t="n">
        <v>0</v>
      </c>
      <c r="O5776" t="n">
        <v>0</v>
      </c>
      <c r="P5776" t="n">
        <v>0</v>
      </c>
      <c r="Q5776" t="n">
        <v>0</v>
      </c>
      <c r="R5776" s="2" t="inlineStr"/>
    </row>
    <row r="5777" ht="15" customHeight="1">
      <c r="A5777" t="inlineStr">
        <is>
          <t>A 35432-2024</t>
        </is>
      </c>
      <c r="B5777" s="1" t="n">
        <v>45531</v>
      </c>
      <c r="C5777" s="1" t="n">
        <v>45705</v>
      </c>
      <c r="D5777" t="inlineStr">
        <is>
          <t>UPPSALA LÄN</t>
        </is>
      </c>
      <c r="E5777" t="inlineStr">
        <is>
          <t>HEBY</t>
        </is>
      </c>
      <c r="G5777" t="n">
        <v>8.9</v>
      </c>
      <c r="H5777" t="n">
        <v>0</v>
      </c>
      <c r="I5777" t="n">
        <v>0</v>
      </c>
      <c r="J5777" t="n">
        <v>0</v>
      </c>
      <c r="K5777" t="n">
        <v>0</v>
      </c>
      <c r="L5777" t="n">
        <v>0</v>
      </c>
      <c r="M5777" t="n">
        <v>0</v>
      </c>
      <c r="N5777" t="n">
        <v>0</v>
      </c>
      <c r="O5777" t="n">
        <v>0</v>
      </c>
      <c r="P5777" t="n">
        <v>0</v>
      </c>
      <c r="Q5777" t="n">
        <v>0</v>
      </c>
      <c r="R5777" s="2" t="inlineStr"/>
    </row>
    <row r="5778" ht="15" customHeight="1">
      <c r="A5778" t="inlineStr">
        <is>
          <t>A 35607-2024</t>
        </is>
      </c>
      <c r="B5778" s="1" t="n">
        <v>45531</v>
      </c>
      <c r="C5778" s="1" t="n">
        <v>45705</v>
      </c>
      <c r="D5778" t="inlineStr">
        <is>
          <t>UPPSALA LÄN</t>
        </is>
      </c>
      <c r="E5778" t="inlineStr">
        <is>
          <t>TIERP</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35644-2024</t>
        </is>
      </c>
      <c r="B5779" s="1" t="n">
        <v>45532</v>
      </c>
      <c r="C5779" s="1" t="n">
        <v>45705</v>
      </c>
      <c r="D5779" t="inlineStr">
        <is>
          <t>UPPSALA LÄN</t>
        </is>
      </c>
      <c r="E5779" t="inlineStr">
        <is>
          <t>HEBY</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35832-2024</t>
        </is>
      </c>
      <c r="B5780" s="1" t="n">
        <v>45532</v>
      </c>
      <c r="C5780" s="1" t="n">
        <v>45705</v>
      </c>
      <c r="D5780" t="inlineStr">
        <is>
          <t>UPPSALA LÄN</t>
        </is>
      </c>
      <c r="E5780" t="inlineStr">
        <is>
          <t>ÄLVKARLEBY</t>
        </is>
      </c>
      <c r="F5780" t="inlineStr">
        <is>
          <t>Bergvik skog väst AB</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35810-2024</t>
        </is>
      </c>
      <c r="B5781" s="1" t="n">
        <v>45532</v>
      </c>
      <c r="C5781" s="1" t="n">
        <v>45705</v>
      </c>
      <c r="D5781" t="inlineStr">
        <is>
          <t>UPPSALA LÄN</t>
        </is>
      </c>
      <c r="E5781" t="inlineStr">
        <is>
          <t>ÖSTHAMMAR</t>
        </is>
      </c>
      <c r="F5781" t="inlineStr">
        <is>
          <t>Övriga Aktiebolag</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35830-2024</t>
        </is>
      </c>
      <c r="B5782" s="1" t="n">
        <v>45532</v>
      </c>
      <c r="C5782" s="1" t="n">
        <v>45705</v>
      </c>
      <c r="D5782" t="inlineStr">
        <is>
          <t>UPPSALA LÄN</t>
        </is>
      </c>
      <c r="E5782" t="inlineStr">
        <is>
          <t>UPPSALA</t>
        </is>
      </c>
      <c r="G5782" t="n">
        <v>7.6</v>
      </c>
      <c r="H5782" t="n">
        <v>0</v>
      </c>
      <c r="I5782" t="n">
        <v>0</v>
      </c>
      <c r="J5782" t="n">
        <v>0</v>
      </c>
      <c r="K5782" t="n">
        <v>0</v>
      </c>
      <c r="L5782" t="n">
        <v>0</v>
      </c>
      <c r="M5782" t="n">
        <v>0</v>
      </c>
      <c r="N5782" t="n">
        <v>0</v>
      </c>
      <c r="O5782" t="n">
        <v>0</v>
      </c>
      <c r="P5782" t="n">
        <v>0</v>
      </c>
      <c r="Q5782" t="n">
        <v>0</v>
      </c>
      <c r="R5782" s="2" t="inlineStr"/>
    </row>
    <row r="5783" ht="15" customHeight="1">
      <c r="A5783" t="inlineStr">
        <is>
          <t>A 35680-2024</t>
        </is>
      </c>
      <c r="B5783" s="1" t="n">
        <v>45532</v>
      </c>
      <c r="C5783" s="1" t="n">
        <v>45705</v>
      </c>
      <c r="D5783" t="inlineStr">
        <is>
          <t>UPPSALA LÄN</t>
        </is>
      </c>
      <c r="E5783" t="inlineStr">
        <is>
          <t>ENKÖPING</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35909-2024</t>
        </is>
      </c>
      <c r="B5784" s="1" t="n">
        <v>45533</v>
      </c>
      <c r="C5784" s="1" t="n">
        <v>45705</v>
      </c>
      <c r="D5784" t="inlineStr">
        <is>
          <t>UPPSALA LÄN</t>
        </is>
      </c>
      <c r="E5784" t="inlineStr">
        <is>
          <t>HEBY</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35929-2024</t>
        </is>
      </c>
      <c r="B5785" s="1" t="n">
        <v>45533</v>
      </c>
      <c r="C5785" s="1" t="n">
        <v>45705</v>
      </c>
      <c r="D5785" t="inlineStr">
        <is>
          <t>UPPSALA LÄN</t>
        </is>
      </c>
      <c r="E5785" t="inlineStr">
        <is>
          <t>ÖSTHAMMAR</t>
        </is>
      </c>
      <c r="F5785" t="inlineStr">
        <is>
          <t>Övriga Aktiebolag</t>
        </is>
      </c>
      <c r="G5785" t="n">
        <v>15.5</v>
      </c>
      <c r="H5785" t="n">
        <v>0</v>
      </c>
      <c r="I5785" t="n">
        <v>0</v>
      </c>
      <c r="J5785" t="n">
        <v>0</v>
      </c>
      <c r="K5785" t="n">
        <v>0</v>
      </c>
      <c r="L5785" t="n">
        <v>0</v>
      </c>
      <c r="M5785" t="n">
        <v>0</v>
      </c>
      <c r="N5785" t="n">
        <v>0</v>
      </c>
      <c r="O5785" t="n">
        <v>0</v>
      </c>
      <c r="P5785" t="n">
        <v>0</v>
      </c>
      <c r="Q5785" t="n">
        <v>0</v>
      </c>
      <c r="R5785" s="2" t="inlineStr"/>
    </row>
    <row r="5786" ht="15" customHeight="1">
      <c r="A5786" t="inlineStr">
        <is>
          <t>A 35914-2024</t>
        </is>
      </c>
      <c r="B5786" s="1" t="n">
        <v>45533</v>
      </c>
      <c r="C5786" s="1" t="n">
        <v>45705</v>
      </c>
      <c r="D5786" t="inlineStr">
        <is>
          <t>UPPSALA LÄN</t>
        </is>
      </c>
      <c r="E5786" t="inlineStr">
        <is>
          <t>TIERP</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36007-2024</t>
        </is>
      </c>
      <c r="B5787" s="1" t="n">
        <v>45533</v>
      </c>
      <c r="C5787" s="1" t="n">
        <v>45705</v>
      </c>
      <c r="D5787" t="inlineStr">
        <is>
          <t>UPPSALA LÄN</t>
        </is>
      </c>
      <c r="E5787" t="inlineStr">
        <is>
          <t>ENKÖPING</t>
        </is>
      </c>
      <c r="G5787" t="n">
        <v>3.1</v>
      </c>
      <c r="H5787" t="n">
        <v>0</v>
      </c>
      <c r="I5787" t="n">
        <v>0</v>
      </c>
      <c r="J5787" t="n">
        <v>0</v>
      </c>
      <c r="K5787" t="n">
        <v>0</v>
      </c>
      <c r="L5787" t="n">
        <v>0</v>
      </c>
      <c r="M5787" t="n">
        <v>0</v>
      </c>
      <c r="N5787" t="n">
        <v>0</v>
      </c>
      <c r="O5787" t="n">
        <v>0</v>
      </c>
      <c r="P5787" t="n">
        <v>0</v>
      </c>
      <c r="Q5787" t="n">
        <v>0</v>
      </c>
      <c r="R5787" s="2" t="inlineStr"/>
    </row>
    <row r="5788" ht="15" customHeight="1">
      <c r="A5788" t="inlineStr">
        <is>
          <t>A 36015-2024</t>
        </is>
      </c>
      <c r="B5788" s="1" t="n">
        <v>45533</v>
      </c>
      <c r="C5788" s="1" t="n">
        <v>45705</v>
      </c>
      <c r="D5788" t="inlineStr">
        <is>
          <t>UPPSALA LÄN</t>
        </is>
      </c>
      <c r="E5788" t="inlineStr">
        <is>
          <t>UPPSALA</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35936-2024</t>
        </is>
      </c>
      <c r="B5789" s="1" t="n">
        <v>45533</v>
      </c>
      <c r="C5789" s="1" t="n">
        <v>45705</v>
      </c>
      <c r="D5789" t="inlineStr">
        <is>
          <t>UPPSALA LÄN</t>
        </is>
      </c>
      <c r="E5789" t="inlineStr">
        <is>
          <t>ÖSTHAMMAR</t>
        </is>
      </c>
      <c r="F5789" t="inlineStr">
        <is>
          <t>Övriga Aktiebolag</t>
        </is>
      </c>
      <c r="G5789" t="n">
        <v>5.8</v>
      </c>
      <c r="H5789" t="n">
        <v>0</v>
      </c>
      <c r="I5789" t="n">
        <v>0</v>
      </c>
      <c r="J5789" t="n">
        <v>0</v>
      </c>
      <c r="K5789" t="n">
        <v>0</v>
      </c>
      <c r="L5789" t="n">
        <v>0</v>
      </c>
      <c r="M5789" t="n">
        <v>0</v>
      </c>
      <c r="N5789" t="n">
        <v>0</v>
      </c>
      <c r="O5789" t="n">
        <v>0</v>
      </c>
      <c r="P5789" t="n">
        <v>0</v>
      </c>
      <c r="Q5789" t="n">
        <v>0</v>
      </c>
      <c r="R5789" s="2" t="inlineStr"/>
    </row>
    <row r="5790" ht="15" customHeight="1">
      <c r="A5790" t="inlineStr">
        <is>
          <t>A 35933-2024</t>
        </is>
      </c>
      <c r="B5790" s="1" t="n">
        <v>45533</v>
      </c>
      <c r="C5790" s="1" t="n">
        <v>45705</v>
      </c>
      <c r="D5790" t="inlineStr">
        <is>
          <t>UPPSALA LÄN</t>
        </is>
      </c>
      <c r="E5790" t="inlineStr">
        <is>
          <t>ÖSTHAMMAR</t>
        </is>
      </c>
      <c r="F5790" t="inlineStr">
        <is>
          <t>Övriga Aktiebolag</t>
        </is>
      </c>
      <c r="G5790" t="n">
        <v>9.699999999999999</v>
      </c>
      <c r="H5790" t="n">
        <v>0</v>
      </c>
      <c r="I5790" t="n">
        <v>0</v>
      </c>
      <c r="J5790" t="n">
        <v>0</v>
      </c>
      <c r="K5790" t="n">
        <v>0</v>
      </c>
      <c r="L5790" t="n">
        <v>0</v>
      </c>
      <c r="M5790" t="n">
        <v>0</v>
      </c>
      <c r="N5790" t="n">
        <v>0</v>
      </c>
      <c r="O5790" t="n">
        <v>0</v>
      </c>
      <c r="P5790" t="n">
        <v>0</v>
      </c>
      <c r="Q5790" t="n">
        <v>0</v>
      </c>
      <c r="R5790" s="2" t="inlineStr"/>
    </row>
    <row r="5791" ht="15" customHeight="1">
      <c r="A5791" t="inlineStr">
        <is>
          <t>A 36029-2024</t>
        </is>
      </c>
      <c r="B5791" s="1" t="n">
        <v>45533</v>
      </c>
      <c r="C5791" s="1" t="n">
        <v>45705</v>
      </c>
      <c r="D5791" t="inlineStr">
        <is>
          <t>UPPSALA LÄN</t>
        </is>
      </c>
      <c r="E5791" t="inlineStr">
        <is>
          <t>UPPSALA</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36041-2024</t>
        </is>
      </c>
      <c r="B5792" s="1" t="n">
        <v>45533</v>
      </c>
      <c r="C5792" s="1" t="n">
        <v>45705</v>
      </c>
      <c r="D5792" t="inlineStr">
        <is>
          <t>UPPSALA LÄN</t>
        </is>
      </c>
      <c r="E5792" t="inlineStr">
        <is>
          <t>UPPSALA</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36092-2024</t>
        </is>
      </c>
      <c r="B5793" s="1" t="n">
        <v>45533</v>
      </c>
      <c r="C5793" s="1" t="n">
        <v>45705</v>
      </c>
      <c r="D5793" t="inlineStr">
        <is>
          <t>UPPSALA LÄN</t>
        </is>
      </c>
      <c r="E5793" t="inlineStr">
        <is>
          <t>TIERP</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36189-2024</t>
        </is>
      </c>
      <c r="B5794" s="1" t="n">
        <v>45534</v>
      </c>
      <c r="C5794" s="1" t="n">
        <v>45705</v>
      </c>
      <c r="D5794" t="inlineStr">
        <is>
          <t>UPPSALA LÄN</t>
        </is>
      </c>
      <c r="E5794" t="inlineStr">
        <is>
          <t>TIERP</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36171-2024</t>
        </is>
      </c>
      <c r="B5795" s="1" t="n">
        <v>45534</v>
      </c>
      <c r="C5795" s="1" t="n">
        <v>45705</v>
      </c>
      <c r="D5795" t="inlineStr">
        <is>
          <t>UPPSALA LÄN</t>
        </is>
      </c>
      <c r="E5795" t="inlineStr">
        <is>
          <t>ÖSTHAMMAR</t>
        </is>
      </c>
      <c r="F5795" t="inlineStr">
        <is>
          <t>Kyrkan</t>
        </is>
      </c>
      <c r="G5795" t="n">
        <v>8.199999999999999</v>
      </c>
      <c r="H5795" t="n">
        <v>0</v>
      </c>
      <c r="I5795" t="n">
        <v>0</v>
      </c>
      <c r="J5795" t="n">
        <v>0</v>
      </c>
      <c r="K5795" t="n">
        <v>0</v>
      </c>
      <c r="L5795" t="n">
        <v>0</v>
      </c>
      <c r="M5795" t="n">
        <v>0</v>
      </c>
      <c r="N5795" t="n">
        <v>0</v>
      </c>
      <c r="O5795" t="n">
        <v>0</v>
      </c>
      <c r="P5795" t="n">
        <v>0</v>
      </c>
      <c r="Q5795" t="n">
        <v>0</v>
      </c>
      <c r="R5795" s="2" t="inlineStr"/>
    </row>
    <row r="5796" ht="15" customHeight="1">
      <c r="A5796" t="inlineStr">
        <is>
          <t>A 36516-2024</t>
        </is>
      </c>
      <c r="B5796" s="1" t="n">
        <v>45537</v>
      </c>
      <c r="C5796" s="1" t="n">
        <v>45705</v>
      </c>
      <c r="D5796" t="inlineStr">
        <is>
          <t>UPPSALA LÄN</t>
        </is>
      </c>
      <c r="E5796" t="inlineStr">
        <is>
          <t>TIERP</t>
        </is>
      </c>
      <c r="G5796" t="n">
        <v>4.6</v>
      </c>
      <c r="H5796" t="n">
        <v>0</v>
      </c>
      <c r="I5796" t="n">
        <v>0</v>
      </c>
      <c r="J5796" t="n">
        <v>0</v>
      </c>
      <c r="K5796" t="n">
        <v>0</v>
      </c>
      <c r="L5796" t="n">
        <v>0</v>
      </c>
      <c r="M5796" t="n">
        <v>0</v>
      </c>
      <c r="N5796" t="n">
        <v>0</v>
      </c>
      <c r="O5796" t="n">
        <v>0</v>
      </c>
      <c r="P5796" t="n">
        <v>0</v>
      </c>
      <c r="Q5796" t="n">
        <v>0</v>
      </c>
      <c r="R5796" s="2" t="inlineStr"/>
    </row>
    <row r="5797" ht="15" customHeight="1">
      <c r="A5797" t="inlineStr">
        <is>
          <t>A 36521-2024</t>
        </is>
      </c>
      <c r="B5797" s="1" t="n">
        <v>45537</v>
      </c>
      <c r="C5797" s="1" t="n">
        <v>45705</v>
      </c>
      <c r="D5797" t="inlineStr">
        <is>
          <t>UPPSALA LÄN</t>
        </is>
      </c>
      <c r="E5797" t="inlineStr">
        <is>
          <t>TIERP</t>
        </is>
      </c>
      <c r="G5797" t="n">
        <v>5.4</v>
      </c>
      <c r="H5797" t="n">
        <v>0</v>
      </c>
      <c r="I5797" t="n">
        <v>0</v>
      </c>
      <c r="J5797" t="n">
        <v>0</v>
      </c>
      <c r="K5797" t="n">
        <v>0</v>
      </c>
      <c r="L5797" t="n">
        <v>0</v>
      </c>
      <c r="M5797" t="n">
        <v>0</v>
      </c>
      <c r="N5797" t="n">
        <v>0</v>
      </c>
      <c r="O5797" t="n">
        <v>0</v>
      </c>
      <c r="P5797" t="n">
        <v>0</v>
      </c>
      <c r="Q5797" t="n">
        <v>0</v>
      </c>
      <c r="R5797" s="2" t="inlineStr"/>
    </row>
    <row r="5798" ht="15" customHeight="1">
      <c r="A5798" t="inlineStr">
        <is>
          <t>A 36483-2024</t>
        </is>
      </c>
      <c r="B5798" s="1" t="n">
        <v>45537</v>
      </c>
      <c r="C5798" s="1" t="n">
        <v>45705</v>
      </c>
      <c r="D5798" t="inlineStr">
        <is>
          <t>UPPSALA LÄN</t>
        </is>
      </c>
      <c r="E5798" t="inlineStr">
        <is>
          <t>HEBY</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36523-2024</t>
        </is>
      </c>
      <c r="B5799" s="1" t="n">
        <v>45537</v>
      </c>
      <c r="C5799" s="1" t="n">
        <v>45705</v>
      </c>
      <c r="D5799" t="inlineStr">
        <is>
          <t>UPPSALA LÄN</t>
        </is>
      </c>
      <c r="E5799" t="inlineStr">
        <is>
          <t>TIERP</t>
        </is>
      </c>
      <c r="G5799" t="n">
        <v>5.6</v>
      </c>
      <c r="H5799" t="n">
        <v>0</v>
      </c>
      <c r="I5799" t="n">
        <v>0</v>
      </c>
      <c r="J5799" t="n">
        <v>0</v>
      </c>
      <c r="K5799" t="n">
        <v>0</v>
      </c>
      <c r="L5799" t="n">
        <v>0</v>
      </c>
      <c r="M5799" t="n">
        <v>0</v>
      </c>
      <c r="N5799" t="n">
        <v>0</v>
      </c>
      <c r="O5799" t="n">
        <v>0</v>
      </c>
      <c r="P5799" t="n">
        <v>0</v>
      </c>
      <c r="Q5799" t="n">
        <v>0</v>
      </c>
      <c r="R5799" s="2" t="inlineStr"/>
    </row>
    <row r="5800" ht="15" customHeight="1">
      <c r="A5800" t="inlineStr">
        <is>
          <t>A 36830-2024</t>
        </is>
      </c>
      <c r="B5800" s="1" t="n">
        <v>45538</v>
      </c>
      <c r="C5800" s="1" t="n">
        <v>45705</v>
      </c>
      <c r="D5800" t="inlineStr">
        <is>
          <t>UPPSALA LÄN</t>
        </is>
      </c>
      <c r="E5800" t="inlineStr">
        <is>
          <t>TIERP</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36866-2024</t>
        </is>
      </c>
      <c r="B5801" s="1" t="n">
        <v>45538</v>
      </c>
      <c r="C5801" s="1" t="n">
        <v>45705</v>
      </c>
      <c r="D5801" t="inlineStr">
        <is>
          <t>UPPSALA LÄN</t>
        </is>
      </c>
      <c r="E5801" t="inlineStr">
        <is>
          <t>ÖSTHAMMAR</t>
        </is>
      </c>
      <c r="F5801" t="inlineStr">
        <is>
          <t>Bergvik skog öst AB</t>
        </is>
      </c>
      <c r="G5801" t="n">
        <v>5.5</v>
      </c>
      <c r="H5801" t="n">
        <v>0</v>
      </c>
      <c r="I5801" t="n">
        <v>0</v>
      </c>
      <c r="J5801" t="n">
        <v>0</v>
      </c>
      <c r="K5801" t="n">
        <v>0</v>
      </c>
      <c r="L5801" t="n">
        <v>0</v>
      </c>
      <c r="M5801" t="n">
        <v>0</v>
      </c>
      <c r="N5801" t="n">
        <v>0</v>
      </c>
      <c r="O5801" t="n">
        <v>0</v>
      </c>
      <c r="P5801" t="n">
        <v>0</v>
      </c>
      <c r="Q5801" t="n">
        <v>0</v>
      </c>
      <c r="R5801" s="2" t="inlineStr"/>
    </row>
    <row r="5802" ht="15" customHeight="1">
      <c r="A5802" t="inlineStr">
        <is>
          <t>A 36847-2024</t>
        </is>
      </c>
      <c r="B5802" s="1" t="n">
        <v>45538</v>
      </c>
      <c r="C5802" s="1" t="n">
        <v>45705</v>
      </c>
      <c r="D5802" t="inlineStr">
        <is>
          <t>UPPSALA LÄN</t>
        </is>
      </c>
      <c r="E5802" t="inlineStr">
        <is>
          <t>ÖSTHAMMAR</t>
        </is>
      </c>
      <c r="F5802" t="inlineStr">
        <is>
          <t>Bergvik skog öst AB</t>
        </is>
      </c>
      <c r="G5802" t="n">
        <v>6.4</v>
      </c>
      <c r="H5802" t="n">
        <v>0</v>
      </c>
      <c r="I5802" t="n">
        <v>0</v>
      </c>
      <c r="J5802" t="n">
        <v>0</v>
      </c>
      <c r="K5802" t="n">
        <v>0</v>
      </c>
      <c r="L5802" t="n">
        <v>0</v>
      </c>
      <c r="M5802" t="n">
        <v>0</v>
      </c>
      <c r="N5802" t="n">
        <v>0</v>
      </c>
      <c r="O5802" t="n">
        <v>0</v>
      </c>
      <c r="P5802" t="n">
        <v>0</v>
      </c>
      <c r="Q5802" t="n">
        <v>0</v>
      </c>
      <c r="R5802" s="2" t="inlineStr"/>
    </row>
    <row r="5803" ht="15" customHeight="1">
      <c r="A5803" t="inlineStr">
        <is>
          <t>A 36869-2024</t>
        </is>
      </c>
      <c r="B5803" s="1" t="n">
        <v>45538</v>
      </c>
      <c r="C5803" s="1" t="n">
        <v>45705</v>
      </c>
      <c r="D5803" t="inlineStr">
        <is>
          <t>UPPSALA LÄN</t>
        </is>
      </c>
      <c r="E5803" t="inlineStr">
        <is>
          <t>ÖSTHAMMAR</t>
        </is>
      </c>
      <c r="F5803" t="inlineStr">
        <is>
          <t>Bergvik skog öst AB</t>
        </is>
      </c>
      <c r="G5803" t="n">
        <v>3.3</v>
      </c>
      <c r="H5803" t="n">
        <v>0</v>
      </c>
      <c r="I5803" t="n">
        <v>0</v>
      </c>
      <c r="J5803" t="n">
        <v>0</v>
      </c>
      <c r="K5803" t="n">
        <v>0</v>
      </c>
      <c r="L5803" t="n">
        <v>0</v>
      </c>
      <c r="M5803" t="n">
        <v>0</v>
      </c>
      <c r="N5803" t="n">
        <v>0</v>
      </c>
      <c r="O5803" t="n">
        <v>0</v>
      </c>
      <c r="P5803" t="n">
        <v>0</v>
      </c>
      <c r="Q5803" t="n">
        <v>0</v>
      </c>
      <c r="R5803" s="2" t="inlineStr"/>
    </row>
    <row r="5804" ht="15" customHeight="1">
      <c r="A5804" t="inlineStr">
        <is>
          <t>A 36863-2024</t>
        </is>
      </c>
      <c r="B5804" s="1" t="n">
        <v>45538</v>
      </c>
      <c r="C5804" s="1" t="n">
        <v>45705</v>
      </c>
      <c r="D5804" t="inlineStr">
        <is>
          <t>UPPSALA LÄN</t>
        </is>
      </c>
      <c r="E5804" t="inlineStr">
        <is>
          <t>ÖSTHAMMAR</t>
        </is>
      </c>
      <c r="F5804" t="inlineStr">
        <is>
          <t>Bergvik skog öst AB</t>
        </is>
      </c>
      <c r="G5804" t="n">
        <v>5.5</v>
      </c>
      <c r="H5804" t="n">
        <v>0</v>
      </c>
      <c r="I5804" t="n">
        <v>0</v>
      </c>
      <c r="J5804" t="n">
        <v>0</v>
      </c>
      <c r="K5804" t="n">
        <v>0</v>
      </c>
      <c r="L5804" t="n">
        <v>0</v>
      </c>
      <c r="M5804" t="n">
        <v>0</v>
      </c>
      <c r="N5804" t="n">
        <v>0</v>
      </c>
      <c r="O5804" t="n">
        <v>0</v>
      </c>
      <c r="P5804" t="n">
        <v>0</v>
      </c>
      <c r="Q5804" t="n">
        <v>0</v>
      </c>
      <c r="R5804" s="2" t="inlineStr"/>
    </row>
    <row r="5805" ht="15" customHeight="1">
      <c r="A5805" t="inlineStr">
        <is>
          <t>A 36897-2024</t>
        </is>
      </c>
      <c r="B5805" s="1" t="n">
        <v>45538</v>
      </c>
      <c r="C5805" s="1" t="n">
        <v>45705</v>
      </c>
      <c r="D5805" t="inlineStr">
        <is>
          <t>UPPSALA LÄN</t>
        </is>
      </c>
      <c r="E5805" t="inlineStr">
        <is>
          <t>ÖSTHAMMAR</t>
        </is>
      </c>
      <c r="F5805" t="inlineStr">
        <is>
          <t>Bergvik skog öst AB</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36846-2024</t>
        </is>
      </c>
      <c r="B5806" s="1" t="n">
        <v>45538</v>
      </c>
      <c r="C5806" s="1" t="n">
        <v>45705</v>
      </c>
      <c r="D5806" t="inlineStr">
        <is>
          <t>UPPSALA LÄN</t>
        </is>
      </c>
      <c r="E5806" t="inlineStr">
        <is>
          <t>ÖSTHAMMAR</t>
        </is>
      </c>
      <c r="F5806" t="inlineStr">
        <is>
          <t>Bergvik skog öst AB</t>
        </is>
      </c>
      <c r="G5806" t="n">
        <v>6.4</v>
      </c>
      <c r="H5806" t="n">
        <v>0</v>
      </c>
      <c r="I5806" t="n">
        <v>0</v>
      </c>
      <c r="J5806" t="n">
        <v>0</v>
      </c>
      <c r="K5806" t="n">
        <v>0</v>
      </c>
      <c r="L5806" t="n">
        <v>0</v>
      </c>
      <c r="M5806" t="n">
        <v>0</v>
      </c>
      <c r="N5806" t="n">
        <v>0</v>
      </c>
      <c r="O5806" t="n">
        <v>0</v>
      </c>
      <c r="P5806" t="n">
        <v>0</v>
      </c>
      <c r="Q5806" t="n">
        <v>0</v>
      </c>
      <c r="R5806" s="2" t="inlineStr"/>
    </row>
    <row r="5807" ht="15" customHeight="1">
      <c r="A5807" t="inlineStr">
        <is>
          <t>A 36868-2024</t>
        </is>
      </c>
      <c r="B5807" s="1" t="n">
        <v>45538</v>
      </c>
      <c r="C5807" s="1" t="n">
        <v>45705</v>
      </c>
      <c r="D5807" t="inlineStr">
        <is>
          <t>UPPSALA LÄN</t>
        </is>
      </c>
      <c r="E5807" t="inlineStr">
        <is>
          <t>ÖSTHAMMAR</t>
        </is>
      </c>
      <c r="F5807" t="inlineStr">
        <is>
          <t>Bergvik skog öst AB</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36898-2024</t>
        </is>
      </c>
      <c r="B5808" s="1" t="n">
        <v>45538</v>
      </c>
      <c r="C5808" s="1" t="n">
        <v>45705</v>
      </c>
      <c r="D5808" t="inlineStr">
        <is>
          <t>UPPSALA LÄN</t>
        </is>
      </c>
      <c r="E5808" t="inlineStr">
        <is>
          <t>ÖSTHAMMAR</t>
        </is>
      </c>
      <c r="F5808" t="inlineStr">
        <is>
          <t>Bergvik skog öst AB</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36902-2024</t>
        </is>
      </c>
      <c r="B5809" s="1" t="n">
        <v>45538</v>
      </c>
      <c r="C5809" s="1" t="n">
        <v>45705</v>
      </c>
      <c r="D5809" t="inlineStr">
        <is>
          <t>UPPSALA LÄN</t>
        </is>
      </c>
      <c r="E5809" t="inlineStr">
        <is>
          <t>TIERP</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36951-2024</t>
        </is>
      </c>
      <c r="B5810" s="1" t="n">
        <v>45538</v>
      </c>
      <c r="C5810" s="1" t="n">
        <v>45705</v>
      </c>
      <c r="D5810" t="inlineStr">
        <is>
          <t>UPPSALA LÄN</t>
        </is>
      </c>
      <c r="E5810" t="inlineStr">
        <is>
          <t>ÖSTHAMMAR</t>
        </is>
      </c>
      <c r="F5810" t="inlineStr">
        <is>
          <t>Bergvik skog öst AB</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36950-2024</t>
        </is>
      </c>
      <c r="B5811" s="1" t="n">
        <v>45538</v>
      </c>
      <c r="C5811" s="1" t="n">
        <v>45705</v>
      </c>
      <c r="D5811" t="inlineStr">
        <is>
          <t>UPPSALA LÄN</t>
        </is>
      </c>
      <c r="E5811" t="inlineStr">
        <is>
          <t>ÖSTHAMMAR</t>
        </is>
      </c>
      <c r="F5811" t="inlineStr">
        <is>
          <t>Bergvik skog öst AB</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36954-2024</t>
        </is>
      </c>
      <c r="B5812" s="1" t="n">
        <v>45538</v>
      </c>
      <c r="C5812" s="1" t="n">
        <v>45705</v>
      </c>
      <c r="D5812" t="inlineStr">
        <is>
          <t>UPPSALA LÄN</t>
        </is>
      </c>
      <c r="E5812" t="inlineStr">
        <is>
          <t>ÖSTHAMMAR</t>
        </is>
      </c>
      <c r="F5812" t="inlineStr">
        <is>
          <t>Bergvik skog öst AB</t>
        </is>
      </c>
      <c r="G5812" t="n">
        <v>5.1</v>
      </c>
      <c r="H5812" t="n">
        <v>0</v>
      </c>
      <c r="I5812" t="n">
        <v>0</v>
      </c>
      <c r="J5812" t="n">
        <v>0</v>
      </c>
      <c r="K5812" t="n">
        <v>0</v>
      </c>
      <c r="L5812" t="n">
        <v>0</v>
      </c>
      <c r="M5812" t="n">
        <v>0</v>
      </c>
      <c r="N5812" t="n">
        <v>0</v>
      </c>
      <c r="O5812" t="n">
        <v>0</v>
      </c>
      <c r="P5812" t="n">
        <v>0</v>
      </c>
      <c r="Q5812" t="n">
        <v>0</v>
      </c>
      <c r="R5812" s="2" t="inlineStr"/>
    </row>
    <row r="5813" ht="15" customHeight="1">
      <c r="A5813" t="inlineStr">
        <is>
          <t>A 36936-2024</t>
        </is>
      </c>
      <c r="B5813" s="1" t="n">
        <v>45538</v>
      </c>
      <c r="C5813" s="1" t="n">
        <v>45705</v>
      </c>
      <c r="D5813" t="inlineStr">
        <is>
          <t>UPPSALA LÄN</t>
        </is>
      </c>
      <c r="E5813" t="inlineStr">
        <is>
          <t>TIERP</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36940-2024</t>
        </is>
      </c>
      <c r="B5814" s="1" t="n">
        <v>45538</v>
      </c>
      <c r="C5814" s="1" t="n">
        <v>45705</v>
      </c>
      <c r="D5814" t="inlineStr">
        <is>
          <t>UPPSALA LÄN</t>
        </is>
      </c>
      <c r="E5814" t="inlineStr">
        <is>
          <t>ÖSTHAMMAR</t>
        </is>
      </c>
      <c r="F5814" t="inlineStr">
        <is>
          <t>Bergvik skog öst AB</t>
        </is>
      </c>
      <c r="G5814" t="n">
        <v>8.4</v>
      </c>
      <c r="H5814" t="n">
        <v>0</v>
      </c>
      <c r="I5814" t="n">
        <v>0</v>
      </c>
      <c r="J5814" t="n">
        <v>0</v>
      </c>
      <c r="K5814" t="n">
        <v>0</v>
      </c>
      <c r="L5814" t="n">
        <v>0</v>
      </c>
      <c r="M5814" t="n">
        <v>0</v>
      </c>
      <c r="N5814" t="n">
        <v>0</v>
      </c>
      <c r="O5814" t="n">
        <v>0</v>
      </c>
      <c r="P5814" t="n">
        <v>0</v>
      </c>
      <c r="Q5814" t="n">
        <v>0</v>
      </c>
      <c r="R5814" s="2" t="inlineStr"/>
    </row>
    <row r="5815" ht="15" customHeight="1">
      <c r="A5815" t="inlineStr">
        <is>
          <t>A 36948-2024</t>
        </is>
      </c>
      <c r="B5815" s="1" t="n">
        <v>45538</v>
      </c>
      <c r="C5815" s="1" t="n">
        <v>45705</v>
      </c>
      <c r="D5815" t="inlineStr">
        <is>
          <t>UPPSALA LÄN</t>
        </is>
      </c>
      <c r="E5815" t="inlineStr">
        <is>
          <t>ÖSTHAMMAR</t>
        </is>
      </c>
      <c r="F5815" t="inlineStr">
        <is>
          <t>Bergvik skog öst AB</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36952-2024</t>
        </is>
      </c>
      <c r="B5816" s="1" t="n">
        <v>45538</v>
      </c>
      <c r="C5816" s="1" t="n">
        <v>45705</v>
      </c>
      <c r="D5816" t="inlineStr">
        <is>
          <t>UPPSALA LÄN</t>
        </is>
      </c>
      <c r="E5816" t="inlineStr">
        <is>
          <t>ÖSTHAMMAR</t>
        </is>
      </c>
      <c r="F5816" t="inlineStr">
        <is>
          <t>Bergvik skog öst AB</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36956-2024</t>
        </is>
      </c>
      <c r="B5817" s="1" t="n">
        <v>45538</v>
      </c>
      <c r="C5817" s="1" t="n">
        <v>45705</v>
      </c>
      <c r="D5817" t="inlineStr">
        <is>
          <t>UPPSALA LÄN</t>
        </is>
      </c>
      <c r="E5817" t="inlineStr">
        <is>
          <t>ÖSTHAMMAR</t>
        </is>
      </c>
      <c r="F5817" t="inlineStr">
        <is>
          <t>Bergvik skog öst AB</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36937-2024</t>
        </is>
      </c>
      <c r="B5818" s="1" t="n">
        <v>45538</v>
      </c>
      <c r="C5818" s="1" t="n">
        <v>45705</v>
      </c>
      <c r="D5818" t="inlineStr">
        <is>
          <t>UPPSALA LÄN</t>
        </is>
      </c>
      <c r="E5818" t="inlineStr">
        <is>
          <t>ÖSTHAMMAR</t>
        </is>
      </c>
      <c r="F5818" t="inlineStr">
        <is>
          <t>Bergvik skog öst AB</t>
        </is>
      </c>
      <c r="G5818" t="n">
        <v>8.4</v>
      </c>
      <c r="H5818" t="n">
        <v>0</v>
      </c>
      <c r="I5818" t="n">
        <v>0</v>
      </c>
      <c r="J5818" t="n">
        <v>0</v>
      </c>
      <c r="K5818" t="n">
        <v>0</v>
      </c>
      <c r="L5818" t="n">
        <v>0</v>
      </c>
      <c r="M5818" t="n">
        <v>0</v>
      </c>
      <c r="N5818" t="n">
        <v>0</v>
      </c>
      <c r="O5818" t="n">
        <v>0</v>
      </c>
      <c r="P5818" t="n">
        <v>0</v>
      </c>
      <c r="Q5818" t="n">
        <v>0</v>
      </c>
      <c r="R5818" s="2" t="inlineStr"/>
    </row>
    <row r="5819" ht="15" customHeight="1">
      <c r="A5819" t="inlineStr">
        <is>
          <t>A 36953-2024</t>
        </is>
      </c>
      <c r="B5819" s="1" t="n">
        <v>45538</v>
      </c>
      <c r="C5819" s="1" t="n">
        <v>45705</v>
      </c>
      <c r="D5819" t="inlineStr">
        <is>
          <t>UPPSALA LÄN</t>
        </is>
      </c>
      <c r="E5819" t="inlineStr">
        <is>
          <t>ÖSTHAMMAR</t>
        </is>
      </c>
      <c r="F5819" t="inlineStr">
        <is>
          <t>Bergvik skog öst AB</t>
        </is>
      </c>
      <c r="G5819" t="n">
        <v>5.1</v>
      </c>
      <c r="H5819" t="n">
        <v>0</v>
      </c>
      <c r="I5819" t="n">
        <v>0</v>
      </c>
      <c r="J5819" t="n">
        <v>0</v>
      </c>
      <c r="K5819" t="n">
        <v>0</v>
      </c>
      <c r="L5819" t="n">
        <v>0</v>
      </c>
      <c r="M5819" t="n">
        <v>0</v>
      </c>
      <c r="N5819" t="n">
        <v>0</v>
      </c>
      <c r="O5819" t="n">
        <v>0</v>
      </c>
      <c r="P5819" t="n">
        <v>0</v>
      </c>
      <c r="Q5819" t="n">
        <v>0</v>
      </c>
      <c r="R5819" s="2" t="inlineStr"/>
    </row>
    <row r="5820" ht="15" customHeight="1">
      <c r="A5820" t="inlineStr">
        <is>
          <t>A 36958-2024</t>
        </is>
      </c>
      <c r="B5820" s="1" t="n">
        <v>45538</v>
      </c>
      <c r="C5820" s="1" t="n">
        <v>45705</v>
      </c>
      <c r="D5820" t="inlineStr">
        <is>
          <t>UPPSALA LÄN</t>
        </is>
      </c>
      <c r="E5820" t="inlineStr">
        <is>
          <t>ÖSTHAMMAR</t>
        </is>
      </c>
      <c r="F5820" t="inlineStr">
        <is>
          <t>Bergvik skog öst AB</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37111-2024</t>
        </is>
      </c>
      <c r="B5821" s="1" t="n">
        <v>45539</v>
      </c>
      <c r="C5821" s="1" t="n">
        <v>45705</v>
      </c>
      <c r="D5821" t="inlineStr">
        <is>
          <t>UPPSALA LÄN</t>
        </is>
      </c>
      <c r="E5821" t="inlineStr">
        <is>
          <t>HEBY</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37115-2024</t>
        </is>
      </c>
      <c r="B5822" s="1" t="n">
        <v>45539</v>
      </c>
      <c r="C5822" s="1" t="n">
        <v>45705</v>
      </c>
      <c r="D5822" t="inlineStr">
        <is>
          <t>UPPSALA LÄN</t>
        </is>
      </c>
      <c r="E5822" t="inlineStr">
        <is>
          <t>ENKÖPING</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37032-2024</t>
        </is>
      </c>
      <c r="B5823" s="1" t="n">
        <v>45539</v>
      </c>
      <c r="C5823" s="1" t="n">
        <v>45705</v>
      </c>
      <c r="D5823" t="inlineStr">
        <is>
          <t>UPPSALA LÄN</t>
        </is>
      </c>
      <c r="E5823" t="inlineStr">
        <is>
          <t>UPPSALA</t>
        </is>
      </c>
      <c r="G5823" t="n">
        <v>7.2</v>
      </c>
      <c r="H5823" t="n">
        <v>0</v>
      </c>
      <c r="I5823" t="n">
        <v>0</v>
      </c>
      <c r="J5823" t="n">
        <v>0</v>
      </c>
      <c r="K5823" t="n">
        <v>0</v>
      </c>
      <c r="L5823" t="n">
        <v>0</v>
      </c>
      <c r="M5823" t="n">
        <v>0</v>
      </c>
      <c r="N5823" t="n">
        <v>0</v>
      </c>
      <c r="O5823" t="n">
        <v>0</v>
      </c>
      <c r="P5823" t="n">
        <v>0</v>
      </c>
      <c r="Q5823" t="n">
        <v>0</v>
      </c>
      <c r="R5823" s="2" t="inlineStr"/>
    </row>
    <row r="5824" ht="15" customHeight="1">
      <c r="A5824" t="inlineStr">
        <is>
          <t>A 37053-2024</t>
        </is>
      </c>
      <c r="B5824" s="1" t="n">
        <v>45539</v>
      </c>
      <c r="C5824" s="1" t="n">
        <v>45705</v>
      </c>
      <c r="D5824" t="inlineStr">
        <is>
          <t>UPPSALA LÄN</t>
        </is>
      </c>
      <c r="E5824" t="inlineStr">
        <is>
          <t>TIERP</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37073-2024</t>
        </is>
      </c>
      <c r="B5825" s="1" t="n">
        <v>45539</v>
      </c>
      <c r="C5825" s="1" t="n">
        <v>45705</v>
      </c>
      <c r="D5825" t="inlineStr">
        <is>
          <t>UPPSALA LÄN</t>
        </is>
      </c>
      <c r="E5825" t="inlineStr">
        <is>
          <t>HEBY</t>
        </is>
      </c>
      <c r="G5825" t="n">
        <v>5.3</v>
      </c>
      <c r="H5825" t="n">
        <v>0</v>
      </c>
      <c r="I5825" t="n">
        <v>0</v>
      </c>
      <c r="J5825" t="n">
        <v>0</v>
      </c>
      <c r="K5825" t="n">
        <v>0</v>
      </c>
      <c r="L5825" t="n">
        <v>0</v>
      </c>
      <c r="M5825" t="n">
        <v>0</v>
      </c>
      <c r="N5825" t="n">
        <v>0</v>
      </c>
      <c r="O5825" t="n">
        <v>0</v>
      </c>
      <c r="P5825" t="n">
        <v>0</v>
      </c>
      <c r="Q5825" t="n">
        <v>0</v>
      </c>
      <c r="R5825" s="2" t="inlineStr"/>
    </row>
    <row r="5826" ht="15" customHeight="1">
      <c r="A5826" t="inlineStr">
        <is>
          <t>A 37033-2024</t>
        </is>
      </c>
      <c r="B5826" s="1" t="n">
        <v>45539</v>
      </c>
      <c r="C5826" s="1" t="n">
        <v>45705</v>
      </c>
      <c r="D5826" t="inlineStr">
        <is>
          <t>UPPSALA LÄN</t>
        </is>
      </c>
      <c r="E5826" t="inlineStr">
        <is>
          <t>UPPSALA</t>
        </is>
      </c>
      <c r="G5826" t="n">
        <v>10.2</v>
      </c>
      <c r="H5826" t="n">
        <v>0</v>
      </c>
      <c r="I5826" t="n">
        <v>0</v>
      </c>
      <c r="J5826" t="n">
        <v>0</v>
      </c>
      <c r="K5826" t="n">
        <v>0</v>
      </c>
      <c r="L5826" t="n">
        <v>0</v>
      </c>
      <c r="M5826" t="n">
        <v>0</v>
      </c>
      <c r="N5826" t="n">
        <v>0</v>
      </c>
      <c r="O5826" t="n">
        <v>0</v>
      </c>
      <c r="P5826" t="n">
        <v>0</v>
      </c>
      <c r="Q5826" t="n">
        <v>0</v>
      </c>
      <c r="R5826" s="2" t="inlineStr"/>
    </row>
    <row r="5827" ht="15" customHeight="1">
      <c r="A5827" t="inlineStr">
        <is>
          <t>A 37103-2024</t>
        </is>
      </c>
      <c r="B5827" s="1" t="n">
        <v>45539</v>
      </c>
      <c r="C5827" s="1" t="n">
        <v>45705</v>
      </c>
      <c r="D5827" t="inlineStr">
        <is>
          <t>UPPSALA LÄN</t>
        </is>
      </c>
      <c r="E5827" t="inlineStr">
        <is>
          <t>HEBY</t>
        </is>
      </c>
      <c r="G5827" t="n">
        <v>4.4</v>
      </c>
      <c r="H5827" t="n">
        <v>0</v>
      </c>
      <c r="I5827" t="n">
        <v>0</v>
      </c>
      <c r="J5827" t="n">
        <v>0</v>
      </c>
      <c r="K5827" t="n">
        <v>0</v>
      </c>
      <c r="L5827" t="n">
        <v>0</v>
      </c>
      <c r="M5827" t="n">
        <v>0</v>
      </c>
      <c r="N5827" t="n">
        <v>0</v>
      </c>
      <c r="O5827" t="n">
        <v>0</v>
      </c>
      <c r="P5827" t="n">
        <v>0</v>
      </c>
      <c r="Q5827" t="n">
        <v>0</v>
      </c>
      <c r="R5827" s="2" t="inlineStr"/>
    </row>
    <row r="5828" ht="15" customHeight="1">
      <c r="A5828" t="inlineStr">
        <is>
          <t>A 37295-2024</t>
        </is>
      </c>
      <c r="B5828" s="1" t="n">
        <v>45540</v>
      </c>
      <c r="C5828" s="1" t="n">
        <v>45705</v>
      </c>
      <c r="D5828" t="inlineStr">
        <is>
          <t>UPPSALA LÄN</t>
        </is>
      </c>
      <c r="E5828" t="inlineStr">
        <is>
          <t>TIERP</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37307-2024</t>
        </is>
      </c>
      <c r="B5829" s="1" t="n">
        <v>45540</v>
      </c>
      <c r="C5829" s="1" t="n">
        <v>45705</v>
      </c>
      <c r="D5829" t="inlineStr">
        <is>
          <t>UPPSALA LÄN</t>
        </is>
      </c>
      <c r="E5829" t="inlineStr">
        <is>
          <t>UPPSALA</t>
        </is>
      </c>
      <c r="G5829" t="n">
        <v>6.4</v>
      </c>
      <c r="H5829" t="n">
        <v>0</v>
      </c>
      <c r="I5829" t="n">
        <v>0</v>
      </c>
      <c r="J5829" t="n">
        <v>0</v>
      </c>
      <c r="K5829" t="n">
        <v>0</v>
      </c>
      <c r="L5829" t="n">
        <v>0</v>
      </c>
      <c r="M5829" t="n">
        <v>0</v>
      </c>
      <c r="N5829" t="n">
        <v>0</v>
      </c>
      <c r="O5829" t="n">
        <v>0</v>
      </c>
      <c r="P5829" t="n">
        <v>0</v>
      </c>
      <c r="Q5829" t="n">
        <v>0</v>
      </c>
      <c r="R5829" s="2" t="inlineStr"/>
    </row>
    <row r="5830" ht="15" customHeight="1">
      <c r="A5830" t="inlineStr">
        <is>
          <t>A 37457-2024</t>
        </is>
      </c>
      <c r="B5830" s="1" t="n">
        <v>45540</v>
      </c>
      <c r="C5830" s="1" t="n">
        <v>45705</v>
      </c>
      <c r="D5830" t="inlineStr">
        <is>
          <t>UPPSALA LÄN</t>
        </is>
      </c>
      <c r="E5830" t="inlineStr">
        <is>
          <t>TIERP</t>
        </is>
      </c>
      <c r="F5830" t="inlineStr">
        <is>
          <t>Bergvik skog väst AB</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37465-2024</t>
        </is>
      </c>
      <c r="B5831" s="1" t="n">
        <v>45540</v>
      </c>
      <c r="C5831" s="1" t="n">
        <v>45705</v>
      </c>
      <c r="D5831" t="inlineStr">
        <is>
          <t>UPPSALA LÄN</t>
        </is>
      </c>
      <c r="E5831" t="inlineStr">
        <is>
          <t>ENKÖPING</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37466-2024</t>
        </is>
      </c>
      <c r="B5832" s="1" t="n">
        <v>45540</v>
      </c>
      <c r="C5832" s="1" t="n">
        <v>45705</v>
      </c>
      <c r="D5832" t="inlineStr">
        <is>
          <t>UPPSALA LÄN</t>
        </is>
      </c>
      <c r="E5832" t="inlineStr">
        <is>
          <t>ENKÖPING</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37475-2024</t>
        </is>
      </c>
      <c r="B5833" s="1" t="n">
        <v>45541</v>
      </c>
      <c r="C5833" s="1" t="n">
        <v>45705</v>
      </c>
      <c r="D5833" t="inlineStr">
        <is>
          <t>UPPSALA LÄN</t>
        </is>
      </c>
      <c r="E5833" t="inlineStr">
        <is>
          <t>TIERP</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37476-2024</t>
        </is>
      </c>
      <c r="B5834" s="1" t="n">
        <v>45541</v>
      </c>
      <c r="C5834" s="1" t="n">
        <v>45705</v>
      </c>
      <c r="D5834" t="inlineStr">
        <is>
          <t>UPPSALA LÄN</t>
        </is>
      </c>
      <c r="E5834" t="inlineStr">
        <is>
          <t>TIERP</t>
        </is>
      </c>
      <c r="G5834" t="n">
        <v>0.4</v>
      </c>
      <c r="H5834" t="n">
        <v>0</v>
      </c>
      <c r="I5834" t="n">
        <v>0</v>
      </c>
      <c r="J5834" t="n">
        <v>0</v>
      </c>
      <c r="K5834" t="n">
        <v>0</v>
      </c>
      <c r="L5834" t="n">
        <v>0</v>
      </c>
      <c r="M5834" t="n">
        <v>0</v>
      </c>
      <c r="N5834" t="n">
        <v>0</v>
      </c>
      <c r="O5834" t="n">
        <v>0</v>
      </c>
      <c r="P5834" t="n">
        <v>0</v>
      </c>
      <c r="Q5834" t="n">
        <v>0</v>
      </c>
      <c r="R5834" s="2" t="inlineStr"/>
    </row>
    <row r="5835" ht="15" customHeight="1">
      <c r="A5835" t="inlineStr">
        <is>
          <t>A 37568-2024</t>
        </is>
      </c>
      <c r="B5835" s="1" t="n">
        <v>45541</v>
      </c>
      <c r="C5835" s="1" t="n">
        <v>45705</v>
      </c>
      <c r="D5835" t="inlineStr">
        <is>
          <t>UPPSALA LÄN</t>
        </is>
      </c>
      <c r="E5835" t="inlineStr">
        <is>
          <t>UPPSALA</t>
        </is>
      </c>
      <c r="G5835" t="n">
        <v>5.9</v>
      </c>
      <c r="H5835" t="n">
        <v>0</v>
      </c>
      <c r="I5835" t="n">
        <v>0</v>
      </c>
      <c r="J5835" t="n">
        <v>0</v>
      </c>
      <c r="K5835" t="n">
        <v>0</v>
      </c>
      <c r="L5835" t="n">
        <v>0</v>
      </c>
      <c r="M5835" t="n">
        <v>0</v>
      </c>
      <c r="N5835" t="n">
        <v>0</v>
      </c>
      <c r="O5835" t="n">
        <v>0</v>
      </c>
      <c r="P5835" t="n">
        <v>0</v>
      </c>
      <c r="Q5835" t="n">
        <v>0</v>
      </c>
      <c r="R5835" s="2" t="inlineStr"/>
    </row>
    <row r="5836" ht="15" customHeight="1">
      <c r="A5836" t="inlineStr">
        <is>
          <t>A 37666-2024</t>
        </is>
      </c>
      <c r="B5836" s="1" t="n">
        <v>45541</v>
      </c>
      <c r="C5836" s="1" t="n">
        <v>45705</v>
      </c>
      <c r="D5836" t="inlineStr">
        <is>
          <t>UPPSALA LÄN</t>
        </is>
      </c>
      <c r="E5836" t="inlineStr">
        <is>
          <t>UPPSALA</t>
        </is>
      </c>
      <c r="F5836" t="inlineStr">
        <is>
          <t>Övriga Aktiebolag</t>
        </is>
      </c>
      <c r="G5836" t="n">
        <v>6.4</v>
      </c>
      <c r="H5836" t="n">
        <v>0</v>
      </c>
      <c r="I5836" t="n">
        <v>0</v>
      </c>
      <c r="J5836" t="n">
        <v>0</v>
      </c>
      <c r="K5836" t="n">
        <v>0</v>
      </c>
      <c r="L5836" t="n">
        <v>0</v>
      </c>
      <c r="M5836" t="n">
        <v>0</v>
      </c>
      <c r="N5836" t="n">
        <v>0</v>
      </c>
      <c r="O5836" t="n">
        <v>0</v>
      </c>
      <c r="P5836" t="n">
        <v>0</v>
      </c>
      <c r="Q5836" t="n">
        <v>0</v>
      </c>
      <c r="R5836" s="2" t="inlineStr"/>
    </row>
    <row r="5837" ht="15" customHeight="1">
      <c r="A5837" t="inlineStr">
        <is>
          <t>A 37704-2024</t>
        </is>
      </c>
      <c r="B5837" s="1" t="n">
        <v>45541</v>
      </c>
      <c r="C5837" s="1" t="n">
        <v>45705</v>
      </c>
      <c r="D5837" t="inlineStr">
        <is>
          <t>UPPSALA LÄN</t>
        </is>
      </c>
      <c r="E5837" t="inlineStr">
        <is>
          <t>ENKÖPING</t>
        </is>
      </c>
      <c r="G5837" t="n">
        <v>4.7</v>
      </c>
      <c r="H5837" t="n">
        <v>0</v>
      </c>
      <c r="I5837" t="n">
        <v>0</v>
      </c>
      <c r="J5837" t="n">
        <v>0</v>
      </c>
      <c r="K5837" t="n">
        <v>0</v>
      </c>
      <c r="L5837" t="n">
        <v>0</v>
      </c>
      <c r="M5837" t="n">
        <v>0</v>
      </c>
      <c r="N5837" t="n">
        <v>0</v>
      </c>
      <c r="O5837" t="n">
        <v>0</v>
      </c>
      <c r="P5837" t="n">
        <v>0</v>
      </c>
      <c r="Q5837" t="n">
        <v>0</v>
      </c>
      <c r="R5837" s="2" t="inlineStr"/>
    </row>
    <row r="5838" ht="15" customHeight="1">
      <c r="A5838" t="inlineStr">
        <is>
          <t>A 37579-2024</t>
        </is>
      </c>
      <c r="B5838" s="1" t="n">
        <v>45541</v>
      </c>
      <c r="C5838" s="1" t="n">
        <v>45705</v>
      </c>
      <c r="D5838" t="inlineStr">
        <is>
          <t>UPPSALA LÄN</t>
        </is>
      </c>
      <c r="E5838" t="inlineStr">
        <is>
          <t>UPPSALA</t>
        </is>
      </c>
      <c r="G5838" t="n">
        <v>22.8</v>
      </c>
      <c r="H5838" t="n">
        <v>0</v>
      </c>
      <c r="I5838" t="n">
        <v>0</v>
      </c>
      <c r="J5838" t="n">
        <v>0</v>
      </c>
      <c r="K5838" t="n">
        <v>0</v>
      </c>
      <c r="L5838" t="n">
        <v>0</v>
      </c>
      <c r="M5838" t="n">
        <v>0</v>
      </c>
      <c r="N5838" t="n">
        <v>0</v>
      </c>
      <c r="O5838" t="n">
        <v>0</v>
      </c>
      <c r="P5838" t="n">
        <v>0</v>
      </c>
      <c r="Q5838" t="n">
        <v>0</v>
      </c>
      <c r="R5838" s="2" t="inlineStr"/>
    </row>
    <row r="5839" ht="15" customHeight="1">
      <c r="A5839" t="inlineStr">
        <is>
          <t>A 37596-2024</t>
        </is>
      </c>
      <c r="B5839" s="1" t="n">
        <v>45541</v>
      </c>
      <c r="C5839" s="1" t="n">
        <v>45705</v>
      </c>
      <c r="D5839" t="inlineStr">
        <is>
          <t>UPPSALA LÄN</t>
        </is>
      </c>
      <c r="E5839" t="inlineStr">
        <is>
          <t>HEBY</t>
        </is>
      </c>
      <c r="G5839" t="n">
        <v>6</v>
      </c>
      <c r="H5839" t="n">
        <v>0</v>
      </c>
      <c r="I5839" t="n">
        <v>0</v>
      </c>
      <c r="J5839" t="n">
        <v>0</v>
      </c>
      <c r="K5839" t="n">
        <v>0</v>
      </c>
      <c r="L5839" t="n">
        <v>0</v>
      </c>
      <c r="M5839" t="n">
        <v>0</v>
      </c>
      <c r="N5839" t="n">
        <v>0</v>
      </c>
      <c r="O5839" t="n">
        <v>0</v>
      </c>
      <c r="P5839" t="n">
        <v>0</v>
      </c>
      <c r="Q5839" t="n">
        <v>0</v>
      </c>
      <c r="R5839" s="2" t="inlineStr"/>
    </row>
    <row r="5840" ht="15" customHeight="1">
      <c r="A5840" t="inlineStr">
        <is>
          <t>A 37671-2024</t>
        </is>
      </c>
      <c r="B5840" s="1" t="n">
        <v>45541</v>
      </c>
      <c r="C5840" s="1" t="n">
        <v>45705</v>
      </c>
      <c r="D5840" t="inlineStr">
        <is>
          <t>UPPSALA LÄN</t>
        </is>
      </c>
      <c r="E5840" t="inlineStr">
        <is>
          <t>UPPSALA</t>
        </is>
      </c>
      <c r="F5840" t="inlineStr">
        <is>
          <t>Övriga Aktiebolag</t>
        </is>
      </c>
      <c r="G5840" t="n">
        <v>10.7</v>
      </c>
      <c r="H5840" t="n">
        <v>0</v>
      </c>
      <c r="I5840" t="n">
        <v>0</v>
      </c>
      <c r="J5840" t="n">
        <v>0</v>
      </c>
      <c r="K5840" t="n">
        <v>0</v>
      </c>
      <c r="L5840" t="n">
        <v>0</v>
      </c>
      <c r="M5840" t="n">
        <v>0</v>
      </c>
      <c r="N5840" t="n">
        <v>0</v>
      </c>
      <c r="O5840" t="n">
        <v>0</v>
      </c>
      <c r="P5840" t="n">
        <v>0</v>
      </c>
      <c r="Q5840" t="n">
        <v>0</v>
      </c>
      <c r="R5840" s="2" t="inlineStr"/>
    </row>
    <row r="5841" ht="15" customHeight="1">
      <c r="A5841" t="inlineStr">
        <is>
          <t>A 37833-2024</t>
        </is>
      </c>
      <c r="B5841" s="1" t="n">
        <v>45544</v>
      </c>
      <c r="C5841" s="1" t="n">
        <v>45705</v>
      </c>
      <c r="D5841" t="inlineStr">
        <is>
          <t>UPPSALA LÄN</t>
        </is>
      </c>
      <c r="E5841" t="inlineStr">
        <is>
          <t>HEBY</t>
        </is>
      </c>
      <c r="F5841" t="inlineStr">
        <is>
          <t>Bergvik skog öst AB</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37834-2024</t>
        </is>
      </c>
      <c r="B5842" s="1" t="n">
        <v>45544</v>
      </c>
      <c r="C5842" s="1" t="n">
        <v>45705</v>
      </c>
      <c r="D5842" t="inlineStr">
        <is>
          <t>UPPSALA LÄN</t>
        </is>
      </c>
      <c r="E5842" t="inlineStr">
        <is>
          <t>HEBY</t>
        </is>
      </c>
      <c r="F5842" t="inlineStr">
        <is>
          <t>Bergvik skog öst AB</t>
        </is>
      </c>
      <c r="G5842" t="n">
        <v>3.9</v>
      </c>
      <c r="H5842" t="n">
        <v>0</v>
      </c>
      <c r="I5842" t="n">
        <v>0</v>
      </c>
      <c r="J5842" t="n">
        <v>0</v>
      </c>
      <c r="K5842" t="n">
        <v>0</v>
      </c>
      <c r="L5842" t="n">
        <v>0</v>
      </c>
      <c r="M5842" t="n">
        <v>0</v>
      </c>
      <c r="N5842" t="n">
        <v>0</v>
      </c>
      <c r="O5842" t="n">
        <v>0</v>
      </c>
      <c r="P5842" t="n">
        <v>0</v>
      </c>
      <c r="Q5842" t="n">
        <v>0</v>
      </c>
      <c r="R5842" s="2" t="inlineStr"/>
    </row>
    <row r="5843" ht="15" customHeight="1">
      <c r="A5843" t="inlineStr">
        <is>
          <t>A 37995-2024</t>
        </is>
      </c>
      <c r="B5843" s="1" t="n">
        <v>45544</v>
      </c>
      <c r="C5843" s="1" t="n">
        <v>45705</v>
      </c>
      <c r="D5843" t="inlineStr">
        <is>
          <t>UPPSALA LÄN</t>
        </is>
      </c>
      <c r="E5843" t="inlineStr">
        <is>
          <t>ÖSTHAMMAR</t>
        </is>
      </c>
      <c r="F5843" t="inlineStr">
        <is>
          <t>Naturvårdsverket</t>
        </is>
      </c>
      <c r="G5843" t="n">
        <v>9.699999999999999</v>
      </c>
      <c r="H5843" t="n">
        <v>0</v>
      </c>
      <c r="I5843" t="n">
        <v>0</v>
      </c>
      <c r="J5843" t="n">
        <v>0</v>
      </c>
      <c r="K5843" t="n">
        <v>0</v>
      </c>
      <c r="L5843" t="n">
        <v>0</v>
      </c>
      <c r="M5843" t="n">
        <v>0</v>
      </c>
      <c r="N5843" t="n">
        <v>0</v>
      </c>
      <c r="O5843" t="n">
        <v>0</v>
      </c>
      <c r="P5843" t="n">
        <v>0</v>
      </c>
      <c r="Q5843" t="n">
        <v>0</v>
      </c>
      <c r="R5843" s="2" t="inlineStr"/>
    </row>
    <row r="5844" ht="15" customHeight="1">
      <c r="A5844" t="inlineStr">
        <is>
          <t>A 38003-2024</t>
        </is>
      </c>
      <c r="B5844" s="1" t="n">
        <v>45544</v>
      </c>
      <c r="C5844" s="1" t="n">
        <v>45705</v>
      </c>
      <c r="D5844" t="inlineStr">
        <is>
          <t>UPPSALA LÄN</t>
        </is>
      </c>
      <c r="E5844" t="inlineStr">
        <is>
          <t>ÖSTHAMMAR</t>
        </is>
      </c>
      <c r="F5844" t="inlineStr">
        <is>
          <t>Naturvårdsverket</t>
        </is>
      </c>
      <c r="G5844" t="n">
        <v>4.2</v>
      </c>
      <c r="H5844" t="n">
        <v>0</v>
      </c>
      <c r="I5844" t="n">
        <v>0</v>
      </c>
      <c r="J5844" t="n">
        <v>0</v>
      </c>
      <c r="K5844" t="n">
        <v>0</v>
      </c>
      <c r="L5844" t="n">
        <v>0</v>
      </c>
      <c r="M5844" t="n">
        <v>0</v>
      </c>
      <c r="N5844" t="n">
        <v>0</v>
      </c>
      <c r="O5844" t="n">
        <v>0</v>
      </c>
      <c r="P5844" t="n">
        <v>0</v>
      </c>
      <c r="Q5844" t="n">
        <v>0</v>
      </c>
      <c r="R5844" s="2" t="inlineStr"/>
    </row>
    <row r="5845" ht="15" customHeight="1">
      <c r="A5845" t="inlineStr">
        <is>
          <t>A 38195-2024</t>
        </is>
      </c>
      <c r="B5845" s="1" t="n">
        <v>45545</v>
      </c>
      <c r="C5845" s="1" t="n">
        <v>45705</v>
      </c>
      <c r="D5845" t="inlineStr">
        <is>
          <t>UPPSALA LÄN</t>
        </is>
      </c>
      <c r="E5845" t="inlineStr">
        <is>
          <t>ÄLVKARLEBY</t>
        </is>
      </c>
      <c r="F5845" t="inlineStr">
        <is>
          <t>Bergvik skog väst AB</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38199-2024</t>
        </is>
      </c>
      <c r="B5846" s="1" t="n">
        <v>45545</v>
      </c>
      <c r="C5846" s="1" t="n">
        <v>45705</v>
      </c>
      <c r="D5846" t="inlineStr">
        <is>
          <t>UPPSALA LÄN</t>
        </is>
      </c>
      <c r="E5846" t="inlineStr">
        <is>
          <t>ÄLVKARLEBY</t>
        </is>
      </c>
      <c r="F5846" t="inlineStr">
        <is>
          <t>Bergvik skog väst AB</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38119-2024</t>
        </is>
      </c>
      <c r="B5847" s="1" t="n">
        <v>45545</v>
      </c>
      <c r="C5847" s="1" t="n">
        <v>45705</v>
      </c>
      <c r="D5847" t="inlineStr">
        <is>
          <t>UPPSALA LÄN</t>
        </is>
      </c>
      <c r="E5847" t="inlineStr">
        <is>
          <t>UPPSALA</t>
        </is>
      </c>
      <c r="F5847" t="inlineStr">
        <is>
          <t>Övriga Aktiebolag</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38217-2024</t>
        </is>
      </c>
      <c r="B5848" s="1" t="n">
        <v>45545</v>
      </c>
      <c r="C5848" s="1" t="n">
        <v>45705</v>
      </c>
      <c r="D5848" t="inlineStr">
        <is>
          <t>UPPSALA LÄN</t>
        </is>
      </c>
      <c r="E5848" t="inlineStr">
        <is>
          <t>ÄLVKARLEBY</t>
        </is>
      </c>
      <c r="F5848" t="inlineStr">
        <is>
          <t>Bergvik skog väst AB</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38233-2024</t>
        </is>
      </c>
      <c r="B5849" s="1" t="n">
        <v>45545</v>
      </c>
      <c r="C5849" s="1" t="n">
        <v>45705</v>
      </c>
      <c r="D5849" t="inlineStr">
        <is>
          <t>UPPSALA LÄN</t>
        </is>
      </c>
      <c r="E5849" t="inlineStr">
        <is>
          <t>ÖSTHAMMAR</t>
        </is>
      </c>
      <c r="G5849" t="n">
        <v>3.4</v>
      </c>
      <c r="H5849" t="n">
        <v>0</v>
      </c>
      <c r="I5849" t="n">
        <v>0</v>
      </c>
      <c r="J5849" t="n">
        <v>0</v>
      </c>
      <c r="K5849" t="n">
        <v>0</v>
      </c>
      <c r="L5849" t="n">
        <v>0</v>
      </c>
      <c r="M5849" t="n">
        <v>0</v>
      </c>
      <c r="N5849" t="n">
        <v>0</v>
      </c>
      <c r="O5849" t="n">
        <v>0</v>
      </c>
      <c r="P5849" t="n">
        <v>0</v>
      </c>
      <c r="Q5849" t="n">
        <v>0</v>
      </c>
      <c r="R5849" s="2" t="inlineStr"/>
    </row>
    <row r="5850" ht="15" customHeight="1">
      <c r="A5850" t="inlineStr">
        <is>
          <t>A 38325-2024</t>
        </is>
      </c>
      <c r="B5850" s="1" t="n">
        <v>45545</v>
      </c>
      <c r="C5850" s="1" t="n">
        <v>45705</v>
      </c>
      <c r="D5850" t="inlineStr">
        <is>
          <t>UPPSALA LÄN</t>
        </is>
      </c>
      <c r="E5850" t="inlineStr">
        <is>
          <t>TIERP</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38572-2024</t>
        </is>
      </c>
      <c r="B5851" s="1" t="n">
        <v>45546</v>
      </c>
      <c r="C5851" s="1" t="n">
        <v>45705</v>
      </c>
      <c r="D5851" t="inlineStr">
        <is>
          <t>UPPSALA LÄN</t>
        </is>
      </c>
      <c r="E5851" t="inlineStr">
        <is>
          <t>ÖSTHAMMAR</t>
        </is>
      </c>
      <c r="F5851" t="inlineStr">
        <is>
          <t>Bergvik skog öst AB</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38575-2024</t>
        </is>
      </c>
      <c r="B5852" s="1" t="n">
        <v>45546</v>
      </c>
      <c r="C5852" s="1" t="n">
        <v>45705</v>
      </c>
      <c r="D5852" t="inlineStr">
        <is>
          <t>UPPSALA LÄN</t>
        </is>
      </c>
      <c r="E5852" t="inlineStr">
        <is>
          <t>ÖSTHAMMAR</t>
        </is>
      </c>
      <c r="F5852" t="inlineStr">
        <is>
          <t>Bergvik skog öst AB</t>
        </is>
      </c>
      <c r="G5852" t="n">
        <v>5.1</v>
      </c>
      <c r="H5852" t="n">
        <v>0</v>
      </c>
      <c r="I5852" t="n">
        <v>0</v>
      </c>
      <c r="J5852" t="n">
        <v>0</v>
      </c>
      <c r="K5852" t="n">
        <v>0</v>
      </c>
      <c r="L5852" t="n">
        <v>0</v>
      </c>
      <c r="M5852" t="n">
        <v>0</v>
      </c>
      <c r="N5852" t="n">
        <v>0</v>
      </c>
      <c r="O5852" t="n">
        <v>0</v>
      </c>
      <c r="P5852" t="n">
        <v>0</v>
      </c>
      <c r="Q5852" t="n">
        <v>0</v>
      </c>
      <c r="R5852" s="2" t="inlineStr"/>
    </row>
    <row r="5853" ht="15" customHeight="1">
      <c r="A5853" t="inlineStr">
        <is>
          <t>A 38670-2024</t>
        </is>
      </c>
      <c r="B5853" s="1" t="n">
        <v>45547</v>
      </c>
      <c r="C5853" s="1" t="n">
        <v>45705</v>
      </c>
      <c r="D5853" t="inlineStr">
        <is>
          <t>UPPSALA LÄN</t>
        </is>
      </c>
      <c r="E5853" t="inlineStr">
        <is>
          <t>HEBY</t>
        </is>
      </c>
      <c r="G5853" t="n">
        <v>5.7</v>
      </c>
      <c r="H5853" t="n">
        <v>0</v>
      </c>
      <c r="I5853" t="n">
        <v>0</v>
      </c>
      <c r="J5853" t="n">
        <v>0</v>
      </c>
      <c r="K5853" t="n">
        <v>0</v>
      </c>
      <c r="L5853" t="n">
        <v>0</v>
      </c>
      <c r="M5853" t="n">
        <v>0</v>
      </c>
      <c r="N5853" t="n">
        <v>0</v>
      </c>
      <c r="O5853" t="n">
        <v>0</v>
      </c>
      <c r="P5853" t="n">
        <v>0</v>
      </c>
      <c r="Q5853" t="n">
        <v>0</v>
      </c>
      <c r="R5853" s="2" t="inlineStr"/>
    </row>
    <row r="5854" ht="15" customHeight="1">
      <c r="A5854" t="inlineStr">
        <is>
          <t>A 38740-2024</t>
        </is>
      </c>
      <c r="B5854" s="1" t="n">
        <v>45547</v>
      </c>
      <c r="C5854" s="1" t="n">
        <v>45705</v>
      </c>
      <c r="D5854" t="inlineStr">
        <is>
          <t>UPPSALA LÄN</t>
        </is>
      </c>
      <c r="E5854" t="inlineStr">
        <is>
          <t>HEBY</t>
        </is>
      </c>
      <c r="G5854" t="n">
        <v>5.7</v>
      </c>
      <c r="H5854" t="n">
        <v>0</v>
      </c>
      <c r="I5854" t="n">
        <v>0</v>
      </c>
      <c r="J5854" t="n">
        <v>0</v>
      </c>
      <c r="K5854" t="n">
        <v>0</v>
      </c>
      <c r="L5854" t="n">
        <v>0</v>
      </c>
      <c r="M5854" t="n">
        <v>0</v>
      </c>
      <c r="N5854" t="n">
        <v>0</v>
      </c>
      <c r="O5854" t="n">
        <v>0</v>
      </c>
      <c r="P5854" t="n">
        <v>0</v>
      </c>
      <c r="Q5854" t="n">
        <v>0</v>
      </c>
      <c r="R5854" s="2" t="inlineStr"/>
    </row>
    <row r="5855" ht="15" customHeight="1">
      <c r="A5855" t="inlineStr">
        <is>
          <t>A 38831-2024</t>
        </is>
      </c>
      <c r="B5855" s="1" t="n">
        <v>45547</v>
      </c>
      <c r="C5855" s="1" t="n">
        <v>45705</v>
      </c>
      <c r="D5855" t="inlineStr">
        <is>
          <t>UPPSALA LÄN</t>
        </is>
      </c>
      <c r="E5855" t="inlineStr">
        <is>
          <t>HEBY</t>
        </is>
      </c>
      <c r="G5855" t="n">
        <v>3.2</v>
      </c>
      <c r="H5855" t="n">
        <v>0</v>
      </c>
      <c r="I5855" t="n">
        <v>0</v>
      </c>
      <c r="J5855" t="n">
        <v>0</v>
      </c>
      <c r="K5855" t="n">
        <v>0</v>
      </c>
      <c r="L5855" t="n">
        <v>0</v>
      </c>
      <c r="M5855" t="n">
        <v>0</v>
      </c>
      <c r="N5855" t="n">
        <v>0</v>
      </c>
      <c r="O5855" t="n">
        <v>0</v>
      </c>
      <c r="P5855" t="n">
        <v>0</v>
      </c>
      <c r="Q5855" t="n">
        <v>0</v>
      </c>
      <c r="R5855" s="2" t="inlineStr"/>
    </row>
    <row r="5856" ht="15" customHeight="1">
      <c r="A5856" t="inlineStr">
        <is>
          <t>A 38897-2024</t>
        </is>
      </c>
      <c r="B5856" s="1" t="n">
        <v>45547</v>
      </c>
      <c r="C5856" s="1" t="n">
        <v>45705</v>
      </c>
      <c r="D5856" t="inlineStr">
        <is>
          <t>UPPSALA LÄN</t>
        </is>
      </c>
      <c r="E5856" t="inlineStr">
        <is>
          <t>TIERP</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38958-2024</t>
        </is>
      </c>
      <c r="B5857" s="1" t="n">
        <v>45548</v>
      </c>
      <c r="C5857" s="1" t="n">
        <v>45705</v>
      </c>
      <c r="D5857" t="inlineStr">
        <is>
          <t>UPPSALA LÄN</t>
        </is>
      </c>
      <c r="E5857" t="inlineStr">
        <is>
          <t>UPPSALA</t>
        </is>
      </c>
      <c r="G5857" t="n">
        <v>9.300000000000001</v>
      </c>
      <c r="H5857" t="n">
        <v>0</v>
      </c>
      <c r="I5857" t="n">
        <v>0</v>
      </c>
      <c r="J5857" t="n">
        <v>0</v>
      </c>
      <c r="K5857" t="n">
        <v>0</v>
      </c>
      <c r="L5857" t="n">
        <v>0</v>
      </c>
      <c r="M5857" t="n">
        <v>0</v>
      </c>
      <c r="N5857" t="n">
        <v>0</v>
      </c>
      <c r="O5857" t="n">
        <v>0</v>
      </c>
      <c r="P5857" t="n">
        <v>0</v>
      </c>
      <c r="Q5857" t="n">
        <v>0</v>
      </c>
      <c r="R5857" s="2" t="inlineStr"/>
    </row>
    <row r="5858" ht="15" customHeight="1">
      <c r="A5858" t="inlineStr">
        <is>
          <t>A 39007-2024</t>
        </is>
      </c>
      <c r="B5858" s="1" t="n">
        <v>45548</v>
      </c>
      <c r="C5858" s="1" t="n">
        <v>45705</v>
      </c>
      <c r="D5858" t="inlineStr">
        <is>
          <t>UPPSALA LÄN</t>
        </is>
      </c>
      <c r="E5858" t="inlineStr">
        <is>
          <t>UPPSALA</t>
        </is>
      </c>
      <c r="G5858" t="n">
        <v>3.1</v>
      </c>
      <c r="H5858" t="n">
        <v>0</v>
      </c>
      <c r="I5858" t="n">
        <v>0</v>
      </c>
      <c r="J5858" t="n">
        <v>0</v>
      </c>
      <c r="K5858" t="n">
        <v>0</v>
      </c>
      <c r="L5858" t="n">
        <v>0</v>
      </c>
      <c r="M5858" t="n">
        <v>0</v>
      </c>
      <c r="N5858" t="n">
        <v>0</v>
      </c>
      <c r="O5858" t="n">
        <v>0</v>
      </c>
      <c r="P5858" t="n">
        <v>0</v>
      </c>
      <c r="Q5858" t="n">
        <v>0</v>
      </c>
      <c r="R5858" s="2" t="inlineStr"/>
    </row>
    <row r="5859" ht="15" customHeight="1">
      <c r="A5859" t="inlineStr">
        <is>
          <t>A 39117-2024</t>
        </is>
      </c>
      <c r="B5859" s="1" t="n">
        <v>45548</v>
      </c>
      <c r="C5859" s="1" t="n">
        <v>45705</v>
      </c>
      <c r="D5859" t="inlineStr">
        <is>
          <t>UPPSALA LÄN</t>
        </is>
      </c>
      <c r="E5859" t="inlineStr">
        <is>
          <t>TIERP</t>
        </is>
      </c>
      <c r="F5859" t="inlineStr">
        <is>
          <t>Bergvik skog öst AB</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39009-2024</t>
        </is>
      </c>
      <c r="B5860" s="1" t="n">
        <v>45548</v>
      </c>
      <c r="C5860" s="1" t="n">
        <v>45705</v>
      </c>
      <c r="D5860" t="inlineStr">
        <is>
          <t>UPPSALA LÄN</t>
        </is>
      </c>
      <c r="E5860" t="inlineStr">
        <is>
          <t>ENKÖPING</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39115-2024</t>
        </is>
      </c>
      <c r="B5861" s="1" t="n">
        <v>45548</v>
      </c>
      <c r="C5861" s="1" t="n">
        <v>45705</v>
      </c>
      <c r="D5861" t="inlineStr">
        <is>
          <t>UPPSALA LÄN</t>
        </is>
      </c>
      <c r="E5861" t="inlineStr">
        <is>
          <t>ENKÖPING</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39359-2024</t>
        </is>
      </c>
      <c r="B5862" s="1" t="n">
        <v>45551</v>
      </c>
      <c r="C5862" s="1" t="n">
        <v>45705</v>
      </c>
      <c r="D5862" t="inlineStr">
        <is>
          <t>UPPSALA LÄN</t>
        </is>
      </c>
      <c r="E5862" t="inlineStr">
        <is>
          <t>UPPSALA</t>
        </is>
      </c>
      <c r="G5862" t="n">
        <v>4.8</v>
      </c>
      <c r="H5862" t="n">
        <v>0</v>
      </c>
      <c r="I5862" t="n">
        <v>0</v>
      </c>
      <c r="J5862" t="n">
        <v>0</v>
      </c>
      <c r="K5862" t="n">
        <v>0</v>
      </c>
      <c r="L5862" t="n">
        <v>0</v>
      </c>
      <c r="M5862" t="n">
        <v>0</v>
      </c>
      <c r="N5862" t="n">
        <v>0</v>
      </c>
      <c r="O5862" t="n">
        <v>0</v>
      </c>
      <c r="P5862" t="n">
        <v>0</v>
      </c>
      <c r="Q5862" t="n">
        <v>0</v>
      </c>
      <c r="R5862" s="2" t="inlineStr"/>
    </row>
    <row r="5863" ht="15" customHeight="1">
      <c r="A5863" t="inlineStr">
        <is>
          <t>A 39333-2024</t>
        </is>
      </c>
      <c r="B5863" s="1" t="n">
        <v>45551</v>
      </c>
      <c r="C5863" s="1" t="n">
        <v>45705</v>
      </c>
      <c r="D5863" t="inlineStr">
        <is>
          <t>UPPSALA LÄN</t>
        </is>
      </c>
      <c r="E5863" t="inlineStr">
        <is>
          <t>TIERP</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39341-2024</t>
        </is>
      </c>
      <c r="B5864" s="1" t="n">
        <v>45551</v>
      </c>
      <c r="C5864" s="1" t="n">
        <v>45705</v>
      </c>
      <c r="D5864" t="inlineStr">
        <is>
          <t>UPPSALA LÄN</t>
        </is>
      </c>
      <c r="E5864" t="inlineStr">
        <is>
          <t>ÖSTHAMMAR</t>
        </is>
      </c>
      <c r="F5864" t="inlineStr">
        <is>
          <t>Bergvik skog öst AB</t>
        </is>
      </c>
      <c r="G5864" t="n">
        <v>23.2</v>
      </c>
      <c r="H5864" t="n">
        <v>0</v>
      </c>
      <c r="I5864" t="n">
        <v>0</v>
      </c>
      <c r="J5864" t="n">
        <v>0</v>
      </c>
      <c r="K5864" t="n">
        <v>0</v>
      </c>
      <c r="L5864" t="n">
        <v>0</v>
      </c>
      <c r="M5864" t="n">
        <v>0</v>
      </c>
      <c r="N5864" t="n">
        <v>0</v>
      </c>
      <c r="O5864" t="n">
        <v>0</v>
      </c>
      <c r="P5864" t="n">
        <v>0</v>
      </c>
      <c r="Q5864" t="n">
        <v>0</v>
      </c>
      <c r="R5864" s="2" t="inlineStr"/>
    </row>
    <row r="5865" ht="15" customHeight="1">
      <c r="A5865" t="inlineStr">
        <is>
          <t>A 39357-2024</t>
        </is>
      </c>
      <c r="B5865" s="1" t="n">
        <v>45551</v>
      </c>
      <c r="C5865" s="1" t="n">
        <v>45705</v>
      </c>
      <c r="D5865" t="inlineStr">
        <is>
          <t>UPPSALA LÄN</t>
        </is>
      </c>
      <c r="E5865" t="inlineStr">
        <is>
          <t>ÖSTHAMMAR</t>
        </is>
      </c>
      <c r="F5865" t="inlineStr">
        <is>
          <t>Bergvik skog öst AB</t>
        </is>
      </c>
      <c r="G5865" t="n">
        <v>23.2</v>
      </c>
      <c r="H5865" t="n">
        <v>0</v>
      </c>
      <c r="I5865" t="n">
        <v>0</v>
      </c>
      <c r="J5865" t="n">
        <v>0</v>
      </c>
      <c r="K5865" t="n">
        <v>0</v>
      </c>
      <c r="L5865" t="n">
        <v>0</v>
      </c>
      <c r="M5865" t="n">
        <v>0</v>
      </c>
      <c r="N5865" t="n">
        <v>0</v>
      </c>
      <c r="O5865" t="n">
        <v>0</v>
      </c>
      <c r="P5865" t="n">
        <v>0</v>
      </c>
      <c r="Q5865" t="n">
        <v>0</v>
      </c>
      <c r="R5865" s="2" t="inlineStr"/>
    </row>
    <row r="5866" ht="15" customHeight="1">
      <c r="A5866" t="inlineStr">
        <is>
          <t>A 39477-2024</t>
        </is>
      </c>
      <c r="B5866" s="1" t="n">
        <v>45551</v>
      </c>
      <c r="C5866" s="1" t="n">
        <v>45705</v>
      </c>
      <c r="D5866" t="inlineStr">
        <is>
          <t>UPPSALA LÄN</t>
        </is>
      </c>
      <c r="E5866" t="inlineStr">
        <is>
          <t>TIERP</t>
        </is>
      </c>
      <c r="F5866" t="inlineStr">
        <is>
          <t>Bergvik skog öst AB</t>
        </is>
      </c>
      <c r="G5866" t="n">
        <v>3.6</v>
      </c>
      <c r="H5866" t="n">
        <v>0</v>
      </c>
      <c r="I5866" t="n">
        <v>0</v>
      </c>
      <c r="J5866" t="n">
        <v>0</v>
      </c>
      <c r="K5866" t="n">
        <v>0</v>
      </c>
      <c r="L5866" t="n">
        <v>0</v>
      </c>
      <c r="M5866" t="n">
        <v>0</v>
      </c>
      <c r="N5866" t="n">
        <v>0</v>
      </c>
      <c r="O5866" t="n">
        <v>0</v>
      </c>
      <c r="P5866" t="n">
        <v>0</v>
      </c>
      <c r="Q5866" t="n">
        <v>0</v>
      </c>
      <c r="R5866" s="2" t="inlineStr"/>
    </row>
    <row r="5867" ht="15" customHeight="1">
      <c r="A5867" t="inlineStr">
        <is>
          <t>A 39426-2024</t>
        </is>
      </c>
      <c r="B5867" s="1" t="n">
        <v>45551</v>
      </c>
      <c r="C5867" s="1" t="n">
        <v>45705</v>
      </c>
      <c r="D5867" t="inlineStr">
        <is>
          <t>UPPSALA LÄN</t>
        </is>
      </c>
      <c r="E5867" t="inlineStr">
        <is>
          <t>HEBY</t>
        </is>
      </c>
      <c r="G5867" t="n">
        <v>13.5</v>
      </c>
      <c r="H5867" t="n">
        <v>0</v>
      </c>
      <c r="I5867" t="n">
        <v>0</v>
      </c>
      <c r="J5867" t="n">
        <v>0</v>
      </c>
      <c r="K5867" t="n">
        <v>0</v>
      </c>
      <c r="L5867" t="n">
        <v>0</v>
      </c>
      <c r="M5867" t="n">
        <v>0</v>
      </c>
      <c r="N5867" t="n">
        <v>0</v>
      </c>
      <c r="O5867" t="n">
        <v>0</v>
      </c>
      <c r="P5867" t="n">
        <v>0</v>
      </c>
      <c r="Q5867" t="n">
        <v>0</v>
      </c>
      <c r="R5867" s="2" t="inlineStr"/>
    </row>
    <row r="5868" ht="15" customHeight="1">
      <c r="A5868" t="inlineStr">
        <is>
          <t>A 39481-2024</t>
        </is>
      </c>
      <c r="B5868" s="1" t="n">
        <v>45551</v>
      </c>
      <c r="C5868" s="1" t="n">
        <v>45705</v>
      </c>
      <c r="D5868" t="inlineStr">
        <is>
          <t>UPPSALA LÄN</t>
        </is>
      </c>
      <c r="E5868" t="inlineStr">
        <is>
          <t>TIERP</t>
        </is>
      </c>
      <c r="F5868" t="inlineStr">
        <is>
          <t>Bergvik skog öst AB</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39491-2024</t>
        </is>
      </c>
      <c r="B5869" s="1" t="n">
        <v>45551</v>
      </c>
      <c r="C5869" s="1" t="n">
        <v>45705</v>
      </c>
      <c r="D5869" t="inlineStr">
        <is>
          <t>UPPSALA LÄN</t>
        </is>
      </c>
      <c r="E5869" t="inlineStr">
        <is>
          <t>ÖSTHAMMAR</t>
        </is>
      </c>
      <c r="G5869" t="n">
        <v>3.3</v>
      </c>
      <c r="H5869" t="n">
        <v>0</v>
      </c>
      <c r="I5869" t="n">
        <v>0</v>
      </c>
      <c r="J5869" t="n">
        <v>0</v>
      </c>
      <c r="K5869" t="n">
        <v>0</v>
      </c>
      <c r="L5869" t="n">
        <v>0</v>
      </c>
      <c r="M5869" t="n">
        <v>0</v>
      </c>
      <c r="N5869" t="n">
        <v>0</v>
      </c>
      <c r="O5869" t="n">
        <v>0</v>
      </c>
      <c r="P5869" t="n">
        <v>0</v>
      </c>
      <c r="Q5869" t="n">
        <v>0</v>
      </c>
      <c r="R5869" s="2" t="inlineStr"/>
    </row>
    <row r="5870" ht="15" customHeight="1">
      <c r="A5870" t="inlineStr">
        <is>
          <t>A 39490-2024</t>
        </is>
      </c>
      <c r="B5870" s="1" t="n">
        <v>45551</v>
      </c>
      <c r="C5870" s="1" t="n">
        <v>45705</v>
      </c>
      <c r="D5870" t="inlineStr">
        <is>
          <t>UPPSALA LÄN</t>
        </is>
      </c>
      <c r="E5870" t="inlineStr">
        <is>
          <t>ÖSTHAMMAR</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39536-2024</t>
        </is>
      </c>
      <c r="B5871" s="1" t="n">
        <v>45551</v>
      </c>
      <c r="C5871" s="1" t="n">
        <v>45705</v>
      </c>
      <c r="D5871" t="inlineStr">
        <is>
          <t>UPPSALA LÄN</t>
        </is>
      </c>
      <c r="E5871" t="inlineStr">
        <is>
          <t>HEBY</t>
        </is>
      </c>
      <c r="G5871" t="n">
        <v>4.6</v>
      </c>
      <c r="H5871" t="n">
        <v>0</v>
      </c>
      <c r="I5871" t="n">
        <v>0</v>
      </c>
      <c r="J5871" t="n">
        <v>0</v>
      </c>
      <c r="K5871" t="n">
        <v>0</v>
      </c>
      <c r="L5871" t="n">
        <v>0</v>
      </c>
      <c r="M5871" t="n">
        <v>0</v>
      </c>
      <c r="N5871" t="n">
        <v>0</v>
      </c>
      <c r="O5871" t="n">
        <v>0</v>
      </c>
      <c r="P5871" t="n">
        <v>0</v>
      </c>
      <c r="Q5871" t="n">
        <v>0</v>
      </c>
      <c r="R5871" s="2" t="inlineStr"/>
    </row>
    <row r="5872" ht="15" customHeight="1">
      <c r="A5872" t="inlineStr">
        <is>
          <t>A 39484-2024</t>
        </is>
      </c>
      <c r="B5872" s="1" t="n">
        <v>45551</v>
      </c>
      <c r="C5872" s="1" t="n">
        <v>45705</v>
      </c>
      <c r="D5872" t="inlineStr">
        <is>
          <t>UPPSALA LÄN</t>
        </is>
      </c>
      <c r="E5872" t="inlineStr">
        <is>
          <t>TIERP</t>
        </is>
      </c>
      <c r="F5872" t="inlineStr">
        <is>
          <t>Bergvik skog öst AB</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39633-2024</t>
        </is>
      </c>
      <c r="B5873" s="1" t="n">
        <v>45552</v>
      </c>
      <c r="C5873" s="1" t="n">
        <v>45705</v>
      </c>
      <c r="D5873" t="inlineStr">
        <is>
          <t>UPPSALA LÄN</t>
        </is>
      </c>
      <c r="E5873" t="inlineStr">
        <is>
          <t>ÖSTHAMMAR</t>
        </is>
      </c>
      <c r="F5873" t="inlineStr">
        <is>
          <t>Bergvik skog öst AB</t>
        </is>
      </c>
      <c r="G5873" t="n">
        <v>4</v>
      </c>
      <c r="H5873" t="n">
        <v>0</v>
      </c>
      <c r="I5873" t="n">
        <v>0</v>
      </c>
      <c r="J5873" t="n">
        <v>0</v>
      </c>
      <c r="K5873" t="n">
        <v>0</v>
      </c>
      <c r="L5873" t="n">
        <v>0</v>
      </c>
      <c r="M5873" t="n">
        <v>0</v>
      </c>
      <c r="N5873" t="n">
        <v>0</v>
      </c>
      <c r="O5873" t="n">
        <v>0</v>
      </c>
      <c r="P5873" t="n">
        <v>0</v>
      </c>
      <c r="Q5873" t="n">
        <v>0</v>
      </c>
      <c r="R5873" s="2" t="inlineStr"/>
    </row>
    <row r="5874" ht="15" customHeight="1">
      <c r="A5874" t="inlineStr">
        <is>
          <t>A 39759-2024</t>
        </is>
      </c>
      <c r="B5874" s="1" t="n">
        <v>45552</v>
      </c>
      <c r="C5874" s="1" t="n">
        <v>45705</v>
      </c>
      <c r="D5874" t="inlineStr">
        <is>
          <t>UPPSALA LÄN</t>
        </is>
      </c>
      <c r="E5874" t="inlineStr">
        <is>
          <t>ÖSTHAMMAR</t>
        </is>
      </c>
      <c r="F5874" t="inlineStr">
        <is>
          <t>Bergvik skog öst AB</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39632-2024</t>
        </is>
      </c>
      <c r="B5875" s="1" t="n">
        <v>45552</v>
      </c>
      <c r="C5875" s="1" t="n">
        <v>45705</v>
      </c>
      <c r="D5875" t="inlineStr">
        <is>
          <t>UPPSALA LÄN</t>
        </is>
      </c>
      <c r="E5875" t="inlineStr">
        <is>
          <t>ÖSTHAMMAR</t>
        </is>
      </c>
      <c r="F5875" t="inlineStr">
        <is>
          <t>Bergvik skog öst AB</t>
        </is>
      </c>
      <c r="G5875" t="n">
        <v>4</v>
      </c>
      <c r="H5875" t="n">
        <v>0</v>
      </c>
      <c r="I5875" t="n">
        <v>0</v>
      </c>
      <c r="J5875" t="n">
        <v>0</v>
      </c>
      <c r="K5875" t="n">
        <v>0</v>
      </c>
      <c r="L5875" t="n">
        <v>0</v>
      </c>
      <c r="M5875" t="n">
        <v>0</v>
      </c>
      <c r="N5875" t="n">
        <v>0</v>
      </c>
      <c r="O5875" t="n">
        <v>0</v>
      </c>
      <c r="P5875" t="n">
        <v>0</v>
      </c>
      <c r="Q5875" t="n">
        <v>0</v>
      </c>
      <c r="R5875" s="2" t="inlineStr"/>
    </row>
    <row r="5876" ht="15" customHeight="1">
      <c r="A5876" t="inlineStr">
        <is>
          <t>A 39758-2024</t>
        </is>
      </c>
      <c r="B5876" s="1" t="n">
        <v>45552</v>
      </c>
      <c r="C5876" s="1" t="n">
        <v>45705</v>
      </c>
      <c r="D5876" t="inlineStr">
        <is>
          <t>UPPSALA LÄN</t>
        </is>
      </c>
      <c r="E5876" t="inlineStr">
        <is>
          <t>ÖSTHAMMAR</t>
        </is>
      </c>
      <c r="F5876" t="inlineStr">
        <is>
          <t>Bergvik skog öst AB</t>
        </is>
      </c>
      <c r="G5876" t="n">
        <v>6.5</v>
      </c>
      <c r="H5876" t="n">
        <v>0</v>
      </c>
      <c r="I5876" t="n">
        <v>0</v>
      </c>
      <c r="J5876" t="n">
        <v>0</v>
      </c>
      <c r="K5876" t="n">
        <v>0</v>
      </c>
      <c r="L5876" t="n">
        <v>0</v>
      </c>
      <c r="M5876" t="n">
        <v>0</v>
      </c>
      <c r="N5876" t="n">
        <v>0</v>
      </c>
      <c r="O5876" t="n">
        <v>0</v>
      </c>
      <c r="P5876" t="n">
        <v>0</v>
      </c>
      <c r="Q5876" t="n">
        <v>0</v>
      </c>
      <c r="R5876" s="2" t="inlineStr"/>
    </row>
    <row r="5877" ht="15" customHeight="1">
      <c r="A5877" t="inlineStr">
        <is>
          <t>A 39818-2024</t>
        </is>
      </c>
      <c r="B5877" s="1" t="n">
        <v>45552</v>
      </c>
      <c r="C5877" s="1" t="n">
        <v>45705</v>
      </c>
      <c r="D5877" t="inlineStr">
        <is>
          <t>UPPSALA LÄN</t>
        </is>
      </c>
      <c r="E5877" t="inlineStr">
        <is>
          <t>UPPSALA</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39812-2024</t>
        </is>
      </c>
      <c r="B5878" s="1" t="n">
        <v>45552</v>
      </c>
      <c r="C5878" s="1" t="n">
        <v>45705</v>
      </c>
      <c r="D5878" t="inlineStr">
        <is>
          <t>UPPSALA LÄN</t>
        </is>
      </c>
      <c r="E5878" t="inlineStr">
        <is>
          <t>UPPSALA</t>
        </is>
      </c>
      <c r="G5878" t="n">
        <v>7.9</v>
      </c>
      <c r="H5878" t="n">
        <v>0</v>
      </c>
      <c r="I5878" t="n">
        <v>0</v>
      </c>
      <c r="J5878" t="n">
        <v>0</v>
      </c>
      <c r="K5878" t="n">
        <v>0</v>
      </c>
      <c r="L5878" t="n">
        <v>0</v>
      </c>
      <c r="M5878" t="n">
        <v>0</v>
      </c>
      <c r="N5878" t="n">
        <v>0</v>
      </c>
      <c r="O5878" t="n">
        <v>0</v>
      </c>
      <c r="P5878" t="n">
        <v>0</v>
      </c>
      <c r="Q5878" t="n">
        <v>0</v>
      </c>
      <c r="R5878" s="2" t="inlineStr"/>
    </row>
    <row r="5879" ht="15" customHeight="1">
      <c r="A5879" t="inlineStr">
        <is>
          <t>A 39858-2024</t>
        </is>
      </c>
      <c r="B5879" s="1" t="n">
        <v>45553</v>
      </c>
      <c r="C5879" s="1" t="n">
        <v>45705</v>
      </c>
      <c r="D5879" t="inlineStr">
        <is>
          <t>UPPSALA LÄN</t>
        </is>
      </c>
      <c r="E5879" t="inlineStr">
        <is>
          <t>ENKÖPING</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39926-2024</t>
        </is>
      </c>
      <c r="B5880" s="1" t="n">
        <v>45553</v>
      </c>
      <c r="C5880" s="1" t="n">
        <v>45705</v>
      </c>
      <c r="D5880" t="inlineStr">
        <is>
          <t>UPPSALA LÄN</t>
        </is>
      </c>
      <c r="E5880" t="inlineStr">
        <is>
          <t>UPPSALA</t>
        </is>
      </c>
      <c r="G5880" t="n">
        <v>5.9</v>
      </c>
      <c r="H5880" t="n">
        <v>0</v>
      </c>
      <c r="I5880" t="n">
        <v>0</v>
      </c>
      <c r="J5880" t="n">
        <v>0</v>
      </c>
      <c r="K5880" t="n">
        <v>0</v>
      </c>
      <c r="L5880" t="n">
        <v>0</v>
      </c>
      <c r="M5880" t="n">
        <v>0</v>
      </c>
      <c r="N5880" t="n">
        <v>0</v>
      </c>
      <c r="O5880" t="n">
        <v>0</v>
      </c>
      <c r="P5880" t="n">
        <v>0</v>
      </c>
      <c r="Q5880" t="n">
        <v>0</v>
      </c>
      <c r="R5880" s="2" t="inlineStr"/>
    </row>
    <row r="5881" ht="15" customHeight="1">
      <c r="A5881" t="inlineStr">
        <is>
          <t>A 40217-2024</t>
        </is>
      </c>
      <c r="B5881" s="1" t="n">
        <v>45554</v>
      </c>
      <c r="C5881" s="1" t="n">
        <v>45705</v>
      </c>
      <c r="D5881" t="inlineStr">
        <is>
          <t>UPPSALA LÄN</t>
        </is>
      </c>
      <c r="E5881" t="inlineStr">
        <is>
          <t>ENKÖPING</t>
        </is>
      </c>
      <c r="G5881" t="n">
        <v>4</v>
      </c>
      <c r="H5881" t="n">
        <v>0</v>
      </c>
      <c r="I5881" t="n">
        <v>0</v>
      </c>
      <c r="J5881" t="n">
        <v>0</v>
      </c>
      <c r="K5881" t="n">
        <v>0</v>
      </c>
      <c r="L5881" t="n">
        <v>0</v>
      </c>
      <c r="M5881" t="n">
        <v>0</v>
      </c>
      <c r="N5881" t="n">
        <v>0</v>
      </c>
      <c r="O5881" t="n">
        <v>0</v>
      </c>
      <c r="P5881" t="n">
        <v>0</v>
      </c>
      <c r="Q5881" t="n">
        <v>0</v>
      </c>
      <c r="R5881" s="2" t="inlineStr"/>
    </row>
    <row r="5882" ht="15" customHeight="1">
      <c r="A5882" t="inlineStr">
        <is>
          <t>A 40223-2024</t>
        </is>
      </c>
      <c r="B5882" s="1" t="n">
        <v>45554</v>
      </c>
      <c r="C5882" s="1" t="n">
        <v>45705</v>
      </c>
      <c r="D5882" t="inlineStr">
        <is>
          <t>UPPSALA LÄN</t>
        </is>
      </c>
      <c r="E5882" t="inlineStr">
        <is>
          <t>ENKÖPING</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40202-2024</t>
        </is>
      </c>
      <c r="B5883" s="1" t="n">
        <v>45554</v>
      </c>
      <c r="C5883" s="1" t="n">
        <v>45705</v>
      </c>
      <c r="D5883" t="inlineStr">
        <is>
          <t>UPPSALA LÄN</t>
        </is>
      </c>
      <c r="E5883" t="inlineStr">
        <is>
          <t>ENKÖPING</t>
        </is>
      </c>
      <c r="G5883" t="n">
        <v>6.2</v>
      </c>
      <c r="H5883" t="n">
        <v>0</v>
      </c>
      <c r="I5883" t="n">
        <v>0</v>
      </c>
      <c r="J5883" t="n">
        <v>0</v>
      </c>
      <c r="K5883" t="n">
        <v>0</v>
      </c>
      <c r="L5883" t="n">
        <v>0</v>
      </c>
      <c r="M5883" t="n">
        <v>0</v>
      </c>
      <c r="N5883" t="n">
        <v>0</v>
      </c>
      <c r="O5883" t="n">
        <v>0</v>
      </c>
      <c r="P5883" t="n">
        <v>0</v>
      </c>
      <c r="Q5883" t="n">
        <v>0</v>
      </c>
      <c r="R5883" s="2" t="inlineStr"/>
    </row>
    <row r="5884" ht="15" customHeight="1">
      <c r="A5884" t="inlineStr">
        <is>
          <t>A 40111-2024</t>
        </is>
      </c>
      <c r="B5884" s="1" t="n">
        <v>45554</v>
      </c>
      <c r="C5884" s="1" t="n">
        <v>45705</v>
      </c>
      <c r="D5884" t="inlineStr">
        <is>
          <t>UPPSALA LÄN</t>
        </is>
      </c>
      <c r="E5884" t="inlineStr">
        <is>
          <t>UPPSALA</t>
        </is>
      </c>
      <c r="G5884" t="n">
        <v>3.7</v>
      </c>
      <c r="H5884" t="n">
        <v>0</v>
      </c>
      <c r="I5884" t="n">
        <v>0</v>
      </c>
      <c r="J5884" t="n">
        <v>0</v>
      </c>
      <c r="K5884" t="n">
        <v>0</v>
      </c>
      <c r="L5884" t="n">
        <v>0</v>
      </c>
      <c r="M5884" t="n">
        <v>0</v>
      </c>
      <c r="N5884" t="n">
        <v>0</v>
      </c>
      <c r="O5884" t="n">
        <v>0</v>
      </c>
      <c r="P5884" t="n">
        <v>0</v>
      </c>
      <c r="Q5884" t="n">
        <v>0</v>
      </c>
      <c r="R5884" s="2" t="inlineStr"/>
    </row>
    <row r="5885" ht="15" customHeight="1">
      <c r="A5885" t="inlineStr">
        <is>
          <t>A 40326-2024</t>
        </is>
      </c>
      <c r="B5885" s="1" t="n">
        <v>45554</v>
      </c>
      <c r="C5885" s="1" t="n">
        <v>45705</v>
      </c>
      <c r="D5885" t="inlineStr">
        <is>
          <t>UPPSALA LÄN</t>
        </is>
      </c>
      <c r="E5885" t="inlineStr">
        <is>
          <t>UPPSALA</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40377-2024</t>
        </is>
      </c>
      <c r="B5886" s="1" t="n">
        <v>45555</v>
      </c>
      <c r="C5886" s="1" t="n">
        <v>45705</v>
      </c>
      <c r="D5886" t="inlineStr">
        <is>
          <t>UPPSALA LÄN</t>
        </is>
      </c>
      <c r="E5886" t="inlineStr">
        <is>
          <t>HÅBO</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40370-2024</t>
        </is>
      </c>
      <c r="B5887" s="1" t="n">
        <v>45555</v>
      </c>
      <c r="C5887" s="1" t="n">
        <v>45705</v>
      </c>
      <c r="D5887" t="inlineStr">
        <is>
          <t>UPPSALA LÄN</t>
        </is>
      </c>
      <c r="E5887" t="inlineStr">
        <is>
          <t>HÅBO</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40568-2024</t>
        </is>
      </c>
      <c r="B5888" s="1" t="n">
        <v>45555</v>
      </c>
      <c r="C5888" s="1" t="n">
        <v>45705</v>
      </c>
      <c r="D5888" t="inlineStr">
        <is>
          <t>UPPSALA LÄN</t>
        </is>
      </c>
      <c r="E5888" t="inlineStr">
        <is>
          <t>TIERP</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40434-2024</t>
        </is>
      </c>
      <c r="B5889" s="1" t="n">
        <v>45555</v>
      </c>
      <c r="C5889" s="1" t="n">
        <v>45705</v>
      </c>
      <c r="D5889" t="inlineStr">
        <is>
          <t>UPPSALA LÄN</t>
        </is>
      </c>
      <c r="E5889" t="inlineStr">
        <is>
          <t>ÖSTHAMMAR</t>
        </is>
      </c>
      <c r="F5889" t="inlineStr">
        <is>
          <t>Bergvik skog öst AB</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40454-2024</t>
        </is>
      </c>
      <c r="B5890" s="1" t="n">
        <v>45555</v>
      </c>
      <c r="C5890" s="1" t="n">
        <v>45705</v>
      </c>
      <c r="D5890" t="inlineStr">
        <is>
          <t>UPPSALA LÄN</t>
        </is>
      </c>
      <c r="E5890" t="inlineStr">
        <is>
          <t>ÖSTHAMMAR</t>
        </is>
      </c>
      <c r="F5890" t="inlineStr">
        <is>
          <t>Bergvik skog öst AB</t>
        </is>
      </c>
      <c r="G5890" t="n">
        <v>8.1</v>
      </c>
      <c r="H5890" t="n">
        <v>0</v>
      </c>
      <c r="I5890" t="n">
        <v>0</v>
      </c>
      <c r="J5890" t="n">
        <v>0</v>
      </c>
      <c r="K5890" t="n">
        <v>0</v>
      </c>
      <c r="L5890" t="n">
        <v>0</v>
      </c>
      <c r="M5890" t="n">
        <v>0</v>
      </c>
      <c r="N5890" t="n">
        <v>0</v>
      </c>
      <c r="O5890" t="n">
        <v>0</v>
      </c>
      <c r="P5890" t="n">
        <v>0</v>
      </c>
      <c r="Q5890" t="n">
        <v>0</v>
      </c>
      <c r="R5890" s="2" t="inlineStr"/>
    </row>
    <row r="5891" ht="15" customHeight="1">
      <c r="A5891" t="inlineStr">
        <is>
          <t>A 40491-2024</t>
        </is>
      </c>
      <c r="B5891" s="1" t="n">
        <v>45555</v>
      </c>
      <c r="C5891" s="1" t="n">
        <v>45705</v>
      </c>
      <c r="D5891" t="inlineStr">
        <is>
          <t>UPPSALA LÄN</t>
        </is>
      </c>
      <c r="E5891" t="inlineStr">
        <is>
          <t>UPPSALA</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40503-2024</t>
        </is>
      </c>
      <c r="B5892" s="1" t="n">
        <v>45555</v>
      </c>
      <c r="C5892" s="1" t="n">
        <v>45705</v>
      </c>
      <c r="D5892" t="inlineStr">
        <is>
          <t>UPPSALA LÄN</t>
        </is>
      </c>
      <c r="E5892" t="inlineStr">
        <is>
          <t>UPPSALA</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40701-2024</t>
        </is>
      </c>
      <c r="B5893" s="1" t="n">
        <v>45558</v>
      </c>
      <c r="C5893" s="1" t="n">
        <v>45705</v>
      </c>
      <c r="D5893" t="inlineStr">
        <is>
          <t>UPPSALA LÄN</t>
        </is>
      </c>
      <c r="E5893" t="inlineStr">
        <is>
          <t>UPPSALA</t>
        </is>
      </c>
      <c r="G5893" t="n">
        <v>9.699999999999999</v>
      </c>
      <c r="H5893" t="n">
        <v>0</v>
      </c>
      <c r="I5893" t="n">
        <v>0</v>
      </c>
      <c r="J5893" t="n">
        <v>0</v>
      </c>
      <c r="K5893" t="n">
        <v>0</v>
      </c>
      <c r="L5893" t="n">
        <v>0</v>
      </c>
      <c r="M5893" t="n">
        <v>0</v>
      </c>
      <c r="N5893" t="n">
        <v>0</v>
      </c>
      <c r="O5893" t="n">
        <v>0</v>
      </c>
      <c r="P5893" t="n">
        <v>0</v>
      </c>
      <c r="Q5893" t="n">
        <v>0</v>
      </c>
      <c r="R5893" s="2" t="inlineStr"/>
    </row>
    <row r="5894" ht="15" customHeight="1">
      <c r="A5894" t="inlineStr">
        <is>
          <t>A 40753-2024</t>
        </is>
      </c>
      <c r="B5894" s="1" t="n">
        <v>45558</v>
      </c>
      <c r="C5894" s="1" t="n">
        <v>45705</v>
      </c>
      <c r="D5894" t="inlineStr">
        <is>
          <t>UPPSALA LÄN</t>
        </is>
      </c>
      <c r="E5894" t="inlineStr">
        <is>
          <t>UPPSALA</t>
        </is>
      </c>
      <c r="G5894" t="n">
        <v>3.2</v>
      </c>
      <c r="H5894" t="n">
        <v>0</v>
      </c>
      <c r="I5894" t="n">
        <v>0</v>
      </c>
      <c r="J5894" t="n">
        <v>0</v>
      </c>
      <c r="K5894" t="n">
        <v>0</v>
      </c>
      <c r="L5894" t="n">
        <v>0</v>
      </c>
      <c r="M5894" t="n">
        <v>0</v>
      </c>
      <c r="N5894" t="n">
        <v>0</v>
      </c>
      <c r="O5894" t="n">
        <v>0</v>
      </c>
      <c r="P5894" t="n">
        <v>0</v>
      </c>
      <c r="Q5894" t="n">
        <v>0</v>
      </c>
      <c r="R5894" s="2" t="inlineStr"/>
    </row>
    <row r="5895" ht="15" customHeight="1">
      <c r="A5895" t="inlineStr">
        <is>
          <t>A 40748-2024</t>
        </is>
      </c>
      <c r="B5895" s="1" t="n">
        <v>45558</v>
      </c>
      <c r="C5895" s="1" t="n">
        <v>45705</v>
      </c>
      <c r="D5895" t="inlineStr">
        <is>
          <t>UPPSALA LÄN</t>
        </is>
      </c>
      <c r="E5895" t="inlineStr">
        <is>
          <t>TIERP</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41121-2024</t>
        </is>
      </c>
      <c r="B5896" s="1" t="n">
        <v>45559</v>
      </c>
      <c r="C5896" s="1" t="n">
        <v>45705</v>
      </c>
      <c r="D5896" t="inlineStr">
        <is>
          <t>UPPSALA LÄN</t>
        </is>
      </c>
      <c r="E5896" t="inlineStr">
        <is>
          <t>ÄLVKARLEBY</t>
        </is>
      </c>
      <c r="F5896" t="inlineStr">
        <is>
          <t>Bergvik skog väst AB</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41192-2024</t>
        </is>
      </c>
      <c r="B5897" s="1" t="n">
        <v>45559</v>
      </c>
      <c r="C5897" s="1" t="n">
        <v>45705</v>
      </c>
      <c r="D5897" t="inlineStr">
        <is>
          <t>UPPSALA LÄN</t>
        </is>
      </c>
      <c r="E5897" t="inlineStr">
        <is>
          <t>HEBY</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41308-2024</t>
        </is>
      </c>
      <c r="B5898" s="1" t="n">
        <v>45559</v>
      </c>
      <c r="C5898" s="1" t="n">
        <v>45705</v>
      </c>
      <c r="D5898" t="inlineStr">
        <is>
          <t>UPPSALA LÄN</t>
        </is>
      </c>
      <c r="E5898" t="inlineStr">
        <is>
          <t>TIERP</t>
        </is>
      </c>
      <c r="F5898" t="inlineStr">
        <is>
          <t>Bergvik skog väst AB</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41341-2024</t>
        </is>
      </c>
      <c r="B5899" s="1" t="n">
        <v>45559</v>
      </c>
      <c r="C5899" s="1" t="n">
        <v>45705</v>
      </c>
      <c r="D5899" t="inlineStr">
        <is>
          <t>UPPSALA LÄN</t>
        </is>
      </c>
      <c r="E5899" t="inlineStr">
        <is>
          <t>ÖSTHAMMAR</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41303-2024</t>
        </is>
      </c>
      <c r="B5900" s="1" t="n">
        <v>45559</v>
      </c>
      <c r="C5900" s="1" t="n">
        <v>45705</v>
      </c>
      <c r="D5900" t="inlineStr">
        <is>
          <t>UPPSALA LÄN</t>
        </is>
      </c>
      <c r="E5900" t="inlineStr">
        <is>
          <t>HEBY</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41189-2024</t>
        </is>
      </c>
      <c r="B5901" s="1" t="n">
        <v>45559</v>
      </c>
      <c r="C5901" s="1" t="n">
        <v>45705</v>
      </c>
      <c r="D5901" t="inlineStr">
        <is>
          <t>UPPSALA LÄN</t>
        </is>
      </c>
      <c r="E5901" t="inlineStr">
        <is>
          <t>HEBY</t>
        </is>
      </c>
      <c r="G5901" t="n">
        <v>5</v>
      </c>
      <c r="H5901" t="n">
        <v>0</v>
      </c>
      <c r="I5901" t="n">
        <v>0</v>
      </c>
      <c r="J5901" t="n">
        <v>0</v>
      </c>
      <c r="K5901" t="n">
        <v>0</v>
      </c>
      <c r="L5901" t="n">
        <v>0</v>
      </c>
      <c r="M5901" t="n">
        <v>0</v>
      </c>
      <c r="N5901" t="n">
        <v>0</v>
      </c>
      <c r="O5901" t="n">
        <v>0</v>
      </c>
      <c r="P5901" t="n">
        <v>0</v>
      </c>
      <c r="Q5901" t="n">
        <v>0</v>
      </c>
      <c r="R5901" s="2" t="inlineStr"/>
    </row>
    <row r="5902" ht="15" customHeight="1">
      <c r="A5902" t="inlineStr">
        <is>
          <t>A 41395-2024</t>
        </is>
      </c>
      <c r="B5902" s="1" t="n">
        <v>45560</v>
      </c>
      <c r="C5902" s="1" t="n">
        <v>45705</v>
      </c>
      <c r="D5902" t="inlineStr">
        <is>
          <t>UPPSALA LÄN</t>
        </is>
      </c>
      <c r="E5902" t="inlineStr">
        <is>
          <t>TIERP</t>
        </is>
      </c>
      <c r="F5902" t="inlineStr">
        <is>
          <t>Bergvik skog öst AB</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41399-2024</t>
        </is>
      </c>
      <c r="B5903" s="1" t="n">
        <v>45560</v>
      </c>
      <c r="C5903" s="1" t="n">
        <v>45705</v>
      </c>
      <c r="D5903" t="inlineStr">
        <is>
          <t>UPPSALA LÄN</t>
        </is>
      </c>
      <c r="E5903" t="inlineStr">
        <is>
          <t>TIERP</t>
        </is>
      </c>
      <c r="F5903" t="inlineStr">
        <is>
          <t>Bergvik skog öst AB</t>
        </is>
      </c>
      <c r="G5903" t="n">
        <v>4.8</v>
      </c>
      <c r="H5903" t="n">
        <v>0</v>
      </c>
      <c r="I5903" t="n">
        <v>0</v>
      </c>
      <c r="J5903" t="n">
        <v>0</v>
      </c>
      <c r="K5903" t="n">
        <v>0</v>
      </c>
      <c r="L5903" t="n">
        <v>0</v>
      </c>
      <c r="M5903" t="n">
        <v>0</v>
      </c>
      <c r="N5903" t="n">
        <v>0</v>
      </c>
      <c r="O5903" t="n">
        <v>0</v>
      </c>
      <c r="P5903" t="n">
        <v>0</v>
      </c>
      <c r="Q5903" t="n">
        <v>0</v>
      </c>
      <c r="R5903" s="2" t="inlineStr"/>
    </row>
    <row r="5904" ht="15" customHeight="1">
      <c r="A5904" t="inlineStr">
        <is>
          <t>A 41470-2024</t>
        </is>
      </c>
      <c r="B5904" s="1" t="n">
        <v>45560</v>
      </c>
      <c r="C5904" s="1" t="n">
        <v>45705</v>
      </c>
      <c r="D5904" t="inlineStr">
        <is>
          <t>UPPSALA LÄN</t>
        </is>
      </c>
      <c r="E5904" t="inlineStr">
        <is>
          <t>HEBY</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41478-2024</t>
        </is>
      </c>
      <c r="B5905" s="1" t="n">
        <v>45560</v>
      </c>
      <c r="C5905" s="1" t="n">
        <v>45705</v>
      </c>
      <c r="D5905" t="inlineStr">
        <is>
          <t>UPPSALA LÄN</t>
        </is>
      </c>
      <c r="E5905" t="inlineStr">
        <is>
          <t>ÖSTHAMMAR</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41393-2024</t>
        </is>
      </c>
      <c r="B5906" s="1" t="n">
        <v>45560</v>
      </c>
      <c r="C5906" s="1" t="n">
        <v>45705</v>
      </c>
      <c r="D5906" t="inlineStr">
        <is>
          <t>UPPSALA LÄN</t>
        </is>
      </c>
      <c r="E5906" t="inlineStr">
        <is>
          <t>TIERP</t>
        </is>
      </c>
      <c r="F5906" t="inlineStr">
        <is>
          <t>Bergvik skog öst AB</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41389-2024</t>
        </is>
      </c>
      <c r="B5907" s="1" t="n">
        <v>45560</v>
      </c>
      <c r="C5907" s="1" t="n">
        <v>45705</v>
      </c>
      <c r="D5907" t="inlineStr">
        <is>
          <t>UPPSALA LÄN</t>
        </is>
      </c>
      <c r="E5907" t="inlineStr">
        <is>
          <t>TIERP</t>
        </is>
      </c>
      <c r="F5907" t="inlineStr">
        <is>
          <t>Bergvik skog öst AB</t>
        </is>
      </c>
      <c r="G5907" t="n">
        <v>0.3</v>
      </c>
      <c r="H5907" t="n">
        <v>0</v>
      </c>
      <c r="I5907" t="n">
        <v>0</v>
      </c>
      <c r="J5907" t="n">
        <v>0</v>
      </c>
      <c r="K5907" t="n">
        <v>0</v>
      </c>
      <c r="L5907" t="n">
        <v>0</v>
      </c>
      <c r="M5907" t="n">
        <v>0</v>
      </c>
      <c r="N5907" t="n">
        <v>0</v>
      </c>
      <c r="O5907" t="n">
        <v>0</v>
      </c>
      <c r="P5907" t="n">
        <v>0</v>
      </c>
      <c r="Q5907" t="n">
        <v>0</v>
      </c>
      <c r="R5907" s="2" t="inlineStr"/>
    </row>
    <row r="5908" ht="15" customHeight="1">
      <c r="A5908" t="inlineStr">
        <is>
          <t>A 41465-2024</t>
        </is>
      </c>
      <c r="B5908" s="1" t="n">
        <v>45560</v>
      </c>
      <c r="C5908" s="1" t="n">
        <v>45705</v>
      </c>
      <c r="D5908" t="inlineStr">
        <is>
          <t>UPPSALA LÄN</t>
        </is>
      </c>
      <c r="E5908" t="inlineStr">
        <is>
          <t>HEBY</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41392-2024</t>
        </is>
      </c>
      <c r="B5909" s="1" t="n">
        <v>45560</v>
      </c>
      <c r="C5909" s="1" t="n">
        <v>45705</v>
      </c>
      <c r="D5909" t="inlineStr">
        <is>
          <t>UPPSALA LÄN</t>
        </is>
      </c>
      <c r="E5909" t="inlineStr">
        <is>
          <t>TIERP</t>
        </is>
      </c>
      <c r="F5909" t="inlineStr">
        <is>
          <t>Bergvik skog öst AB</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41394-2024</t>
        </is>
      </c>
      <c r="B5910" s="1" t="n">
        <v>45560</v>
      </c>
      <c r="C5910" s="1" t="n">
        <v>45705</v>
      </c>
      <c r="D5910" t="inlineStr">
        <is>
          <t>UPPSALA LÄN</t>
        </is>
      </c>
      <c r="E5910" t="inlineStr">
        <is>
          <t>TIERP</t>
        </is>
      </c>
      <c r="F5910" t="inlineStr">
        <is>
          <t>Bergvik skog öst AB</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41828-2024</t>
        </is>
      </c>
      <c r="B5911" s="1" t="n">
        <v>45561</v>
      </c>
      <c r="C5911" s="1" t="n">
        <v>45705</v>
      </c>
      <c r="D5911" t="inlineStr">
        <is>
          <t>UPPSALA LÄN</t>
        </is>
      </c>
      <c r="E5911" t="inlineStr">
        <is>
          <t>ENKÖPING</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41856-2024</t>
        </is>
      </c>
      <c r="B5912" s="1" t="n">
        <v>45561</v>
      </c>
      <c r="C5912" s="1" t="n">
        <v>45705</v>
      </c>
      <c r="D5912" t="inlineStr">
        <is>
          <t>UPPSALA LÄN</t>
        </is>
      </c>
      <c r="E5912" t="inlineStr">
        <is>
          <t>ENKÖPING</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41929-2024</t>
        </is>
      </c>
      <c r="B5913" s="1" t="n">
        <v>45561</v>
      </c>
      <c r="C5913" s="1" t="n">
        <v>45705</v>
      </c>
      <c r="D5913" t="inlineStr">
        <is>
          <t>UPPSALA LÄN</t>
        </is>
      </c>
      <c r="E5913" t="inlineStr">
        <is>
          <t>ÄLVKARLEBY</t>
        </is>
      </c>
      <c r="F5913" t="inlineStr">
        <is>
          <t>Bergvik skog väst AB</t>
        </is>
      </c>
      <c r="G5913" t="n">
        <v>4.9</v>
      </c>
      <c r="H5913" t="n">
        <v>0</v>
      </c>
      <c r="I5913" t="n">
        <v>0</v>
      </c>
      <c r="J5913" t="n">
        <v>0</v>
      </c>
      <c r="K5913" t="n">
        <v>0</v>
      </c>
      <c r="L5913" t="n">
        <v>0</v>
      </c>
      <c r="M5913" t="n">
        <v>0</v>
      </c>
      <c r="N5913" t="n">
        <v>0</v>
      </c>
      <c r="O5913" t="n">
        <v>0</v>
      </c>
      <c r="P5913" t="n">
        <v>0</v>
      </c>
      <c r="Q5913" t="n">
        <v>0</v>
      </c>
      <c r="R5913" s="2" t="inlineStr"/>
    </row>
    <row r="5914" ht="15" customHeight="1">
      <c r="A5914" t="inlineStr">
        <is>
          <t>A 41998-2024</t>
        </is>
      </c>
      <c r="B5914" s="1" t="n">
        <v>45561</v>
      </c>
      <c r="C5914" s="1" t="n">
        <v>45705</v>
      </c>
      <c r="D5914" t="inlineStr">
        <is>
          <t>UPPSALA LÄN</t>
        </is>
      </c>
      <c r="E5914" t="inlineStr">
        <is>
          <t>ÖSTHAMMAR</t>
        </is>
      </c>
      <c r="F5914" t="inlineStr">
        <is>
          <t>Bergvik skog öst AB</t>
        </is>
      </c>
      <c r="G5914" t="n">
        <v>5.7</v>
      </c>
      <c r="H5914" t="n">
        <v>0</v>
      </c>
      <c r="I5914" t="n">
        <v>0</v>
      </c>
      <c r="J5914" t="n">
        <v>0</v>
      </c>
      <c r="K5914" t="n">
        <v>0</v>
      </c>
      <c r="L5914" t="n">
        <v>0</v>
      </c>
      <c r="M5914" t="n">
        <v>0</v>
      </c>
      <c r="N5914" t="n">
        <v>0</v>
      </c>
      <c r="O5914" t="n">
        <v>0</v>
      </c>
      <c r="P5914" t="n">
        <v>0</v>
      </c>
      <c r="Q5914" t="n">
        <v>0</v>
      </c>
      <c r="R5914" s="2" t="inlineStr"/>
    </row>
    <row r="5915" ht="15" customHeight="1">
      <c r="A5915" t="inlineStr">
        <is>
          <t>A 41979-2024</t>
        </is>
      </c>
      <c r="B5915" s="1" t="n">
        <v>45561</v>
      </c>
      <c r="C5915" s="1" t="n">
        <v>45705</v>
      </c>
      <c r="D5915" t="inlineStr">
        <is>
          <t>UPPSALA LÄN</t>
        </is>
      </c>
      <c r="E5915" t="inlineStr">
        <is>
          <t>ÄLVKARLEBY</t>
        </is>
      </c>
      <c r="F5915" t="inlineStr">
        <is>
          <t>Bergvik skog väst AB</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41826-2024</t>
        </is>
      </c>
      <c r="B5916" s="1" t="n">
        <v>45561</v>
      </c>
      <c r="C5916" s="1" t="n">
        <v>45705</v>
      </c>
      <c r="D5916" t="inlineStr">
        <is>
          <t>UPPSALA LÄN</t>
        </is>
      </c>
      <c r="E5916" t="inlineStr">
        <is>
          <t>ENKÖPING</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41850-2024</t>
        </is>
      </c>
      <c r="B5917" s="1" t="n">
        <v>45561</v>
      </c>
      <c r="C5917" s="1" t="n">
        <v>45705</v>
      </c>
      <c r="D5917" t="inlineStr">
        <is>
          <t>UPPSALA LÄN</t>
        </is>
      </c>
      <c r="E5917" t="inlineStr">
        <is>
          <t>ENKÖPING</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41894-2024</t>
        </is>
      </c>
      <c r="B5918" s="1" t="n">
        <v>45561</v>
      </c>
      <c r="C5918" s="1" t="n">
        <v>45705</v>
      </c>
      <c r="D5918" t="inlineStr">
        <is>
          <t>UPPSALA LÄN</t>
        </is>
      </c>
      <c r="E5918" t="inlineStr">
        <is>
          <t>ÄLVKARLEBY</t>
        </is>
      </c>
      <c r="F5918" t="inlineStr">
        <is>
          <t>Bergvik skog väst AB</t>
        </is>
      </c>
      <c r="G5918" t="n">
        <v>5.6</v>
      </c>
      <c r="H5918" t="n">
        <v>0</v>
      </c>
      <c r="I5918" t="n">
        <v>0</v>
      </c>
      <c r="J5918" t="n">
        <v>0</v>
      </c>
      <c r="K5918" t="n">
        <v>0</v>
      </c>
      <c r="L5918" t="n">
        <v>0</v>
      </c>
      <c r="M5918" t="n">
        <v>0</v>
      </c>
      <c r="N5918" t="n">
        <v>0</v>
      </c>
      <c r="O5918" t="n">
        <v>0</v>
      </c>
      <c r="P5918" t="n">
        <v>0</v>
      </c>
      <c r="Q5918" t="n">
        <v>0</v>
      </c>
      <c r="R5918" s="2" t="inlineStr"/>
    </row>
    <row r="5919" ht="15" customHeight="1">
      <c r="A5919" t="inlineStr">
        <is>
          <t>A 41898-2024</t>
        </is>
      </c>
      <c r="B5919" s="1" t="n">
        <v>45561</v>
      </c>
      <c r="C5919" s="1" t="n">
        <v>45705</v>
      </c>
      <c r="D5919" t="inlineStr">
        <is>
          <t>UPPSALA LÄN</t>
        </is>
      </c>
      <c r="E5919" t="inlineStr">
        <is>
          <t>ÄLVKARLEBY</t>
        </is>
      </c>
      <c r="F5919" t="inlineStr">
        <is>
          <t>Bergvik skog väst AB</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41996-2024</t>
        </is>
      </c>
      <c r="B5920" s="1" t="n">
        <v>45561</v>
      </c>
      <c r="C5920" s="1" t="n">
        <v>45705</v>
      </c>
      <c r="D5920" t="inlineStr">
        <is>
          <t>UPPSALA LÄN</t>
        </is>
      </c>
      <c r="E5920" t="inlineStr">
        <is>
          <t>ÖSTHAMMAR</t>
        </is>
      </c>
      <c r="F5920" t="inlineStr">
        <is>
          <t>Bergvik skog öst AB</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42225-2024</t>
        </is>
      </c>
      <c r="B5921" s="1" t="n">
        <v>45562</v>
      </c>
      <c r="C5921" s="1" t="n">
        <v>45705</v>
      </c>
      <c r="D5921" t="inlineStr">
        <is>
          <t>UPPSALA LÄN</t>
        </is>
      </c>
      <c r="E5921" t="inlineStr">
        <is>
          <t>ÖSTHAMMAR</t>
        </is>
      </c>
      <c r="F5921" t="inlineStr">
        <is>
          <t>Bergvik skog öst AB</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42162-2024</t>
        </is>
      </c>
      <c r="B5922" s="1" t="n">
        <v>45562</v>
      </c>
      <c r="C5922" s="1" t="n">
        <v>45705</v>
      </c>
      <c r="D5922" t="inlineStr">
        <is>
          <t>UPPSALA LÄN</t>
        </is>
      </c>
      <c r="E5922" t="inlineStr">
        <is>
          <t>HEBY</t>
        </is>
      </c>
      <c r="G5922" t="n">
        <v>4.6</v>
      </c>
      <c r="H5922" t="n">
        <v>0</v>
      </c>
      <c r="I5922" t="n">
        <v>0</v>
      </c>
      <c r="J5922" t="n">
        <v>0</v>
      </c>
      <c r="K5922" t="n">
        <v>0</v>
      </c>
      <c r="L5922" t="n">
        <v>0</v>
      </c>
      <c r="M5922" t="n">
        <v>0</v>
      </c>
      <c r="N5922" t="n">
        <v>0</v>
      </c>
      <c r="O5922" t="n">
        <v>0</v>
      </c>
      <c r="P5922" t="n">
        <v>0</v>
      </c>
      <c r="Q5922" t="n">
        <v>0</v>
      </c>
      <c r="R5922" s="2" t="inlineStr"/>
    </row>
    <row r="5923" ht="15" customHeight="1">
      <c r="A5923" t="inlineStr">
        <is>
          <t>A 42296-2024</t>
        </is>
      </c>
      <c r="B5923" s="1" t="n">
        <v>45562</v>
      </c>
      <c r="C5923" s="1" t="n">
        <v>45705</v>
      </c>
      <c r="D5923" t="inlineStr">
        <is>
          <t>UPPSALA LÄN</t>
        </is>
      </c>
      <c r="E5923" t="inlineStr">
        <is>
          <t>ÖSTHAMMAR</t>
        </is>
      </c>
      <c r="F5923" t="inlineStr">
        <is>
          <t>Bergvik skog öst AB</t>
        </is>
      </c>
      <c r="G5923" t="n">
        <v>5.9</v>
      </c>
      <c r="H5923" t="n">
        <v>0</v>
      </c>
      <c r="I5923" t="n">
        <v>0</v>
      </c>
      <c r="J5923" t="n">
        <v>0</v>
      </c>
      <c r="K5923" t="n">
        <v>0</v>
      </c>
      <c r="L5923" t="n">
        <v>0</v>
      </c>
      <c r="M5923" t="n">
        <v>0</v>
      </c>
      <c r="N5923" t="n">
        <v>0</v>
      </c>
      <c r="O5923" t="n">
        <v>0</v>
      </c>
      <c r="P5923" t="n">
        <v>0</v>
      </c>
      <c r="Q5923" t="n">
        <v>0</v>
      </c>
      <c r="R5923" s="2" t="inlineStr"/>
    </row>
    <row r="5924" ht="15" customHeight="1">
      <c r="A5924" t="inlineStr">
        <is>
          <t>A 42262-2024</t>
        </is>
      </c>
      <c r="B5924" s="1" t="n">
        <v>45562</v>
      </c>
      <c r="C5924" s="1" t="n">
        <v>45705</v>
      </c>
      <c r="D5924" t="inlineStr">
        <is>
          <t>UPPSALA LÄN</t>
        </is>
      </c>
      <c r="E5924" t="inlineStr">
        <is>
          <t>ÖSTHAMMAR</t>
        </is>
      </c>
      <c r="F5924" t="inlineStr">
        <is>
          <t>Bergvik skog öst AB</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42276-2024</t>
        </is>
      </c>
      <c r="B5925" s="1" t="n">
        <v>45562</v>
      </c>
      <c r="C5925" s="1" t="n">
        <v>45705</v>
      </c>
      <c r="D5925" t="inlineStr">
        <is>
          <t>UPPSALA LÄN</t>
        </is>
      </c>
      <c r="E5925" t="inlineStr">
        <is>
          <t>UPPSALA</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42142-2024</t>
        </is>
      </c>
      <c r="B5926" s="1" t="n">
        <v>45562</v>
      </c>
      <c r="C5926" s="1" t="n">
        <v>45705</v>
      </c>
      <c r="D5926" t="inlineStr">
        <is>
          <t>UPPSALA LÄN</t>
        </is>
      </c>
      <c r="E5926" t="inlineStr">
        <is>
          <t>ÖSTHAMMAR</t>
        </is>
      </c>
      <c r="F5926" t="inlineStr">
        <is>
          <t>Bergvik skog öst AB</t>
        </is>
      </c>
      <c r="G5926" t="n">
        <v>0.4</v>
      </c>
      <c r="H5926" t="n">
        <v>0</v>
      </c>
      <c r="I5926" t="n">
        <v>0</v>
      </c>
      <c r="J5926" t="n">
        <v>0</v>
      </c>
      <c r="K5926" t="n">
        <v>0</v>
      </c>
      <c r="L5926" t="n">
        <v>0</v>
      </c>
      <c r="M5926" t="n">
        <v>0</v>
      </c>
      <c r="N5926" t="n">
        <v>0</v>
      </c>
      <c r="O5926" t="n">
        <v>0</v>
      </c>
      <c r="P5926" t="n">
        <v>0</v>
      </c>
      <c r="Q5926" t="n">
        <v>0</v>
      </c>
      <c r="R5926" s="2" t="inlineStr"/>
    </row>
    <row r="5927" ht="15" customHeight="1">
      <c r="A5927" t="inlineStr">
        <is>
          <t>A 42146-2024</t>
        </is>
      </c>
      <c r="B5927" s="1" t="n">
        <v>45562</v>
      </c>
      <c r="C5927" s="1" t="n">
        <v>45705</v>
      </c>
      <c r="D5927" t="inlineStr">
        <is>
          <t>UPPSALA LÄN</t>
        </is>
      </c>
      <c r="E5927" t="inlineStr">
        <is>
          <t>UPPSALA</t>
        </is>
      </c>
      <c r="G5927" t="n">
        <v>7.3</v>
      </c>
      <c r="H5927" t="n">
        <v>0</v>
      </c>
      <c r="I5927" t="n">
        <v>0</v>
      </c>
      <c r="J5927" t="n">
        <v>0</v>
      </c>
      <c r="K5927" t="n">
        <v>0</v>
      </c>
      <c r="L5927" t="n">
        <v>0</v>
      </c>
      <c r="M5927" t="n">
        <v>0</v>
      </c>
      <c r="N5927" t="n">
        <v>0</v>
      </c>
      <c r="O5927" t="n">
        <v>0</v>
      </c>
      <c r="P5927" t="n">
        <v>0</v>
      </c>
      <c r="Q5927" t="n">
        <v>0</v>
      </c>
      <c r="R5927" s="2" t="inlineStr"/>
    </row>
    <row r="5928" ht="15" customHeight="1">
      <c r="A5928" t="inlineStr">
        <is>
          <t>A 42259-2024</t>
        </is>
      </c>
      <c r="B5928" s="1" t="n">
        <v>45562</v>
      </c>
      <c r="C5928" s="1" t="n">
        <v>45705</v>
      </c>
      <c r="D5928" t="inlineStr">
        <is>
          <t>UPPSALA LÄN</t>
        </is>
      </c>
      <c r="E5928" t="inlineStr">
        <is>
          <t>UPPSALA</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42267-2024</t>
        </is>
      </c>
      <c r="B5929" s="1" t="n">
        <v>45562</v>
      </c>
      <c r="C5929" s="1" t="n">
        <v>45705</v>
      </c>
      <c r="D5929" t="inlineStr">
        <is>
          <t>UPPSALA LÄN</t>
        </is>
      </c>
      <c r="E5929" t="inlineStr">
        <is>
          <t>HEBY</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42277-2024</t>
        </is>
      </c>
      <c r="B5930" s="1" t="n">
        <v>45562</v>
      </c>
      <c r="C5930" s="1" t="n">
        <v>45705</v>
      </c>
      <c r="D5930" t="inlineStr">
        <is>
          <t>UPPSALA LÄN</t>
        </is>
      </c>
      <c r="E5930" t="inlineStr">
        <is>
          <t>HEBY</t>
        </is>
      </c>
      <c r="F5930" t="inlineStr">
        <is>
          <t>Bergvik skog väst AB</t>
        </is>
      </c>
      <c r="G5930" t="n">
        <v>7.1</v>
      </c>
      <c r="H5930" t="n">
        <v>0</v>
      </c>
      <c r="I5930" t="n">
        <v>0</v>
      </c>
      <c r="J5930" t="n">
        <v>0</v>
      </c>
      <c r="K5930" t="n">
        <v>0</v>
      </c>
      <c r="L5930" t="n">
        <v>0</v>
      </c>
      <c r="M5930" t="n">
        <v>0</v>
      </c>
      <c r="N5930" t="n">
        <v>0</v>
      </c>
      <c r="O5930" t="n">
        <v>0</v>
      </c>
      <c r="P5930" t="n">
        <v>0</v>
      </c>
      <c r="Q5930" t="n">
        <v>0</v>
      </c>
      <c r="R5930" s="2" t="inlineStr"/>
    </row>
    <row r="5931" ht="15" customHeight="1">
      <c r="A5931" t="inlineStr">
        <is>
          <t>A 42307-2024</t>
        </is>
      </c>
      <c r="B5931" s="1" t="n">
        <v>45562</v>
      </c>
      <c r="C5931" s="1" t="n">
        <v>45705</v>
      </c>
      <c r="D5931" t="inlineStr">
        <is>
          <t>UPPSALA LÄN</t>
        </is>
      </c>
      <c r="E5931" t="inlineStr">
        <is>
          <t>HEBY</t>
        </is>
      </c>
      <c r="F5931" t="inlineStr">
        <is>
          <t>Bergvik skog väst AB</t>
        </is>
      </c>
      <c r="G5931" t="n">
        <v>15.1</v>
      </c>
      <c r="H5931" t="n">
        <v>0</v>
      </c>
      <c r="I5931" t="n">
        <v>0</v>
      </c>
      <c r="J5931" t="n">
        <v>0</v>
      </c>
      <c r="K5931" t="n">
        <v>0</v>
      </c>
      <c r="L5931" t="n">
        <v>0</v>
      </c>
      <c r="M5931" t="n">
        <v>0</v>
      </c>
      <c r="N5931" t="n">
        <v>0</v>
      </c>
      <c r="O5931" t="n">
        <v>0</v>
      </c>
      <c r="P5931" t="n">
        <v>0</v>
      </c>
      <c r="Q5931" t="n">
        <v>0</v>
      </c>
      <c r="R5931" s="2" t="inlineStr"/>
    </row>
    <row r="5932" ht="15" customHeight="1">
      <c r="A5932" t="inlineStr">
        <is>
          <t>A 42143-2024</t>
        </is>
      </c>
      <c r="B5932" s="1" t="n">
        <v>45562</v>
      </c>
      <c r="C5932" s="1" t="n">
        <v>45705</v>
      </c>
      <c r="D5932" t="inlineStr">
        <is>
          <t>UPPSALA LÄN</t>
        </is>
      </c>
      <c r="E5932" t="inlineStr">
        <is>
          <t>UPPSALA</t>
        </is>
      </c>
      <c r="G5932" t="n">
        <v>6.8</v>
      </c>
      <c r="H5932" t="n">
        <v>0</v>
      </c>
      <c r="I5932" t="n">
        <v>0</v>
      </c>
      <c r="J5932" t="n">
        <v>0</v>
      </c>
      <c r="K5932" t="n">
        <v>0</v>
      </c>
      <c r="L5932" t="n">
        <v>0</v>
      </c>
      <c r="M5932" t="n">
        <v>0</v>
      </c>
      <c r="N5932" t="n">
        <v>0</v>
      </c>
      <c r="O5932" t="n">
        <v>0</v>
      </c>
      <c r="P5932" t="n">
        <v>0</v>
      </c>
      <c r="Q5932" t="n">
        <v>0</v>
      </c>
      <c r="R5932" s="2" t="inlineStr"/>
    </row>
    <row r="5933" ht="15" customHeight="1">
      <c r="A5933" t="inlineStr">
        <is>
          <t>A 42159-2024</t>
        </is>
      </c>
      <c r="B5933" s="1" t="n">
        <v>45562</v>
      </c>
      <c r="C5933" s="1" t="n">
        <v>45705</v>
      </c>
      <c r="D5933" t="inlineStr">
        <is>
          <t>UPPSALA LÄN</t>
        </is>
      </c>
      <c r="E5933" t="inlineStr">
        <is>
          <t>ÖSTHAMMAR</t>
        </is>
      </c>
      <c r="F5933" t="inlineStr">
        <is>
          <t>Bergvik skog öst AB</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42453-2024</t>
        </is>
      </c>
      <c r="B5934" s="1" t="n">
        <v>45565</v>
      </c>
      <c r="C5934" s="1" t="n">
        <v>45705</v>
      </c>
      <c r="D5934" t="inlineStr">
        <is>
          <t>UPPSALA LÄN</t>
        </is>
      </c>
      <c r="E5934" t="inlineStr">
        <is>
          <t>TIERP</t>
        </is>
      </c>
      <c r="G5934" t="n">
        <v>3</v>
      </c>
      <c r="H5934" t="n">
        <v>0</v>
      </c>
      <c r="I5934" t="n">
        <v>0</v>
      </c>
      <c r="J5934" t="n">
        <v>0</v>
      </c>
      <c r="K5934" t="n">
        <v>0</v>
      </c>
      <c r="L5934" t="n">
        <v>0</v>
      </c>
      <c r="M5934" t="n">
        <v>0</v>
      </c>
      <c r="N5934" t="n">
        <v>0</v>
      </c>
      <c r="O5934" t="n">
        <v>0</v>
      </c>
      <c r="P5934" t="n">
        <v>0</v>
      </c>
      <c r="Q5934" t="n">
        <v>0</v>
      </c>
      <c r="R5934" s="2" t="inlineStr"/>
    </row>
    <row r="5935" ht="15" customHeight="1">
      <c r="A5935" t="inlineStr">
        <is>
          <t>A 42564-2024</t>
        </is>
      </c>
      <c r="B5935" s="1" t="n">
        <v>45565</v>
      </c>
      <c r="C5935" s="1" t="n">
        <v>45705</v>
      </c>
      <c r="D5935" t="inlineStr">
        <is>
          <t>UPPSALA LÄN</t>
        </is>
      </c>
      <c r="E5935" t="inlineStr">
        <is>
          <t>ENKÖPING</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42459-2024</t>
        </is>
      </c>
      <c r="B5936" s="1" t="n">
        <v>45565</v>
      </c>
      <c r="C5936" s="1" t="n">
        <v>45705</v>
      </c>
      <c r="D5936" t="inlineStr">
        <is>
          <t>UPPSALA LÄN</t>
        </is>
      </c>
      <c r="E5936" t="inlineStr">
        <is>
          <t>ENKÖPING</t>
        </is>
      </c>
      <c r="G5936" t="n">
        <v>3.6</v>
      </c>
      <c r="H5936" t="n">
        <v>0</v>
      </c>
      <c r="I5936" t="n">
        <v>0</v>
      </c>
      <c r="J5936" t="n">
        <v>0</v>
      </c>
      <c r="K5936" t="n">
        <v>0</v>
      </c>
      <c r="L5936" t="n">
        <v>0</v>
      </c>
      <c r="M5936" t="n">
        <v>0</v>
      </c>
      <c r="N5936" t="n">
        <v>0</v>
      </c>
      <c r="O5936" t="n">
        <v>0</v>
      </c>
      <c r="P5936" t="n">
        <v>0</v>
      </c>
      <c r="Q5936" t="n">
        <v>0</v>
      </c>
      <c r="R5936" s="2" t="inlineStr"/>
    </row>
    <row r="5937" ht="15" customHeight="1">
      <c r="A5937" t="inlineStr">
        <is>
          <t>A 42859-2024</t>
        </is>
      </c>
      <c r="B5937" s="1" t="n">
        <v>45566</v>
      </c>
      <c r="C5937" s="1" t="n">
        <v>45705</v>
      </c>
      <c r="D5937" t="inlineStr">
        <is>
          <t>UPPSALA LÄN</t>
        </is>
      </c>
      <c r="E5937" t="inlineStr">
        <is>
          <t>HEBY</t>
        </is>
      </c>
      <c r="G5937" t="n">
        <v>3.6</v>
      </c>
      <c r="H5937" t="n">
        <v>0</v>
      </c>
      <c r="I5937" t="n">
        <v>0</v>
      </c>
      <c r="J5937" t="n">
        <v>0</v>
      </c>
      <c r="K5937" t="n">
        <v>0</v>
      </c>
      <c r="L5937" t="n">
        <v>0</v>
      </c>
      <c r="M5937" t="n">
        <v>0</v>
      </c>
      <c r="N5937" t="n">
        <v>0</v>
      </c>
      <c r="O5937" t="n">
        <v>0</v>
      </c>
      <c r="P5937" t="n">
        <v>0</v>
      </c>
      <c r="Q5937" t="n">
        <v>0</v>
      </c>
      <c r="R5937" s="2" t="inlineStr"/>
    </row>
    <row r="5938" ht="15" customHeight="1">
      <c r="A5938" t="inlineStr">
        <is>
          <t>A 42874-2024</t>
        </is>
      </c>
      <c r="B5938" s="1" t="n">
        <v>45566</v>
      </c>
      <c r="C5938" s="1" t="n">
        <v>45705</v>
      </c>
      <c r="D5938" t="inlineStr">
        <is>
          <t>UPPSALA LÄN</t>
        </is>
      </c>
      <c r="E5938" t="inlineStr">
        <is>
          <t>TIERP</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42872-2024</t>
        </is>
      </c>
      <c r="B5939" s="1" t="n">
        <v>45566</v>
      </c>
      <c r="C5939" s="1" t="n">
        <v>45705</v>
      </c>
      <c r="D5939" t="inlineStr">
        <is>
          <t>UPPSALA LÄN</t>
        </is>
      </c>
      <c r="E5939" t="inlineStr">
        <is>
          <t>TIERP</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43205-2024</t>
        </is>
      </c>
      <c r="B5940" s="1" t="n">
        <v>45567</v>
      </c>
      <c r="C5940" s="1" t="n">
        <v>45705</v>
      </c>
      <c r="D5940" t="inlineStr">
        <is>
          <t>UPPSALA LÄN</t>
        </is>
      </c>
      <c r="E5940" t="inlineStr">
        <is>
          <t>ENKÖPING</t>
        </is>
      </c>
      <c r="G5940" t="n">
        <v>4.8</v>
      </c>
      <c r="H5940" t="n">
        <v>0</v>
      </c>
      <c r="I5940" t="n">
        <v>0</v>
      </c>
      <c r="J5940" t="n">
        <v>0</v>
      </c>
      <c r="K5940" t="n">
        <v>0</v>
      </c>
      <c r="L5940" t="n">
        <v>0</v>
      </c>
      <c r="M5940" t="n">
        <v>0</v>
      </c>
      <c r="N5940" t="n">
        <v>0</v>
      </c>
      <c r="O5940" t="n">
        <v>0</v>
      </c>
      <c r="P5940" t="n">
        <v>0</v>
      </c>
      <c r="Q5940" t="n">
        <v>0</v>
      </c>
      <c r="R5940" s="2" t="inlineStr"/>
    </row>
    <row r="5941" ht="15" customHeight="1">
      <c r="A5941" t="inlineStr">
        <is>
          <t>A 43197-2024</t>
        </is>
      </c>
      <c r="B5941" s="1" t="n">
        <v>45567</v>
      </c>
      <c r="C5941" s="1" t="n">
        <v>45705</v>
      </c>
      <c r="D5941" t="inlineStr">
        <is>
          <t>UPPSALA LÄN</t>
        </is>
      </c>
      <c r="E5941" t="inlineStr">
        <is>
          <t>ÖSTHAMMAR</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43089-2024</t>
        </is>
      </c>
      <c r="B5942" s="1" t="n">
        <v>45567</v>
      </c>
      <c r="C5942" s="1" t="n">
        <v>45705</v>
      </c>
      <c r="D5942" t="inlineStr">
        <is>
          <t>UPPSALA LÄN</t>
        </is>
      </c>
      <c r="E5942" t="inlineStr">
        <is>
          <t>HEBY</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43439-2024</t>
        </is>
      </c>
      <c r="B5943" s="1" t="n">
        <v>45568</v>
      </c>
      <c r="C5943" s="1" t="n">
        <v>45705</v>
      </c>
      <c r="D5943" t="inlineStr">
        <is>
          <t>UPPSALA LÄN</t>
        </is>
      </c>
      <c r="E5943" t="inlineStr">
        <is>
          <t>ÖSTHAMMAR</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43361-2024</t>
        </is>
      </c>
      <c r="B5944" s="1" t="n">
        <v>45568</v>
      </c>
      <c r="C5944" s="1" t="n">
        <v>45705</v>
      </c>
      <c r="D5944" t="inlineStr">
        <is>
          <t>UPPSALA LÄN</t>
        </is>
      </c>
      <c r="E5944" t="inlineStr">
        <is>
          <t>UPPSALA</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43341-2024</t>
        </is>
      </c>
      <c r="B5945" s="1" t="n">
        <v>45568</v>
      </c>
      <c r="C5945" s="1" t="n">
        <v>45705</v>
      </c>
      <c r="D5945" t="inlineStr">
        <is>
          <t>UPPSALA LÄN</t>
        </is>
      </c>
      <c r="E5945" t="inlineStr">
        <is>
          <t>TIERP</t>
        </is>
      </c>
      <c r="G5945" t="n">
        <v>5.1</v>
      </c>
      <c r="H5945" t="n">
        <v>0</v>
      </c>
      <c r="I5945" t="n">
        <v>0</v>
      </c>
      <c r="J5945" t="n">
        <v>0</v>
      </c>
      <c r="K5945" t="n">
        <v>0</v>
      </c>
      <c r="L5945" t="n">
        <v>0</v>
      </c>
      <c r="M5945" t="n">
        <v>0</v>
      </c>
      <c r="N5945" t="n">
        <v>0</v>
      </c>
      <c r="O5945" t="n">
        <v>0</v>
      </c>
      <c r="P5945" t="n">
        <v>0</v>
      </c>
      <c r="Q5945" t="n">
        <v>0</v>
      </c>
      <c r="R5945" s="2" t="inlineStr"/>
    </row>
    <row r="5946" ht="15" customHeight="1">
      <c r="A5946" t="inlineStr">
        <is>
          <t>A 43639-2024</t>
        </is>
      </c>
      <c r="B5946" s="1" t="n">
        <v>45569</v>
      </c>
      <c r="C5946" s="1" t="n">
        <v>45705</v>
      </c>
      <c r="D5946" t="inlineStr">
        <is>
          <t>UPPSALA LÄN</t>
        </is>
      </c>
      <c r="E5946" t="inlineStr">
        <is>
          <t>TIERP</t>
        </is>
      </c>
      <c r="F5946" t="inlineStr">
        <is>
          <t>Bergvik skog öst AB</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43655-2024</t>
        </is>
      </c>
      <c r="B5947" s="1" t="n">
        <v>45569</v>
      </c>
      <c r="C5947" s="1" t="n">
        <v>45705</v>
      </c>
      <c r="D5947" t="inlineStr">
        <is>
          <t>UPPSALA LÄN</t>
        </is>
      </c>
      <c r="E5947" t="inlineStr">
        <is>
          <t>ÖSTHAMMAR</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43676-2024</t>
        </is>
      </c>
      <c r="B5948" s="1" t="n">
        <v>45569</v>
      </c>
      <c r="C5948" s="1" t="n">
        <v>45705</v>
      </c>
      <c r="D5948" t="inlineStr">
        <is>
          <t>UPPSALA LÄN</t>
        </is>
      </c>
      <c r="E5948" t="inlineStr">
        <is>
          <t>ÖSTHAMMAR</t>
        </is>
      </c>
      <c r="G5948" t="n">
        <v>7.4</v>
      </c>
      <c r="H5948" t="n">
        <v>0</v>
      </c>
      <c r="I5948" t="n">
        <v>0</v>
      </c>
      <c r="J5948" t="n">
        <v>0</v>
      </c>
      <c r="K5948" t="n">
        <v>0</v>
      </c>
      <c r="L5948" t="n">
        <v>0</v>
      </c>
      <c r="M5948" t="n">
        <v>0</v>
      </c>
      <c r="N5948" t="n">
        <v>0</v>
      </c>
      <c r="O5948" t="n">
        <v>0</v>
      </c>
      <c r="P5948" t="n">
        <v>0</v>
      </c>
      <c r="Q5948" t="n">
        <v>0</v>
      </c>
      <c r="R5948" s="2" t="inlineStr"/>
    </row>
    <row r="5949" ht="15" customHeight="1">
      <c r="A5949" t="inlineStr">
        <is>
          <t>A 43685-2024</t>
        </is>
      </c>
      <c r="B5949" s="1" t="n">
        <v>45569</v>
      </c>
      <c r="C5949" s="1" t="n">
        <v>45705</v>
      </c>
      <c r="D5949" t="inlineStr">
        <is>
          <t>UPPSALA LÄN</t>
        </is>
      </c>
      <c r="E5949" t="inlineStr">
        <is>
          <t>ÖSTHAMMAR</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43697-2024</t>
        </is>
      </c>
      <c r="B5950" s="1" t="n">
        <v>45569</v>
      </c>
      <c r="C5950" s="1" t="n">
        <v>45705</v>
      </c>
      <c r="D5950" t="inlineStr">
        <is>
          <t>UPPSALA LÄN</t>
        </is>
      </c>
      <c r="E5950" t="inlineStr">
        <is>
          <t>ENKÖPING</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43641-2024</t>
        </is>
      </c>
      <c r="B5951" s="1" t="n">
        <v>45569</v>
      </c>
      <c r="C5951" s="1" t="n">
        <v>45705</v>
      </c>
      <c r="D5951" t="inlineStr">
        <is>
          <t>UPPSALA LÄN</t>
        </is>
      </c>
      <c r="E5951" t="inlineStr">
        <is>
          <t>TIERP</t>
        </is>
      </c>
      <c r="F5951" t="inlineStr">
        <is>
          <t>Bergvik skog öst AB</t>
        </is>
      </c>
      <c r="G5951" t="n">
        <v>3.9</v>
      </c>
      <c r="H5951" t="n">
        <v>0</v>
      </c>
      <c r="I5951" t="n">
        <v>0</v>
      </c>
      <c r="J5951" t="n">
        <v>0</v>
      </c>
      <c r="K5951" t="n">
        <v>0</v>
      </c>
      <c r="L5951" t="n">
        <v>0</v>
      </c>
      <c r="M5951" t="n">
        <v>0</v>
      </c>
      <c r="N5951" t="n">
        <v>0</v>
      </c>
      <c r="O5951" t="n">
        <v>0</v>
      </c>
      <c r="P5951" t="n">
        <v>0</v>
      </c>
      <c r="Q5951" t="n">
        <v>0</v>
      </c>
      <c r="R5951" s="2" t="inlineStr"/>
    </row>
    <row r="5952" ht="15" customHeight="1">
      <c r="A5952" t="inlineStr">
        <is>
          <t>A 43679-2024</t>
        </is>
      </c>
      <c r="B5952" s="1" t="n">
        <v>45569</v>
      </c>
      <c r="C5952" s="1" t="n">
        <v>45705</v>
      </c>
      <c r="D5952" t="inlineStr">
        <is>
          <t>UPPSALA LÄN</t>
        </is>
      </c>
      <c r="E5952" t="inlineStr">
        <is>
          <t>ÖSTHAMMAR</t>
        </is>
      </c>
      <c r="G5952" t="n">
        <v>3.4</v>
      </c>
      <c r="H5952" t="n">
        <v>0</v>
      </c>
      <c r="I5952" t="n">
        <v>0</v>
      </c>
      <c r="J5952" t="n">
        <v>0</v>
      </c>
      <c r="K5952" t="n">
        <v>0</v>
      </c>
      <c r="L5952" t="n">
        <v>0</v>
      </c>
      <c r="M5952" t="n">
        <v>0</v>
      </c>
      <c r="N5952" t="n">
        <v>0</v>
      </c>
      <c r="O5952" t="n">
        <v>0</v>
      </c>
      <c r="P5952" t="n">
        <v>0</v>
      </c>
      <c r="Q5952" t="n">
        <v>0</v>
      </c>
      <c r="R5952" s="2" t="inlineStr"/>
    </row>
    <row r="5953" ht="15" customHeight="1">
      <c r="A5953" t="inlineStr">
        <is>
          <t>A 43666-2024</t>
        </is>
      </c>
      <c r="B5953" s="1" t="n">
        <v>45569</v>
      </c>
      <c r="C5953" s="1" t="n">
        <v>45705</v>
      </c>
      <c r="D5953" t="inlineStr">
        <is>
          <t>UPPSALA LÄN</t>
        </is>
      </c>
      <c r="E5953" t="inlineStr">
        <is>
          <t>ÖSTHAMMAR</t>
        </is>
      </c>
      <c r="G5953" t="n">
        <v>3.3</v>
      </c>
      <c r="H5953" t="n">
        <v>0</v>
      </c>
      <c r="I5953" t="n">
        <v>0</v>
      </c>
      <c r="J5953" t="n">
        <v>0</v>
      </c>
      <c r="K5953" t="n">
        <v>0</v>
      </c>
      <c r="L5953" t="n">
        <v>0</v>
      </c>
      <c r="M5953" t="n">
        <v>0</v>
      </c>
      <c r="N5953" t="n">
        <v>0</v>
      </c>
      <c r="O5953" t="n">
        <v>0</v>
      </c>
      <c r="P5953" t="n">
        <v>0</v>
      </c>
      <c r="Q5953" t="n">
        <v>0</v>
      </c>
      <c r="R5953" s="2" t="inlineStr"/>
    </row>
    <row r="5954" ht="15" customHeight="1">
      <c r="A5954" t="inlineStr">
        <is>
          <t>A 43710-2024</t>
        </is>
      </c>
      <c r="B5954" s="1" t="n">
        <v>45569</v>
      </c>
      <c r="C5954" s="1" t="n">
        <v>45705</v>
      </c>
      <c r="D5954" t="inlineStr">
        <is>
          <t>UPPSALA LÄN</t>
        </is>
      </c>
      <c r="E5954" t="inlineStr">
        <is>
          <t>HEBY</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43892-2024</t>
        </is>
      </c>
      <c r="B5955" s="1" t="n">
        <v>45569</v>
      </c>
      <c r="C5955" s="1" t="n">
        <v>45705</v>
      </c>
      <c r="D5955" t="inlineStr">
        <is>
          <t>UPPSALA LÄN</t>
        </is>
      </c>
      <c r="E5955" t="inlineStr">
        <is>
          <t>TIERP</t>
        </is>
      </c>
      <c r="G5955" t="n">
        <v>20.7</v>
      </c>
      <c r="H5955" t="n">
        <v>0</v>
      </c>
      <c r="I5955" t="n">
        <v>0</v>
      </c>
      <c r="J5955" t="n">
        <v>0</v>
      </c>
      <c r="K5955" t="n">
        <v>0</v>
      </c>
      <c r="L5955" t="n">
        <v>0</v>
      </c>
      <c r="M5955" t="n">
        <v>0</v>
      </c>
      <c r="N5955" t="n">
        <v>0</v>
      </c>
      <c r="O5955" t="n">
        <v>0</v>
      </c>
      <c r="P5955" t="n">
        <v>0</v>
      </c>
      <c r="Q5955" t="n">
        <v>0</v>
      </c>
      <c r="R5955" s="2" t="inlineStr"/>
    </row>
    <row r="5956" ht="15" customHeight="1">
      <c r="A5956" t="inlineStr">
        <is>
          <t>A 43640-2024</t>
        </is>
      </c>
      <c r="B5956" s="1" t="n">
        <v>45569</v>
      </c>
      <c r="C5956" s="1" t="n">
        <v>45705</v>
      </c>
      <c r="D5956" t="inlineStr">
        <is>
          <t>UPPSALA LÄN</t>
        </is>
      </c>
      <c r="E5956" t="inlineStr">
        <is>
          <t>TIERP</t>
        </is>
      </c>
      <c r="F5956" t="inlineStr">
        <is>
          <t>Bergvik skog öst AB</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43683-2024</t>
        </is>
      </c>
      <c r="B5957" s="1" t="n">
        <v>45569</v>
      </c>
      <c r="C5957" s="1" t="n">
        <v>45705</v>
      </c>
      <c r="D5957" t="inlineStr">
        <is>
          <t>UPPSALA LÄN</t>
        </is>
      </c>
      <c r="E5957" t="inlineStr">
        <is>
          <t>ÖSTHAMMAR</t>
        </is>
      </c>
      <c r="G5957" t="n">
        <v>4.7</v>
      </c>
      <c r="H5957" t="n">
        <v>0</v>
      </c>
      <c r="I5957" t="n">
        <v>0</v>
      </c>
      <c r="J5957" t="n">
        <v>0</v>
      </c>
      <c r="K5957" t="n">
        <v>0</v>
      </c>
      <c r="L5957" t="n">
        <v>0</v>
      </c>
      <c r="M5957" t="n">
        <v>0</v>
      </c>
      <c r="N5957" t="n">
        <v>0</v>
      </c>
      <c r="O5957" t="n">
        <v>0</v>
      </c>
      <c r="P5957" t="n">
        <v>0</v>
      </c>
      <c r="Q5957" t="n">
        <v>0</v>
      </c>
      <c r="R5957" s="2" t="inlineStr"/>
    </row>
    <row r="5958" ht="15" customHeight="1">
      <c r="A5958" t="inlineStr">
        <is>
          <t>A 43691-2024</t>
        </is>
      </c>
      <c r="B5958" s="1" t="n">
        <v>45569</v>
      </c>
      <c r="C5958" s="1" t="n">
        <v>45705</v>
      </c>
      <c r="D5958" t="inlineStr">
        <is>
          <t>UPPSALA LÄN</t>
        </is>
      </c>
      <c r="E5958" t="inlineStr">
        <is>
          <t>ENKÖPING</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44027-2024</t>
        </is>
      </c>
      <c r="B5959" s="1" t="n">
        <v>45572</v>
      </c>
      <c r="C5959" s="1" t="n">
        <v>45705</v>
      </c>
      <c r="D5959" t="inlineStr">
        <is>
          <t>UPPSALA LÄN</t>
        </is>
      </c>
      <c r="E5959" t="inlineStr">
        <is>
          <t>ÖSTHAMMAR</t>
        </is>
      </c>
      <c r="G5959" t="n">
        <v>6</v>
      </c>
      <c r="H5959" t="n">
        <v>0</v>
      </c>
      <c r="I5959" t="n">
        <v>0</v>
      </c>
      <c r="J5959" t="n">
        <v>0</v>
      </c>
      <c r="K5959" t="n">
        <v>0</v>
      </c>
      <c r="L5959" t="n">
        <v>0</v>
      </c>
      <c r="M5959" t="n">
        <v>0</v>
      </c>
      <c r="N5959" t="n">
        <v>0</v>
      </c>
      <c r="O5959" t="n">
        <v>0</v>
      </c>
      <c r="P5959" t="n">
        <v>0</v>
      </c>
      <c r="Q5959" t="n">
        <v>0</v>
      </c>
      <c r="R5959" s="2" t="inlineStr"/>
    </row>
    <row r="5960" ht="15" customHeight="1">
      <c r="A5960" t="inlineStr">
        <is>
          <t>A 44031-2024</t>
        </is>
      </c>
      <c r="B5960" s="1" t="n">
        <v>45572</v>
      </c>
      <c r="C5960" s="1" t="n">
        <v>45705</v>
      </c>
      <c r="D5960" t="inlineStr">
        <is>
          <t>UPPSALA LÄN</t>
        </is>
      </c>
      <c r="E5960" t="inlineStr">
        <is>
          <t>ÖSTHAMMAR</t>
        </is>
      </c>
      <c r="G5960" t="n">
        <v>9.1</v>
      </c>
      <c r="H5960" t="n">
        <v>0</v>
      </c>
      <c r="I5960" t="n">
        <v>0</v>
      </c>
      <c r="J5960" t="n">
        <v>0</v>
      </c>
      <c r="K5960" t="n">
        <v>0</v>
      </c>
      <c r="L5960" t="n">
        <v>0</v>
      </c>
      <c r="M5960" t="n">
        <v>0</v>
      </c>
      <c r="N5960" t="n">
        <v>0</v>
      </c>
      <c r="O5960" t="n">
        <v>0</v>
      </c>
      <c r="P5960" t="n">
        <v>0</v>
      </c>
      <c r="Q5960" t="n">
        <v>0</v>
      </c>
      <c r="R5960" s="2" t="inlineStr"/>
    </row>
    <row r="5961" ht="15" customHeight="1">
      <c r="A5961" t="inlineStr">
        <is>
          <t>A 44093-2024</t>
        </is>
      </c>
      <c r="B5961" s="1" t="n">
        <v>45572</v>
      </c>
      <c r="C5961" s="1" t="n">
        <v>45705</v>
      </c>
      <c r="D5961" t="inlineStr">
        <is>
          <t>UPPSALA LÄN</t>
        </is>
      </c>
      <c r="E5961" t="inlineStr">
        <is>
          <t>HEBY</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44117-2024</t>
        </is>
      </c>
      <c r="B5962" s="1" t="n">
        <v>45572</v>
      </c>
      <c r="C5962" s="1" t="n">
        <v>45705</v>
      </c>
      <c r="D5962" t="inlineStr">
        <is>
          <t>UPPSALA LÄN</t>
        </is>
      </c>
      <c r="E5962" t="inlineStr">
        <is>
          <t>HEBY</t>
        </is>
      </c>
      <c r="G5962" t="n">
        <v>3.6</v>
      </c>
      <c r="H5962" t="n">
        <v>0</v>
      </c>
      <c r="I5962" t="n">
        <v>0</v>
      </c>
      <c r="J5962" t="n">
        <v>0</v>
      </c>
      <c r="K5962" t="n">
        <v>0</v>
      </c>
      <c r="L5962" t="n">
        <v>0</v>
      </c>
      <c r="M5962" t="n">
        <v>0</v>
      </c>
      <c r="N5962" t="n">
        <v>0</v>
      </c>
      <c r="O5962" t="n">
        <v>0</v>
      </c>
      <c r="P5962" t="n">
        <v>0</v>
      </c>
      <c r="Q5962" t="n">
        <v>0</v>
      </c>
      <c r="R5962" s="2" t="inlineStr"/>
    </row>
    <row r="5963" ht="15" customHeight="1">
      <c r="A5963" t="inlineStr">
        <is>
          <t>A 43959-2024</t>
        </is>
      </c>
      <c r="B5963" s="1" t="n">
        <v>45572</v>
      </c>
      <c r="C5963" s="1" t="n">
        <v>45705</v>
      </c>
      <c r="D5963" t="inlineStr">
        <is>
          <t>UPPSALA LÄN</t>
        </is>
      </c>
      <c r="E5963" t="inlineStr">
        <is>
          <t>UPPSALA</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44020-2024</t>
        </is>
      </c>
      <c r="B5964" s="1" t="n">
        <v>45572</v>
      </c>
      <c r="C5964" s="1" t="n">
        <v>45705</v>
      </c>
      <c r="D5964" t="inlineStr">
        <is>
          <t>UPPSALA LÄN</t>
        </is>
      </c>
      <c r="E5964" t="inlineStr">
        <is>
          <t>ÖSTHAMMAR</t>
        </is>
      </c>
      <c r="G5964" t="n">
        <v>6.5</v>
      </c>
      <c r="H5964" t="n">
        <v>0</v>
      </c>
      <c r="I5964" t="n">
        <v>0</v>
      </c>
      <c r="J5964" t="n">
        <v>0</v>
      </c>
      <c r="K5964" t="n">
        <v>0</v>
      </c>
      <c r="L5964" t="n">
        <v>0</v>
      </c>
      <c r="M5964" t="n">
        <v>0</v>
      </c>
      <c r="N5964" t="n">
        <v>0</v>
      </c>
      <c r="O5964" t="n">
        <v>0</v>
      </c>
      <c r="P5964" t="n">
        <v>0</v>
      </c>
      <c r="Q5964" t="n">
        <v>0</v>
      </c>
      <c r="R5964" s="2" t="inlineStr"/>
    </row>
    <row r="5965" ht="15" customHeight="1">
      <c r="A5965" t="inlineStr">
        <is>
          <t>A 44024-2024</t>
        </is>
      </c>
      <c r="B5965" s="1" t="n">
        <v>45572</v>
      </c>
      <c r="C5965" s="1" t="n">
        <v>45705</v>
      </c>
      <c r="D5965" t="inlineStr">
        <is>
          <t>UPPSALA LÄN</t>
        </is>
      </c>
      <c r="E5965" t="inlineStr">
        <is>
          <t>ENKÖPING</t>
        </is>
      </c>
      <c r="G5965" t="n">
        <v>9.800000000000001</v>
      </c>
      <c r="H5965" t="n">
        <v>0</v>
      </c>
      <c r="I5965" t="n">
        <v>0</v>
      </c>
      <c r="J5965" t="n">
        <v>0</v>
      </c>
      <c r="K5965" t="n">
        <v>0</v>
      </c>
      <c r="L5965" t="n">
        <v>0</v>
      </c>
      <c r="M5965" t="n">
        <v>0</v>
      </c>
      <c r="N5965" t="n">
        <v>0</v>
      </c>
      <c r="O5965" t="n">
        <v>0</v>
      </c>
      <c r="P5965" t="n">
        <v>0</v>
      </c>
      <c r="Q5965" t="n">
        <v>0</v>
      </c>
      <c r="R5965" s="2" t="inlineStr"/>
    </row>
    <row r="5966" ht="15" customHeight="1">
      <c r="A5966" t="inlineStr">
        <is>
          <t>A 44074-2024</t>
        </is>
      </c>
      <c r="B5966" s="1" t="n">
        <v>45572</v>
      </c>
      <c r="C5966" s="1" t="n">
        <v>45705</v>
      </c>
      <c r="D5966" t="inlineStr">
        <is>
          <t>UPPSALA LÄN</t>
        </is>
      </c>
      <c r="E5966" t="inlineStr">
        <is>
          <t>ENKÖPING</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43993-2024</t>
        </is>
      </c>
      <c r="B5967" s="1" t="n">
        <v>45572</v>
      </c>
      <c r="C5967" s="1" t="n">
        <v>45705</v>
      </c>
      <c r="D5967" t="inlineStr">
        <is>
          <t>UPPSALA LÄN</t>
        </is>
      </c>
      <c r="E5967" t="inlineStr">
        <is>
          <t>ÖSTHAMMAR</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44115-2024</t>
        </is>
      </c>
      <c r="B5968" s="1" t="n">
        <v>45572</v>
      </c>
      <c r="C5968" s="1" t="n">
        <v>45705</v>
      </c>
      <c r="D5968" t="inlineStr">
        <is>
          <t>UPPSALA LÄN</t>
        </is>
      </c>
      <c r="E5968" t="inlineStr">
        <is>
          <t>ENKÖPING</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43960-2024</t>
        </is>
      </c>
      <c r="B5969" s="1" t="n">
        <v>45572</v>
      </c>
      <c r="C5969" s="1" t="n">
        <v>45705</v>
      </c>
      <c r="D5969" t="inlineStr">
        <is>
          <t>UPPSALA LÄN</t>
        </is>
      </c>
      <c r="E5969" t="inlineStr">
        <is>
          <t>UPPSALA</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44090-2024</t>
        </is>
      </c>
      <c r="B5970" s="1" t="n">
        <v>45572</v>
      </c>
      <c r="C5970" s="1" t="n">
        <v>45705</v>
      </c>
      <c r="D5970" t="inlineStr">
        <is>
          <t>UPPSALA LÄN</t>
        </is>
      </c>
      <c r="E5970" t="inlineStr">
        <is>
          <t>TIERP</t>
        </is>
      </c>
      <c r="F5970" t="inlineStr">
        <is>
          <t>Bergvik skog öst AB</t>
        </is>
      </c>
      <c r="G5970" t="n">
        <v>10</v>
      </c>
      <c r="H5970" t="n">
        <v>0</v>
      </c>
      <c r="I5970" t="n">
        <v>0</v>
      </c>
      <c r="J5970" t="n">
        <v>0</v>
      </c>
      <c r="K5970" t="n">
        <v>0</v>
      </c>
      <c r="L5970" t="n">
        <v>0</v>
      </c>
      <c r="M5970" t="n">
        <v>0</v>
      </c>
      <c r="N5970" t="n">
        <v>0</v>
      </c>
      <c r="O5970" t="n">
        <v>0</v>
      </c>
      <c r="P5970" t="n">
        <v>0</v>
      </c>
      <c r="Q5970" t="n">
        <v>0</v>
      </c>
      <c r="R5970" s="2" t="inlineStr"/>
    </row>
    <row r="5971" ht="15" customHeight="1">
      <c r="A5971" t="inlineStr">
        <is>
          <t>A 44184-2024</t>
        </is>
      </c>
      <c r="B5971" s="1" t="n">
        <v>45572</v>
      </c>
      <c r="C5971" s="1" t="n">
        <v>45705</v>
      </c>
      <c r="D5971" t="inlineStr">
        <is>
          <t>UPPSALA LÄN</t>
        </is>
      </c>
      <c r="E5971" t="inlineStr">
        <is>
          <t>ÖSTHAMMAR</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43951-2024</t>
        </is>
      </c>
      <c r="B5972" s="1" t="n">
        <v>45572</v>
      </c>
      <c r="C5972" s="1" t="n">
        <v>45705</v>
      </c>
      <c r="D5972" t="inlineStr">
        <is>
          <t>UPPSALA LÄN</t>
        </is>
      </c>
      <c r="E5972" t="inlineStr">
        <is>
          <t>UPPSALA</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44026-2024</t>
        </is>
      </c>
      <c r="B5973" s="1" t="n">
        <v>45572</v>
      </c>
      <c r="C5973" s="1" t="n">
        <v>45705</v>
      </c>
      <c r="D5973" t="inlineStr">
        <is>
          <t>UPPSALA LÄN</t>
        </is>
      </c>
      <c r="E5973" t="inlineStr">
        <is>
          <t>TIERP</t>
        </is>
      </c>
      <c r="F5973" t="inlineStr">
        <is>
          <t>Bergvik skog öst AB</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44055-2024</t>
        </is>
      </c>
      <c r="B5974" s="1" t="n">
        <v>45572</v>
      </c>
      <c r="C5974" s="1" t="n">
        <v>45705</v>
      </c>
      <c r="D5974" t="inlineStr">
        <is>
          <t>UPPSALA LÄN</t>
        </is>
      </c>
      <c r="E5974" t="inlineStr">
        <is>
          <t>ENKÖPING</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44067-2024</t>
        </is>
      </c>
      <c r="B5975" s="1" t="n">
        <v>45572</v>
      </c>
      <c r="C5975" s="1" t="n">
        <v>45705</v>
      </c>
      <c r="D5975" t="inlineStr">
        <is>
          <t>UPPSALA LÄN</t>
        </is>
      </c>
      <c r="E5975" t="inlineStr">
        <is>
          <t>ENKÖPING</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44084-2024</t>
        </is>
      </c>
      <c r="B5976" s="1" t="n">
        <v>45572</v>
      </c>
      <c r="C5976" s="1" t="n">
        <v>45705</v>
      </c>
      <c r="D5976" t="inlineStr">
        <is>
          <t>UPPSALA LÄN</t>
        </is>
      </c>
      <c r="E5976" t="inlineStr">
        <is>
          <t>ENKÖPING</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44124-2024</t>
        </is>
      </c>
      <c r="B5977" s="1" t="n">
        <v>45572</v>
      </c>
      <c r="C5977" s="1" t="n">
        <v>45705</v>
      </c>
      <c r="D5977" t="inlineStr">
        <is>
          <t>UPPSALA LÄN</t>
        </is>
      </c>
      <c r="E5977" t="inlineStr">
        <is>
          <t>ÖSTHAMMAR</t>
        </is>
      </c>
      <c r="F5977" t="inlineStr">
        <is>
          <t>Bergvik skog öst AB</t>
        </is>
      </c>
      <c r="G5977" t="n">
        <v>2.9</v>
      </c>
      <c r="H5977" t="n">
        <v>0</v>
      </c>
      <c r="I5977" t="n">
        <v>0</v>
      </c>
      <c r="J5977" t="n">
        <v>0</v>
      </c>
      <c r="K5977" t="n">
        <v>0</v>
      </c>
      <c r="L5977" t="n">
        <v>0</v>
      </c>
      <c r="M5977" t="n">
        <v>0</v>
      </c>
      <c r="N5977" t="n">
        <v>0</v>
      </c>
      <c r="O5977" t="n">
        <v>0</v>
      </c>
      <c r="P5977" t="n">
        <v>0</v>
      </c>
      <c r="Q5977" t="n">
        <v>0</v>
      </c>
      <c r="R5977" s="2" t="inlineStr"/>
    </row>
    <row r="5978" ht="15" customHeight="1">
      <c r="A5978" t="inlineStr">
        <is>
          <t>A 44152-2024</t>
        </is>
      </c>
      <c r="B5978" s="1" t="n">
        <v>45572</v>
      </c>
      <c r="C5978" s="1" t="n">
        <v>45705</v>
      </c>
      <c r="D5978" t="inlineStr">
        <is>
          <t>UPPSALA LÄN</t>
        </is>
      </c>
      <c r="E5978" t="inlineStr">
        <is>
          <t>ÖSTHAMMAR</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44271-2024</t>
        </is>
      </c>
      <c r="B5979" s="1" t="n">
        <v>45573</v>
      </c>
      <c r="C5979" s="1" t="n">
        <v>45705</v>
      </c>
      <c r="D5979" t="inlineStr">
        <is>
          <t>UPPSALA LÄN</t>
        </is>
      </c>
      <c r="E5979" t="inlineStr">
        <is>
          <t>HEBY</t>
        </is>
      </c>
      <c r="G5979" t="n">
        <v>2.4</v>
      </c>
      <c r="H5979" t="n">
        <v>0</v>
      </c>
      <c r="I5979" t="n">
        <v>0</v>
      </c>
      <c r="J5979" t="n">
        <v>0</v>
      </c>
      <c r="K5979" t="n">
        <v>0</v>
      </c>
      <c r="L5979" t="n">
        <v>0</v>
      </c>
      <c r="M5979" t="n">
        <v>0</v>
      </c>
      <c r="N5979" t="n">
        <v>0</v>
      </c>
      <c r="O5979" t="n">
        <v>0</v>
      </c>
      <c r="P5979" t="n">
        <v>0</v>
      </c>
      <c r="Q5979" t="n">
        <v>0</v>
      </c>
      <c r="R5979" s="2" t="inlineStr"/>
    </row>
    <row r="5980" ht="15" customHeight="1">
      <c r="A5980" t="inlineStr">
        <is>
          <t>A 44382-2024</t>
        </is>
      </c>
      <c r="B5980" s="1" t="n">
        <v>45573</v>
      </c>
      <c r="C5980" s="1" t="n">
        <v>45705</v>
      </c>
      <c r="D5980" t="inlineStr">
        <is>
          <t>UPPSALA LÄN</t>
        </is>
      </c>
      <c r="E5980" t="inlineStr">
        <is>
          <t>TIERP</t>
        </is>
      </c>
      <c r="G5980" t="n">
        <v>4.7</v>
      </c>
      <c r="H5980" t="n">
        <v>0</v>
      </c>
      <c r="I5980" t="n">
        <v>0</v>
      </c>
      <c r="J5980" t="n">
        <v>0</v>
      </c>
      <c r="K5980" t="n">
        <v>0</v>
      </c>
      <c r="L5980" t="n">
        <v>0</v>
      </c>
      <c r="M5980" t="n">
        <v>0</v>
      </c>
      <c r="N5980" t="n">
        <v>0</v>
      </c>
      <c r="O5980" t="n">
        <v>0</v>
      </c>
      <c r="P5980" t="n">
        <v>0</v>
      </c>
      <c r="Q5980" t="n">
        <v>0</v>
      </c>
      <c r="R5980" s="2" t="inlineStr"/>
    </row>
    <row r="5981" ht="15" customHeight="1">
      <c r="A5981" t="inlineStr">
        <is>
          <t>A 44281-2024</t>
        </is>
      </c>
      <c r="B5981" s="1" t="n">
        <v>45573</v>
      </c>
      <c r="C5981" s="1" t="n">
        <v>45705</v>
      </c>
      <c r="D5981" t="inlineStr">
        <is>
          <t>UPPSALA LÄN</t>
        </is>
      </c>
      <c r="E5981" t="inlineStr">
        <is>
          <t>HEBY</t>
        </is>
      </c>
      <c r="G5981" t="n">
        <v>4.8</v>
      </c>
      <c r="H5981" t="n">
        <v>0</v>
      </c>
      <c r="I5981" t="n">
        <v>0</v>
      </c>
      <c r="J5981" t="n">
        <v>0</v>
      </c>
      <c r="K5981" t="n">
        <v>0</v>
      </c>
      <c r="L5981" t="n">
        <v>0</v>
      </c>
      <c r="M5981" t="n">
        <v>0</v>
      </c>
      <c r="N5981" t="n">
        <v>0</v>
      </c>
      <c r="O5981" t="n">
        <v>0</v>
      </c>
      <c r="P5981" t="n">
        <v>0</v>
      </c>
      <c r="Q5981" t="n">
        <v>0</v>
      </c>
      <c r="R5981" s="2" t="inlineStr"/>
    </row>
    <row r="5982" ht="15" customHeight="1">
      <c r="A5982" t="inlineStr">
        <is>
          <t>A 44562-2024</t>
        </is>
      </c>
      <c r="B5982" s="1" t="n">
        <v>45574</v>
      </c>
      <c r="C5982" s="1" t="n">
        <v>45705</v>
      </c>
      <c r="D5982" t="inlineStr">
        <is>
          <t>UPPSALA LÄN</t>
        </is>
      </c>
      <c r="E5982" t="inlineStr">
        <is>
          <t>UPPSALA</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44550-2024</t>
        </is>
      </c>
      <c r="B5983" s="1" t="n">
        <v>45574</v>
      </c>
      <c r="C5983" s="1" t="n">
        <v>45705</v>
      </c>
      <c r="D5983" t="inlineStr">
        <is>
          <t>UPPSALA LÄN</t>
        </is>
      </c>
      <c r="E5983" t="inlineStr">
        <is>
          <t>UPPSALA</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44563-2024</t>
        </is>
      </c>
      <c r="B5984" s="1" t="n">
        <v>45574</v>
      </c>
      <c r="C5984" s="1" t="n">
        <v>45705</v>
      </c>
      <c r="D5984" t="inlineStr">
        <is>
          <t>UPPSALA LÄN</t>
        </is>
      </c>
      <c r="E5984" t="inlineStr">
        <is>
          <t>UPPSALA</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44775-2024</t>
        </is>
      </c>
      <c r="B5985" s="1" t="n">
        <v>45574</v>
      </c>
      <c r="C5985" s="1" t="n">
        <v>45705</v>
      </c>
      <c r="D5985" t="inlineStr">
        <is>
          <t>UPPSALA LÄN</t>
        </is>
      </c>
      <c r="E5985" t="inlineStr">
        <is>
          <t>TIERP</t>
        </is>
      </c>
      <c r="F5985" t="inlineStr">
        <is>
          <t>Bergvik skog öst AB</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44807-2024</t>
        </is>
      </c>
      <c r="B5986" s="1" t="n">
        <v>45574</v>
      </c>
      <c r="C5986" s="1" t="n">
        <v>45705</v>
      </c>
      <c r="D5986" t="inlineStr">
        <is>
          <t>UPPSALA LÄN</t>
        </is>
      </c>
      <c r="E5986" t="inlineStr">
        <is>
          <t>ÖSTHAMMAR</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44762-2024</t>
        </is>
      </c>
      <c r="B5987" s="1" t="n">
        <v>45574</v>
      </c>
      <c r="C5987" s="1" t="n">
        <v>45705</v>
      </c>
      <c r="D5987" t="inlineStr">
        <is>
          <t>UPPSALA LÄN</t>
        </is>
      </c>
      <c r="E5987" t="inlineStr">
        <is>
          <t>TIERP</t>
        </is>
      </c>
      <c r="F5987" t="inlineStr">
        <is>
          <t>Bergvik skog öst AB</t>
        </is>
      </c>
      <c r="G5987" t="n">
        <v>9.800000000000001</v>
      </c>
      <c r="H5987" t="n">
        <v>0</v>
      </c>
      <c r="I5987" t="n">
        <v>0</v>
      </c>
      <c r="J5987" t="n">
        <v>0</v>
      </c>
      <c r="K5987" t="n">
        <v>0</v>
      </c>
      <c r="L5987" t="n">
        <v>0</v>
      </c>
      <c r="M5987" t="n">
        <v>0</v>
      </c>
      <c r="N5987" t="n">
        <v>0</v>
      </c>
      <c r="O5987" t="n">
        <v>0</v>
      </c>
      <c r="P5987" t="n">
        <v>0</v>
      </c>
      <c r="Q5987" t="n">
        <v>0</v>
      </c>
      <c r="R5987" s="2" t="inlineStr"/>
    </row>
    <row r="5988" ht="15" customHeight="1">
      <c r="A5988" t="inlineStr">
        <is>
          <t>A 44774-2024</t>
        </is>
      </c>
      <c r="B5988" s="1" t="n">
        <v>45574</v>
      </c>
      <c r="C5988" s="1" t="n">
        <v>45705</v>
      </c>
      <c r="D5988" t="inlineStr">
        <is>
          <t>UPPSALA LÄN</t>
        </is>
      </c>
      <c r="E5988" t="inlineStr">
        <is>
          <t>TIERP</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44823-2024</t>
        </is>
      </c>
      <c r="B5989" s="1" t="n">
        <v>45574</v>
      </c>
      <c r="C5989" s="1" t="n">
        <v>45705</v>
      </c>
      <c r="D5989" t="inlineStr">
        <is>
          <t>UPPSALA LÄN</t>
        </is>
      </c>
      <c r="E5989" t="inlineStr">
        <is>
          <t>ÖSTHAMMAR</t>
        </is>
      </c>
      <c r="G5989" t="n">
        <v>3.8</v>
      </c>
      <c r="H5989" t="n">
        <v>0</v>
      </c>
      <c r="I5989" t="n">
        <v>0</v>
      </c>
      <c r="J5989" t="n">
        <v>0</v>
      </c>
      <c r="K5989" t="n">
        <v>0</v>
      </c>
      <c r="L5989" t="n">
        <v>0</v>
      </c>
      <c r="M5989" t="n">
        <v>0</v>
      </c>
      <c r="N5989" t="n">
        <v>0</v>
      </c>
      <c r="O5989" t="n">
        <v>0</v>
      </c>
      <c r="P5989" t="n">
        <v>0</v>
      </c>
      <c r="Q5989" t="n">
        <v>0</v>
      </c>
      <c r="R5989" s="2" t="inlineStr"/>
    </row>
    <row r="5990" ht="15" customHeight="1">
      <c r="A5990" t="inlineStr">
        <is>
          <t>A 44832-2024</t>
        </is>
      </c>
      <c r="B5990" s="1" t="n">
        <v>45574</v>
      </c>
      <c r="C5990" s="1" t="n">
        <v>45705</v>
      </c>
      <c r="D5990" t="inlineStr">
        <is>
          <t>UPPSALA LÄN</t>
        </is>
      </c>
      <c r="E5990" t="inlineStr">
        <is>
          <t>ÖSTHAMMAR</t>
        </is>
      </c>
      <c r="G5990" t="n">
        <v>6.6</v>
      </c>
      <c r="H5990" t="n">
        <v>0</v>
      </c>
      <c r="I5990" t="n">
        <v>0</v>
      </c>
      <c r="J5990" t="n">
        <v>0</v>
      </c>
      <c r="K5990" t="n">
        <v>0</v>
      </c>
      <c r="L5990" t="n">
        <v>0</v>
      </c>
      <c r="M5990" t="n">
        <v>0</v>
      </c>
      <c r="N5990" t="n">
        <v>0</v>
      </c>
      <c r="O5990" t="n">
        <v>0</v>
      </c>
      <c r="P5990" t="n">
        <v>0</v>
      </c>
      <c r="Q5990" t="n">
        <v>0</v>
      </c>
      <c r="R5990" s="2" t="inlineStr"/>
    </row>
    <row r="5991" ht="15" customHeight="1">
      <c r="A5991" t="inlineStr">
        <is>
          <t>A 44847-2024</t>
        </is>
      </c>
      <c r="B5991" s="1" t="n">
        <v>45574</v>
      </c>
      <c r="C5991" s="1" t="n">
        <v>45705</v>
      </c>
      <c r="D5991" t="inlineStr">
        <is>
          <t>UPPSALA LÄN</t>
        </is>
      </c>
      <c r="E5991" t="inlineStr">
        <is>
          <t>UPPSALA</t>
        </is>
      </c>
      <c r="G5991" t="n">
        <v>6.3</v>
      </c>
      <c r="H5991" t="n">
        <v>0</v>
      </c>
      <c r="I5991" t="n">
        <v>0</v>
      </c>
      <c r="J5991" t="n">
        <v>0</v>
      </c>
      <c r="K5991" t="n">
        <v>0</v>
      </c>
      <c r="L5991" t="n">
        <v>0</v>
      </c>
      <c r="M5991" t="n">
        <v>0</v>
      </c>
      <c r="N5991" t="n">
        <v>0</v>
      </c>
      <c r="O5991" t="n">
        <v>0</v>
      </c>
      <c r="P5991" t="n">
        <v>0</v>
      </c>
      <c r="Q5991" t="n">
        <v>0</v>
      </c>
      <c r="R5991" s="2" t="inlineStr"/>
    </row>
    <row r="5992" ht="15" customHeight="1">
      <c r="A5992" t="inlineStr">
        <is>
          <t>A 44560-2024</t>
        </is>
      </c>
      <c r="B5992" s="1" t="n">
        <v>45574</v>
      </c>
      <c r="C5992" s="1" t="n">
        <v>45705</v>
      </c>
      <c r="D5992" t="inlineStr">
        <is>
          <t>UPPSALA LÄN</t>
        </is>
      </c>
      <c r="E5992" t="inlineStr">
        <is>
          <t>UPPSALA</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44768-2024</t>
        </is>
      </c>
      <c r="B5993" s="1" t="n">
        <v>45574</v>
      </c>
      <c r="C5993" s="1" t="n">
        <v>45705</v>
      </c>
      <c r="D5993" t="inlineStr">
        <is>
          <t>UPPSALA LÄN</t>
        </is>
      </c>
      <c r="E5993" t="inlineStr">
        <is>
          <t>TIERP</t>
        </is>
      </c>
      <c r="G5993" t="n">
        <v>3.2</v>
      </c>
      <c r="H5993" t="n">
        <v>0</v>
      </c>
      <c r="I5993" t="n">
        <v>0</v>
      </c>
      <c r="J5993" t="n">
        <v>0</v>
      </c>
      <c r="K5993" t="n">
        <v>0</v>
      </c>
      <c r="L5993" t="n">
        <v>0</v>
      </c>
      <c r="M5993" t="n">
        <v>0</v>
      </c>
      <c r="N5993" t="n">
        <v>0</v>
      </c>
      <c r="O5993" t="n">
        <v>0</v>
      </c>
      <c r="P5993" t="n">
        <v>0</v>
      </c>
      <c r="Q5993" t="n">
        <v>0</v>
      </c>
      <c r="R5993" s="2" t="inlineStr"/>
    </row>
    <row r="5994" ht="15" customHeight="1">
      <c r="A5994" t="inlineStr">
        <is>
          <t>A 44784-2024</t>
        </is>
      </c>
      <c r="B5994" s="1" t="n">
        <v>45574</v>
      </c>
      <c r="C5994" s="1" t="n">
        <v>45705</v>
      </c>
      <c r="D5994" t="inlineStr">
        <is>
          <t>UPPSALA LÄN</t>
        </is>
      </c>
      <c r="E5994" t="inlineStr">
        <is>
          <t>TIERP</t>
        </is>
      </c>
      <c r="F5994" t="inlineStr">
        <is>
          <t>Bergvik skog öst AB</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44796-2024</t>
        </is>
      </c>
      <c r="B5995" s="1" t="n">
        <v>45574</v>
      </c>
      <c r="C5995" s="1" t="n">
        <v>45705</v>
      </c>
      <c r="D5995" t="inlineStr">
        <is>
          <t>UPPSALA LÄN</t>
        </is>
      </c>
      <c r="E5995" t="inlineStr">
        <is>
          <t>ÖSTHAMMAR</t>
        </is>
      </c>
      <c r="G5995" t="n">
        <v>4.7</v>
      </c>
      <c r="H5995" t="n">
        <v>0</v>
      </c>
      <c r="I5995" t="n">
        <v>0</v>
      </c>
      <c r="J5995" t="n">
        <v>0</v>
      </c>
      <c r="K5995" t="n">
        <v>0</v>
      </c>
      <c r="L5995" t="n">
        <v>0</v>
      </c>
      <c r="M5995" t="n">
        <v>0</v>
      </c>
      <c r="N5995" t="n">
        <v>0</v>
      </c>
      <c r="O5995" t="n">
        <v>0</v>
      </c>
      <c r="P5995" t="n">
        <v>0</v>
      </c>
      <c r="Q5995" t="n">
        <v>0</v>
      </c>
      <c r="R5995" s="2" t="inlineStr"/>
    </row>
    <row r="5996" ht="15" customHeight="1">
      <c r="A5996" t="inlineStr">
        <is>
          <t>A 44959-2024</t>
        </is>
      </c>
      <c r="B5996" s="1" t="n">
        <v>45575</v>
      </c>
      <c r="C5996" s="1" t="n">
        <v>45705</v>
      </c>
      <c r="D5996" t="inlineStr">
        <is>
          <t>UPPSALA LÄN</t>
        </is>
      </c>
      <c r="E5996" t="inlineStr">
        <is>
          <t>HEBY</t>
        </is>
      </c>
      <c r="F5996" t="inlineStr">
        <is>
          <t>Bergvik skog väst AB</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44935-2024</t>
        </is>
      </c>
      <c r="B5997" s="1" t="n">
        <v>45575</v>
      </c>
      <c r="C5997" s="1" t="n">
        <v>45705</v>
      </c>
      <c r="D5997" t="inlineStr">
        <is>
          <t>UPPSALA LÄN</t>
        </is>
      </c>
      <c r="E5997" t="inlineStr">
        <is>
          <t>TIERP</t>
        </is>
      </c>
      <c r="F5997" t="inlineStr">
        <is>
          <t>Bergvik skog väst AB</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45102-2024</t>
        </is>
      </c>
      <c r="B5998" s="1" t="n">
        <v>45575</v>
      </c>
      <c r="C5998" s="1" t="n">
        <v>45705</v>
      </c>
      <c r="D5998" t="inlineStr">
        <is>
          <t>UPPSALA LÄN</t>
        </is>
      </c>
      <c r="E5998" t="inlineStr">
        <is>
          <t>ÖSTHAMMAR</t>
        </is>
      </c>
      <c r="G5998" t="n">
        <v>8.6</v>
      </c>
      <c r="H5998" t="n">
        <v>0</v>
      </c>
      <c r="I5998" t="n">
        <v>0</v>
      </c>
      <c r="J5998" t="n">
        <v>0</v>
      </c>
      <c r="K5998" t="n">
        <v>0</v>
      </c>
      <c r="L5998" t="n">
        <v>0</v>
      </c>
      <c r="M5998" t="n">
        <v>0</v>
      </c>
      <c r="N5998" t="n">
        <v>0</v>
      </c>
      <c r="O5998" t="n">
        <v>0</v>
      </c>
      <c r="P5998" t="n">
        <v>0</v>
      </c>
      <c r="Q5998" t="n">
        <v>0</v>
      </c>
      <c r="R5998" s="2" t="inlineStr"/>
    </row>
    <row r="5999" ht="15" customHeight="1">
      <c r="A5999" t="inlineStr">
        <is>
          <t>A 45155-2024</t>
        </is>
      </c>
      <c r="B5999" s="1" t="n">
        <v>45575</v>
      </c>
      <c r="C5999" s="1" t="n">
        <v>45705</v>
      </c>
      <c r="D5999" t="inlineStr">
        <is>
          <t>UPPSALA LÄN</t>
        </is>
      </c>
      <c r="E5999" t="inlineStr">
        <is>
          <t>ENKÖPING</t>
        </is>
      </c>
      <c r="G5999" t="n">
        <v>3.9</v>
      </c>
      <c r="H5999" t="n">
        <v>0</v>
      </c>
      <c r="I5999" t="n">
        <v>0</v>
      </c>
      <c r="J5999" t="n">
        <v>0</v>
      </c>
      <c r="K5999" t="n">
        <v>0</v>
      </c>
      <c r="L5999" t="n">
        <v>0</v>
      </c>
      <c r="M5999" t="n">
        <v>0</v>
      </c>
      <c r="N5999" t="n">
        <v>0</v>
      </c>
      <c r="O5999" t="n">
        <v>0</v>
      </c>
      <c r="P5999" t="n">
        <v>0</v>
      </c>
      <c r="Q5999" t="n">
        <v>0</v>
      </c>
      <c r="R5999" s="2" t="inlineStr"/>
    </row>
    <row r="6000" ht="15" customHeight="1">
      <c r="A6000" t="inlineStr">
        <is>
          <t>A 45193-2024</t>
        </is>
      </c>
      <c r="B6000" s="1" t="n">
        <v>45575</v>
      </c>
      <c r="C6000" s="1" t="n">
        <v>45705</v>
      </c>
      <c r="D6000" t="inlineStr">
        <is>
          <t>UPPSALA LÄN</t>
        </is>
      </c>
      <c r="E6000" t="inlineStr">
        <is>
          <t>HEBY</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45064-2024</t>
        </is>
      </c>
      <c r="B6001" s="1" t="n">
        <v>45575</v>
      </c>
      <c r="C6001" s="1" t="n">
        <v>45705</v>
      </c>
      <c r="D6001" t="inlineStr">
        <is>
          <t>UPPSALA LÄN</t>
        </is>
      </c>
      <c r="E6001" t="inlineStr">
        <is>
          <t>ENKÖPING</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45039-2024</t>
        </is>
      </c>
      <c r="B6002" s="1" t="n">
        <v>45575</v>
      </c>
      <c r="C6002" s="1" t="n">
        <v>45705</v>
      </c>
      <c r="D6002" t="inlineStr">
        <is>
          <t>UPPSALA LÄN</t>
        </is>
      </c>
      <c r="E6002" t="inlineStr">
        <is>
          <t>ÄLVKARLEBY</t>
        </is>
      </c>
      <c r="F6002" t="inlineStr">
        <is>
          <t>Bergvik skog väst AB</t>
        </is>
      </c>
      <c r="G6002" t="n">
        <v>3.4</v>
      </c>
      <c r="H6002" t="n">
        <v>0</v>
      </c>
      <c r="I6002" t="n">
        <v>0</v>
      </c>
      <c r="J6002" t="n">
        <v>0</v>
      </c>
      <c r="K6002" t="n">
        <v>0</v>
      </c>
      <c r="L6002" t="n">
        <v>0</v>
      </c>
      <c r="M6002" t="n">
        <v>0</v>
      </c>
      <c r="N6002" t="n">
        <v>0</v>
      </c>
      <c r="O6002" t="n">
        <v>0</v>
      </c>
      <c r="P6002" t="n">
        <v>0</v>
      </c>
      <c r="Q6002" t="n">
        <v>0</v>
      </c>
      <c r="R6002" s="2" t="inlineStr"/>
    </row>
    <row r="6003" ht="15" customHeight="1">
      <c r="A6003" t="inlineStr">
        <is>
          <t>A 45091-2024</t>
        </is>
      </c>
      <c r="B6003" s="1" t="n">
        <v>45575</v>
      </c>
      <c r="C6003" s="1" t="n">
        <v>45705</v>
      </c>
      <c r="D6003" t="inlineStr">
        <is>
          <t>UPPSALA LÄN</t>
        </is>
      </c>
      <c r="E6003" t="inlineStr">
        <is>
          <t>TIERP</t>
        </is>
      </c>
      <c r="G6003" t="n">
        <v>11.7</v>
      </c>
      <c r="H6003" t="n">
        <v>0</v>
      </c>
      <c r="I6003" t="n">
        <v>0</v>
      </c>
      <c r="J6003" t="n">
        <v>0</v>
      </c>
      <c r="K6003" t="n">
        <v>0</v>
      </c>
      <c r="L6003" t="n">
        <v>0</v>
      </c>
      <c r="M6003" t="n">
        <v>0</v>
      </c>
      <c r="N6003" t="n">
        <v>0</v>
      </c>
      <c r="O6003" t="n">
        <v>0</v>
      </c>
      <c r="P6003" t="n">
        <v>0</v>
      </c>
      <c r="Q6003" t="n">
        <v>0</v>
      </c>
      <c r="R6003" s="2" t="inlineStr"/>
    </row>
    <row r="6004" ht="15" customHeight="1">
      <c r="A6004" t="inlineStr">
        <is>
          <t>A 44977-2024</t>
        </is>
      </c>
      <c r="B6004" s="1" t="n">
        <v>45575</v>
      </c>
      <c r="C6004" s="1" t="n">
        <v>45705</v>
      </c>
      <c r="D6004" t="inlineStr">
        <is>
          <t>UPPSALA LÄN</t>
        </is>
      </c>
      <c r="E6004" t="inlineStr">
        <is>
          <t>TIERP</t>
        </is>
      </c>
      <c r="F6004" t="inlineStr">
        <is>
          <t>Bergvik skog väst AB</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44889-2024</t>
        </is>
      </c>
      <c r="B6005" s="1" t="n">
        <v>45575</v>
      </c>
      <c r="C6005" s="1" t="n">
        <v>45705</v>
      </c>
      <c r="D6005" t="inlineStr">
        <is>
          <t>UPPSALA LÄN</t>
        </is>
      </c>
      <c r="E6005" t="inlineStr">
        <is>
          <t>TIERP</t>
        </is>
      </c>
      <c r="F6005" t="inlineStr">
        <is>
          <t>Bergvik skog väst AB</t>
        </is>
      </c>
      <c r="G6005" t="n">
        <v>3.6</v>
      </c>
      <c r="H6005" t="n">
        <v>0</v>
      </c>
      <c r="I6005" t="n">
        <v>0</v>
      </c>
      <c r="J6005" t="n">
        <v>0</v>
      </c>
      <c r="K6005" t="n">
        <v>0</v>
      </c>
      <c r="L6005" t="n">
        <v>0</v>
      </c>
      <c r="M6005" t="n">
        <v>0</v>
      </c>
      <c r="N6005" t="n">
        <v>0</v>
      </c>
      <c r="O6005" t="n">
        <v>0</v>
      </c>
      <c r="P6005" t="n">
        <v>0</v>
      </c>
      <c r="Q6005" t="n">
        <v>0</v>
      </c>
      <c r="R6005" s="2" t="inlineStr"/>
    </row>
    <row r="6006" ht="15" customHeight="1">
      <c r="A6006" t="inlineStr">
        <is>
          <t>A 44958-2024</t>
        </is>
      </c>
      <c r="B6006" s="1" t="n">
        <v>45575</v>
      </c>
      <c r="C6006" s="1" t="n">
        <v>45705</v>
      </c>
      <c r="D6006" t="inlineStr">
        <is>
          <t>UPPSALA LÄN</t>
        </is>
      </c>
      <c r="E6006" t="inlineStr">
        <is>
          <t>HEBY</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44946-2024</t>
        </is>
      </c>
      <c r="B6007" s="1" t="n">
        <v>45575</v>
      </c>
      <c r="C6007" s="1" t="n">
        <v>45705</v>
      </c>
      <c r="D6007" t="inlineStr">
        <is>
          <t>UPPSALA LÄN</t>
        </is>
      </c>
      <c r="E6007" t="inlineStr">
        <is>
          <t>UPPSALA</t>
        </is>
      </c>
      <c r="G6007" t="n">
        <v>7.1</v>
      </c>
      <c r="H6007" t="n">
        <v>0</v>
      </c>
      <c r="I6007" t="n">
        <v>0</v>
      </c>
      <c r="J6007" t="n">
        <v>0</v>
      </c>
      <c r="K6007" t="n">
        <v>0</v>
      </c>
      <c r="L6007" t="n">
        <v>0</v>
      </c>
      <c r="M6007" t="n">
        <v>0</v>
      </c>
      <c r="N6007" t="n">
        <v>0</v>
      </c>
      <c r="O6007" t="n">
        <v>0</v>
      </c>
      <c r="P6007" t="n">
        <v>0</v>
      </c>
      <c r="Q6007" t="n">
        <v>0</v>
      </c>
      <c r="R6007" s="2" t="inlineStr"/>
    </row>
    <row r="6008" ht="15" customHeight="1">
      <c r="A6008" t="inlineStr">
        <is>
          <t>A 45090-2024</t>
        </is>
      </c>
      <c r="B6008" s="1" t="n">
        <v>45575</v>
      </c>
      <c r="C6008" s="1" t="n">
        <v>45705</v>
      </c>
      <c r="D6008" t="inlineStr">
        <is>
          <t>UPPSALA LÄN</t>
        </is>
      </c>
      <c r="E6008" t="inlineStr">
        <is>
          <t>TIERP</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45228-2024</t>
        </is>
      </c>
      <c r="B6009" s="1" t="n">
        <v>45575</v>
      </c>
      <c r="C6009" s="1" t="n">
        <v>45705</v>
      </c>
      <c r="D6009" t="inlineStr">
        <is>
          <t>UPPSALA LÄN</t>
        </is>
      </c>
      <c r="E6009" t="inlineStr">
        <is>
          <t>ÖSTHAMMAR</t>
        </is>
      </c>
      <c r="G6009" t="n">
        <v>3.8</v>
      </c>
      <c r="H6009" t="n">
        <v>0</v>
      </c>
      <c r="I6009" t="n">
        <v>0</v>
      </c>
      <c r="J6009" t="n">
        <v>0</v>
      </c>
      <c r="K6009" t="n">
        <v>0</v>
      </c>
      <c r="L6009" t="n">
        <v>0</v>
      </c>
      <c r="M6009" t="n">
        <v>0</v>
      </c>
      <c r="N6009" t="n">
        <v>0</v>
      </c>
      <c r="O6009" t="n">
        <v>0</v>
      </c>
      <c r="P6009" t="n">
        <v>0</v>
      </c>
      <c r="Q6009" t="n">
        <v>0</v>
      </c>
      <c r="R6009" s="2" t="inlineStr"/>
    </row>
    <row r="6010" ht="15" customHeight="1">
      <c r="A6010" t="inlineStr">
        <is>
          <t>A 44929-2024</t>
        </is>
      </c>
      <c r="B6010" s="1" t="n">
        <v>45575</v>
      </c>
      <c r="C6010" s="1" t="n">
        <v>45705</v>
      </c>
      <c r="D6010" t="inlineStr">
        <is>
          <t>UPPSALA LÄN</t>
        </is>
      </c>
      <c r="E6010" t="inlineStr">
        <is>
          <t>TIERP</t>
        </is>
      </c>
      <c r="G6010" t="n">
        <v>9.199999999999999</v>
      </c>
      <c r="H6010" t="n">
        <v>0</v>
      </c>
      <c r="I6010" t="n">
        <v>0</v>
      </c>
      <c r="J6010" t="n">
        <v>0</v>
      </c>
      <c r="K6010" t="n">
        <v>0</v>
      </c>
      <c r="L6010" t="n">
        <v>0</v>
      </c>
      <c r="M6010" t="n">
        <v>0</v>
      </c>
      <c r="N6010" t="n">
        <v>0</v>
      </c>
      <c r="O6010" t="n">
        <v>0</v>
      </c>
      <c r="P6010" t="n">
        <v>0</v>
      </c>
      <c r="Q6010" t="n">
        <v>0</v>
      </c>
      <c r="R6010" s="2" t="inlineStr"/>
    </row>
    <row r="6011" ht="15" customHeight="1">
      <c r="A6011" t="inlineStr">
        <is>
          <t>A 45040-2024</t>
        </is>
      </c>
      <c r="B6011" s="1" t="n">
        <v>45575</v>
      </c>
      <c r="C6011" s="1" t="n">
        <v>45705</v>
      </c>
      <c r="D6011" t="inlineStr">
        <is>
          <t>UPPSALA LÄN</t>
        </is>
      </c>
      <c r="E6011" t="inlineStr">
        <is>
          <t>ÄLVKARLEBY</t>
        </is>
      </c>
      <c r="F6011" t="inlineStr">
        <is>
          <t>Bergvik skog väst AB</t>
        </is>
      </c>
      <c r="G6011" t="n">
        <v>4.7</v>
      </c>
      <c r="H6011" t="n">
        <v>0</v>
      </c>
      <c r="I6011" t="n">
        <v>0</v>
      </c>
      <c r="J6011" t="n">
        <v>0</v>
      </c>
      <c r="K6011" t="n">
        <v>0</v>
      </c>
      <c r="L6011" t="n">
        <v>0</v>
      </c>
      <c r="M6011" t="n">
        <v>0</v>
      </c>
      <c r="N6011" t="n">
        <v>0</v>
      </c>
      <c r="O6011" t="n">
        <v>0</v>
      </c>
      <c r="P6011" t="n">
        <v>0</v>
      </c>
      <c r="Q6011" t="n">
        <v>0</v>
      </c>
      <c r="R6011" s="2" t="inlineStr"/>
    </row>
    <row r="6012" ht="15" customHeight="1">
      <c r="A6012" t="inlineStr">
        <is>
          <t>A 45371-2024</t>
        </is>
      </c>
      <c r="B6012" s="1" t="n">
        <v>45576</v>
      </c>
      <c r="C6012" s="1" t="n">
        <v>45705</v>
      </c>
      <c r="D6012" t="inlineStr">
        <is>
          <t>UPPSALA LÄN</t>
        </is>
      </c>
      <c r="E6012" t="inlineStr">
        <is>
          <t>ÄLVKARLEBY</t>
        </is>
      </c>
      <c r="F6012" t="inlineStr">
        <is>
          <t>Bergvik skog väst AB</t>
        </is>
      </c>
      <c r="G6012" t="n">
        <v>4.7</v>
      </c>
      <c r="H6012" t="n">
        <v>0</v>
      </c>
      <c r="I6012" t="n">
        <v>0</v>
      </c>
      <c r="J6012" t="n">
        <v>0</v>
      </c>
      <c r="K6012" t="n">
        <v>0</v>
      </c>
      <c r="L6012" t="n">
        <v>0</v>
      </c>
      <c r="M6012" t="n">
        <v>0</v>
      </c>
      <c r="N6012" t="n">
        <v>0</v>
      </c>
      <c r="O6012" t="n">
        <v>0</v>
      </c>
      <c r="P6012" t="n">
        <v>0</v>
      </c>
      <c r="Q6012" t="n">
        <v>0</v>
      </c>
      <c r="R6012" s="2" t="inlineStr"/>
    </row>
    <row r="6013" ht="15" customHeight="1">
      <c r="A6013" t="inlineStr">
        <is>
          <t>A 45372-2024</t>
        </is>
      </c>
      <c r="B6013" s="1" t="n">
        <v>45576</v>
      </c>
      <c r="C6013" s="1" t="n">
        <v>45705</v>
      </c>
      <c r="D6013" t="inlineStr">
        <is>
          <t>UPPSALA LÄN</t>
        </is>
      </c>
      <c r="E6013" t="inlineStr">
        <is>
          <t>ÄLVKARLEBY</t>
        </is>
      </c>
      <c r="F6013" t="inlineStr">
        <is>
          <t>Bergvik skog väst AB</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45615-2024</t>
        </is>
      </c>
      <c r="B6014" s="1" t="n">
        <v>45579</v>
      </c>
      <c r="C6014" s="1" t="n">
        <v>45705</v>
      </c>
      <c r="D6014" t="inlineStr">
        <is>
          <t>UPPSALA LÄN</t>
        </is>
      </c>
      <c r="E6014" t="inlineStr">
        <is>
          <t>ENKÖPING</t>
        </is>
      </c>
      <c r="G6014" t="n">
        <v>3.2</v>
      </c>
      <c r="H6014" t="n">
        <v>0</v>
      </c>
      <c r="I6014" t="n">
        <v>0</v>
      </c>
      <c r="J6014" t="n">
        <v>0</v>
      </c>
      <c r="K6014" t="n">
        <v>0</v>
      </c>
      <c r="L6014" t="n">
        <v>0</v>
      </c>
      <c r="M6014" t="n">
        <v>0</v>
      </c>
      <c r="N6014" t="n">
        <v>0</v>
      </c>
      <c r="O6014" t="n">
        <v>0</v>
      </c>
      <c r="P6014" t="n">
        <v>0</v>
      </c>
      <c r="Q6014" t="n">
        <v>0</v>
      </c>
      <c r="R6014" s="2" t="inlineStr"/>
    </row>
    <row r="6015" ht="15" customHeight="1">
      <c r="A6015" t="inlineStr">
        <is>
          <t>A 45878-2024</t>
        </is>
      </c>
      <c r="B6015" s="1" t="n">
        <v>45580</v>
      </c>
      <c r="C6015" s="1" t="n">
        <v>45705</v>
      </c>
      <c r="D6015" t="inlineStr">
        <is>
          <t>UPPSALA LÄN</t>
        </is>
      </c>
      <c r="E6015" t="inlineStr">
        <is>
          <t>UPPSALA</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45915-2024</t>
        </is>
      </c>
      <c r="B6016" s="1" t="n">
        <v>45580</v>
      </c>
      <c r="C6016" s="1" t="n">
        <v>45705</v>
      </c>
      <c r="D6016" t="inlineStr">
        <is>
          <t>UPPSALA LÄN</t>
        </is>
      </c>
      <c r="E6016" t="inlineStr">
        <is>
          <t>TIERP</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45848-2024</t>
        </is>
      </c>
      <c r="B6017" s="1" t="n">
        <v>45580</v>
      </c>
      <c r="C6017" s="1" t="n">
        <v>45705</v>
      </c>
      <c r="D6017" t="inlineStr">
        <is>
          <t>UPPSALA LÄN</t>
        </is>
      </c>
      <c r="E6017" t="inlineStr">
        <is>
          <t>TIERP</t>
        </is>
      </c>
      <c r="G6017" t="n">
        <v>6.4</v>
      </c>
      <c r="H6017" t="n">
        <v>0</v>
      </c>
      <c r="I6017" t="n">
        <v>0</v>
      </c>
      <c r="J6017" t="n">
        <v>0</v>
      </c>
      <c r="K6017" t="n">
        <v>0</v>
      </c>
      <c r="L6017" t="n">
        <v>0</v>
      </c>
      <c r="M6017" t="n">
        <v>0</v>
      </c>
      <c r="N6017" t="n">
        <v>0</v>
      </c>
      <c r="O6017" t="n">
        <v>0</v>
      </c>
      <c r="P6017" t="n">
        <v>0</v>
      </c>
      <c r="Q6017" t="n">
        <v>0</v>
      </c>
      <c r="R6017" s="2" t="inlineStr"/>
    </row>
    <row r="6018" ht="15" customHeight="1">
      <c r="A6018" t="inlineStr">
        <is>
          <t>A 45996-2024</t>
        </is>
      </c>
      <c r="B6018" s="1" t="n">
        <v>45580</v>
      </c>
      <c r="C6018" s="1" t="n">
        <v>45705</v>
      </c>
      <c r="D6018" t="inlineStr">
        <is>
          <t>UPPSALA LÄN</t>
        </is>
      </c>
      <c r="E6018" t="inlineStr">
        <is>
          <t>ENKÖPING</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45961-2024</t>
        </is>
      </c>
      <c r="B6019" s="1" t="n">
        <v>45580</v>
      </c>
      <c r="C6019" s="1" t="n">
        <v>45705</v>
      </c>
      <c r="D6019" t="inlineStr">
        <is>
          <t>UPPSALA LÄN</t>
        </is>
      </c>
      <c r="E6019" t="inlineStr">
        <is>
          <t>TIERP</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46046-2024</t>
        </is>
      </c>
      <c r="B6020" s="1" t="n">
        <v>45580</v>
      </c>
      <c r="C6020" s="1" t="n">
        <v>45705</v>
      </c>
      <c r="D6020" t="inlineStr">
        <is>
          <t>UPPSALA LÄN</t>
        </is>
      </c>
      <c r="E6020" t="inlineStr">
        <is>
          <t>TIERP</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45956-2024</t>
        </is>
      </c>
      <c r="B6021" s="1" t="n">
        <v>45580</v>
      </c>
      <c r="C6021" s="1" t="n">
        <v>45705</v>
      </c>
      <c r="D6021" t="inlineStr">
        <is>
          <t>UPPSALA LÄN</t>
        </is>
      </c>
      <c r="E6021" t="inlineStr">
        <is>
          <t>ENKÖPING</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46252-2024</t>
        </is>
      </c>
      <c r="B6022" s="1" t="n">
        <v>45581</v>
      </c>
      <c r="C6022" s="1" t="n">
        <v>45705</v>
      </c>
      <c r="D6022" t="inlineStr">
        <is>
          <t>UPPSALA LÄN</t>
        </is>
      </c>
      <c r="E6022" t="inlineStr">
        <is>
          <t>TIERP</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46303-2024</t>
        </is>
      </c>
      <c r="B6023" s="1" t="n">
        <v>45581</v>
      </c>
      <c r="C6023" s="1" t="n">
        <v>45705</v>
      </c>
      <c r="D6023" t="inlineStr">
        <is>
          <t>UPPSALA LÄN</t>
        </is>
      </c>
      <c r="E6023" t="inlineStr">
        <is>
          <t>HEBY</t>
        </is>
      </c>
      <c r="F6023" t="inlineStr">
        <is>
          <t>Bergvik skog väst AB</t>
        </is>
      </c>
      <c r="G6023" t="n">
        <v>8.4</v>
      </c>
      <c r="H6023" t="n">
        <v>0</v>
      </c>
      <c r="I6023" t="n">
        <v>0</v>
      </c>
      <c r="J6023" t="n">
        <v>0</v>
      </c>
      <c r="K6023" t="n">
        <v>0</v>
      </c>
      <c r="L6023" t="n">
        <v>0</v>
      </c>
      <c r="M6023" t="n">
        <v>0</v>
      </c>
      <c r="N6023" t="n">
        <v>0</v>
      </c>
      <c r="O6023" t="n">
        <v>0</v>
      </c>
      <c r="P6023" t="n">
        <v>0</v>
      </c>
      <c r="Q6023" t="n">
        <v>0</v>
      </c>
      <c r="R6023" s="2" t="inlineStr"/>
    </row>
    <row r="6024" ht="15" customHeight="1">
      <c r="A6024" t="inlineStr">
        <is>
          <t>A 46488-2024</t>
        </is>
      </c>
      <c r="B6024" s="1" t="n">
        <v>45582</v>
      </c>
      <c r="C6024" s="1" t="n">
        <v>45705</v>
      </c>
      <c r="D6024" t="inlineStr">
        <is>
          <t>UPPSALA LÄN</t>
        </is>
      </c>
      <c r="E6024" t="inlineStr">
        <is>
          <t>ÖSTHAMMAR</t>
        </is>
      </c>
      <c r="F6024" t="inlineStr">
        <is>
          <t>Bergvik skog väst AB</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46496-2024</t>
        </is>
      </c>
      <c r="B6025" s="1" t="n">
        <v>45582</v>
      </c>
      <c r="C6025" s="1" t="n">
        <v>45705</v>
      </c>
      <c r="D6025" t="inlineStr">
        <is>
          <t>UPPSALA LÄN</t>
        </is>
      </c>
      <c r="E6025" t="inlineStr">
        <is>
          <t>ÖSTHAMMAR</t>
        </is>
      </c>
      <c r="F6025" t="inlineStr">
        <is>
          <t>Bergvik skog väst AB</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46500-2024</t>
        </is>
      </c>
      <c r="B6026" s="1" t="n">
        <v>45582</v>
      </c>
      <c r="C6026" s="1" t="n">
        <v>45705</v>
      </c>
      <c r="D6026" t="inlineStr">
        <is>
          <t>UPPSALA LÄN</t>
        </is>
      </c>
      <c r="E6026" t="inlineStr">
        <is>
          <t>ÖSTHAMMAR</t>
        </is>
      </c>
      <c r="F6026" t="inlineStr">
        <is>
          <t>Bergvik skog väst AB</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46504-2024</t>
        </is>
      </c>
      <c r="B6027" s="1" t="n">
        <v>45582</v>
      </c>
      <c r="C6027" s="1" t="n">
        <v>45705</v>
      </c>
      <c r="D6027" t="inlineStr">
        <is>
          <t>UPPSALA LÄN</t>
        </is>
      </c>
      <c r="E6027" t="inlineStr">
        <is>
          <t>ÖSTHAMMAR</t>
        </is>
      </c>
      <c r="F6027" t="inlineStr">
        <is>
          <t>Bergvik skog väst AB</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46512-2024</t>
        </is>
      </c>
      <c r="B6028" s="1" t="n">
        <v>45582</v>
      </c>
      <c r="C6028" s="1" t="n">
        <v>45705</v>
      </c>
      <c r="D6028" t="inlineStr">
        <is>
          <t>UPPSALA LÄN</t>
        </is>
      </c>
      <c r="E6028" t="inlineStr">
        <is>
          <t>TIERP</t>
        </is>
      </c>
      <c r="G6028" t="n">
        <v>6.3</v>
      </c>
      <c r="H6028" t="n">
        <v>0</v>
      </c>
      <c r="I6028" t="n">
        <v>0</v>
      </c>
      <c r="J6028" t="n">
        <v>0</v>
      </c>
      <c r="K6028" t="n">
        <v>0</v>
      </c>
      <c r="L6028" t="n">
        <v>0</v>
      </c>
      <c r="M6028" t="n">
        <v>0</v>
      </c>
      <c r="N6028" t="n">
        <v>0</v>
      </c>
      <c r="O6028" t="n">
        <v>0</v>
      </c>
      <c r="P6028" t="n">
        <v>0</v>
      </c>
      <c r="Q6028" t="n">
        <v>0</v>
      </c>
      <c r="R6028" s="2" t="inlineStr"/>
    </row>
    <row r="6029" ht="15" customHeight="1">
      <c r="A6029" t="inlineStr">
        <is>
          <t>A 46552-2024</t>
        </is>
      </c>
      <c r="B6029" s="1" t="n">
        <v>45582</v>
      </c>
      <c r="C6029" s="1" t="n">
        <v>45705</v>
      </c>
      <c r="D6029" t="inlineStr">
        <is>
          <t>UPPSALA LÄN</t>
        </is>
      </c>
      <c r="E6029" t="inlineStr">
        <is>
          <t>TIERP</t>
        </is>
      </c>
      <c r="F6029" t="inlineStr">
        <is>
          <t>Bergvik skog öst AB</t>
        </is>
      </c>
      <c r="G6029" t="n">
        <v>21.4</v>
      </c>
      <c r="H6029" t="n">
        <v>0</v>
      </c>
      <c r="I6029" t="n">
        <v>0</v>
      </c>
      <c r="J6029" t="n">
        <v>0</v>
      </c>
      <c r="K6029" t="n">
        <v>0</v>
      </c>
      <c r="L6029" t="n">
        <v>0</v>
      </c>
      <c r="M6029" t="n">
        <v>0</v>
      </c>
      <c r="N6029" t="n">
        <v>0</v>
      </c>
      <c r="O6029" t="n">
        <v>0</v>
      </c>
      <c r="P6029" t="n">
        <v>0</v>
      </c>
      <c r="Q6029" t="n">
        <v>0</v>
      </c>
      <c r="R6029" s="2" t="inlineStr"/>
    </row>
    <row r="6030" ht="15" customHeight="1">
      <c r="A6030" t="inlineStr">
        <is>
          <t>A 46462-2024</t>
        </is>
      </c>
      <c r="B6030" s="1" t="n">
        <v>45582</v>
      </c>
      <c r="C6030" s="1" t="n">
        <v>45705</v>
      </c>
      <c r="D6030" t="inlineStr">
        <is>
          <t>UPPSALA LÄN</t>
        </is>
      </c>
      <c r="E6030" t="inlineStr">
        <is>
          <t>HEBY</t>
        </is>
      </c>
      <c r="F6030" t="inlineStr">
        <is>
          <t>Bergvik skog väst AB</t>
        </is>
      </c>
      <c r="G6030" t="n">
        <v>4</v>
      </c>
      <c r="H6030" t="n">
        <v>0</v>
      </c>
      <c r="I6030" t="n">
        <v>0</v>
      </c>
      <c r="J6030" t="n">
        <v>0</v>
      </c>
      <c r="K6030" t="n">
        <v>0</v>
      </c>
      <c r="L6030" t="n">
        <v>0</v>
      </c>
      <c r="M6030" t="n">
        <v>0</v>
      </c>
      <c r="N6030" t="n">
        <v>0</v>
      </c>
      <c r="O6030" t="n">
        <v>0</v>
      </c>
      <c r="P6030" t="n">
        <v>0</v>
      </c>
      <c r="Q6030" t="n">
        <v>0</v>
      </c>
      <c r="R6030" s="2" t="inlineStr"/>
    </row>
    <row r="6031" ht="15" customHeight="1">
      <c r="A6031" t="inlineStr">
        <is>
          <t>A 46470-2024</t>
        </is>
      </c>
      <c r="B6031" s="1" t="n">
        <v>45582</v>
      </c>
      <c r="C6031" s="1" t="n">
        <v>45705</v>
      </c>
      <c r="D6031" t="inlineStr">
        <is>
          <t>UPPSALA LÄN</t>
        </is>
      </c>
      <c r="E6031" t="inlineStr">
        <is>
          <t>HEBY</t>
        </is>
      </c>
      <c r="F6031" t="inlineStr">
        <is>
          <t>Bergvik skog väst AB</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46494-2024</t>
        </is>
      </c>
      <c r="B6032" s="1" t="n">
        <v>45582</v>
      </c>
      <c r="C6032" s="1" t="n">
        <v>45705</v>
      </c>
      <c r="D6032" t="inlineStr">
        <is>
          <t>UPPSALA LÄN</t>
        </is>
      </c>
      <c r="E6032" t="inlineStr">
        <is>
          <t>ÖSTHAMMAR</t>
        </is>
      </c>
      <c r="F6032" t="inlineStr">
        <is>
          <t>Bergvik skog väst AB</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46530-2024</t>
        </is>
      </c>
      <c r="B6033" s="1" t="n">
        <v>45582</v>
      </c>
      <c r="C6033" s="1" t="n">
        <v>45705</v>
      </c>
      <c r="D6033" t="inlineStr">
        <is>
          <t>UPPSALA LÄN</t>
        </is>
      </c>
      <c r="E6033" t="inlineStr">
        <is>
          <t>TIERP</t>
        </is>
      </c>
      <c r="F6033" t="inlineStr">
        <is>
          <t>Bergvik skog öst AB</t>
        </is>
      </c>
      <c r="G6033" t="n">
        <v>6.6</v>
      </c>
      <c r="H6033" t="n">
        <v>0</v>
      </c>
      <c r="I6033" t="n">
        <v>0</v>
      </c>
      <c r="J6033" t="n">
        <v>0</v>
      </c>
      <c r="K6033" t="n">
        <v>0</v>
      </c>
      <c r="L6033" t="n">
        <v>0</v>
      </c>
      <c r="M6033" t="n">
        <v>0</v>
      </c>
      <c r="N6033" t="n">
        <v>0</v>
      </c>
      <c r="O6033" t="n">
        <v>0</v>
      </c>
      <c r="P6033" t="n">
        <v>0</v>
      </c>
      <c r="Q6033" t="n">
        <v>0</v>
      </c>
      <c r="R6033" s="2" t="inlineStr"/>
    </row>
    <row r="6034" ht="15" customHeight="1">
      <c r="A6034" t="inlineStr">
        <is>
          <t>A 46538-2024</t>
        </is>
      </c>
      <c r="B6034" s="1" t="n">
        <v>45582</v>
      </c>
      <c r="C6034" s="1" t="n">
        <v>45705</v>
      </c>
      <c r="D6034" t="inlineStr">
        <is>
          <t>UPPSALA LÄN</t>
        </is>
      </c>
      <c r="E6034" t="inlineStr">
        <is>
          <t>HEBY</t>
        </is>
      </c>
      <c r="F6034" t="inlineStr">
        <is>
          <t>Bergvik skog väst AB</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46550-2024</t>
        </is>
      </c>
      <c r="B6035" s="1" t="n">
        <v>45582</v>
      </c>
      <c r="C6035" s="1" t="n">
        <v>45705</v>
      </c>
      <c r="D6035" t="inlineStr">
        <is>
          <t>UPPSALA LÄN</t>
        </is>
      </c>
      <c r="E6035" t="inlineStr">
        <is>
          <t>TIERP</t>
        </is>
      </c>
      <c r="F6035" t="inlineStr">
        <is>
          <t>Bergvik skog öst AB</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46467-2024</t>
        </is>
      </c>
      <c r="B6036" s="1" t="n">
        <v>45582</v>
      </c>
      <c r="C6036" s="1" t="n">
        <v>45705</v>
      </c>
      <c r="D6036" t="inlineStr">
        <is>
          <t>UPPSALA LÄN</t>
        </is>
      </c>
      <c r="E6036" t="inlineStr">
        <is>
          <t>HEBY</t>
        </is>
      </c>
      <c r="F6036" t="inlineStr">
        <is>
          <t>Bergvik skog väst AB</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46475-2024</t>
        </is>
      </c>
      <c r="B6037" s="1" t="n">
        <v>45582</v>
      </c>
      <c r="C6037" s="1" t="n">
        <v>45705</v>
      </c>
      <c r="D6037" t="inlineStr">
        <is>
          <t>UPPSALA LÄN</t>
        </is>
      </c>
      <c r="E6037" t="inlineStr">
        <is>
          <t>ÖSTHAMMAR</t>
        </is>
      </c>
      <c r="F6037" t="inlineStr">
        <is>
          <t>Bergvik skog väst AB</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46491-2024</t>
        </is>
      </c>
      <c r="B6038" s="1" t="n">
        <v>45582</v>
      </c>
      <c r="C6038" s="1" t="n">
        <v>45705</v>
      </c>
      <c r="D6038" t="inlineStr">
        <is>
          <t>UPPSALA LÄN</t>
        </is>
      </c>
      <c r="E6038" t="inlineStr">
        <is>
          <t>ÖSTHAMMAR</t>
        </is>
      </c>
      <c r="F6038" t="inlineStr">
        <is>
          <t>Bergvik skog väst AB</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46551-2024</t>
        </is>
      </c>
      <c r="B6039" s="1" t="n">
        <v>45582</v>
      </c>
      <c r="C6039" s="1" t="n">
        <v>45705</v>
      </c>
      <c r="D6039" t="inlineStr">
        <is>
          <t>UPPSALA LÄN</t>
        </is>
      </c>
      <c r="E6039" t="inlineStr">
        <is>
          <t>TIERP</t>
        </is>
      </c>
      <c r="F6039" t="inlineStr">
        <is>
          <t>Bergvik skog öst AB</t>
        </is>
      </c>
      <c r="G6039" t="n">
        <v>4.6</v>
      </c>
      <c r="H6039" t="n">
        <v>0</v>
      </c>
      <c r="I6039" t="n">
        <v>0</v>
      </c>
      <c r="J6039" t="n">
        <v>0</v>
      </c>
      <c r="K6039" t="n">
        <v>0</v>
      </c>
      <c r="L6039" t="n">
        <v>0</v>
      </c>
      <c r="M6039" t="n">
        <v>0</v>
      </c>
      <c r="N6039" t="n">
        <v>0</v>
      </c>
      <c r="O6039" t="n">
        <v>0</v>
      </c>
      <c r="P6039" t="n">
        <v>0</v>
      </c>
      <c r="Q6039" t="n">
        <v>0</v>
      </c>
      <c r="R6039" s="2" t="inlineStr"/>
    </row>
    <row r="6040" ht="15" customHeight="1">
      <c r="A6040" t="inlineStr">
        <is>
          <t>A 46432-2024</t>
        </is>
      </c>
      <c r="B6040" s="1" t="n">
        <v>45582</v>
      </c>
      <c r="C6040" s="1" t="n">
        <v>45705</v>
      </c>
      <c r="D6040" t="inlineStr">
        <is>
          <t>UPPSALA LÄN</t>
        </is>
      </c>
      <c r="E6040" t="inlineStr">
        <is>
          <t>TIERP</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46411-2024</t>
        </is>
      </c>
      <c r="B6041" s="1" t="n">
        <v>45582</v>
      </c>
      <c r="C6041" s="1" t="n">
        <v>45705</v>
      </c>
      <c r="D6041" t="inlineStr">
        <is>
          <t>UPPSALA LÄN</t>
        </is>
      </c>
      <c r="E6041" t="inlineStr">
        <is>
          <t>TIERP</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46465-2024</t>
        </is>
      </c>
      <c r="B6042" s="1" t="n">
        <v>45582</v>
      </c>
      <c r="C6042" s="1" t="n">
        <v>45705</v>
      </c>
      <c r="D6042" t="inlineStr">
        <is>
          <t>UPPSALA LÄN</t>
        </is>
      </c>
      <c r="E6042" t="inlineStr">
        <is>
          <t>TIERP</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46477-2024</t>
        </is>
      </c>
      <c r="B6043" s="1" t="n">
        <v>45582</v>
      </c>
      <c r="C6043" s="1" t="n">
        <v>45705</v>
      </c>
      <c r="D6043" t="inlineStr">
        <is>
          <t>UPPSALA LÄN</t>
        </is>
      </c>
      <c r="E6043" t="inlineStr">
        <is>
          <t>HEBY</t>
        </is>
      </c>
      <c r="F6043" t="inlineStr">
        <is>
          <t>Bergvik skog väst AB</t>
        </is>
      </c>
      <c r="G6043" t="n">
        <v>3.6</v>
      </c>
      <c r="H6043" t="n">
        <v>0</v>
      </c>
      <c r="I6043" t="n">
        <v>0</v>
      </c>
      <c r="J6043" t="n">
        <v>0</v>
      </c>
      <c r="K6043" t="n">
        <v>0</v>
      </c>
      <c r="L6043" t="n">
        <v>0</v>
      </c>
      <c r="M6043" t="n">
        <v>0</v>
      </c>
      <c r="N6043" t="n">
        <v>0</v>
      </c>
      <c r="O6043" t="n">
        <v>0</v>
      </c>
      <c r="P6043" t="n">
        <v>0</v>
      </c>
      <c r="Q6043" t="n">
        <v>0</v>
      </c>
      <c r="R6043" s="2" t="inlineStr"/>
    </row>
    <row r="6044" ht="15" customHeight="1">
      <c r="A6044" t="inlineStr">
        <is>
          <t>A 46513-2024</t>
        </is>
      </c>
      <c r="B6044" s="1" t="n">
        <v>45582</v>
      </c>
      <c r="C6044" s="1" t="n">
        <v>45705</v>
      </c>
      <c r="D6044" t="inlineStr">
        <is>
          <t>UPPSALA LÄN</t>
        </is>
      </c>
      <c r="E6044" t="inlineStr">
        <is>
          <t>HEBY</t>
        </is>
      </c>
      <c r="F6044" t="inlineStr">
        <is>
          <t>Bergvik skog väst AB</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46408-2024</t>
        </is>
      </c>
      <c r="B6045" s="1" t="n">
        <v>45582</v>
      </c>
      <c r="C6045" s="1" t="n">
        <v>45705</v>
      </c>
      <c r="D6045" t="inlineStr">
        <is>
          <t>UPPSALA LÄN</t>
        </is>
      </c>
      <c r="E6045" t="inlineStr">
        <is>
          <t>HEBY</t>
        </is>
      </c>
      <c r="F6045" t="inlineStr">
        <is>
          <t>Bergvik skog väst AB</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46549-2024</t>
        </is>
      </c>
      <c r="B6046" s="1" t="n">
        <v>45582</v>
      </c>
      <c r="C6046" s="1" t="n">
        <v>45705</v>
      </c>
      <c r="D6046" t="inlineStr">
        <is>
          <t>UPPSALA LÄN</t>
        </is>
      </c>
      <c r="E6046" t="inlineStr">
        <is>
          <t>TIERP</t>
        </is>
      </c>
      <c r="F6046" t="inlineStr">
        <is>
          <t>Bergvik skog öst AB</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46728-2024</t>
        </is>
      </c>
      <c r="B6047" s="1" t="n">
        <v>45583</v>
      </c>
      <c r="C6047" s="1" t="n">
        <v>45705</v>
      </c>
      <c r="D6047" t="inlineStr">
        <is>
          <t>UPPSALA LÄN</t>
        </is>
      </c>
      <c r="E6047" t="inlineStr">
        <is>
          <t>UPPSALA</t>
        </is>
      </c>
      <c r="F6047" t="inlineStr">
        <is>
          <t>Sveaskog</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46796-2024</t>
        </is>
      </c>
      <c r="B6048" s="1" t="n">
        <v>45583</v>
      </c>
      <c r="C6048" s="1" t="n">
        <v>45705</v>
      </c>
      <c r="D6048" t="inlineStr">
        <is>
          <t>UPPSALA LÄN</t>
        </is>
      </c>
      <c r="E6048" t="inlineStr">
        <is>
          <t>UPPSALA</t>
        </is>
      </c>
      <c r="F6048" t="inlineStr">
        <is>
          <t>Sveaskog</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46624-2024</t>
        </is>
      </c>
      <c r="B6049" s="1" t="n">
        <v>45583</v>
      </c>
      <c r="C6049" s="1" t="n">
        <v>45705</v>
      </c>
      <c r="D6049" t="inlineStr">
        <is>
          <t>UPPSALA LÄN</t>
        </is>
      </c>
      <c r="E6049" t="inlineStr">
        <is>
          <t>ÖSTHAMMAR</t>
        </is>
      </c>
      <c r="F6049" t="inlineStr">
        <is>
          <t>Bergvik skog öst AB</t>
        </is>
      </c>
      <c r="G6049" t="n">
        <v>0.1</v>
      </c>
      <c r="H6049" t="n">
        <v>0</v>
      </c>
      <c r="I6049" t="n">
        <v>0</v>
      </c>
      <c r="J6049" t="n">
        <v>0</v>
      </c>
      <c r="K6049" t="n">
        <v>0</v>
      </c>
      <c r="L6049" t="n">
        <v>0</v>
      </c>
      <c r="M6049" t="n">
        <v>0</v>
      </c>
      <c r="N6049" t="n">
        <v>0</v>
      </c>
      <c r="O6049" t="n">
        <v>0</v>
      </c>
      <c r="P6049" t="n">
        <v>0</v>
      </c>
      <c r="Q6049" t="n">
        <v>0</v>
      </c>
      <c r="R6049" s="2" t="inlineStr"/>
    </row>
    <row r="6050" ht="15" customHeight="1">
      <c r="A6050" t="inlineStr">
        <is>
          <t>A 46818-2024</t>
        </is>
      </c>
      <c r="B6050" s="1" t="n">
        <v>45583</v>
      </c>
      <c r="C6050" s="1" t="n">
        <v>45705</v>
      </c>
      <c r="D6050" t="inlineStr">
        <is>
          <t>UPPSALA LÄN</t>
        </is>
      </c>
      <c r="E6050" t="inlineStr">
        <is>
          <t>ÖSTHAMMAR</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46810-2024</t>
        </is>
      </c>
      <c r="B6051" s="1" t="n">
        <v>45583</v>
      </c>
      <c r="C6051" s="1" t="n">
        <v>45705</v>
      </c>
      <c r="D6051" t="inlineStr">
        <is>
          <t>UPPSALA LÄN</t>
        </is>
      </c>
      <c r="E6051" t="inlineStr">
        <is>
          <t>ÖSTHAMMAR</t>
        </is>
      </c>
      <c r="F6051" t="inlineStr">
        <is>
          <t>Bergvik skog öst AB</t>
        </is>
      </c>
      <c r="G6051" t="n">
        <v>0.3</v>
      </c>
      <c r="H6051" t="n">
        <v>0</v>
      </c>
      <c r="I6051" t="n">
        <v>0</v>
      </c>
      <c r="J6051" t="n">
        <v>0</v>
      </c>
      <c r="K6051" t="n">
        <v>0</v>
      </c>
      <c r="L6051" t="n">
        <v>0</v>
      </c>
      <c r="M6051" t="n">
        <v>0</v>
      </c>
      <c r="N6051" t="n">
        <v>0</v>
      </c>
      <c r="O6051" t="n">
        <v>0</v>
      </c>
      <c r="P6051" t="n">
        <v>0</v>
      </c>
      <c r="Q6051" t="n">
        <v>0</v>
      </c>
      <c r="R6051" s="2" t="inlineStr"/>
    </row>
    <row r="6052" ht="15" customHeight="1">
      <c r="A6052" t="inlineStr">
        <is>
          <t>A 46745-2024</t>
        </is>
      </c>
      <c r="B6052" s="1" t="n">
        <v>45583</v>
      </c>
      <c r="C6052" s="1" t="n">
        <v>45705</v>
      </c>
      <c r="D6052" t="inlineStr">
        <is>
          <t>UPPSALA LÄN</t>
        </is>
      </c>
      <c r="E6052" t="inlineStr">
        <is>
          <t>UPPSALA</t>
        </is>
      </c>
      <c r="F6052" t="inlineStr">
        <is>
          <t>Sveaskog</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46743-2024</t>
        </is>
      </c>
      <c r="B6053" s="1" t="n">
        <v>45583</v>
      </c>
      <c r="C6053" s="1" t="n">
        <v>45705</v>
      </c>
      <c r="D6053" t="inlineStr">
        <is>
          <t>UPPSALA LÄN</t>
        </is>
      </c>
      <c r="E6053" t="inlineStr">
        <is>
          <t>UPPSALA</t>
        </is>
      </c>
      <c r="F6053" t="inlineStr">
        <is>
          <t>Sveaskog</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46751-2024</t>
        </is>
      </c>
      <c r="B6054" s="1" t="n">
        <v>45583</v>
      </c>
      <c r="C6054" s="1" t="n">
        <v>45705</v>
      </c>
      <c r="D6054" t="inlineStr">
        <is>
          <t>UPPSALA LÄN</t>
        </is>
      </c>
      <c r="E6054" t="inlineStr">
        <is>
          <t>UPPSALA</t>
        </is>
      </c>
      <c r="F6054" t="inlineStr">
        <is>
          <t>Sveaskog</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46794-2024</t>
        </is>
      </c>
      <c r="B6055" s="1" t="n">
        <v>45583</v>
      </c>
      <c r="C6055" s="1" t="n">
        <v>45705</v>
      </c>
      <c r="D6055" t="inlineStr">
        <is>
          <t>UPPSALA LÄN</t>
        </is>
      </c>
      <c r="E6055" t="inlineStr">
        <is>
          <t>UPPSALA</t>
        </is>
      </c>
      <c r="F6055" t="inlineStr">
        <is>
          <t>Sveaskog</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46791-2024</t>
        </is>
      </c>
      <c r="B6056" s="1" t="n">
        <v>45583</v>
      </c>
      <c r="C6056" s="1" t="n">
        <v>45705</v>
      </c>
      <c r="D6056" t="inlineStr">
        <is>
          <t>UPPSALA LÄN</t>
        </is>
      </c>
      <c r="E6056" t="inlineStr">
        <is>
          <t>UPPSALA</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46631-2024</t>
        </is>
      </c>
      <c r="B6057" s="1" t="n">
        <v>45583</v>
      </c>
      <c r="C6057" s="1" t="n">
        <v>45705</v>
      </c>
      <c r="D6057" t="inlineStr">
        <is>
          <t>UPPSALA LÄN</t>
        </is>
      </c>
      <c r="E6057" t="inlineStr">
        <is>
          <t>ÖSTHAMMAR</t>
        </is>
      </c>
      <c r="F6057" t="inlineStr">
        <is>
          <t>Bergvik skog öst AB</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46811-2024</t>
        </is>
      </c>
      <c r="B6058" s="1" t="n">
        <v>45583</v>
      </c>
      <c r="C6058" s="1" t="n">
        <v>45705</v>
      </c>
      <c r="D6058" t="inlineStr">
        <is>
          <t>UPPSALA LÄN</t>
        </is>
      </c>
      <c r="E6058" t="inlineStr">
        <is>
          <t>ÖSTHAMMAR</t>
        </is>
      </c>
      <c r="F6058" t="inlineStr">
        <is>
          <t>Bergvik skog öst AB</t>
        </is>
      </c>
      <c r="G6058" t="n">
        <v>6.3</v>
      </c>
      <c r="H6058" t="n">
        <v>0</v>
      </c>
      <c r="I6058" t="n">
        <v>0</v>
      </c>
      <c r="J6058" t="n">
        <v>0</v>
      </c>
      <c r="K6058" t="n">
        <v>0</v>
      </c>
      <c r="L6058" t="n">
        <v>0</v>
      </c>
      <c r="M6058" t="n">
        <v>0</v>
      </c>
      <c r="N6058" t="n">
        <v>0</v>
      </c>
      <c r="O6058" t="n">
        <v>0</v>
      </c>
      <c r="P6058" t="n">
        <v>0</v>
      </c>
      <c r="Q6058" t="n">
        <v>0</v>
      </c>
      <c r="R6058" s="2" t="inlineStr"/>
    </row>
    <row r="6059" ht="15" customHeight="1">
      <c r="A6059" t="inlineStr">
        <is>
          <t>A 46645-2024</t>
        </is>
      </c>
      <c r="B6059" s="1" t="n">
        <v>45583</v>
      </c>
      <c r="C6059" s="1" t="n">
        <v>45705</v>
      </c>
      <c r="D6059" t="inlineStr">
        <is>
          <t>UPPSALA LÄN</t>
        </is>
      </c>
      <c r="E6059" t="inlineStr">
        <is>
          <t>ÖSTHAMMAR</t>
        </is>
      </c>
      <c r="F6059" t="inlineStr">
        <is>
          <t>Bergvik skog öst AB</t>
        </is>
      </c>
      <c r="G6059" t="n">
        <v>6.6</v>
      </c>
      <c r="H6059" t="n">
        <v>0</v>
      </c>
      <c r="I6059" t="n">
        <v>0</v>
      </c>
      <c r="J6059" t="n">
        <v>0</v>
      </c>
      <c r="K6059" t="n">
        <v>0</v>
      </c>
      <c r="L6059" t="n">
        <v>0</v>
      </c>
      <c r="M6059" t="n">
        <v>0</v>
      </c>
      <c r="N6059" t="n">
        <v>0</v>
      </c>
      <c r="O6059" t="n">
        <v>0</v>
      </c>
      <c r="P6059" t="n">
        <v>0</v>
      </c>
      <c r="Q6059" t="n">
        <v>0</v>
      </c>
      <c r="R6059" s="2" t="inlineStr"/>
    </row>
    <row r="6060" ht="15" customHeight="1">
      <c r="A6060" t="inlineStr">
        <is>
          <t>A 46730-2024</t>
        </is>
      </c>
      <c r="B6060" s="1" t="n">
        <v>45583</v>
      </c>
      <c r="C6060" s="1" t="n">
        <v>45705</v>
      </c>
      <c r="D6060" t="inlineStr">
        <is>
          <t>UPPSALA LÄN</t>
        </is>
      </c>
      <c r="E6060" t="inlineStr">
        <is>
          <t>UPPSALA</t>
        </is>
      </c>
      <c r="F6060" t="inlineStr">
        <is>
          <t>Sveaskog</t>
        </is>
      </c>
      <c r="G6060" t="n">
        <v>6.5</v>
      </c>
      <c r="H6060" t="n">
        <v>0</v>
      </c>
      <c r="I6060" t="n">
        <v>0</v>
      </c>
      <c r="J6060" t="n">
        <v>0</v>
      </c>
      <c r="K6060" t="n">
        <v>0</v>
      </c>
      <c r="L6060" t="n">
        <v>0</v>
      </c>
      <c r="M6060" t="n">
        <v>0</v>
      </c>
      <c r="N6060" t="n">
        <v>0</v>
      </c>
      <c r="O6060" t="n">
        <v>0</v>
      </c>
      <c r="P6060" t="n">
        <v>0</v>
      </c>
      <c r="Q6060" t="n">
        <v>0</v>
      </c>
      <c r="R6060" s="2" t="inlineStr"/>
      <c r="U6060">
        <f>HYPERLINK("https://klasma.github.io/Logging_0380/knärot/A 46730-2024 karta knärot.png", "A 46730-2024")</f>
        <v/>
      </c>
      <c r="V6060">
        <f>HYPERLINK("https://klasma.github.io/Logging_0380/klagomål/A 46730-2024 FSC-klagomål.docx", "A 46730-2024")</f>
        <v/>
      </c>
      <c r="W6060">
        <f>HYPERLINK("https://klasma.github.io/Logging_0380/klagomålsmail/A 46730-2024 FSC-klagomål mail.docx", "A 46730-2024")</f>
        <v/>
      </c>
      <c r="X6060">
        <f>HYPERLINK("https://klasma.github.io/Logging_0380/tillsyn/A 46730-2024 tillsynsbegäran.docx", "A 46730-2024")</f>
        <v/>
      </c>
      <c r="Y6060">
        <f>HYPERLINK("https://klasma.github.io/Logging_0380/tillsynsmail/A 46730-2024 tillsynsbegäran mail.docx", "A 46730-2024")</f>
        <v/>
      </c>
    </row>
    <row r="6061" ht="15" customHeight="1">
      <c r="A6061" t="inlineStr">
        <is>
          <t>A 46821-2024</t>
        </is>
      </c>
      <c r="B6061" s="1" t="n">
        <v>45583</v>
      </c>
      <c r="C6061" s="1" t="n">
        <v>45705</v>
      </c>
      <c r="D6061" t="inlineStr">
        <is>
          <t>UPPSALA LÄN</t>
        </is>
      </c>
      <c r="E6061" t="inlineStr">
        <is>
          <t>UPPSALA</t>
        </is>
      </c>
      <c r="F6061" t="inlineStr">
        <is>
          <t>Holmen skog AB</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46748-2024</t>
        </is>
      </c>
      <c r="B6062" s="1" t="n">
        <v>45583</v>
      </c>
      <c r="C6062" s="1" t="n">
        <v>45705</v>
      </c>
      <c r="D6062" t="inlineStr">
        <is>
          <t>UPPSALA LÄN</t>
        </is>
      </c>
      <c r="E6062" t="inlineStr">
        <is>
          <t>UPPSALA</t>
        </is>
      </c>
      <c r="F6062" t="inlineStr">
        <is>
          <t>Sveaskog</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46700-2024</t>
        </is>
      </c>
      <c r="B6063" s="1" t="n">
        <v>45583</v>
      </c>
      <c r="C6063" s="1" t="n">
        <v>45705</v>
      </c>
      <c r="D6063" t="inlineStr">
        <is>
          <t>UPPSALA LÄN</t>
        </is>
      </c>
      <c r="E6063" t="inlineStr">
        <is>
          <t>UPPSALA</t>
        </is>
      </c>
      <c r="F6063" t="inlineStr">
        <is>
          <t>Sveaskog</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46925-2024</t>
        </is>
      </c>
      <c r="B6064" s="1" t="n">
        <v>45584</v>
      </c>
      <c r="C6064" s="1" t="n">
        <v>45705</v>
      </c>
      <c r="D6064" t="inlineStr">
        <is>
          <t>UPPSALA LÄN</t>
        </is>
      </c>
      <c r="E6064" t="inlineStr">
        <is>
          <t>UPPSALA</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46982-2024</t>
        </is>
      </c>
      <c r="B6065" s="1" t="n">
        <v>45586</v>
      </c>
      <c r="C6065" s="1" t="n">
        <v>45705</v>
      </c>
      <c r="D6065" t="inlineStr">
        <is>
          <t>UPPSALA LÄN</t>
        </is>
      </c>
      <c r="E6065" t="inlineStr">
        <is>
          <t>HEBY</t>
        </is>
      </c>
      <c r="G6065" t="n">
        <v>6.2</v>
      </c>
      <c r="H6065" t="n">
        <v>0</v>
      </c>
      <c r="I6065" t="n">
        <v>0</v>
      </c>
      <c r="J6065" t="n">
        <v>0</v>
      </c>
      <c r="K6065" t="n">
        <v>0</v>
      </c>
      <c r="L6065" t="n">
        <v>0</v>
      </c>
      <c r="M6065" t="n">
        <v>0</v>
      </c>
      <c r="N6065" t="n">
        <v>0</v>
      </c>
      <c r="O6065" t="n">
        <v>0</v>
      </c>
      <c r="P6065" t="n">
        <v>0</v>
      </c>
      <c r="Q6065" t="n">
        <v>0</v>
      </c>
      <c r="R6065" s="2" t="inlineStr"/>
    </row>
    <row r="6066" ht="15" customHeight="1">
      <c r="A6066" t="inlineStr">
        <is>
          <t>A 47169-2024</t>
        </is>
      </c>
      <c r="B6066" s="1" t="n">
        <v>45586</v>
      </c>
      <c r="C6066" s="1" t="n">
        <v>45705</v>
      </c>
      <c r="D6066" t="inlineStr">
        <is>
          <t>UPPSALA LÄN</t>
        </is>
      </c>
      <c r="E6066" t="inlineStr">
        <is>
          <t>UPPSALA</t>
        </is>
      </c>
      <c r="G6066" t="n">
        <v>3.5</v>
      </c>
      <c r="H6066" t="n">
        <v>0</v>
      </c>
      <c r="I6066" t="n">
        <v>0</v>
      </c>
      <c r="J6066" t="n">
        <v>0</v>
      </c>
      <c r="K6066" t="n">
        <v>0</v>
      </c>
      <c r="L6066" t="n">
        <v>0</v>
      </c>
      <c r="M6066" t="n">
        <v>0</v>
      </c>
      <c r="N6066" t="n">
        <v>0</v>
      </c>
      <c r="O6066" t="n">
        <v>0</v>
      </c>
      <c r="P6066" t="n">
        <v>0</v>
      </c>
      <c r="Q6066" t="n">
        <v>0</v>
      </c>
      <c r="R6066" s="2" t="inlineStr"/>
    </row>
    <row r="6067" ht="15" customHeight="1">
      <c r="A6067" t="inlineStr">
        <is>
          <t>A 47072-2024</t>
        </is>
      </c>
      <c r="B6067" s="1" t="n">
        <v>45586</v>
      </c>
      <c r="C6067" s="1" t="n">
        <v>45705</v>
      </c>
      <c r="D6067" t="inlineStr">
        <is>
          <t>UPPSALA LÄN</t>
        </is>
      </c>
      <c r="E6067" t="inlineStr">
        <is>
          <t>HEBY</t>
        </is>
      </c>
      <c r="F6067" t="inlineStr">
        <is>
          <t>Kyrkan</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47058-2024</t>
        </is>
      </c>
      <c r="B6068" s="1" t="n">
        <v>45586</v>
      </c>
      <c r="C6068" s="1" t="n">
        <v>45705</v>
      </c>
      <c r="D6068" t="inlineStr">
        <is>
          <t>UPPSALA LÄN</t>
        </is>
      </c>
      <c r="E6068" t="inlineStr">
        <is>
          <t>TIERP</t>
        </is>
      </c>
      <c r="F6068" t="inlineStr">
        <is>
          <t>Bergvik skog öst AB</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47027-2024</t>
        </is>
      </c>
      <c r="B6069" s="1" t="n">
        <v>45586</v>
      </c>
      <c r="C6069" s="1" t="n">
        <v>45705</v>
      </c>
      <c r="D6069" t="inlineStr">
        <is>
          <t>UPPSALA LÄN</t>
        </is>
      </c>
      <c r="E6069" t="inlineStr">
        <is>
          <t>TIERP</t>
        </is>
      </c>
      <c r="F6069" t="inlineStr">
        <is>
          <t>Bergvik skog öst AB</t>
        </is>
      </c>
      <c r="G6069" t="n">
        <v>6.4</v>
      </c>
      <c r="H6069" t="n">
        <v>0</v>
      </c>
      <c r="I6069" t="n">
        <v>0</v>
      </c>
      <c r="J6069" t="n">
        <v>0</v>
      </c>
      <c r="K6069" t="n">
        <v>0</v>
      </c>
      <c r="L6069" t="n">
        <v>0</v>
      </c>
      <c r="M6069" t="n">
        <v>0</v>
      </c>
      <c r="N6069" t="n">
        <v>0</v>
      </c>
      <c r="O6069" t="n">
        <v>0</v>
      </c>
      <c r="P6069" t="n">
        <v>0</v>
      </c>
      <c r="Q6069" t="n">
        <v>0</v>
      </c>
      <c r="R6069" s="2" t="inlineStr"/>
    </row>
    <row r="6070" ht="15" customHeight="1">
      <c r="A6070" t="inlineStr">
        <is>
          <t>A 47052-2024</t>
        </is>
      </c>
      <c r="B6070" s="1" t="n">
        <v>45586</v>
      </c>
      <c r="C6070" s="1" t="n">
        <v>45705</v>
      </c>
      <c r="D6070" t="inlineStr">
        <is>
          <t>UPPSALA LÄN</t>
        </is>
      </c>
      <c r="E6070" t="inlineStr">
        <is>
          <t>UPPSALA</t>
        </is>
      </c>
      <c r="F6070" t="inlineStr">
        <is>
          <t>Holmen skog AB</t>
        </is>
      </c>
      <c r="G6070" t="n">
        <v>5.2</v>
      </c>
      <c r="H6070" t="n">
        <v>0</v>
      </c>
      <c r="I6070" t="n">
        <v>0</v>
      </c>
      <c r="J6070" t="n">
        <v>0</v>
      </c>
      <c r="K6070" t="n">
        <v>0</v>
      </c>
      <c r="L6070" t="n">
        <v>0</v>
      </c>
      <c r="M6070" t="n">
        <v>0</v>
      </c>
      <c r="N6070" t="n">
        <v>0</v>
      </c>
      <c r="O6070" t="n">
        <v>0</v>
      </c>
      <c r="P6070" t="n">
        <v>0</v>
      </c>
      <c r="Q6070" t="n">
        <v>0</v>
      </c>
      <c r="R6070" s="2" t="inlineStr"/>
    </row>
    <row r="6071" ht="15" customHeight="1">
      <c r="A6071" t="inlineStr">
        <is>
          <t>A 47101-2024</t>
        </is>
      </c>
      <c r="B6071" s="1" t="n">
        <v>45586</v>
      </c>
      <c r="C6071" s="1" t="n">
        <v>45705</v>
      </c>
      <c r="D6071" t="inlineStr">
        <is>
          <t>UPPSALA LÄN</t>
        </is>
      </c>
      <c r="E6071" t="inlineStr">
        <is>
          <t>ENKÖPING</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47288-2024</t>
        </is>
      </c>
      <c r="B6072" s="1" t="n">
        <v>45587</v>
      </c>
      <c r="C6072" s="1" t="n">
        <v>45705</v>
      </c>
      <c r="D6072" t="inlineStr">
        <is>
          <t>UPPSALA LÄN</t>
        </is>
      </c>
      <c r="E6072" t="inlineStr">
        <is>
          <t>UPPSALA</t>
        </is>
      </c>
      <c r="F6072" t="inlineStr">
        <is>
          <t>Övriga Aktiebolag</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47382-2024</t>
        </is>
      </c>
      <c r="B6073" s="1" t="n">
        <v>45587</v>
      </c>
      <c r="C6073" s="1" t="n">
        <v>45705</v>
      </c>
      <c r="D6073" t="inlineStr">
        <is>
          <t>UPPSALA LÄN</t>
        </is>
      </c>
      <c r="E6073" t="inlineStr">
        <is>
          <t>ÖSTHAMMAR</t>
        </is>
      </c>
      <c r="G6073" t="n">
        <v>7.2</v>
      </c>
      <c r="H6073" t="n">
        <v>0</v>
      </c>
      <c r="I6073" t="n">
        <v>0</v>
      </c>
      <c r="J6073" t="n">
        <v>0</v>
      </c>
      <c r="K6073" t="n">
        <v>0</v>
      </c>
      <c r="L6073" t="n">
        <v>0</v>
      </c>
      <c r="M6073" t="n">
        <v>0</v>
      </c>
      <c r="N6073" t="n">
        <v>0</v>
      </c>
      <c r="O6073" t="n">
        <v>0</v>
      </c>
      <c r="P6073" t="n">
        <v>0</v>
      </c>
      <c r="Q6073" t="n">
        <v>0</v>
      </c>
      <c r="R6073" s="2" t="inlineStr"/>
    </row>
    <row r="6074" ht="15" customHeight="1">
      <c r="A6074" t="inlineStr">
        <is>
          <t>A 47505-2024</t>
        </is>
      </c>
      <c r="B6074" s="1" t="n">
        <v>45587</v>
      </c>
      <c r="C6074" s="1" t="n">
        <v>45705</v>
      </c>
      <c r="D6074" t="inlineStr">
        <is>
          <t>UPPSALA LÄN</t>
        </is>
      </c>
      <c r="E6074" t="inlineStr">
        <is>
          <t>TIERP</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47754-2024</t>
        </is>
      </c>
      <c r="B6075" s="1" t="n">
        <v>45588</v>
      </c>
      <c r="C6075" s="1" t="n">
        <v>45705</v>
      </c>
      <c r="D6075" t="inlineStr">
        <is>
          <t>UPPSALA LÄN</t>
        </is>
      </c>
      <c r="E6075" t="inlineStr">
        <is>
          <t>ÄLVKARLEBY</t>
        </is>
      </c>
      <c r="F6075" t="inlineStr">
        <is>
          <t>Bergvik skog väst AB</t>
        </is>
      </c>
      <c r="G6075" t="n">
        <v>4</v>
      </c>
      <c r="H6075" t="n">
        <v>0</v>
      </c>
      <c r="I6075" t="n">
        <v>0</v>
      </c>
      <c r="J6075" t="n">
        <v>0</v>
      </c>
      <c r="K6075" t="n">
        <v>0</v>
      </c>
      <c r="L6075" t="n">
        <v>0</v>
      </c>
      <c r="M6075" t="n">
        <v>0</v>
      </c>
      <c r="N6075" t="n">
        <v>0</v>
      </c>
      <c r="O6075" t="n">
        <v>0</v>
      </c>
      <c r="P6075" t="n">
        <v>0</v>
      </c>
      <c r="Q6075" t="n">
        <v>0</v>
      </c>
      <c r="R6075" s="2" t="inlineStr"/>
    </row>
    <row r="6076" ht="15" customHeight="1">
      <c r="A6076" t="inlineStr">
        <is>
          <t>A 47798-2024</t>
        </is>
      </c>
      <c r="B6076" s="1" t="n">
        <v>45588</v>
      </c>
      <c r="C6076" s="1" t="n">
        <v>45705</v>
      </c>
      <c r="D6076" t="inlineStr">
        <is>
          <t>UPPSALA LÄN</t>
        </is>
      </c>
      <c r="E6076" t="inlineStr">
        <is>
          <t>ÄLVKARLEBY</t>
        </is>
      </c>
      <c r="F6076" t="inlineStr">
        <is>
          <t>Bergvik skog väst AB</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47681-2024</t>
        </is>
      </c>
      <c r="B6077" s="1" t="n">
        <v>45588</v>
      </c>
      <c r="C6077" s="1" t="n">
        <v>45705</v>
      </c>
      <c r="D6077" t="inlineStr">
        <is>
          <t>UPPSALA LÄN</t>
        </is>
      </c>
      <c r="E6077" t="inlineStr">
        <is>
          <t>ENKÖPING</t>
        </is>
      </c>
      <c r="G6077" t="n">
        <v>4.2</v>
      </c>
      <c r="H6077" t="n">
        <v>0</v>
      </c>
      <c r="I6077" t="n">
        <v>0</v>
      </c>
      <c r="J6077" t="n">
        <v>0</v>
      </c>
      <c r="K6077" t="n">
        <v>0</v>
      </c>
      <c r="L6077" t="n">
        <v>0</v>
      </c>
      <c r="M6077" t="n">
        <v>0</v>
      </c>
      <c r="N6077" t="n">
        <v>0</v>
      </c>
      <c r="O6077" t="n">
        <v>0</v>
      </c>
      <c r="P6077" t="n">
        <v>0</v>
      </c>
      <c r="Q6077" t="n">
        <v>0</v>
      </c>
      <c r="R6077" s="2" t="inlineStr"/>
    </row>
    <row r="6078" ht="15" customHeight="1">
      <c r="A6078" t="inlineStr">
        <is>
          <t>A 47799-2024</t>
        </is>
      </c>
      <c r="B6078" s="1" t="n">
        <v>45588</v>
      </c>
      <c r="C6078" s="1" t="n">
        <v>45705</v>
      </c>
      <c r="D6078" t="inlineStr">
        <is>
          <t>UPPSALA LÄN</t>
        </is>
      </c>
      <c r="E6078" t="inlineStr">
        <is>
          <t>ÄLVKARLEBY</t>
        </is>
      </c>
      <c r="F6078" t="inlineStr">
        <is>
          <t>Bergvik skog väst AB</t>
        </is>
      </c>
      <c r="G6078" t="n">
        <v>5.9</v>
      </c>
      <c r="H6078" t="n">
        <v>0</v>
      </c>
      <c r="I6078" t="n">
        <v>0</v>
      </c>
      <c r="J6078" t="n">
        <v>0</v>
      </c>
      <c r="K6078" t="n">
        <v>0</v>
      </c>
      <c r="L6078" t="n">
        <v>0</v>
      </c>
      <c r="M6078" t="n">
        <v>0</v>
      </c>
      <c r="N6078" t="n">
        <v>0</v>
      </c>
      <c r="O6078" t="n">
        <v>0</v>
      </c>
      <c r="P6078" t="n">
        <v>0</v>
      </c>
      <c r="Q6078" t="n">
        <v>0</v>
      </c>
      <c r="R6078" s="2" t="inlineStr"/>
    </row>
    <row r="6079" ht="15" customHeight="1">
      <c r="A6079" t="inlineStr">
        <is>
          <t>A 47796-2024</t>
        </is>
      </c>
      <c r="B6079" s="1" t="n">
        <v>45588</v>
      </c>
      <c r="C6079" s="1" t="n">
        <v>45705</v>
      </c>
      <c r="D6079" t="inlineStr">
        <is>
          <t>UPPSALA LÄN</t>
        </is>
      </c>
      <c r="E6079" t="inlineStr">
        <is>
          <t>ÄLVKARLEBY</t>
        </is>
      </c>
      <c r="F6079" t="inlineStr">
        <is>
          <t>Bergvik skog väst AB</t>
        </is>
      </c>
      <c r="G6079" t="n">
        <v>4.1</v>
      </c>
      <c r="H6079" t="n">
        <v>0</v>
      </c>
      <c r="I6079" t="n">
        <v>0</v>
      </c>
      <c r="J6079" t="n">
        <v>0</v>
      </c>
      <c r="K6079" t="n">
        <v>0</v>
      </c>
      <c r="L6079" t="n">
        <v>0</v>
      </c>
      <c r="M6079" t="n">
        <v>0</v>
      </c>
      <c r="N6079" t="n">
        <v>0</v>
      </c>
      <c r="O6079" t="n">
        <v>0</v>
      </c>
      <c r="P6079" t="n">
        <v>0</v>
      </c>
      <c r="Q6079" t="n">
        <v>0</v>
      </c>
      <c r="R6079" s="2" t="inlineStr"/>
    </row>
    <row r="6080" ht="15" customHeight="1">
      <c r="A6080" t="inlineStr">
        <is>
          <t>A 48066-2024</t>
        </is>
      </c>
      <c r="B6080" s="1" t="n">
        <v>45589</v>
      </c>
      <c r="C6080" s="1" t="n">
        <v>45705</v>
      </c>
      <c r="D6080" t="inlineStr">
        <is>
          <t>UPPSALA LÄN</t>
        </is>
      </c>
      <c r="E6080" t="inlineStr">
        <is>
          <t>HEBY</t>
        </is>
      </c>
      <c r="F6080" t="inlineStr">
        <is>
          <t>Allmännings- och besparingsskogar</t>
        </is>
      </c>
      <c r="G6080" t="n">
        <v>11.9</v>
      </c>
      <c r="H6080" t="n">
        <v>0</v>
      </c>
      <c r="I6080" t="n">
        <v>0</v>
      </c>
      <c r="J6080" t="n">
        <v>0</v>
      </c>
      <c r="K6080" t="n">
        <v>0</v>
      </c>
      <c r="L6080" t="n">
        <v>0</v>
      </c>
      <c r="M6080" t="n">
        <v>0</v>
      </c>
      <c r="N6080" t="n">
        <v>0</v>
      </c>
      <c r="O6080" t="n">
        <v>0</v>
      </c>
      <c r="P6080" t="n">
        <v>0</v>
      </c>
      <c r="Q6080" t="n">
        <v>0</v>
      </c>
      <c r="R6080" s="2" t="inlineStr"/>
    </row>
    <row r="6081" ht="15" customHeight="1">
      <c r="A6081" t="inlineStr">
        <is>
          <t>A 48070-2024</t>
        </is>
      </c>
      <c r="B6081" s="1" t="n">
        <v>45589</v>
      </c>
      <c r="C6081" s="1" t="n">
        <v>45705</v>
      </c>
      <c r="D6081" t="inlineStr">
        <is>
          <t>UPPSALA LÄN</t>
        </is>
      </c>
      <c r="E6081" t="inlineStr">
        <is>
          <t>KNIVSTA</t>
        </is>
      </c>
      <c r="G6081" t="n">
        <v>8.699999999999999</v>
      </c>
      <c r="H6081" t="n">
        <v>0</v>
      </c>
      <c r="I6081" t="n">
        <v>0</v>
      </c>
      <c r="J6081" t="n">
        <v>0</v>
      </c>
      <c r="K6081" t="n">
        <v>0</v>
      </c>
      <c r="L6081" t="n">
        <v>0</v>
      </c>
      <c r="M6081" t="n">
        <v>0</v>
      </c>
      <c r="N6081" t="n">
        <v>0</v>
      </c>
      <c r="O6081" t="n">
        <v>0</v>
      </c>
      <c r="P6081" t="n">
        <v>0</v>
      </c>
      <c r="Q6081" t="n">
        <v>0</v>
      </c>
      <c r="R6081" s="2" t="inlineStr"/>
    </row>
    <row r="6082" ht="15" customHeight="1">
      <c r="A6082" t="inlineStr">
        <is>
          <t>A 48090-2024</t>
        </is>
      </c>
      <c r="B6082" s="1" t="n">
        <v>45589</v>
      </c>
      <c r="C6082" s="1" t="n">
        <v>45705</v>
      </c>
      <c r="D6082" t="inlineStr">
        <is>
          <t>UPPSALA LÄN</t>
        </is>
      </c>
      <c r="E6082" t="inlineStr">
        <is>
          <t>TIERP</t>
        </is>
      </c>
      <c r="F6082" t="inlineStr">
        <is>
          <t>Bergvik skog väst AB</t>
        </is>
      </c>
      <c r="G6082" t="n">
        <v>25.5</v>
      </c>
      <c r="H6082" t="n">
        <v>0</v>
      </c>
      <c r="I6082" t="n">
        <v>0</v>
      </c>
      <c r="J6082" t="n">
        <v>0</v>
      </c>
      <c r="K6082" t="n">
        <v>0</v>
      </c>
      <c r="L6082" t="n">
        <v>0</v>
      </c>
      <c r="M6082" t="n">
        <v>0</v>
      </c>
      <c r="N6082" t="n">
        <v>0</v>
      </c>
      <c r="O6082" t="n">
        <v>0</v>
      </c>
      <c r="P6082" t="n">
        <v>0</v>
      </c>
      <c r="Q6082" t="n">
        <v>0</v>
      </c>
      <c r="R6082" s="2" t="inlineStr"/>
    </row>
    <row r="6083" ht="15" customHeight="1">
      <c r="A6083" t="inlineStr">
        <is>
          <t>A 48154-2024</t>
        </is>
      </c>
      <c r="B6083" s="1" t="n">
        <v>45589</v>
      </c>
      <c r="C6083" s="1" t="n">
        <v>45705</v>
      </c>
      <c r="D6083" t="inlineStr">
        <is>
          <t>UPPSALA LÄN</t>
        </is>
      </c>
      <c r="E6083" t="inlineStr">
        <is>
          <t>UPPSALA</t>
        </is>
      </c>
      <c r="G6083" t="n">
        <v>5.1</v>
      </c>
      <c r="H6083" t="n">
        <v>0</v>
      </c>
      <c r="I6083" t="n">
        <v>0</v>
      </c>
      <c r="J6083" t="n">
        <v>0</v>
      </c>
      <c r="K6083" t="n">
        <v>0</v>
      </c>
      <c r="L6083" t="n">
        <v>0</v>
      </c>
      <c r="M6083" t="n">
        <v>0</v>
      </c>
      <c r="N6083" t="n">
        <v>0</v>
      </c>
      <c r="O6083" t="n">
        <v>0</v>
      </c>
      <c r="P6083" t="n">
        <v>0</v>
      </c>
      <c r="Q6083" t="n">
        <v>0</v>
      </c>
      <c r="R6083" s="2" t="inlineStr"/>
    </row>
    <row r="6084" ht="15" customHeight="1">
      <c r="A6084" t="inlineStr">
        <is>
          <t>A 48153-2024</t>
        </is>
      </c>
      <c r="B6084" s="1" t="n">
        <v>45589</v>
      </c>
      <c r="C6084" s="1" t="n">
        <v>45705</v>
      </c>
      <c r="D6084" t="inlineStr">
        <is>
          <t>UPPSALA LÄN</t>
        </is>
      </c>
      <c r="E6084" t="inlineStr">
        <is>
          <t>UPPSALA</t>
        </is>
      </c>
      <c r="G6084" t="n">
        <v>3.4</v>
      </c>
      <c r="H6084" t="n">
        <v>0</v>
      </c>
      <c r="I6084" t="n">
        <v>0</v>
      </c>
      <c r="J6084" t="n">
        <v>0</v>
      </c>
      <c r="K6084" t="n">
        <v>0</v>
      </c>
      <c r="L6084" t="n">
        <v>0</v>
      </c>
      <c r="M6084" t="n">
        <v>0</v>
      </c>
      <c r="N6084" t="n">
        <v>0</v>
      </c>
      <c r="O6084" t="n">
        <v>0</v>
      </c>
      <c r="P6084" t="n">
        <v>0</v>
      </c>
      <c r="Q6084" t="n">
        <v>0</v>
      </c>
      <c r="R6084" s="2" t="inlineStr"/>
    </row>
    <row r="6085" ht="15" customHeight="1">
      <c r="A6085" t="inlineStr">
        <is>
          <t>A 48139-2024</t>
        </is>
      </c>
      <c r="B6085" s="1" t="n">
        <v>45589</v>
      </c>
      <c r="C6085" s="1" t="n">
        <v>45705</v>
      </c>
      <c r="D6085" t="inlineStr">
        <is>
          <t>UPPSALA LÄN</t>
        </is>
      </c>
      <c r="E6085" t="inlineStr">
        <is>
          <t>TIERP</t>
        </is>
      </c>
      <c r="F6085" t="inlineStr">
        <is>
          <t>Bergvik skog öst AB</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48039-2024</t>
        </is>
      </c>
      <c r="B6086" s="1" t="n">
        <v>45589</v>
      </c>
      <c r="C6086" s="1" t="n">
        <v>45705</v>
      </c>
      <c r="D6086" t="inlineStr">
        <is>
          <t>UPPSALA LÄN</t>
        </is>
      </c>
      <c r="E6086" t="inlineStr">
        <is>
          <t>HEBY</t>
        </is>
      </c>
      <c r="G6086" t="n">
        <v>10.1</v>
      </c>
      <c r="H6086" t="n">
        <v>0</v>
      </c>
      <c r="I6086" t="n">
        <v>0</v>
      </c>
      <c r="J6086" t="n">
        <v>0</v>
      </c>
      <c r="K6086" t="n">
        <v>0</v>
      </c>
      <c r="L6086" t="n">
        <v>0</v>
      </c>
      <c r="M6086" t="n">
        <v>0</v>
      </c>
      <c r="N6086" t="n">
        <v>0</v>
      </c>
      <c r="O6086" t="n">
        <v>0</v>
      </c>
      <c r="P6086" t="n">
        <v>0</v>
      </c>
      <c r="Q6086" t="n">
        <v>0</v>
      </c>
      <c r="R6086" s="2" t="inlineStr"/>
    </row>
    <row r="6087" ht="15" customHeight="1">
      <c r="A6087" t="inlineStr">
        <is>
          <t>A 48083-2024</t>
        </is>
      </c>
      <c r="B6087" s="1" t="n">
        <v>45589</v>
      </c>
      <c r="C6087" s="1" t="n">
        <v>45705</v>
      </c>
      <c r="D6087" t="inlineStr">
        <is>
          <t>UPPSALA LÄN</t>
        </is>
      </c>
      <c r="E6087" t="inlineStr">
        <is>
          <t>ÖSTHAMMAR</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48060-2024</t>
        </is>
      </c>
      <c r="B6088" s="1" t="n">
        <v>45589</v>
      </c>
      <c r="C6088" s="1" t="n">
        <v>45705</v>
      </c>
      <c r="D6088" t="inlineStr">
        <is>
          <t>UPPSALA LÄN</t>
        </is>
      </c>
      <c r="E6088" t="inlineStr">
        <is>
          <t>ENKÖPING</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48073-2024</t>
        </is>
      </c>
      <c r="B6089" s="1" t="n">
        <v>45589</v>
      </c>
      <c r="C6089" s="1" t="n">
        <v>45705</v>
      </c>
      <c r="D6089" t="inlineStr">
        <is>
          <t>UPPSALA LÄN</t>
        </is>
      </c>
      <c r="E6089" t="inlineStr">
        <is>
          <t>UPPSALA</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47909-2024</t>
        </is>
      </c>
      <c r="B6090" s="1" t="n">
        <v>45589</v>
      </c>
      <c r="C6090" s="1" t="n">
        <v>45705</v>
      </c>
      <c r="D6090" t="inlineStr">
        <is>
          <t>UPPSALA LÄN</t>
        </is>
      </c>
      <c r="E6090" t="inlineStr">
        <is>
          <t>ENKÖPING</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48029-2024</t>
        </is>
      </c>
      <c r="B6091" s="1" t="n">
        <v>45589</v>
      </c>
      <c r="C6091" s="1" t="n">
        <v>45705</v>
      </c>
      <c r="D6091" t="inlineStr">
        <is>
          <t>UPPSALA LÄN</t>
        </is>
      </c>
      <c r="E6091" t="inlineStr">
        <is>
          <t>HEBY</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48152-2024</t>
        </is>
      </c>
      <c r="B6092" s="1" t="n">
        <v>45589</v>
      </c>
      <c r="C6092" s="1" t="n">
        <v>45705</v>
      </c>
      <c r="D6092" t="inlineStr">
        <is>
          <t>UPPSALA LÄN</t>
        </is>
      </c>
      <c r="E6092" t="inlineStr">
        <is>
          <t>TIERP</t>
        </is>
      </c>
      <c r="F6092" t="inlineStr">
        <is>
          <t>Bergvik skog öst AB</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48430-2024</t>
        </is>
      </c>
      <c r="B6093" s="1" t="n">
        <v>45590</v>
      </c>
      <c r="C6093" s="1" t="n">
        <v>45705</v>
      </c>
      <c r="D6093" t="inlineStr">
        <is>
          <t>UPPSALA LÄN</t>
        </is>
      </c>
      <c r="E6093" t="inlineStr">
        <is>
          <t>HEBY</t>
        </is>
      </c>
      <c r="F6093" t="inlineStr">
        <is>
          <t>Bergvik skog väst AB</t>
        </is>
      </c>
      <c r="G6093" t="n">
        <v>12.1</v>
      </c>
      <c r="H6093" t="n">
        <v>0</v>
      </c>
      <c r="I6093" t="n">
        <v>0</v>
      </c>
      <c r="J6093" t="n">
        <v>0</v>
      </c>
      <c r="K6093" t="n">
        <v>0</v>
      </c>
      <c r="L6093" t="n">
        <v>0</v>
      </c>
      <c r="M6093" t="n">
        <v>0</v>
      </c>
      <c r="N6093" t="n">
        <v>0</v>
      </c>
      <c r="O6093" t="n">
        <v>0</v>
      </c>
      <c r="P6093" t="n">
        <v>0</v>
      </c>
      <c r="Q6093" t="n">
        <v>0</v>
      </c>
      <c r="R6093" s="2" t="inlineStr"/>
    </row>
    <row r="6094" ht="15" customHeight="1">
      <c r="A6094" t="inlineStr">
        <is>
          <t>A 48450-2024</t>
        </is>
      </c>
      <c r="B6094" s="1" t="n">
        <v>45590</v>
      </c>
      <c r="C6094" s="1" t="n">
        <v>45705</v>
      </c>
      <c r="D6094" t="inlineStr">
        <is>
          <t>UPPSALA LÄN</t>
        </is>
      </c>
      <c r="E6094" t="inlineStr">
        <is>
          <t>ENKÖPING</t>
        </is>
      </c>
      <c r="F6094" t="inlineStr">
        <is>
          <t>Allmännings- och besparingsskogar</t>
        </is>
      </c>
      <c r="G6094" t="n">
        <v>7.8</v>
      </c>
      <c r="H6094" t="n">
        <v>0</v>
      </c>
      <c r="I6094" t="n">
        <v>0</v>
      </c>
      <c r="J6094" t="n">
        <v>0</v>
      </c>
      <c r="K6094" t="n">
        <v>0</v>
      </c>
      <c r="L6094" t="n">
        <v>0</v>
      </c>
      <c r="M6094" t="n">
        <v>0</v>
      </c>
      <c r="N6094" t="n">
        <v>0</v>
      </c>
      <c r="O6094" t="n">
        <v>0</v>
      </c>
      <c r="P6094" t="n">
        <v>0</v>
      </c>
      <c r="Q6094" t="n">
        <v>0</v>
      </c>
      <c r="R6094" s="2" t="inlineStr"/>
    </row>
    <row r="6095" ht="15" customHeight="1">
      <c r="A6095" t="inlineStr">
        <is>
          <t>A 48447-2024</t>
        </is>
      </c>
      <c r="B6095" s="1" t="n">
        <v>45590</v>
      </c>
      <c r="C6095" s="1" t="n">
        <v>45705</v>
      </c>
      <c r="D6095" t="inlineStr">
        <is>
          <t>UPPSALA LÄN</t>
        </is>
      </c>
      <c r="E6095" t="inlineStr">
        <is>
          <t>ENKÖPING</t>
        </is>
      </c>
      <c r="F6095" t="inlineStr">
        <is>
          <t>Allmännings- och besparingsskogar</t>
        </is>
      </c>
      <c r="G6095" t="n">
        <v>3.7</v>
      </c>
      <c r="H6095" t="n">
        <v>0</v>
      </c>
      <c r="I6095" t="n">
        <v>0</v>
      </c>
      <c r="J6095" t="n">
        <v>0</v>
      </c>
      <c r="K6095" t="n">
        <v>0</v>
      </c>
      <c r="L6095" t="n">
        <v>0</v>
      </c>
      <c r="M6095" t="n">
        <v>0</v>
      </c>
      <c r="N6095" t="n">
        <v>0</v>
      </c>
      <c r="O6095" t="n">
        <v>0</v>
      </c>
      <c r="P6095" t="n">
        <v>0</v>
      </c>
      <c r="Q6095" t="n">
        <v>0</v>
      </c>
      <c r="R6095" s="2" t="inlineStr"/>
    </row>
    <row r="6096" ht="15" customHeight="1">
      <c r="A6096" t="inlineStr">
        <is>
          <t>A 48566-2024</t>
        </is>
      </c>
      <c r="B6096" s="1" t="n">
        <v>45593</v>
      </c>
      <c r="C6096" s="1" t="n">
        <v>45705</v>
      </c>
      <c r="D6096" t="inlineStr">
        <is>
          <t>UPPSALA LÄN</t>
        </is>
      </c>
      <c r="E6096" t="inlineStr">
        <is>
          <t>TIERP</t>
        </is>
      </c>
      <c r="G6096" t="n">
        <v>7.7</v>
      </c>
      <c r="H6096" t="n">
        <v>0</v>
      </c>
      <c r="I6096" t="n">
        <v>0</v>
      </c>
      <c r="J6096" t="n">
        <v>0</v>
      </c>
      <c r="K6096" t="n">
        <v>0</v>
      </c>
      <c r="L6096" t="n">
        <v>0</v>
      </c>
      <c r="M6096" t="n">
        <v>0</v>
      </c>
      <c r="N6096" t="n">
        <v>0</v>
      </c>
      <c r="O6096" t="n">
        <v>0</v>
      </c>
      <c r="P6096" t="n">
        <v>0</v>
      </c>
      <c r="Q6096" t="n">
        <v>0</v>
      </c>
      <c r="R6096" s="2" t="inlineStr"/>
    </row>
    <row r="6097" ht="15" customHeight="1">
      <c r="A6097" t="inlineStr">
        <is>
          <t>A 48576-2024</t>
        </is>
      </c>
      <c r="B6097" s="1" t="n">
        <v>45593</v>
      </c>
      <c r="C6097" s="1" t="n">
        <v>45705</v>
      </c>
      <c r="D6097" t="inlineStr">
        <is>
          <t>UPPSALA LÄN</t>
        </is>
      </c>
      <c r="E6097" t="inlineStr">
        <is>
          <t>TIERP</t>
        </is>
      </c>
      <c r="F6097" t="inlineStr">
        <is>
          <t>Övriga Aktiebolag</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48759-2024</t>
        </is>
      </c>
      <c r="B6098" s="1" t="n">
        <v>45593</v>
      </c>
      <c r="C6098" s="1" t="n">
        <v>45705</v>
      </c>
      <c r="D6098" t="inlineStr">
        <is>
          <t>UPPSALA LÄN</t>
        </is>
      </c>
      <c r="E6098" t="inlineStr">
        <is>
          <t>ÖSTHAMMAR</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48856-2024</t>
        </is>
      </c>
      <c r="B6099" s="1" t="n">
        <v>45593</v>
      </c>
      <c r="C6099" s="1" t="n">
        <v>45705</v>
      </c>
      <c r="D6099" t="inlineStr">
        <is>
          <t>UPPSALA LÄN</t>
        </is>
      </c>
      <c r="E6099" t="inlineStr">
        <is>
          <t>ÖSTHAMMAR</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48862-2024</t>
        </is>
      </c>
      <c r="B6100" s="1" t="n">
        <v>45593</v>
      </c>
      <c r="C6100" s="1" t="n">
        <v>45705</v>
      </c>
      <c r="D6100" t="inlineStr">
        <is>
          <t>UPPSALA LÄN</t>
        </is>
      </c>
      <c r="E6100" t="inlineStr">
        <is>
          <t>TIERP</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49158-2024</t>
        </is>
      </c>
      <c r="B6101" s="1" t="n">
        <v>45594</v>
      </c>
      <c r="C6101" s="1" t="n">
        <v>45705</v>
      </c>
      <c r="D6101" t="inlineStr">
        <is>
          <t>UPPSALA LÄN</t>
        </is>
      </c>
      <c r="E6101" t="inlineStr">
        <is>
          <t>UPPSALA</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49166-2024</t>
        </is>
      </c>
      <c r="B6102" s="1" t="n">
        <v>45594</v>
      </c>
      <c r="C6102" s="1" t="n">
        <v>45705</v>
      </c>
      <c r="D6102" t="inlineStr">
        <is>
          <t>UPPSALA LÄN</t>
        </is>
      </c>
      <c r="E6102" t="inlineStr">
        <is>
          <t>HEBY</t>
        </is>
      </c>
      <c r="G6102" t="n">
        <v>6.4</v>
      </c>
      <c r="H6102" t="n">
        <v>0</v>
      </c>
      <c r="I6102" t="n">
        <v>0</v>
      </c>
      <c r="J6102" t="n">
        <v>0</v>
      </c>
      <c r="K6102" t="n">
        <v>0</v>
      </c>
      <c r="L6102" t="n">
        <v>0</v>
      </c>
      <c r="M6102" t="n">
        <v>0</v>
      </c>
      <c r="N6102" t="n">
        <v>0</v>
      </c>
      <c r="O6102" t="n">
        <v>0</v>
      </c>
      <c r="P6102" t="n">
        <v>0</v>
      </c>
      <c r="Q6102" t="n">
        <v>0</v>
      </c>
      <c r="R6102" s="2" t="inlineStr"/>
    </row>
    <row r="6103" ht="15" customHeight="1">
      <c r="A6103" t="inlineStr">
        <is>
          <t>A 49012-2024</t>
        </is>
      </c>
      <c r="B6103" s="1" t="n">
        <v>45594</v>
      </c>
      <c r="C6103" s="1" t="n">
        <v>45705</v>
      </c>
      <c r="D6103" t="inlineStr">
        <is>
          <t>UPPSALA LÄN</t>
        </is>
      </c>
      <c r="E6103" t="inlineStr">
        <is>
          <t>UPPSALA</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49050-2024</t>
        </is>
      </c>
      <c r="B6104" s="1" t="n">
        <v>45594</v>
      </c>
      <c r="C6104" s="1" t="n">
        <v>45705</v>
      </c>
      <c r="D6104" t="inlineStr">
        <is>
          <t>UPPSALA LÄN</t>
        </is>
      </c>
      <c r="E6104" t="inlineStr">
        <is>
          <t>UPPSALA</t>
        </is>
      </c>
      <c r="F6104" t="inlineStr">
        <is>
          <t>Övriga statliga verk och myndigheter</t>
        </is>
      </c>
      <c r="G6104" t="n">
        <v>3.9</v>
      </c>
      <c r="H6104" t="n">
        <v>0</v>
      </c>
      <c r="I6104" t="n">
        <v>0</v>
      </c>
      <c r="J6104" t="n">
        <v>0</v>
      </c>
      <c r="K6104" t="n">
        <v>0</v>
      </c>
      <c r="L6104" t="n">
        <v>0</v>
      </c>
      <c r="M6104" t="n">
        <v>0</v>
      </c>
      <c r="N6104" t="n">
        <v>0</v>
      </c>
      <c r="O6104" t="n">
        <v>0</v>
      </c>
      <c r="P6104" t="n">
        <v>0</v>
      </c>
      <c r="Q6104" t="n">
        <v>0</v>
      </c>
      <c r="R6104" s="2" t="inlineStr"/>
    </row>
    <row r="6105" ht="15" customHeight="1">
      <c r="A6105" t="inlineStr">
        <is>
          <t>A 49063-2024</t>
        </is>
      </c>
      <c r="B6105" s="1" t="n">
        <v>45594</v>
      </c>
      <c r="C6105" s="1" t="n">
        <v>45705</v>
      </c>
      <c r="D6105" t="inlineStr">
        <is>
          <t>UPPSALA LÄN</t>
        </is>
      </c>
      <c r="E6105" t="inlineStr">
        <is>
          <t>ENKÖPING</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49111-2024</t>
        </is>
      </c>
      <c r="B6106" s="1" t="n">
        <v>45594</v>
      </c>
      <c r="C6106" s="1" t="n">
        <v>45705</v>
      </c>
      <c r="D6106" t="inlineStr">
        <is>
          <t>UPPSALA LÄN</t>
        </is>
      </c>
      <c r="E6106" t="inlineStr">
        <is>
          <t>TIERP</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49231-2024</t>
        </is>
      </c>
      <c r="B6107" s="1" t="n">
        <v>45595</v>
      </c>
      <c r="C6107" s="1" t="n">
        <v>45705</v>
      </c>
      <c r="D6107" t="inlineStr">
        <is>
          <t>UPPSALA LÄN</t>
        </is>
      </c>
      <c r="E6107" t="inlineStr">
        <is>
          <t>TIERP</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49355-2024</t>
        </is>
      </c>
      <c r="B6108" s="1" t="n">
        <v>45595</v>
      </c>
      <c r="C6108" s="1" t="n">
        <v>45705</v>
      </c>
      <c r="D6108" t="inlineStr">
        <is>
          <t>UPPSALA LÄN</t>
        </is>
      </c>
      <c r="E6108" t="inlineStr">
        <is>
          <t>TIERP</t>
        </is>
      </c>
      <c r="F6108" t="inlineStr">
        <is>
          <t>Bergvik skog öst AB</t>
        </is>
      </c>
      <c r="G6108" t="n">
        <v>3.6</v>
      </c>
      <c r="H6108" t="n">
        <v>0</v>
      </c>
      <c r="I6108" t="n">
        <v>0</v>
      </c>
      <c r="J6108" t="n">
        <v>0</v>
      </c>
      <c r="K6108" t="n">
        <v>0</v>
      </c>
      <c r="L6108" t="n">
        <v>0</v>
      </c>
      <c r="M6108" t="n">
        <v>0</v>
      </c>
      <c r="N6108" t="n">
        <v>0</v>
      </c>
      <c r="O6108" t="n">
        <v>0</v>
      </c>
      <c r="P6108" t="n">
        <v>0</v>
      </c>
      <c r="Q6108" t="n">
        <v>0</v>
      </c>
      <c r="R6108" s="2" t="inlineStr"/>
    </row>
    <row r="6109" ht="15" customHeight="1">
      <c r="A6109" t="inlineStr">
        <is>
          <t>A 49340-2024</t>
        </is>
      </c>
      <c r="B6109" s="1" t="n">
        <v>45595</v>
      </c>
      <c r="C6109" s="1" t="n">
        <v>45705</v>
      </c>
      <c r="D6109" t="inlineStr">
        <is>
          <t>UPPSALA LÄN</t>
        </is>
      </c>
      <c r="E6109" t="inlineStr">
        <is>
          <t>ENKÖPING</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49445-2024</t>
        </is>
      </c>
      <c r="B6110" s="1" t="n">
        <v>45595</v>
      </c>
      <c r="C6110" s="1" t="n">
        <v>45705</v>
      </c>
      <c r="D6110" t="inlineStr">
        <is>
          <t>UPPSALA LÄN</t>
        </is>
      </c>
      <c r="E6110" t="inlineStr">
        <is>
          <t>HEBY</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49180-2024</t>
        </is>
      </c>
      <c r="B6111" s="1" t="n">
        <v>45595</v>
      </c>
      <c r="C6111" s="1" t="n">
        <v>45705</v>
      </c>
      <c r="D6111" t="inlineStr">
        <is>
          <t>UPPSALA LÄN</t>
        </is>
      </c>
      <c r="E6111" t="inlineStr">
        <is>
          <t>UPPSALA</t>
        </is>
      </c>
      <c r="G6111" t="n">
        <v>6</v>
      </c>
      <c r="H6111" t="n">
        <v>0</v>
      </c>
      <c r="I6111" t="n">
        <v>0</v>
      </c>
      <c r="J6111" t="n">
        <v>0</v>
      </c>
      <c r="K6111" t="n">
        <v>0</v>
      </c>
      <c r="L6111" t="n">
        <v>0</v>
      </c>
      <c r="M6111" t="n">
        <v>0</v>
      </c>
      <c r="N6111" t="n">
        <v>0</v>
      </c>
      <c r="O6111" t="n">
        <v>0</v>
      </c>
      <c r="P6111" t="n">
        <v>0</v>
      </c>
      <c r="Q6111" t="n">
        <v>0</v>
      </c>
      <c r="R6111" s="2" t="inlineStr"/>
    </row>
    <row r="6112" ht="15" customHeight="1">
      <c r="A6112" t="inlineStr">
        <is>
          <t>A 49662-2024</t>
        </is>
      </c>
      <c r="B6112" s="1" t="n">
        <v>45596</v>
      </c>
      <c r="C6112" s="1" t="n">
        <v>45705</v>
      </c>
      <c r="D6112" t="inlineStr">
        <is>
          <t>UPPSALA LÄN</t>
        </is>
      </c>
      <c r="E6112" t="inlineStr">
        <is>
          <t>KNIVSTA</t>
        </is>
      </c>
      <c r="G6112" t="n">
        <v>7.7</v>
      </c>
      <c r="H6112" t="n">
        <v>0</v>
      </c>
      <c r="I6112" t="n">
        <v>0</v>
      </c>
      <c r="J6112" t="n">
        <v>0</v>
      </c>
      <c r="K6112" t="n">
        <v>0</v>
      </c>
      <c r="L6112" t="n">
        <v>0</v>
      </c>
      <c r="M6112" t="n">
        <v>0</v>
      </c>
      <c r="N6112" t="n">
        <v>0</v>
      </c>
      <c r="O6112" t="n">
        <v>0</v>
      </c>
      <c r="P6112" t="n">
        <v>0</v>
      </c>
      <c r="Q6112" t="n">
        <v>0</v>
      </c>
      <c r="R6112" s="2" t="inlineStr"/>
    </row>
    <row r="6113" ht="15" customHeight="1">
      <c r="A6113" t="inlineStr">
        <is>
          <t>A 49586-2024</t>
        </is>
      </c>
      <c r="B6113" s="1" t="n">
        <v>45596</v>
      </c>
      <c r="C6113" s="1" t="n">
        <v>45705</v>
      </c>
      <c r="D6113" t="inlineStr">
        <is>
          <t>UPPSALA LÄN</t>
        </is>
      </c>
      <c r="E6113" t="inlineStr">
        <is>
          <t>TIERP</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49601-2024</t>
        </is>
      </c>
      <c r="B6114" s="1" t="n">
        <v>45596</v>
      </c>
      <c r="C6114" s="1" t="n">
        <v>45705</v>
      </c>
      <c r="D6114" t="inlineStr">
        <is>
          <t>UPPSALA LÄN</t>
        </is>
      </c>
      <c r="E6114" t="inlineStr">
        <is>
          <t>ENKÖPING</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49614-2024</t>
        </is>
      </c>
      <c r="B6115" s="1" t="n">
        <v>45596</v>
      </c>
      <c r="C6115" s="1" t="n">
        <v>45705</v>
      </c>
      <c r="D6115" t="inlineStr">
        <is>
          <t>UPPSALA LÄN</t>
        </is>
      </c>
      <c r="E6115" t="inlineStr">
        <is>
          <t>ENKÖPING</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49623-2024</t>
        </is>
      </c>
      <c r="B6116" s="1" t="n">
        <v>45596</v>
      </c>
      <c r="C6116" s="1" t="n">
        <v>45705</v>
      </c>
      <c r="D6116" t="inlineStr">
        <is>
          <t>UPPSALA LÄN</t>
        </is>
      </c>
      <c r="E6116" t="inlineStr">
        <is>
          <t>ENKÖPING</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49627-2024</t>
        </is>
      </c>
      <c r="B6117" s="1" t="n">
        <v>45596</v>
      </c>
      <c r="C6117" s="1" t="n">
        <v>45705</v>
      </c>
      <c r="D6117" t="inlineStr">
        <is>
          <t>UPPSALA LÄN</t>
        </is>
      </c>
      <c r="E6117" t="inlineStr">
        <is>
          <t>ENKÖPING</t>
        </is>
      </c>
      <c r="G6117" t="n">
        <v>0.4</v>
      </c>
      <c r="H6117" t="n">
        <v>0</v>
      </c>
      <c r="I6117" t="n">
        <v>0</v>
      </c>
      <c r="J6117" t="n">
        <v>0</v>
      </c>
      <c r="K6117" t="n">
        <v>0</v>
      </c>
      <c r="L6117" t="n">
        <v>0</v>
      </c>
      <c r="M6117" t="n">
        <v>0</v>
      </c>
      <c r="N6117" t="n">
        <v>0</v>
      </c>
      <c r="O6117" t="n">
        <v>0</v>
      </c>
      <c r="P6117" t="n">
        <v>0</v>
      </c>
      <c r="Q6117" t="n">
        <v>0</v>
      </c>
      <c r="R6117" s="2" t="inlineStr"/>
    </row>
    <row r="6118" ht="15" customHeight="1">
      <c r="A6118" t="inlineStr">
        <is>
          <t>A 49628-2024</t>
        </is>
      </c>
      <c r="B6118" s="1" t="n">
        <v>45596</v>
      </c>
      <c r="C6118" s="1" t="n">
        <v>45705</v>
      </c>
      <c r="D6118" t="inlineStr">
        <is>
          <t>UPPSALA LÄN</t>
        </is>
      </c>
      <c r="E6118" t="inlineStr">
        <is>
          <t>ÄLVKARLEBY</t>
        </is>
      </c>
      <c r="F6118" t="inlineStr">
        <is>
          <t>Bergvik skog väst AB</t>
        </is>
      </c>
      <c r="G6118" t="n">
        <v>18.2</v>
      </c>
      <c r="H6118" t="n">
        <v>0</v>
      </c>
      <c r="I6118" t="n">
        <v>0</v>
      </c>
      <c r="J6118" t="n">
        <v>0</v>
      </c>
      <c r="K6118" t="n">
        <v>0</v>
      </c>
      <c r="L6118" t="n">
        <v>0</v>
      </c>
      <c r="M6118" t="n">
        <v>0</v>
      </c>
      <c r="N6118" t="n">
        <v>0</v>
      </c>
      <c r="O6118" t="n">
        <v>0</v>
      </c>
      <c r="P6118" t="n">
        <v>0</v>
      </c>
      <c r="Q6118" t="n">
        <v>0</v>
      </c>
      <c r="R6118" s="2" t="inlineStr"/>
    </row>
    <row r="6119" ht="15" customHeight="1">
      <c r="A6119" t="inlineStr">
        <is>
          <t>A 49632-2024</t>
        </is>
      </c>
      <c r="B6119" s="1" t="n">
        <v>45596</v>
      </c>
      <c r="C6119" s="1" t="n">
        <v>45705</v>
      </c>
      <c r="D6119" t="inlineStr">
        <is>
          <t>UPPSALA LÄN</t>
        </is>
      </c>
      <c r="E6119" t="inlineStr">
        <is>
          <t>ENKÖPING</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49536-2024</t>
        </is>
      </c>
      <c r="B6120" s="1" t="n">
        <v>45596</v>
      </c>
      <c r="C6120" s="1" t="n">
        <v>45705</v>
      </c>
      <c r="D6120" t="inlineStr">
        <is>
          <t>UPPSALA LÄN</t>
        </is>
      </c>
      <c r="E6120" t="inlineStr">
        <is>
          <t>HEBY</t>
        </is>
      </c>
      <c r="G6120" t="n">
        <v>5.3</v>
      </c>
      <c r="H6120" t="n">
        <v>0</v>
      </c>
      <c r="I6120" t="n">
        <v>0</v>
      </c>
      <c r="J6120" t="n">
        <v>0</v>
      </c>
      <c r="K6120" t="n">
        <v>0</v>
      </c>
      <c r="L6120" t="n">
        <v>0</v>
      </c>
      <c r="M6120" t="n">
        <v>0</v>
      </c>
      <c r="N6120" t="n">
        <v>0</v>
      </c>
      <c r="O6120" t="n">
        <v>0</v>
      </c>
      <c r="P6120" t="n">
        <v>0</v>
      </c>
      <c r="Q6120" t="n">
        <v>0</v>
      </c>
      <c r="R6120" s="2" t="inlineStr"/>
    </row>
    <row r="6121" ht="15" customHeight="1">
      <c r="A6121" t="inlineStr">
        <is>
          <t>A 49597-2024</t>
        </is>
      </c>
      <c r="B6121" s="1" t="n">
        <v>45596</v>
      </c>
      <c r="C6121" s="1" t="n">
        <v>45705</v>
      </c>
      <c r="D6121" t="inlineStr">
        <is>
          <t>UPPSALA LÄN</t>
        </is>
      </c>
      <c r="E6121" t="inlineStr">
        <is>
          <t>ENKÖPING</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49613-2024</t>
        </is>
      </c>
      <c r="B6122" s="1" t="n">
        <v>45596</v>
      </c>
      <c r="C6122" s="1" t="n">
        <v>45705</v>
      </c>
      <c r="D6122" t="inlineStr">
        <is>
          <t>UPPSALA LÄN</t>
        </is>
      </c>
      <c r="E6122" t="inlineStr">
        <is>
          <t>ENKÖPING</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49622-2024</t>
        </is>
      </c>
      <c r="B6123" s="1" t="n">
        <v>45596</v>
      </c>
      <c r="C6123" s="1" t="n">
        <v>45705</v>
      </c>
      <c r="D6123" t="inlineStr">
        <is>
          <t>UPPSALA LÄN</t>
        </is>
      </c>
      <c r="E6123" t="inlineStr">
        <is>
          <t>ENKÖPING</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49580-2024</t>
        </is>
      </c>
      <c r="B6124" s="1" t="n">
        <v>45596</v>
      </c>
      <c r="C6124" s="1" t="n">
        <v>45705</v>
      </c>
      <c r="D6124" t="inlineStr">
        <is>
          <t>UPPSALA LÄN</t>
        </is>
      </c>
      <c r="E6124" t="inlineStr">
        <is>
          <t>TIERP</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49617-2024</t>
        </is>
      </c>
      <c r="B6125" s="1" t="n">
        <v>45596</v>
      </c>
      <c r="C6125" s="1" t="n">
        <v>45705</v>
      </c>
      <c r="D6125" t="inlineStr">
        <is>
          <t>UPPSALA LÄN</t>
        </is>
      </c>
      <c r="E6125" t="inlineStr">
        <is>
          <t>ENKÖPING</t>
        </is>
      </c>
      <c r="G6125" t="n">
        <v>3.5</v>
      </c>
      <c r="H6125" t="n">
        <v>0</v>
      </c>
      <c r="I6125" t="n">
        <v>0</v>
      </c>
      <c r="J6125" t="n">
        <v>0</v>
      </c>
      <c r="K6125" t="n">
        <v>0</v>
      </c>
      <c r="L6125" t="n">
        <v>0</v>
      </c>
      <c r="M6125" t="n">
        <v>0</v>
      </c>
      <c r="N6125" t="n">
        <v>0</v>
      </c>
      <c r="O6125" t="n">
        <v>0</v>
      </c>
      <c r="P6125" t="n">
        <v>0</v>
      </c>
      <c r="Q6125" t="n">
        <v>0</v>
      </c>
      <c r="R6125" s="2" t="inlineStr"/>
    </row>
    <row r="6126" ht="15" customHeight="1">
      <c r="A6126" t="inlineStr">
        <is>
          <t>A 49621-2024</t>
        </is>
      </c>
      <c r="B6126" s="1" t="n">
        <v>45596</v>
      </c>
      <c r="C6126" s="1" t="n">
        <v>45705</v>
      </c>
      <c r="D6126" t="inlineStr">
        <is>
          <t>UPPSALA LÄN</t>
        </is>
      </c>
      <c r="E6126" t="inlineStr">
        <is>
          <t>HEBY</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49625-2024</t>
        </is>
      </c>
      <c r="B6127" s="1" t="n">
        <v>45596</v>
      </c>
      <c r="C6127" s="1" t="n">
        <v>45705</v>
      </c>
      <c r="D6127" t="inlineStr">
        <is>
          <t>UPPSALA LÄN</t>
        </is>
      </c>
      <c r="E6127" t="inlineStr">
        <is>
          <t>ENKÖPING</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49637-2024</t>
        </is>
      </c>
      <c r="B6128" s="1" t="n">
        <v>45596</v>
      </c>
      <c r="C6128" s="1" t="n">
        <v>45705</v>
      </c>
      <c r="D6128" t="inlineStr">
        <is>
          <t>UPPSALA LÄN</t>
        </is>
      </c>
      <c r="E6128" t="inlineStr">
        <is>
          <t>ENKÖPING</t>
        </is>
      </c>
      <c r="G6128" t="n">
        <v>4.9</v>
      </c>
      <c r="H6128" t="n">
        <v>0</v>
      </c>
      <c r="I6128" t="n">
        <v>0</v>
      </c>
      <c r="J6128" t="n">
        <v>0</v>
      </c>
      <c r="K6128" t="n">
        <v>0</v>
      </c>
      <c r="L6128" t="n">
        <v>0</v>
      </c>
      <c r="M6128" t="n">
        <v>0</v>
      </c>
      <c r="N6128" t="n">
        <v>0</v>
      </c>
      <c r="O6128" t="n">
        <v>0</v>
      </c>
      <c r="P6128" t="n">
        <v>0</v>
      </c>
      <c r="Q6128" t="n">
        <v>0</v>
      </c>
      <c r="R6128" s="2" t="inlineStr"/>
    </row>
    <row r="6129" ht="15" customHeight="1">
      <c r="A6129" t="inlineStr">
        <is>
          <t>A 49792-2024</t>
        </is>
      </c>
      <c r="B6129" s="1" t="n">
        <v>45597</v>
      </c>
      <c r="C6129" s="1" t="n">
        <v>45705</v>
      </c>
      <c r="D6129" t="inlineStr">
        <is>
          <t>UPPSALA LÄN</t>
        </is>
      </c>
      <c r="E6129" t="inlineStr">
        <is>
          <t>TIERP</t>
        </is>
      </c>
      <c r="F6129" t="inlineStr">
        <is>
          <t>Bergvik skog öst AB</t>
        </is>
      </c>
      <c r="G6129" t="n">
        <v>6.4</v>
      </c>
      <c r="H6129" t="n">
        <v>0</v>
      </c>
      <c r="I6129" t="n">
        <v>0</v>
      </c>
      <c r="J6129" t="n">
        <v>0</v>
      </c>
      <c r="K6129" t="n">
        <v>0</v>
      </c>
      <c r="L6129" t="n">
        <v>0</v>
      </c>
      <c r="M6129" t="n">
        <v>0</v>
      </c>
      <c r="N6129" t="n">
        <v>0</v>
      </c>
      <c r="O6129" t="n">
        <v>0</v>
      </c>
      <c r="P6129" t="n">
        <v>0</v>
      </c>
      <c r="Q6129" t="n">
        <v>0</v>
      </c>
      <c r="R6129" s="2" t="inlineStr"/>
    </row>
    <row r="6130" ht="15" customHeight="1">
      <c r="A6130" t="inlineStr">
        <is>
          <t>A 49796-2024</t>
        </is>
      </c>
      <c r="B6130" s="1" t="n">
        <v>45597</v>
      </c>
      <c r="C6130" s="1" t="n">
        <v>45705</v>
      </c>
      <c r="D6130" t="inlineStr">
        <is>
          <t>UPPSALA LÄN</t>
        </is>
      </c>
      <c r="E6130" t="inlineStr">
        <is>
          <t>ÖSTHAMMAR</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50163-2024</t>
        </is>
      </c>
      <c r="B6131" s="1" t="n">
        <v>45599</v>
      </c>
      <c r="C6131" s="1" t="n">
        <v>45705</v>
      </c>
      <c r="D6131" t="inlineStr">
        <is>
          <t>UPPSALA LÄN</t>
        </is>
      </c>
      <c r="E6131" t="inlineStr">
        <is>
          <t>HEBY</t>
        </is>
      </c>
      <c r="F6131" t="inlineStr">
        <is>
          <t>Bergvik skog väst AB</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50037-2024</t>
        </is>
      </c>
      <c r="B6132" s="1" t="n">
        <v>45599</v>
      </c>
      <c r="C6132" s="1" t="n">
        <v>45705</v>
      </c>
      <c r="D6132" t="inlineStr">
        <is>
          <t>UPPSALA LÄN</t>
        </is>
      </c>
      <c r="E6132" t="inlineStr">
        <is>
          <t>UPPSALA</t>
        </is>
      </c>
      <c r="G6132" t="n">
        <v>13.7</v>
      </c>
      <c r="H6132" t="n">
        <v>0</v>
      </c>
      <c r="I6132" t="n">
        <v>0</v>
      </c>
      <c r="J6132" t="n">
        <v>0</v>
      </c>
      <c r="K6132" t="n">
        <v>0</v>
      </c>
      <c r="L6132" t="n">
        <v>0</v>
      </c>
      <c r="M6132" t="n">
        <v>0</v>
      </c>
      <c r="N6132" t="n">
        <v>0</v>
      </c>
      <c r="O6132" t="n">
        <v>0</v>
      </c>
      <c r="P6132" t="n">
        <v>0</v>
      </c>
      <c r="Q6132" t="n">
        <v>0</v>
      </c>
      <c r="R6132" s="2" t="inlineStr"/>
    </row>
    <row r="6133" ht="15" customHeight="1">
      <c r="A6133" t="inlineStr">
        <is>
          <t>A 50172-2024</t>
        </is>
      </c>
      <c r="B6133" s="1" t="n">
        <v>45599</v>
      </c>
      <c r="C6133" s="1" t="n">
        <v>45705</v>
      </c>
      <c r="D6133" t="inlineStr">
        <is>
          <t>UPPSALA LÄN</t>
        </is>
      </c>
      <c r="E6133" t="inlineStr">
        <is>
          <t>HEBY</t>
        </is>
      </c>
      <c r="F6133" t="inlineStr">
        <is>
          <t>Bergvik skog väst AB</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50394-2024</t>
        </is>
      </c>
      <c r="B6134" s="1" t="n">
        <v>45600</v>
      </c>
      <c r="C6134" s="1" t="n">
        <v>45705</v>
      </c>
      <c r="D6134" t="inlineStr">
        <is>
          <t>UPPSALA LÄN</t>
        </is>
      </c>
      <c r="E6134" t="inlineStr">
        <is>
          <t>ENKÖPING</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50248-2024</t>
        </is>
      </c>
      <c r="B6135" s="1" t="n">
        <v>45600</v>
      </c>
      <c r="C6135" s="1" t="n">
        <v>45705</v>
      </c>
      <c r="D6135" t="inlineStr">
        <is>
          <t>UPPSALA LÄN</t>
        </is>
      </c>
      <c r="E6135" t="inlineStr">
        <is>
          <t>ENKÖPING</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50227-2024</t>
        </is>
      </c>
      <c r="B6136" s="1" t="n">
        <v>45600</v>
      </c>
      <c r="C6136" s="1" t="n">
        <v>45705</v>
      </c>
      <c r="D6136" t="inlineStr">
        <is>
          <t>UPPSALA LÄN</t>
        </is>
      </c>
      <c r="E6136" t="inlineStr">
        <is>
          <t>TIERP</t>
        </is>
      </c>
      <c r="G6136" t="n">
        <v>4.5</v>
      </c>
      <c r="H6136" t="n">
        <v>0</v>
      </c>
      <c r="I6136" t="n">
        <v>0</v>
      </c>
      <c r="J6136" t="n">
        <v>0</v>
      </c>
      <c r="K6136" t="n">
        <v>0</v>
      </c>
      <c r="L6136" t="n">
        <v>0</v>
      </c>
      <c r="M6136" t="n">
        <v>0</v>
      </c>
      <c r="N6136" t="n">
        <v>0</v>
      </c>
      <c r="O6136" t="n">
        <v>0</v>
      </c>
      <c r="P6136" t="n">
        <v>0</v>
      </c>
      <c r="Q6136" t="n">
        <v>0</v>
      </c>
      <c r="R6136" s="2" t="inlineStr"/>
    </row>
    <row r="6137" ht="15" customHeight="1">
      <c r="A6137" t="inlineStr">
        <is>
          <t>A 50247-2024</t>
        </is>
      </c>
      <c r="B6137" s="1" t="n">
        <v>45600</v>
      </c>
      <c r="C6137" s="1" t="n">
        <v>45705</v>
      </c>
      <c r="D6137" t="inlineStr">
        <is>
          <t>UPPSALA LÄN</t>
        </is>
      </c>
      <c r="E6137" t="inlineStr">
        <is>
          <t>ENKÖPING</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50535-2024</t>
        </is>
      </c>
      <c r="B6138" s="1" t="n">
        <v>45600</v>
      </c>
      <c r="C6138" s="1" t="n">
        <v>45705</v>
      </c>
      <c r="D6138" t="inlineStr">
        <is>
          <t>UPPSALA LÄN</t>
        </is>
      </c>
      <c r="E6138" t="inlineStr">
        <is>
          <t>UPPSALA</t>
        </is>
      </c>
      <c r="F6138" t="inlineStr">
        <is>
          <t>Övriga statliga verk och myndigheter</t>
        </is>
      </c>
      <c r="G6138" t="n">
        <v>3.2</v>
      </c>
      <c r="H6138" t="n">
        <v>0</v>
      </c>
      <c r="I6138" t="n">
        <v>0</v>
      </c>
      <c r="J6138" t="n">
        <v>0</v>
      </c>
      <c r="K6138" t="n">
        <v>0</v>
      </c>
      <c r="L6138" t="n">
        <v>0</v>
      </c>
      <c r="M6138" t="n">
        <v>0</v>
      </c>
      <c r="N6138" t="n">
        <v>0</v>
      </c>
      <c r="O6138" t="n">
        <v>0</v>
      </c>
      <c r="P6138" t="n">
        <v>0</v>
      </c>
      <c r="Q6138" t="n">
        <v>0</v>
      </c>
      <c r="R6138" s="2" t="inlineStr"/>
    </row>
    <row r="6139" ht="15" customHeight="1">
      <c r="A6139" t="inlineStr">
        <is>
          <t>A 50196-2024</t>
        </is>
      </c>
      <c r="B6139" s="1" t="n">
        <v>45600</v>
      </c>
      <c r="C6139" s="1" t="n">
        <v>45705</v>
      </c>
      <c r="D6139" t="inlineStr">
        <is>
          <t>UPPSALA LÄN</t>
        </is>
      </c>
      <c r="E6139" t="inlineStr">
        <is>
          <t>UPPSALA</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50463-2024</t>
        </is>
      </c>
      <c r="B6140" s="1" t="n">
        <v>45601</v>
      </c>
      <c r="C6140" s="1" t="n">
        <v>45705</v>
      </c>
      <c r="D6140" t="inlineStr">
        <is>
          <t>UPPSALA LÄN</t>
        </is>
      </c>
      <c r="E6140" t="inlineStr">
        <is>
          <t>UPPSALA</t>
        </is>
      </c>
      <c r="F6140" t="inlineStr">
        <is>
          <t>Allmännings- och besparingsskogar</t>
        </is>
      </c>
      <c r="G6140" t="n">
        <v>12.6</v>
      </c>
      <c r="H6140" t="n">
        <v>0</v>
      </c>
      <c r="I6140" t="n">
        <v>0</v>
      </c>
      <c r="J6140" t="n">
        <v>0</v>
      </c>
      <c r="K6140" t="n">
        <v>0</v>
      </c>
      <c r="L6140" t="n">
        <v>0</v>
      </c>
      <c r="M6140" t="n">
        <v>0</v>
      </c>
      <c r="N6140" t="n">
        <v>0</v>
      </c>
      <c r="O6140" t="n">
        <v>0</v>
      </c>
      <c r="P6140" t="n">
        <v>0</v>
      </c>
      <c r="Q6140" t="n">
        <v>0</v>
      </c>
      <c r="R6140" s="2" t="inlineStr"/>
    </row>
    <row r="6141" ht="15" customHeight="1">
      <c r="A6141" t="inlineStr">
        <is>
          <t>A 50669-2024</t>
        </is>
      </c>
      <c r="B6141" s="1" t="n">
        <v>45601</v>
      </c>
      <c r="C6141" s="1" t="n">
        <v>45705</v>
      </c>
      <c r="D6141" t="inlineStr">
        <is>
          <t>UPPSALA LÄN</t>
        </is>
      </c>
      <c r="E6141" t="inlineStr">
        <is>
          <t>UPPSALA</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50459-2024</t>
        </is>
      </c>
      <c r="B6142" s="1" t="n">
        <v>45601</v>
      </c>
      <c r="C6142" s="1" t="n">
        <v>45705</v>
      </c>
      <c r="D6142" t="inlineStr">
        <is>
          <t>UPPSALA LÄN</t>
        </is>
      </c>
      <c r="E6142" t="inlineStr">
        <is>
          <t>ÖSTHAMMAR</t>
        </is>
      </c>
      <c r="F6142" t="inlineStr">
        <is>
          <t>Övriga Aktiebolag</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50506-2024</t>
        </is>
      </c>
      <c r="B6143" s="1" t="n">
        <v>45601</v>
      </c>
      <c r="C6143" s="1" t="n">
        <v>45705</v>
      </c>
      <c r="D6143" t="inlineStr">
        <is>
          <t>UPPSALA LÄN</t>
        </is>
      </c>
      <c r="E6143" t="inlineStr">
        <is>
          <t>TIERP</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50686-2024</t>
        </is>
      </c>
      <c r="B6144" s="1" t="n">
        <v>45602</v>
      </c>
      <c r="C6144" s="1" t="n">
        <v>45705</v>
      </c>
      <c r="D6144" t="inlineStr">
        <is>
          <t>UPPSALA LÄN</t>
        </is>
      </c>
      <c r="E6144" t="inlineStr">
        <is>
          <t>TIERP</t>
        </is>
      </c>
      <c r="F6144" t="inlineStr">
        <is>
          <t>Övriga Aktiebolag</t>
        </is>
      </c>
      <c r="G6144" t="n">
        <v>9.6</v>
      </c>
      <c r="H6144" t="n">
        <v>0</v>
      </c>
      <c r="I6144" t="n">
        <v>0</v>
      </c>
      <c r="J6144" t="n">
        <v>0</v>
      </c>
      <c r="K6144" t="n">
        <v>0</v>
      </c>
      <c r="L6144" t="n">
        <v>0</v>
      </c>
      <c r="M6144" t="n">
        <v>0</v>
      </c>
      <c r="N6144" t="n">
        <v>0</v>
      </c>
      <c r="O6144" t="n">
        <v>0</v>
      </c>
      <c r="P6144" t="n">
        <v>0</v>
      </c>
      <c r="Q6144" t="n">
        <v>0</v>
      </c>
      <c r="R6144" s="2" t="inlineStr"/>
    </row>
    <row r="6145" ht="15" customHeight="1">
      <c r="A6145" t="inlineStr">
        <is>
          <t>A 50792-2024</t>
        </is>
      </c>
      <c r="B6145" s="1" t="n">
        <v>45602</v>
      </c>
      <c r="C6145" s="1" t="n">
        <v>45705</v>
      </c>
      <c r="D6145" t="inlineStr">
        <is>
          <t>UPPSALA LÄN</t>
        </is>
      </c>
      <c r="E6145" t="inlineStr">
        <is>
          <t>TIERP</t>
        </is>
      </c>
      <c r="F6145" t="inlineStr">
        <is>
          <t>Bergvik skog öst AB</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50849-2024</t>
        </is>
      </c>
      <c r="B6146" s="1" t="n">
        <v>45602</v>
      </c>
      <c r="C6146" s="1" t="n">
        <v>45705</v>
      </c>
      <c r="D6146" t="inlineStr">
        <is>
          <t>UPPSALA LÄN</t>
        </is>
      </c>
      <c r="E6146" t="inlineStr">
        <is>
          <t>ÖSTHAMMAR</t>
        </is>
      </c>
      <c r="F6146" t="inlineStr">
        <is>
          <t>Övriga Aktiebolag</t>
        </is>
      </c>
      <c r="G6146" t="n">
        <v>9.5</v>
      </c>
      <c r="H6146" t="n">
        <v>0</v>
      </c>
      <c r="I6146" t="n">
        <v>0</v>
      </c>
      <c r="J6146" t="n">
        <v>0</v>
      </c>
      <c r="K6146" t="n">
        <v>0</v>
      </c>
      <c r="L6146" t="n">
        <v>0</v>
      </c>
      <c r="M6146" t="n">
        <v>0</v>
      </c>
      <c r="N6146" t="n">
        <v>0</v>
      </c>
      <c r="O6146" t="n">
        <v>0</v>
      </c>
      <c r="P6146" t="n">
        <v>0</v>
      </c>
      <c r="Q6146" t="n">
        <v>0</v>
      </c>
      <c r="R6146" s="2" t="inlineStr"/>
    </row>
    <row r="6147" ht="15" customHeight="1">
      <c r="A6147" t="inlineStr">
        <is>
          <t>A 50875-2024</t>
        </is>
      </c>
      <c r="B6147" s="1" t="n">
        <v>45602</v>
      </c>
      <c r="C6147" s="1" t="n">
        <v>45705</v>
      </c>
      <c r="D6147" t="inlineStr">
        <is>
          <t>UPPSALA LÄN</t>
        </is>
      </c>
      <c r="E6147" t="inlineStr">
        <is>
          <t>ÖSTHAMMAR</t>
        </is>
      </c>
      <c r="F6147" t="inlineStr">
        <is>
          <t>Övriga Aktiebolag</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50927-2024</t>
        </is>
      </c>
      <c r="B6148" s="1" t="n">
        <v>45602</v>
      </c>
      <c r="C6148" s="1" t="n">
        <v>45705</v>
      </c>
      <c r="D6148" t="inlineStr">
        <is>
          <t>UPPSALA LÄN</t>
        </is>
      </c>
      <c r="E6148" t="inlineStr">
        <is>
          <t>ÖSTHAMMAR</t>
        </is>
      </c>
      <c r="F6148" t="inlineStr">
        <is>
          <t>Bergvik skog öst AB</t>
        </is>
      </c>
      <c r="G6148" t="n">
        <v>45.4</v>
      </c>
      <c r="H6148" t="n">
        <v>0</v>
      </c>
      <c r="I6148" t="n">
        <v>0</v>
      </c>
      <c r="J6148" t="n">
        <v>0</v>
      </c>
      <c r="K6148" t="n">
        <v>0</v>
      </c>
      <c r="L6148" t="n">
        <v>0</v>
      </c>
      <c r="M6148" t="n">
        <v>0</v>
      </c>
      <c r="N6148" t="n">
        <v>0</v>
      </c>
      <c r="O6148" t="n">
        <v>0</v>
      </c>
      <c r="P6148" t="n">
        <v>0</v>
      </c>
      <c r="Q6148" t="n">
        <v>0</v>
      </c>
      <c r="R6148" s="2" t="inlineStr"/>
    </row>
    <row r="6149" ht="15" customHeight="1">
      <c r="A6149" t="inlineStr">
        <is>
          <t>A 50924-2024</t>
        </is>
      </c>
      <c r="B6149" s="1" t="n">
        <v>45602</v>
      </c>
      <c r="C6149" s="1" t="n">
        <v>45705</v>
      </c>
      <c r="D6149" t="inlineStr">
        <is>
          <t>UPPSALA LÄN</t>
        </is>
      </c>
      <c r="E6149" t="inlineStr">
        <is>
          <t>ÖSTHAMMAR</t>
        </is>
      </c>
      <c r="F6149" t="inlineStr">
        <is>
          <t>Bergvik skog öst AB</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50844-2024</t>
        </is>
      </c>
      <c r="B6150" s="1" t="n">
        <v>45602</v>
      </c>
      <c r="C6150" s="1" t="n">
        <v>45705</v>
      </c>
      <c r="D6150" t="inlineStr">
        <is>
          <t>UPPSALA LÄN</t>
        </is>
      </c>
      <c r="E6150" t="inlineStr">
        <is>
          <t>ÖSTHAMMAR</t>
        </is>
      </c>
      <c r="F6150" t="inlineStr">
        <is>
          <t>Övriga Aktiebolag</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50853-2024</t>
        </is>
      </c>
      <c r="B6151" s="1" t="n">
        <v>45602</v>
      </c>
      <c r="C6151" s="1" t="n">
        <v>45705</v>
      </c>
      <c r="D6151" t="inlineStr">
        <is>
          <t>UPPSALA LÄN</t>
        </is>
      </c>
      <c r="E6151" t="inlineStr">
        <is>
          <t>ÖSTHAMMAR</t>
        </is>
      </c>
      <c r="F6151" t="inlineStr">
        <is>
          <t>Övriga Aktiebolag</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50834-2024</t>
        </is>
      </c>
      <c r="B6152" s="1" t="n">
        <v>45602</v>
      </c>
      <c r="C6152" s="1" t="n">
        <v>45705</v>
      </c>
      <c r="D6152" t="inlineStr">
        <is>
          <t>UPPSALA LÄN</t>
        </is>
      </c>
      <c r="E6152" t="inlineStr">
        <is>
          <t>UPPSALA</t>
        </is>
      </c>
      <c r="G6152" t="n">
        <v>4.5</v>
      </c>
      <c r="H6152" t="n">
        <v>0</v>
      </c>
      <c r="I6152" t="n">
        <v>0</v>
      </c>
      <c r="J6152" t="n">
        <v>0</v>
      </c>
      <c r="K6152" t="n">
        <v>0</v>
      </c>
      <c r="L6152" t="n">
        <v>0</v>
      </c>
      <c r="M6152" t="n">
        <v>0</v>
      </c>
      <c r="N6152" t="n">
        <v>0</v>
      </c>
      <c r="O6152" t="n">
        <v>0</v>
      </c>
      <c r="P6152" t="n">
        <v>0</v>
      </c>
      <c r="Q6152" t="n">
        <v>0</v>
      </c>
      <c r="R6152" s="2" t="inlineStr"/>
    </row>
    <row r="6153" ht="15" customHeight="1">
      <c r="A6153" t="inlineStr">
        <is>
          <t>A 51010-2024</t>
        </is>
      </c>
      <c r="B6153" s="1" t="n">
        <v>45603</v>
      </c>
      <c r="C6153" s="1" t="n">
        <v>45705</v>
      </c>
      <c r="D6153" t="inlineStr">
        <is>
          <t>UPPSALA LÄN</t>
        </is>
      </c>
      <c r="E6153" t="inlineStr">
        <is>
          <t>ENKÖPING</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51030-2024</t>
        </is>
      </c>
      <c r="B6154" s="1" t="n">
        <v>45603</v>
      </c>
      <c r="C6154" s="1" t="n">
        <v>45705</v>
      </c>
      <c r="D6154" t="inlineStr">
        <is>
          <t>UPPSALA LÄN</t>
        </is>
      </c>
      <c r="E6154" t="inlineStr">
        <is>
          <t>ENKÖPING</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51034-2024</t>
        </is>
      </c>
      <c r="B6155" s="1" t="n">
        <v>45603</v>
      </c>
      <c r="C6155" s="1" t="n">
        <v>45705</v>
      </c>
      <c r="D6155" t="inlineStr">
        <is>
          <t>UPPSALA LÄN</t>
        </is>
      </c>
      <c r="E6155" t="inlineStr">
        <is>
          <t>ENKÖPING</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51042-2024</t>
        </is>
      </c>
      <c r="B6156" s="1" t="n">
        <v>45603</v>
      </c>
      <c r="C6156" s="1" t="n">
        <v>45705</v>
      </c>
      <c r="D6156" t="inlineStr">
        <is>
          <t>UPPSALA LÄN</t>
        </is>
      </c>
      <c r="E6156" t="inlineStr">
        <is>
          <t>ENKÖPING</t>
        </is>
      </c>
      <c r="G6156" t="n">
        <v>4.6</v>
      </c>
      <c r="H6156" t="n">
        <v>0</v>
      </c>
      <c r="I6156" t="n">
        <v>0</v>
      </c>
      <c r="J6156" t="n">
        <v>0</v>
      </c>
      <c r="K6156" t="n">
        <v>0</v>
      </c>
      <c r="L6156" t="n">
        <v>0</v>
      </c>
      <c r="M6156" t="n">
        <v>0</v>
      </c>
      <c r="N6156" t="n">
        <v>0</v>
      </c>
      <c r="O6156" t="n">
        <v>0</v>
      </c>
      <c r="P6156" t="n">
        <v>0</v>
      </c>
      <c r="Q6156" t="n">
        <v>0</v>
      </c>
      <c r="R6156" s="2" t="inlineStr"/>
    </row>
    <row r="6157" ht="15" customHeight="1">
      <c r="A6157" t="inlineStr">
        <is>
          <t>A 51011-2024</t>
        </is>
      </c>
      <c r="B6157" s="1" t="n">
        <v>45603</v>
      </c>
      <c r="C6157" s="1" t="n">
        <v>45705</v>
      </c>
      <c r="D6157" t="inlineStr">
        <is>
          <t>UPPSALA LÄN</t>
        </is>
      </c>
      <c r="E6157" t="inlineStr">
        <is>
          <t>ENKÖPING</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51027-2024</t>
        </is>
      </c>
      <c r="B6158" s="1" t="n">
        <v>45603</v>
      </c>
      <c r="C6158" s="1" t="n">
        <v>45705</v>
      </c>
      <c r="D6158" t="inlineStr">
        <is>
          <t>UPPSALA LÄN</t>
        </is>
      </c>
      <c r="E6158" t="inlineStr">
        <is>
          <t>ENKÖPING</t>
        </is>
      </c>
      <c r="G6158" t="n">
        <v>3.5</v>
      </c>
      <c r="H6158" t="n">
        <v>0</v>
      </c>
      <c r="I6158" t="n">
        <v>0</v>
      </c>
      <c r="J6158" t="n">
        <v>0</v>
      </c>
      <c r="K6158" t="n">
        <v>0</v>
      </c>
      <c r="L6158" t="n">
        <v>0</v>
      </c>
      <c r="M6158" t="n">
        <v>0</v>
      </c>
      <c r="N6158" t="n">
        <v>0</v>
      </c>
      <c r="O6158" t="n">
        <v>0</v>
      </c>
      <c r="P6158" t="n">
        <v>0</v>
      </c>
      <c r="Q6158" t="n">
        <v>0</v>
      </c>
      <c r="R6158" s="2" t="inlineStr"/>
    </row>
    <row r="6159" ht="15" customHeight="1">
      <c r="A6159" t="inlineStr">
        <is>
          <t>A 51088-2024</t>
        </is>
      </c>
      <c r="B6159" s="1" t="n">
        <v>45603</v>
      </c>
      <c r="C6159" s="1" t="n">
        <v>45705</v>
      </c>
      <c r="D6159" t="inlineStr">
        <is>
          <t>UPPSALA LÄN</t>
        </is>
      </c>
      <c r="E6159" t="inlineStr">
        <is>
          <t>HEBY</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51008-2024</t>
        </is>
      </c>
      <c r="B6160" s="1" t="n">
        <v>45603</v>
      </c>
      <c r="C6160" s="1" t="n">
        <v>45705</v>
      </c>
      <c r="D6160" t="inlineStr">
        <is>
          <t>UPPSALA LÄN</t>
        </is>
      </c>
      <c r="E6160" t="inlineStr">
        <is>
          <t>ENKÖPING</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51012-2024</t>
        </is>
      </c>
      <c r="B6161" s="1" t="n">
        <v>45603</v>
      </c>
      <c r="C6161" s="1" t="n">
        <v>45705</v>
      </c>
      <c r="D6161" t="inlineStr">
        <is>
          <t>UPPSALA LÄN</t>
        </is>
      </c>
      <c r="E6161" t="inlineStr">
        <is>
          <t>ENKÖPING</t>
        </is>
      </c>
      <c r="G6161" t="n">
        <v>2.7</v>
      </c>
      <c r="H6161" t="n">
        <v>0</v>
      </c>
      <c r="I6161" t="n">
        <v>0</v>
      </c>
      <c r="J6161" t="n">
        <v>0</v>
      </c>
      <c r="K6161" t="n">
        <v>0</v>
      </c>
      <c r="L6161" t="n">
        <v>0</v>
      </c>
      <c r="M6161" t="n">
        <v>0</v>
      </c>
      <c r="N6161" t="n">
        <v>0</v>
      </c>
      <c r="O6161" t="n">
        <v>0</v>
      </c>
      <c r="P6161" t="n">
        <v>0</v>
      </c>
      <c r="Q6161" t="n">
        <v>0</v>
      </c>
      <c r="R6161" s="2" t="inlineStr"/>
    </row>
    <row r="6162" ht="15" customHeight="1">
      <c r="A6162" t="inlineStr">
        <is>
          <t>A 51036-2024</t>
        </is>
      </c>
      <c r="B6162" s="1" t="n">
        <v>45603</v>
      </c>
      <c r="C6162" s="1" t="n">
        <v>45705</v>
      </c>
      <c r="D6162" t="inlineStr">
        <is>
          <t>UPPSALA LÄN</t>
        </is>
      </c>
      <c r="E6162" t="inlineStr">
        <is>
          <t>ENKÖPING</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51037-2024</t>
        </is>
      </c>
      <c r="B6163" s="1" t="n">
        <v>45603</v>
      </c>
      <c r="C6163" s="1" t="n">
        <v>45705</v>
      </c>
      <c r="D6163" t="inlineStr">
        <is>
          <t>UPPSALA LÄN</t>
        </is>
      </c>
      <c r="E6163" t="inlineStr">
        <is>
          <t>ENKÖPING</t>
        </is>
      </c>
      <c r="G6163" t="n">
        <v>5.7</v>
      </c>
      <c r="H6163" t="n">
        <v>0</v>
      </c>
      <c r="I6163" t="n">
        <v>0</v>
      </c>
      <c r="J6163" t="n">
        <v>0</v>
      </c>
      <c r="K6163" t="n">
        <v>0</v>
      </c>
      <c r="L6163" t="n">
        <v>0</v>
      </c>
      <c r="M6163" t="n">
        <v>0</v>
      </c>
      <c r="N6163" t="n">
        <v>0</v>
      </c>
      <c r="O6163" t="n">
        <v>0</v>
      </c>
      <c r="P6163" t="n">
        <v>0</v>
      </c>
      <c r="Q6163" t="n">
        <v>0</v>
      </c>
      <c r="R6163" s="2" t="inlineStr"/>
    </row>
    <row r="6164" ht="15" customHeight="1">
      <c r="A6164" t="inlineStr">
        <is>
          <t>A 51344-2024</t>
        </is>
      </c>
      <c r="B6164" s="1" t="n">
        <v>45604</v>
      </c>
      <c r="C6164" s="1" t="n">
        <v>45705</v>
      </c>
      <c r="D6164" t="inlineStr">
        <is>
          <t>UPPSALA LÄN</t>
        </is>
      </c>
      <c r="E6164" t="inlineStr">
        <is>
          <t>TIERP</t>
        </is>
      </c>
      <c r="F6164" t="inlineStr">
        <is>
          <t>Bergvik skog öst AB</t>
        </is>
      </c>
      <c r="G6164" t="n">
        <v>3.3</v>
      </c>
      <c r="H6164" t="n">
        <v>0</v>
      </c>
      <c r="I6164" t="n">
        <v>0</v>
      </c>
      <c r="J6164" t="n">
        <v>0</v>
      </c>
      <c r="K6164" t="n">
        <v>0</v>
      </c>
      <c r="L6164" t="n">
        <v>0</v>
      </c>
      <c r="M6164" t="n">
        <v>0</v>
      </c>
      <c r="N6164" t="n">
        <v>0</v>
      </c>
      <c r="O6164" t="n">
        <v>0</v>
      </c>
      <c r="P6164" t="n">
        <v>0</v>
      </c>
      <c r="Q6164" t="n">
        <v>0</v>
      </c>
      <c r="R6164" s="2" t="inlineStr"/>
    </row>
    <row r="6165" ht="15" customHeight="1">
      <c r="A6165" t="inlineStr">
        <is>
          <t>A 51482-2024</t>
        </is>
      </c>
      <c r="B6165" s="1" t="n">
        <v>45604</v>
      </c>
      <c r="C6165" s="1" t="n">
        <v>45705</v>
      </c>
      <c r="D6165" t="inlineStr">
        <is>
          <t>UPPSALA LÄN</t>
        </is>
      </c>
      <c r="E6165" t="inlineStr">
        <is>
          <t>UPPSALA</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51453-2024</t>
        </is>
      </c>
      <c r="B6166" s="1" t="n">
        <v>45604</v>
      </c>
      <c r="C6166" s="1" t="n">
        <v>45705</v>
      </c>
      <c r="D6166" t="inlineStr">
        <is>
          <t>UPPSALA LÄN</t>
        </is>
      </c>
      <c r="E6166" t="inlineStr">
        <is>
          <t>TIERP</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51483-2024</t>
        </is>
      </c>
      <c r="B6167" s="1" t="n">
        <v>45604</v>
      </c>
      <c r="C6167" s="1" t="n">
        <v>45705</v>
      </c>
      <c r="D6167" t="inlineStr">
        <is>
          <t>UPPSALA LÄN</t>
        </is>
      </c>
      <c r="E6167" t="inlineStr">
        <is>
          <t>UPPSALA</t>
        </is>
      </c>
      <c r="G6167" t="n">
        <v>4.5</v>
      </c>
      <c r="H6167" t="n">
        <v>0</v>
      </c>
      <c r="I6167" t="n">
        <v>0</v>
      </c>
      <c r="J6167" t="n">
        <v>0</v>
      </c>
      <c r="K6167" t="n">
        <v>0</v>
      </c>
      <c r="L6167" t="n">
        <v>0</v>
      </c>
      <c r="M6167" t="n">
        <v>0</v>
      </c>
      <c r="N6167" t="n">
        <v>0</v>
      </c>
      <c r="O6167" t="n">
        <v>0</v>
      </c>
      <c r="P6167" t="n">
        <v>0</v>
      </c>
      <c r="Q6167" t="n">
        <v>0</v>
      </c>
      <c r="R6167" s="2" t="inlineStr"/>
    </row>
    <row r="6168" ht="15" customHeight="1">
      <c r="A6168" t="inlineStr">
        <is>
          <t>A 51507-2024</t>
        </is>
      </c>
      <c r="B6168" s="1" t="n">
        <v>45604</v>
      </c>
      <c r="C6168" s="1" t="n">
        <v>45705</v>
      </c>
      <c r="D6168" t="inlineStr">
        <is>
          <t>UPPSALA LÄN</t>
        </is>
      </c>
      <c r="E6168" t="inlineStr">
        <is>
          <t>ÄLVKARLEBY</t>
        </is>
      </c>
      <c r="F6168" t="inlineStr">
        <is>
          <t>Bergvik skog väst AB</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51485-2024</t>
        </is>
      </c>
      <c r="B6169" s="1" t="n">
        <v>45604</v>
      </c>
      <c r="C6169" s="1" t="n">
        <v>45705</v>
      </c>
      <c r="D6169" t="inlineStr">
        <is>
          <t>UPPSALA LÄN</t>
        </is>
      </c>
      <c r="E6169" t="inlineStr">
        <is>
          <t>UPPSALA</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51509-2024</t>
        </is>
      </c>
      <c r="B6170" s="1" t="n">
        <v>45604</v>
      </c>
      <c r="C6170" s="1" t="n">
        <v>45705</v>
      </c>
      <c r="D6170" t="inlineStr">
        <is>
          <t>UPPSALA LÄN</t>
        </is>
      </c>
      <c r="E6170" t="inlineStr">
        <is>
          <t>ÄLVKARLEBY</t>
        </is>
      </c>
      <c r="F6170" t="inlineStr">
        <is>
          <t>Bergvik skog väst AB</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51568-2024</t>
        </is>
      </c>
      <c r="B6171" s="1" t="n">
        <v>45604</v>
      </c>
      <c r="C6171" s="1" t="n">
        <v>45705</v>
      </c>
      <c r="D6171" t="inlineStr">
        <is>
          <t>UPPSALA LÄN</t>
        </is>
      </c>
      <c r="E6171" t="inlineStr">
        <is>
          <t>TIERP</t>
        </is>
      </c>
      <c r="F6171" t="inlineStr">
        <is>
          <t>Bergvik skog väst AB</t>
        </is>
      </c>
      <c r="G6171" t="n">
        <v>11.5</v>
      </c>
      <c r="H6171" t="n">
        <v>0</v>
      </c>
      <c r="I6171" t="n">
        <v>0</v>
      </c>
      <c r="J6171" t="n">
        <v>0</v>
      </c>
      <c r="K6171" t="n">
        <v>0</v>
      </c>
      <c r="L6171" t="n">
        <v>0</v>
      </c>
      <c r="M6171" t="n">
        <v>0</v>
      </c>
      <c r="N6171" t="n">
        <v>0</v>
      </c>
      <c r="O6171" t="n">
        <v>0</v>
      </c>
      <c r="P6171" t="n">
        <v>0</v>
      </c>
      <c r="Q6171" t="n">
        <v>0</v>
      </c>
      <c r="R6171" s="2" t="inlineStr"/>
    </row>
    <row r="6172" ht="15" customHeight="1">
      <c r="A6172" t="inlineStr">
        <is>
          <t>A 51628-2024</t>
        </is>
      </c>
      <c r="B6172" s="1" t="n">
        <v>45605</v>
      </c>
      <c r="C6172" s="1" t="n">
        <v>45705</v>
      </c>
      <c r="D6172" t="inlineStr">
        <is>
          <t>UPPSALA LÄN</t>
        </is>
      </c>
      <c r="E6172" t="inlineStr">
        <is>
          <t>KNIVSTA</t>
        </is>
      </c>
      <c r="G6172" t="n">
        <v>4</v>
      </c>
      <c r="H6172" t="n">
        <v>0</v>
      </c>
      <c r="I6172" t="n">
        <v>0</v>
      </c>
      <c r="J6172" t="n">
        <v>0</v>
      </c>
      <c r="K6172" t="n">
        <v>0</v>
      </c>
      <c r="L6172" t="n">
        <v>0</v>
      </c>
      <c r="M6172" t="n">
        <v>0</v>
      </c>
      <c r="N6172" t="n">
        <v>0</v>
      </c>
      <c r="O6172" t="n">
        <v>0</v>
      </c>
      <c r="P6172" t="n">
        <v>0</v>
      </c>
      <c r="Q6172" t="n">
        <v>0</v>
      </c>
      <c r="R6172" s="2" t="inlineStr"/>
    </row>
    <row r="6173" ht="15" customHeight="1">
      <c r="A6173" t="inlineStr">
        <is>
          <t>A 52005-2024</t>
        </is>
      </c>
      <c r="B6173" s="1" t="n">
        <v>45607</v>
      </c>
      <c r="C6173" s="1" t="n">
        <v>45705</v>
      </c>
      <c r="D6173" t="inlineStr">
        <is>
          <t>UPPSALA LÄN</t>
        </is>
      </c>
      <c r="E6173" t="inlineStr">
        <is>
          <t>ENKÖPING</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52252-2024</t>
        </is>
      </c>
      <c r="B6174" s="1" t="n">
        <v>45607</v>
      </c>
      <c r="C6174" s="1" t="n">
        <v>45705</v>
      </c>
      <c r="D6174" t="inlineStr">
        <is>
          <t>UPPSALA LÄN</t>
        </is>
      </c>
      <c r="E6174" t="inlineStr">
        <is>
          <t>HEBY</t>
        </is>
      </c>
      <c r="F6174" t="inlineStr">
        <is>
          <t>Bergvik skog väst AB</t>
        </is>
      </c>
      <c r="G6174" t="n">
        <v>5.4</v>
      </c>
      <c r="H6174" t="n">
        <v>0</v>
      </c>
      <c r="I6174" t="n">
        <v>0</v>
      </c>
      <c r="J6174" t="n">
        <v>0</v>
      </c>
      <c r="K6174" t="n">
        <v>0</v>
      </c>
      <c r="L6174" t="n">
        <v>0</v>
      </c>
      <c r="M6174" t="n">
        <v>0</v>
      </c>
      <c r="N6174" t="n">
        <v>0</v>
      </c>
      <c r="O6174" t="n">
        <v>0</v>
      </c>
      <c r="P6174" t="n">
        <v>0</v>
      </c>
      <c r="Q6174" t="n">
        <v>0</v>
      </c>
      <c r="R6174" s="2" t="inlineStr"/>
    </row>
    <row r="6175" ht="15" customHeight="1">
      <c r="A6175" t="inlineStr">
        <is>
          <t>A 51758-2024</t>
        </is>
      </c>
      <c r="B6175" s="1" t="n">
        <v>45607</v>
      </c>
      <c r="C6175" s="1" t="n">
        <v>45705</v>
      </c>
      <c r="D6175" t="inlineStr">
        <is>
          <t>UPPSALA LÄN</t>
        </is>
      </c>
      <c r="E6175" t="inlineStr">
        <is>
          <t>TIERP</t>
        </is>
      </c>
      <c r="F6175" t="inlineStr">
        <is>
          <t>Bergvik skog väst AB</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51753-2024</t>
        </is>
      </c>
      <c r="B6176" s="1" t="n">
        <v>45607</v>
      </c>
      <c r="C6176" s="1" t="n">
        <v>45705</v>
      </c>
      <c r="D6176" t="inlineStr">
        <is>
          <t>UPPSALA LÄN</t>
        </is>
      </c>
      <c r="E6176" t="inlineStr">
        <is>
          <t>HEBY</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52197-2024</t>
        </is>
      </c>
      <c r="B6177" s="1" t="n">
        <v>45608</v>
      </c>
      <c r="C6177" s="1" t="n">
        <v>45705</v>
      </c>
      <c r="D6177" t="inlineStr">
        <is>
          <t>UPPSALA LÄN</t>
        </is>
      </c>
      <c r="E6177" t="inlineStr">
        <is>
          <t>UPPSALA</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52219-2024</t>
        </is>
      </c>
      <c r="B6178" s="1" t="n">
        <v>45608</v>
      </c>
      <c r="C6178" s="1" t="n">
        <v>45705</v>
      </c>
      <c r="D6178" t="inlineStr">
        <is>
          <t>UPPSALA LÄN</t>
        </is>
      </c>
      <c r="E6178" t="inlineStr">
        <is>
          <t>ENKÖPING</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52306-2024</t>
        </is>
      </c>
      <c r="B6179" s="1" t="n">
        <v>45608</v>
      </c>
      <c r="C6179" s="1" t="n">
        <v>45705</v>
      </c>
      <c r="D6179" t="inlineStr">
        <is>
          <t>UPPSALA LÄN</t>
        </is>
      </c>
      <c r="E6179" t="inlineStr">
        <is>
          <t>ÖSTHAMMAR</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52094-2024</t>
        </is>
      </c>
      <c r="B6180" s="1" t="n">
        <v>45608</v>
      </c>
      <c r="C6180" s="1" t="n">
        <v>45705</v>
      </c>
      <c r="D6180" t="inlineStr">
        <is>
          <t>UPPSALA LÄN</t>
        </is>
      </c>
      <c r="E6180" t="inlineStr">
        <is>
          <t>UPPSALA</t>
        </is>
      </c>
      <c r="F6180" t="inlineStr">
        <is>
          <t>Bergvik skog öst AB</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52254-2024</t>
        </is>
      </c>
      <c r="B6181" s="1" t="n">
        <v>45608</v>
      </c>
      <c r="C6181" s="1" t="n">
        <v>45705</v>
      </c>
      <c r="D6181" t="inlineStr">
        <is>
          <t>UPPSALA LÄN</t>
        </is>
      </c>
      <c r="E6181" t="inlineStr">
        <is>
          <t>HEBY</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52093-2024</t>
        </is>
      </c>
      <c r="B6182" s="1" t="n">
        <v>45608</v>
      </c>
      <c r="C6182" s="1" t="n">
        <v>45705</v>
      </c>
      <c r="D6182" t="inlineStr">
        <is>
          <t>UPPSALA LÄN</t>
        </is>
      </c>
      <c r="E6182" t="inlineStr">
        <is>
          <t>UPPSALA</t>
        </is>
      </c>
      <c r="F6182" t="inlineStr">
        <is>
          <t>Bergvik skog öst AB</t>
        </is>
      </c>
      <c r="G6182" t="n">
        <v>8.300000000000001</v>
      </c>
      <c r="H6182" t="n">
        <v>0</v>
      </c>
      <c r="I6182" t="n">
        <v>0</v>
      </c>
      <c r="J6182" t="n">
        <v>0</v>
      </c>
      <c r="K6182" t="n">
        <v>0</v>
      </c>
      <c r="L6182" t="n">
        <v>0</v>
      </c>
      <c r="M6182" t="n">
        <v>0</v>
      </c>
      <c r="N6182" t="n">
        <v>0</v>
      </c>
      <c r="O6182" t="n">
        <v>0</v>
      </c>
      <c r="P6182" t="n">
        <v>0</v>
      </c>
      <c r="Q6182" t="n">
        <v>0</v>
      </c>
      <c r="R6182" s="2" t="inlineStr"/>
    </row>
    <row r="6183" ht="15" customHeight="1">
      <c r="A6183" t="inlineStr">
        <is>
          <t>A 52388-2024</t>
        </is>
      </c>
      <c r="B6183" s="1" t="n">
        <v>45609</v>
      </c>
      <c r="C6183" s="1" t="n">
        <v>45705</v>
      </c>
      <c r="D6183" t="inlineStr">
        <is>
          <t>UPPSALA LÄN</t>
        </is>
      </c>
      <c r="E6183" t="inlineStr">
        <is>
          <t>ENKÖPING</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52440-2024</t>
        </is>
      </c>
      <c r="B6184" s="1" t="n">
        <v>45609</v>
      </c>
      <c r="C6184" s="1" t="n">
        <v>45705</v>
      </c>
      <c r="D6184" t="inlineStr">
        <is>
          <t>UPPSALA LÄN</t>
        </is>
      </c>
      <c r="E6184" t="inlineStr">
        <is>
          <t>ÖSTHAMMAR</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52456-2024</t>
        </is>
      </c>
      <c r="B6185" s="1" t="n">
        <v>45609</v>
      </c>
      <c r="C6185" s="1" t="n">
        <v>45705</v>
      </c>
      <c r="D6185" t="inlineStr">
        <is>
          <t>UPPSALA LÄN</t>
        </is>
      </c>
      <c r="E6185" t="inlineStr">
        <is>
          <t>UPPSALA</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52468-2024</t>
        </is>
      </c>
      <c r="B6186" s="1" t="n">
        <v>45609</v>
      </c>
      <c r="C6186" s="1" t="n">
        <v>45705</v>
      </c>
      <c r="D6186" t="inlineStr">
        <is>
          <t>UPPSALA LÄN</t>
        </is>
      </c>
      <c r="E6186" t="inlineStr">
        <is>
          <t>ÖSTHAMMAR</t>
        </is>
      </c>
      <c r="F6186" t="inlineStr">
        <is>
          <t>Bergvik skog väst AB</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52469-2024</t>
        </is>
      </c>
      <c r="B6187" s="1" t="n">
        <v>45609</v>
      </c>
      <c r="C6187" s="1" t="n">
        <v>45705</v>
      </c>
      <c r="D6187" t="inlineStr">
        <is>
          <t>UPPSALA LÄN</t>
        </is>
      </c>
      <c r="E6187" t="inlineStr">
        <is>
          <t>ÖSTHAMMAR</t>
        </is>
      </c>
      <c r="F6187" t="inlineStr">
        <is>
          <t>Bergvik skog väst AB</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52485-2024</t>
        </is>
      </c>
      <c r="B6188" s="1" t="n">
        <v>45609</v>
      </c>
      <c r="C6188" s="1" t="n">
        <v>45705</v>
      </c>
      <c r="D6188" t="inlineStr">
        <is>
          <t>UPPSALA LÄN</t>
        </is>
      </c>
      <c r="E6188" t="inlineStr">
        <is>
          <t>ÖSTHAMMAR</t>
        </is>
      </c>
      <c r="F6188" t="inlineStr">
        <is>
          <t>Bergvik skog väst AB</t>
        </is>
      </c>
      <c r="G6188" t="n">
        <v>4</v>
      </c>
      <c r="H6188" t="n">
        <v>0</v>
      </c>
      <c r="I6188" t="n">
        <v>0</v>
      </c>
      <c r="J6188" t="n">
        <v>0</v>
      </c>
      <c r="K6188" t="n">
        <v>0</v>
      </c>
      <c r="L6188" t="n">
        <v>0</v>
      </c>
      <c r="M6188" t="n">
        <v>0</v>
      </c>
      <c r="N6188" t="n">
        <v>0</v>
      </c>
      <c r="O6188" t="n">
        <v>0</v>
      </c>
      <c r="P6188" t="n">
        <v>0</v>
      </c>
      <c r="Q6188" t="n">
        <v>0</v>
      </c>
      <c r="R6188" s="2" t="inlineStr"/>
    </row>
    <row r="6189" ht="15" customHeight="1">
      <c r="A6189" t="inlineStr">
        <is>
          <t>A 52380-2024</t>
        </is>
      </c>
      <c r="B6189" s="1" t="n">
        <v>45609</v>
      </c>
      <c r="C6189" s="1" t="n">
        <v>45705</v>
      </c>
      <c r="D6189" t="inlineStr">
        <is>
          <t>UPPSALA LÄN</t>
        </is>
      </c>
      <c r="E6189" t="inlineStr">
        <is>
          <t>ENKÖPING</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52466-2024</t>
        </is>
      </c>
      <c r="B6190" s="1" t="n">
        <v>45609</v>
      </c>
      <c r="C6190" s="1" t="n">
        <v>45705</v>
      </c>
      <c r="D6190" t="inlineStr">
        <is>
          <t>UPPSALA LÄN</t>
        </is>
      </c>
      <c r="E6190" t="inlineStr">
        <is>
          <t>UPPSALA</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52470-2024</t>
        </is>
      </c>
      <c r="B6191" s="1" t="n">
        <v>45609</v>
      </c>
      <c r="C6191" s="1" t="n">
        <v>45705</v>
      </c>
      <c r="D6191" t="inlineStr">
        <is>
          <t>UPPSALA LÄN</t>
        </is>
      </c>
      <c r="E6191" t="inlineStr">
        <is>
          <t>ÖSTHAMMAR</t>
        </is>
      </c>
      <c r="F6191" t="inlineStr">
        <is>
          <t>Bergvik skog väst AB</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52478-2024</t>
        </is>
      </c>
      <c r="B6192" s="1" t="n">
        <v>45609</v>
      </c>
      <c r="C6192" s="1" t="n">
        <v>45705</v>
      </c>
      <c r="D6192" t="inlineStr">
        <is>
          <t>UPPSALA LÄN</t>
        </is>
      </c>
      <c r="E6192" t="inlineStr">
        <is>
          <t>ÖSTHAMMAR</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52534-2024</t>
        </is>
      </c>
      <c r="B6193" s="1" t="n">
        <v>45609</v>
      </c>
      <c r="C6193" s="1" t="n">
        <v>45705</v>
      </c>
      <c r="D6193" t="inlineStr">
        <is>
          <t>UPPSALA LÄN</t>
        </is>
      </c>
      <c r="E6193" t="inlineStr">
        <is>
          <t>ÖSTHAMMAR</t>
        </is>
      </c>
      <c r="F6193" t="inlineStr">
        <is>
          <t>Bergvik skog väst AB</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52793-2024</t>
        </is>
      </c>
      <c r="B6194" s="1" t="n">
        <v>45610</v>
      </c>
      <c r="C6194" s="1" t="n">
        <v>45705</v>
      </c>
      <c r="D6194" t="inlineStr">
        <is>
          <t>UPPSALA LÄN</t>
        </is>
      </c>
      <c r="E6194" t="inlineStr">
        <is>
          <t>HEBY</t>
        </is>
      </c>
      <c r="G6194" t="n">
        <v>3.7</v>
      </c>
      <c r="H6194" t="n">
        <v>0</v>
      </c>
      <c r="I6194" t="n">
        <v>0</v>
      </c>
      <c r="J6194" t="n">
        <v>0</v>
      </c>
      <c r="K6194" t="n">
        <v>0</v>
      </c>
      <c r="L6194" t="n">
        <v>0</v>
      </c>
      <c r="M6194" t="n">
        <v>0</v>
      </c>
      <c r="N6194" t="n">
        <v>0</v>
      </c>
      <c r="O6194" t="n">
        <v>0</v>
      </c>
      <c r="P6194" t="n">
        <v>0</v>
      </c>
      <c r="Q6194" t="n">
        <v>0</v>
      </c>
      <c r="R6194" s="2" t="inlineStr"/>
    </row>
    <row r="6195" ht="15" customHeight="1">
      <c r="A6195" t="inlineStr">
        <is>
          <t>A 52796-2024</t>
        </is>
      </c>
      <c r="B6195" s="1" t="n">
        <v>45610</v>
      </c>
      <c r="C6195" s="1" t="n">
        <v>45705</v>
      </c>
      <c r="D6195" t="inlineStr">
        <is>
          <t>UPPSALA LÄN</t>
        </is>
      </c>
      <c r="E6195" t="inlineStr">
        <is>
          <t>HEBY</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52872-2024</t>
        </is>
      </c>
      <c r="B6196" s="1" t="n">
        <v>45610</v>
      </c>
      <c r="C6196" s="1" t="n">
        <v>45705</v>
      </c>
      <c r="D6196" t="inlineStr">
        <is>
          <t>UPPSALA LÄN</t>
        </is>
      </c>
      <c r="E6196" t="inlineStr">
        <is>
          <t>TIERP</t>
        </is>
      </c>
      <c r="F6196" t="inlineStr">
        <is>
          <t>Bergvik skog öst AB</t>
        </is>
      </c>
      <c r="G6196" t="n">
        <v>13.2</v>
      </c>
      <c r="H6196" t="n">
        <v>0</v>
      </c>
      <c r="I6196" t="n">
        <v>0</v>
      </c>
      <c r="J6196" t="n">
        <v>0</v>
      </c>
      <c r="K6196" t="n">
        <v>0</v>
      </c>
      <c r="L6196" t="n">
        <v>0</v>
      </c>
      <c r="M6196" t="n">
        <v>0</v>
      </c>
      <c r="N6196" t="n">
        <v>0</v>
      </c>
      <c r="O6196" t="n">
        <v>0</v>
      </c>
      <c r="P6196" t="n">
        <v>0</v>
      </c>
      <c r="Q6196" t="n">
        <v>0</v>
      </c>
      <c r="R6196" s="2" t="inlineStr"/>
    </row>
    <row r="6197" ht="15" customHeight="1">
      <c r="A6197" t="inlineStr">
        <is>
          <t>A 52890-2024</t>
        </is>
      </c>
      <c r="B6197" s="1" t="n">
        <v>45610</v>
      </c>
      <c r="C6197" s="1" t="n">
        <v>45705</v>
      </c>
      <c r="D6197" t="inlineStr">
        <is>
          <t>UPPSALA LÄN</t>
        </is>
      </c>
      <c r="E6197" t="inlineStr">
        <is>
          <t>ÖSTHAMMAR</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53158-2024</t>
        </is>
      </c>
      <c r="B6198" s="1" t="n">
        <v>45611</v>
      </c>
      <c r="C6198" s="1" t="n">
        <v>45705</v>
      </c>
      <c r="D6198" t="inlineStr">
        <is>
          <t>UPPSALA LÄN</t>
        </is>
      </c>
      <c r="E6198" t="inlineStr">
        <is>
          <t>TIERP</t>
        </is>
      </c>
      <c r="F6198" t="inlineStr">
        <is>
          <t>Bergvik skog öst AB</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53614-2024</t>
        </is>
      </c>
      <c r="B6199" s="1" t="n">
        <v>45611</v>
      </c>
      <c r="C6199" s="1" t="n">
        <v>45705</v>
      </c>
      <c r="D6199" t="inlineStr">
        <is>
          <t>UPPSALA LÄN</t>
        </is>
      </c>
      <c r="E6199" t="inlineStr">
        <is>
          <t>UPPSALA</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53161-2024</t>
        </is>
      </c>
      <c r="B6200" s="1" t="n">
        <v>45611</v>
      </c>
      <c r="C6200" s="1" t="n">
        <v>45705</v>
      </c>
      <c r="D6200" t="inlineStr">
        <is>
          <t>UPPSALA LÄN</t>
        </is>
      </c>
      <c r="E6200" t="inlineStr">
        <is>
          <t>TIERP</t>
        </is>
      </c>
      <c r="F6200" t="inlineStr">
        <is>
          <t>Bergvik skog väst AB</t>
        </is>
      </c>
      <c r="G6200" t="n">
        <v>14.9</v>
      </c>
      <c r="H6200" t="n">
        <v>0</v>
      </c>
      <c r="I6200" t="n">
        <v>0</v>
      </c>
      <c r="J6200" t="n">
        <v>0</v>
      </c>
      <c r="K6200" t="n">
        <v>0</v>
      </c>
      <c r="L6200" t="n">
        <v>0</v>
      </c>
      <c r="M6200" t="n">
        <v>0</v>
      </c>
      <c r="N6200" t="n">
        <v>0</v>
      </c>
      <c r="O6200" t="n">
        <v>0</v>
      </c>
      <c r="P6200" t="n">
        <v>0</v>
      </c>
      <c r="Q6200" t="n">
        <v>0</v>
      </c>
      <c r="R6200" s="2" t="inlineStr"/>
    </row>
    <row r="6201" ht="15" customHeight="1">
      <c r="A6201" t="inlineStr">
        <is>
          <t>A 53095-2024</t>
        </is>
      </c>
      <c r="B6201" s="1" t="n">
        <v>45611</v>
      </c>
      <c r="C6201" s="1" t="n">
        <v>45705</v>
      </c>
      <c r="D6201" t="inlineStr">
        <is>
          <t>UPPSALA LÄN</t>
        </is>
      </c>
      <c r="E6201" t="inlineStr">
        <is>
          <t>ÖSTHAMMAR</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53058-2024</t>
        </is>
      </c>
      <c r="B6202" s="1" t="n">
        <v>45611</v>
      </c>
      <c r="C6202" s="1" t="n">
        <v>45705</v>
      </c>
      <c r="D6202" t="inlineStr">
        <is>
          <t>UPPSALA LÄN</t>
        </is>
      </c>
      <c r="E6202" t="inlineStr">
        <is>
          <t>UPPSALA</t>
        </is>
      </c>
      <c r="G6202" t="n">
        <v>5.5</v>
      </c>
      <c r="H6202" t="n">
        <v>0</v>
      </c>
      <c r="I6202" t="n">
        <v>0</v>
      </c>
      <c r="J6202" t="n">
        <v>0</v>
      </c>
      <c r="K6202" t="n">
        <v>0</v>
      </c>
      <c r="L6202" t="n">
        <v>0</v>
      </c>
      <c r="M6202" t="n">
        <v>0</v>
      </c>
      <c r="N6202" t="n">
        <v>0</v>
      </c>
      <c r="O6202" t="n">
        <v>0</v>
      </c>
      <c r="P6202" t="n">
        <v>0</v>
      </c>
      <c r="Q6202" t="n">
        <v>0</v>
      </c>
      <c r="R6202" s="2" t="inlineStr"/>
    </row>
    <row r="6203" ht="15" customHeight="1">
      <c r="A6203" t="inlineStr">
        <is>
          <t>A 53615-2024</t>
        </is>
      </c>
      <c r="B6203" s="1" t="n">
        <v>45611</v>
      </c>
      <c r="C6203" s="1" t="n">
        <v>45705</v>
      </c>
      <c r="D6203" t="inlineStr">
        <is>
          <t>UPPSALA LÄN</t>
        </is>
      </c>
      <c r="E6203" t="inlineStr">
        <is>
          <t>UPPSALA</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53365-2024</t>
        </is>
      </c>
      <c r="B6204" s="1" t="n">
        <v>45614</v>
      </c>
      <c r="C6204" s="1" t="n">
        <v>45705</v>
      </c>
      <c r="D6204" t="inlineStr">
        <is>
          <t>UPPSALA LÄN</t>
        </is>
      </c>
      <c r="E6204" t="inlineStr">
        <is>
          <t>UPPSALA</t>
        </is>
      </c>
      <c r="F6204" t="inlineStr">
        <is>
          <t>Allmännings- och besparingsskogar</t>
        </is>
      </c>
      <c r="G6204" t="n">
        <v>6.6</v>
      </c>
      <c r="H6204" t="n">
        <v>0</v>
      </c>
      <c r="I6204" t="n">
        <v>0</v>
      </c>
      <c r="J6204" t="n">
        <v>0</v>
      </c>
      <c r="K6204" t="n">
        <v>0</v>
      </c>
      <c r="L6204" t="n">
        <v>0</v>
      </c>
      <c r="M6204" t="n">
        <v>0</v>
      </c>
      <c r="N6204" t="n">
        <v>0</v>
      </c>
      <c r="O6204" t="n">
        <v>0</v>
      </c>
      <c r="P6204" t="n">
        <v>0</v>
      </c>
      <c r="Q6204" t="n">
        <v>0</v>
      </c>
      <c r="R6204" s="2" t="inlineStr"/>
    </row>
    <row r="6205" ht="15" customHeight="1">
      <c r="A6205" t="inlineStr">
        <is>
          <t>A 53587-2024</t>
        </is>
      </c>
      <c r="B6205" s="1" t="n">
        <v>45614</v>
      </c>
      <c r="C6205" s="1" t="n">
        <v>45705</v>
      </c>
      <c r="D6205" t="inlineStr">
        <is>
          <t>UPPSALA LÄN</t>
        </is>
      </c>
      <c r="E6205" t="inlineStr">
        <is>
          <t>ENKÖPING</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53588-2024</t>
        </is>
      </c>
      <c r="B6206" s="1" t="n">
        <v>45614</v>
      </c>
      <c r="C6206" s="1" t="n">
        <v>45705</v>
      </c>
      <c r="D6206" t="inlineStr">
        <is>
          <t>UPPSALA LÄN</t>
        </is>
      </c>
      <c r="E6206" t="inlineStr">
        <is>
          <t>UPPSALA</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53589-2024</t>
        </is>
      </c>
      <c r="B6207" s="1" t="n">
        <v>45614</v>
      </c>
      <c r="C6207" s="1" t="n">
        <v>45705</v>
      </c>
      <c r="D6207" t="inlineStr">
        <is>
          <t>UPPSALA LÄN</t>
        </is>
      </c>
      <c r="E6207" t="inlineStr">
        <is>
          <t>UPPSALA</t>
        </is>
      </c>
      <c r="G6207" t="n">
        <v>4</v>
      </c>
      <c r="H6207" t="n">
        <v>0</v>
      </c>
      <c r="I6207" t="n">
        <v>0</v>
      </c>
      <c r="J6207" t="n">
        <v>0</v>
      </c>
      <c r="K6207" t="n">
        <v>0</v>
      </c>
      <c r="L6207" t="n">
        <v>0</v>
      </c>
      <c r="M6207" t="n">
        <v>0</v>
      </c>
      <c r="N6207" t="n">
        <v>0</v>
      </c>
      <c r="O6207" t="n">
        <v>0</v>
      </c>
      <c r="P6207" t="n">
        <v>0</v>
      </c>
      <c r="Q6207" t="n">
        <v>0</v>
      </c>
      <c r="R6207" s="2" t="inlineStr"/>
    </row>
    <row r="6208" ht="15" customHeight="1">
      <c r="A6208" t="inlineStr">
        <is>
          <t>A 53569-2024</t>
        </is>
      </c>
      <c r="B6208" s="1" t="n">
        <v>45614</v>
      </c>
      <c r="C6208" s="1" t="n">
        <v>45705</v>
      </c>
      <c r="D6208" t="inlineStr">
        <is>
          <t>UPPSALA LÄN</t>
        </is>
      </c>
      <c r="E6208" t="inlineStr">
        <is>
          <t>UPPSALA</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53586-2024</t>
        </is>
      </c>
      <c r="B6209" s="1" t="n">
        <v>45614</v>
      </c>
      <c r="C6209" s="1" t="n">
        <v>45705</v>
      </c>
      <c r="D6209" t="inlineStr">
        <is>
          <t>UPPSALA LÄN</t>
        </is>
      </c>
      <c r="E6209" t="inlineStr">
        <is>
          <t>ENKÖPING</t>
        </is>
      </c>
      <c r="G6209" t="n">
        <v>6.6</v>
      </c>
      <c r="H6209" t="n">
        <v>0</v>
      </c>
      <c r="I6209" t="n">
        <v>0</v>
      </c>
      <c r="J6209" t="n">
        <v>0</v>
      </c>
      <c r="K6209" t="n">
        <v>0</v>
      </c>
      <c r="L6209" t="n">
        <v>0</v>
      </c>
      <c r="M6209" t="n">
        <v>0</v>
      </c>
      <c r="N6209" t="n">
        <v>0</v>
      </c>
      <c r="O6209" t="n">
        <v>0</v>
      </c>
      <c r="P6209" t="n">
        <v>0</v>
      </c>
      <c r="Q6209" t="n">
        <v>0</v>
      </c>
      <c r="R6209" s="2" t="inlineStr"/>
    </row>
    <row r="6210" ht="15" customHeight="1">
      <c r="A6210" t="inlineStr">
        <is>
          <t>A 53590-2024</t>
        </is>
      </c>
      <c r="B6210" s="1" t="n">
        <v>45614</v>
      </c>
      <c r="C6210" s="1" t="n">
        <v>45705</v>
      </c>
      <c r="D6210" t="inlineStr">
        <is>
          <t>UPPSALA LÄN</t>
        </is>
      </c>
      <c r="E6210" t="inlineStr">
        <is>
          <t>ENKÖPING</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53557-2024</t>
        </is>
      </c>
      <c r="B6211" s="1" t="n">
        <v>45614</v>
      </c>
      <c r="C6211" s="1" t="n">
        <v>45705</v>
      </c>
      <c r="D6211" t="inlineStr">
        <is>
          <t>UPPSALA LÄN</t>
        </is>
      </c>
      <c r="E6211" t="inlineStr">
        <is>
          <t>ENKÖPING</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53384-2024</t>
        </is>
      </c>
      <c r="B6212" s="1" t="n">
        <v>45614</v>
      </c>
      <c r="C6212" s="1" t="n">
        <v>45705</v>
      </c>
      <c r="D6212" t="inlineStr">
        <is>
          <t>UPPSALA LÄN</t>
        </is>
      </c>
      <c r="E6212" t="inlineStr">
        <is>
          <t>UPPSALA</t>
        </is>
      </c>
      <c r="G6212" t="n">
        <v>3.7</v>
      </c>
      <c r="H6212" t="n">
        <v>0</v>
      </c>
      <c r="I6212" t="n">
        <v>0</v>
      </c>
      <c r="J6212" t="n">
        <v>0</v>
      </c>
      <c r="K6212" t="n">
        <v>0</v>
      </c>
      <c r="L6212" t="n">
        <v>0</v>
      </c>
      <c r="M6212" t="n">
        <v>0</v>
      </c>
      <c r="N6212" t="n">
        <v>0</v>
      </c>
      <c r="O6212" t="n">
        <v>0</v>
      </c>
      <c r="P6212" t="n">
        <v>0</v>
      </c>
      <c r="Q6212" t="n">
        <v>0</v>
      </c>
      <c r="R6212" s="2" t="inlineStr"/>
    </row>
    <row r="6213" ht="15" customHeight="1">
      <c r="A6213" t="inlineStr">
        <is>
          <t>A 53348-2024</t>
        </is>
      </c>
      <c r="B6213" s="1" t="n">
        <v>45614</v>
      </c>
      <c r="C6213" s="1" t="n">
        <v>45705</v>
      </c>
      <c r="D6213" t="inlineStr">
        <is>
          <t>UPPSALA LÄN</t>
        </is>
      </c>
      <c r="E6213" t="inlineStr">
        <is>
          <t>ENKÖPING</t>
        </is>
      </c>
      <c r="G6213" t="n">
        <v>6.2</v>
      </c>
      <c r="H6213" t="n">
        <v>0</v>
      </c>
      <c r="I6213" t="n">
        <v>0</v>
      </c>
      <c r="J6213" t="n">
        <v>0</v>
      </c>
      <c r="K6213" t="n">
        <v>0</v>
      </c>
      <c r="L6213" t="n">
        <v>0</v>
      </c>
      <c r="M6213" t="n">
        <v>0</v>
      </c>
      <c r="N6213" t="n">
        <v>0</v>
      </c>
      <c r="O6213" t="n">
        <v>0</v>
      </c>
      <c r="P6213" t="n">
        <v>0</v>
      </c>
      <c r="Q6213" t="n">
        <v>0</v>
      </c>
      <c r="R6213" s="2" t="inlineStr"/>
    </row>
    <row r="6214" ht="15" customHeight="1">
      <c r="A6214" t="inlineStr">
        <is>
          <t>A 53266-2024</t>
        </is>
      </c>
      <c r="B6214" s="1" t="n">
        <v>45614</v>
      </c>
      <c r="C6214" s="1" t="n">
        <v>45705</v>
      </c>
      <c r="D6214" t="inlineStr">
        <is>
          <t>UPPSALA LÄN</t>
        </is>
      </c>
      <c r="E6214" t="inlineStr">
        <is>
          <t>UPPSALA</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53859-2024</t>
        </is>
      </c>
      <c r="B6215" s="1" t="n">
        <v>45614</v>
      </c>
      <c r="C6215" s="1" t="n">
        <v>45705</v>
      </c>
      <c r="D6215" t="inlineStr">
        <is>
          <t>UPPSALA LÄN</t>
        </is>
      </c>
      <c r="E6215" t="inlineStr">
        <is>
          <t>HÅBO</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53913-2024</t>
        </is>
      </c>
      <c r="B6216" s="1" t="n">
        <v>45615</v>
      </c>
      <c r="C6216" s="1" t="n">
        <v>45705</v>
      </c>
      <c r="D6216" t="inlineStr">
        <is>
          <t>UPPSALA LÄN</t>
        </is>
      </c>
      <c r="E6216" t="inlineStr">
        <is>
          <t>ÖSTHAMMAR</t>
        </is>
      </c>
      <c r="G6216" t="n">
        <v>6.4</v>
      </c>
      <c r="H6216" t="n">
        <v>0</v>
      </c>
      <c r="I6216" t="n">
        <v>0</v>
      </c>
      <c r="J6216" t="n">
        <v>0</v>
      </c>
      <c r="K6216" t="n">
        <v>0</v>
      </c>
      <c r="L6216" t="n">
        <v>0</v>
      </c>
      <c r="M6216" t="n">
        <v>0</v>
      </c>
      <c r="N6216" t="n">
        <v>0</v>
      </c>
      <c r="O6216" t="n">
        <v>0</v>
      </c>
      <c r="P6216" t="n">
        <v>0</v>
      </c>
      <c r="Q6216" t="n">
        <v>0</v>
      </c>
      <c r="R6216" s="2" t="inlineStr"/>
    </row>
    <row r="6217" ht="15" customHeight="1">
      <c r="A6217" t="inlineStr">
        <is>
          <t>A 53921-2024</t>
        </is>
      </c>
      <c r="B6217" s="1" t="n">
        <v>45615</v>
      </c>
      <c r="C6217" s="1" t="n">
        <v>45705</v>
      </c>
      <c r="D6217" t="inlineStr">
        <is>
          <t>UPPSALA LÄN</t>
        </is>
      </c>
      <c r="E6217" t="inlineStr">
        <is>
          <t>UPPSALA</t>
        </is>
      </c>
      <c r="G6217" t="n">
        <v>8.1</v>
      </c>
      <c r="H6217" t="n">
        <v>0</v>
      </c>
      <c r="I6217" t="n">
        <v>0</v>
      </c>
      <c r="J6217" t="n">
        <v>0</v>
      </c>
      <c r="K6217" t="n">
        <v>0</v>
      </c>
      <c r="L6217" t="n">
        <v>0</v>
      </c>
      <c r="M6217" t="n">
        <v>0</v>
      </c>
      <c r="N6217" t="n">
        <v>0</v>
      </c>
      <c r="O6217" t="n">
        <v>0</v>
      </c>
      <c r="P6217" t="n">
        <v>0</v>
      </c>
      <c r="Q6217" t="n">
        <v>0</v>
      </c>
      <c r="R6217" s="2" t="inlineStr"/>
    </row>
    <row r="6218" ht="15" customHeight="1">
      <c r="A6218" t="inlineStr">
        <is>
          <t>A 54040-2024</t>
        </is>
      </c>
      <c r="B6218" s="1" t="n">
        <v>45616</v>
      </c>
      <c r="C6218" s="1" t="n">
        <v>45705</v>
      </c>
      <c r="D6218" t="inlineStr">
        <is>
          <t>UPPSALA LÄN</t>
        </is>
      </c>
      <c r="E6218" t="inlineStr">
        <is>
          <t>HEBY</t>
        </is>
      </c>
      <c r="G6218" t="n">
        <v>3</v>
      </c>
      <c r="H6218" t="n">
        <v>0</v>
      </c>
      <c r="I6218" t="n">
        <v>0</v>
      </c>
      <c r="J6218" t="n">
        <v>0</v>
      </c>
      <c r="K6218" t="n">
        <v>0</v>
      </c>
      <c r="L6218" t="n">
        <v>0</v>
      </c>
      <c r="M6218" t="n">
        <v>0</v>
      </c>
      <c r="N6218" t="n">
        <v>0</v>
      </c>
      <c r="O6218" t="n">
        <v>0</v>
      </c>
      <c r="P6218" t="n">
        <v>0</v>
      </c>
      <c r="Q6218" t="n">
        <v>0</v>
      </c>
      <c r="R6218" s="2" t="inlineStr"/>
    </row>
    <row r="6219" ht="15" customHeight="1">
      <c r="A6219" t="inlineStr">
        <is>
          <t>A 54204-2024</t>
        </is>
      </c>
      <c r="B6219" s="1" t="n">
        <v>45616</v>
      </c>
      <c r="C6219" s="1" t="n">
        <v>45705</v>
      </c>
      <c r="D6219" t="inlineStr">
        <is>
          <t>UPPSALA LÄN</t>
        </is>
      </c>
      <c r="E6219" t="inlineStr">
        <is>
          <t>ÄLVKARLEBY</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54010-2024</t>
        </is>
      </c>
      <c r="B6220" s="1" t="n">
        <v>45616</v>
      </c>
      <c r="C6220" s="1" t="n">
        <v>45705</v>
      </c>
      <c r="D6220" t="inlineStr">
        <is>
          <t>UPPSALA LÄN</t>
        </is>
      </c>
      <c r="E6220" t="inlineStr">
        <is>
          <t>ENKÖPING</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54299-2024</t>
        </is>
      </c>
      <c r="B6221" s="1" t="n">
        <v>45617</v>
      </c>
      <c r="C6221" s="1" t="n">
        <v>45705</v>
      </c>
      <c r="D6221" t="inlineStr">
        <is>
          <t>UPPSALA LÄN</t>
        </is>
      </c>
      <c r="E6221" t="inlineStr">
        <is>
          <t>TIERP</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54311-2024</t>
        </is>
      </c>
      <c r="B6222" s="1" t="n">
        <v>45617</v>
      </c>
      <c r="C6222" s="1" t="n">
        <v>45705</v>
      </c>
      <c r="D6222" t="inlineStr">
        <is>
          <t>UPPSALA LÄN</t>
        </is>
      </c>
      <c r="E6222" t="inlineStr">
        <is>
          <t>KNIVSTA</t>
        </is>
      </c>
      <c r="G6222" t="n">
        <v>7.1</v>
      </c>
      <c r="H6222" t="n">
        <v>0</v>
      </c>
      <c r="I6222" t="n">
        <v>0</v>
      </c>
      <c r="J6222" t="n">
        <v>0</v>
      </c>
      <c r="K6222" t="n">
        <v>0</v>
      </c>
      <c r="L6222" t="n">
        <v>0</v>
      </c>
      <c r="M6222" t="n">
        <v>0</v>
      </c>
      <c r="N6222" t="n">
        <v>0</v>
      </c>
      <c r="O6222" t="n">
        <v>0</v>
      </c>
      <c r="P6222" t="n">
        <v>0</v>
      </c>
      <c r="Q6222" t="n">
        <v>0</v>
      </c>
      <c r="R6222" s="2" t="inlineStr"/>
    </row>
    <row r="6223" ht="15" customHeight="1">
      <c r="A6223" t="inlineStr">
        <is>
          <t>A 54310-2024</t>
        </is>
      </c>
      <c r="B6223" s="1" t="n">
        <v>45617</v>
      </c>
      <c r="C6223" s="1" t="n">
        <v>45705</v>
      </c>
      <c r="D6223" t="inlineStr">
        <is>
          <t>UPPSALA LÄN</t>
        </is>
      </c>
      <c r="E6223" t="inlineStr">
        <is>
          <t>KNIVSTA</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54308-2024</t>
        </is>
      </c>
      <c r="B6224" s="1" t="n">
        <v>45617</v>
      </c>
      <c r="C6224" s="1" t="n">
        <v>45705</v>
      </c>
      <c r="D6224" t="inlineStr">
        <is>
          <t>UPPSALA LÄN</t>
        </is>
      </c>
      <c r="E6224" t="inlineStr">
        <is>
          <t>KNIVSTA</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54397-2024</t>
        </is>
      </c>
      <c r="B6225" s="1" t="n">
        <v>45617</v>
      </c>
      <c r="C6225" s="1" t="n">
        <v>45705</v>
      </c>
      <c r="D6225" t="inlineStr">
        <is>
          <t>UPPSALA LÄN</t>
        </is>
      </c>
      <c r="E6225" t="inlineStr">
        <is>
          <t>ÖSTHAMMAR</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54402-2024</t>
        </is>
      </c>
      <c r="B6226" s="1" t="n">
        <v>45617</v>
      </c>
      <c r="C6226" s="1" t="n">
        <v>45705</v>
      </c>
      <c r="D6226" t="inlineStr">
        <is>
          <t>UPPSALA LÄN</t>
        </is>
      </c>
      <c r="E6226" t="inlineStr">
        <is>
          <t>ÖSTHAMMAR</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54594-2024</t>
        </is>
      </c>
      <c r="B6227" s="1" t="n">
        <v>45617</v>
      </c>
      <c r="C6227" s="1" t="n">
        <v>45705</v>
      </c>
      <c r="D6227" t="inlineStr">
        <is>
          <t>UPPSALA LÄN</t>
        </is>
      </c>
      <c r="E6227" t="inlineStr">
        <is>
          <t>HEBY</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54368-2024</t>
        </is>
      </c>
      <c r="B6228" s="1" t="n">
        <v>45617</v>
      </c>
      <c r="C6228" s="1" t="n">
        <v>45705</v>
      </c>
      <c r="D6228" t="inlineStr">
        <is>
          <t>UPPSALA LÄN</t>
        </is>
      </c>
      <c r="E6228" t="inlineStr">
        <is>
          <t>HEBY</t>
        </is>
      </c>
      <c r="F6228" t="inlineStr">
        <is>
          <t>Allmännings- och besparingsskogar</t>
        </is>
      </c>
      <c r="G6228" t="n">
        <v>13.9</v>
      </c>
      <c r="H6228" t="n">
        <v>0</v>
      </c>
      <c r="I6228" t="n">
        <v>0</v>
      </c>
      <c r="J6228" t="n">
        <v>0</v>
      </c>
      <c r="K6228" t="n">
        <v>0</v>
      </c>
      <c r="L6228" t="n">
        <v>0</v>
      </c>
      <c r="M6228" t="n">
        <v>0</v>
      </c>
      <c r="N6228" t="n">
        <v>0</v>
      </c>
      <c r="O6228" t="n">
        <v>0</v>
      </c>
      <c r="P6228" t="n">
        <v>0</v>
      </c>
      <c r="Q6228" t="n">
        <v>0</v>
      </c>
      <c r="R6228" s="2" t="inlineStr"/>
    </row>
    <row r="6229" ht="15" customHeight="1">
      <c r="A6229" t="inlineStr">
        <is>
          <t>A 54512-2024</t>
        </is>
      </c>
      <c r="B6229" s="1" t="n">
        <v>45617</v>
      </c>
      <c r="C6229" s="1" t="n">
        <v>45705</v>
      </c>
      <c r="D6229" t="inlineStr">
        <is>
          <t>UPPSALA LÄN</t>
        </is>
      </c>
      <c r="E6229" t="inlineStr">
        <is>
          <t>UPPSALA</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54588-2024</t>
        </is>
      </c>
      <c r="B6230" s="1" t="n">
        <v>45617</v>
      </c>
      <c r="C6230" s="1" t="n">
        <v>45705</v>
      </c>
      <c r="D6230" t="inlineStr">
        <is>
          <t>UPPSALA LÄN</t>
        </is>
      </c>
      <c r="E6230" t="inlineStr">
        <is>
          <t>ENKÖPING</t>
        </is>
      </c>
      <c r="G6230" t="n">
        <v>3.7</v>
      </c>
      <c r="H6230" t="n">
        <v>0</v>
      </c>
      <c r="I6230" t="n">
        <v>0</v>
      </c>
      <c r="J6230" t="n">
        <v>0</v>
      </c>
      <c r="K6230" t="n">
        <v>0</v>
      </c>
      <c r="L6230" t="n">
        <v>0</v>
      </c>
      <c r="M6230" t="n">
        <v>0</v>
      </c>
      <c r="N6230" t="n">
        <v>0</v>
      </c>
      <c r="O6230" t="n">
        <v>0</v>
      </c>
      <c r="P6230" t="n">
        <v>0</v>
      </c>
      <c r="Q6230" t="n">
        <v>0</v>
      </c>
      <c r="R6230" s="2" t="inlineStr"/>
    </row>
    <row r="6231" ht="15" customHeight="1">
      <c r="A6231" t="inlineStr">
        <is>
          <t>A 54437-2024</t>
        </is>
      </c>
      <c r="B6231" s="1" t="n">
        <v>45617</v>
      </c>
      <c r="C6231" s="1" t="n">
        <v>45705</v>
      </c>
      <c r="D6231" t="inlineStr">
        <is>
          <t>UPPSALA LÄN</t>
        </is>
      </c>
      <c r="E6231" t="inlineStr">
        <is>
          <t>ÖSTHAMMAR</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54449-2024</t>
        </is>
      </c>
      <c r="B6232" s="1" t="n">
        <v>45617</v>
      </c>
      <c r="C6232" s="1" t="n">
        <v>45705</v>
      </c>
      <c r="D6232" t="inlineStr">
        <is>
          <t>UPPSALA LÄN</t>
        </is>
      </c>
      <c r="E6232" t="inlineStr">
        <is>
          <t>TIERP</t>
        </is>
      </c>
      <c r="G6232" t="n">
        <v>8.5</v>
      </c>
      <c r="H6232" t="n">
        <v>0</v>
      </c>
      <c r="I6232" t="n">
        <v>0</v>
      </c>
      <c r="J6232" t="n">
        <v>0</v>
      </c>
      <c r="K6232" t="n">
        <v>0</v>
      </c>
      <c r="L6232" t="n">
        <v>0</v>
      </c>
      <c r="M6232" t="n">
        <v>0</v>
      </c>
      <c r="N6232" t="n">
        <v>0</v>
      </c>
      <c r="O6232" t="n">
        <v>0</v>
      </c>
      <c r="P6232" t="n">
        <v>0</v>
      </c>
      <c r="Q6232" t="n">
        <v>0</v>
      </c>
      <c r="R6232" s="2" t="inlineStr"/>
    </row>
    <row r="6233" ht="15" customHeight="1">
      <c r="A6233" t="inlineStr">
        <is>
          <t>A 54469-2024</t>
        </is>
      </c>
      <c r="B6233" s="1" t="n">
        <v>45617</v>
      </c>
      <c r="C6233" s="1" t="n">
        <v>45705</v>
      </c>
      <c r="D6233" t="inlineStr">
        <is>
          <t>UPPSALA LÄN</t>
        </is>
      </c>
      <c r="E6233" t="inlineStr">
        <is>
          <t>TIERP</t>
        </is>
      </c>
      <c r="F6233" t="inlineStr">
        <is>
          <t>Bergvik skog öst AB</t>
        </is>
      </c>
      <c r="G6233" t="n">
        <v>12.4</v>
      </c>
      <c r="H6233" t="n">
        <v>0</v>
      </c>
      <c r="I6233" t="n">
        <v>0</v>
      </c>
      <c r="J6233" t="n">
        <v>0</v>
      </c>
      <c r="K6233" t="n">
        <v>0</v>
      </c>
      <c r="L6233" t="n">
        <v>0</v>
      </c>
      <c r="M6233" t="n">
        <v>0</v>
      </c>
      <c r="N6233" t="n">
        <v>0</v>
      </c>
      <c r="O6233" t="n">
        <v>0</v>
      </c>
      <c r="P6233" t="n">
        <v>0</v>
      </c>
      <c r="Q6233" t="n">
        <v>0</v>
      </c>
      <c r="R6233" s="2" t="inlineStr"/>
    </row>
    <row r="6234" ht="15" customHeight="1">
      <c r="A6234" t="inlineStr">
        <is>
          <t>A 54924-2024</t>
        </is>
      </c>
      <c r="B6234" s="1" t="n">
        <v>45618</v>
      </c>
      <c r="C6234" s="1" t="n">
        <v>45705</v>
      </c>
      <c r="D6234" t="inlineStr">
        <is>
          <t>UPPSALA LÄN</t>
        </is>
      </c>
      <c r="E6234" t="inlineStr">
        <is>
          <t>UPPSALA</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54753-2024</t>
        </is>
      </c>
      <c r="B6235" s="1" t="n">
        <v>45618</v>
      </c>
      <c r="C6235" s="1" t="n">
        <v>45705</v>
      </c>
      <c r="D6235" t="inlineStr">
        <is>
          <t>UPPSALA LÄN</t>
        </is>
      </c>
      <c r="E6235" t="inlineStr">
        <is>
          <t>TIERP</t>
        </is>
      </c>
      <c r="F6235" t="inlineStr">
        <is>
          <t>Bergvik skog öst AB</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54770-2024</t>
        </is>
      </c>
      <c r="B6236" s="1" t="n">
        <v>45618</v>
      </c>
      <c r="C6236" s="1" t="n">
        <v>45705</v>
      </c>
      <c r="D6236" t="inlineStr">
        <is>
          <t>UPPSALA LÄN</t>
        </is>
      </c>
      <c r="E6236" t="inlineStr">
        <is>
          <t>TIERP</t>
        </is>
      </c>
      <c r="F6236" t="inlineStr">
        <is>
          <t>Bergvik skog öst AB</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54759-2024</t>
        </is>
      </c>
      <c r="B6237" s="1" t="n">
        <v>45618</v>
      </c>
      <c r="C6237" s="1" t="n">
        <v>45705</v>
      </c>
      <c r="D6237" t="inlineStr">
        <is>
          <t>UPPSALA LÄN</t>
        </is>
      </c>
      <c r="E6237" t="inlineStr">
        <is>
          <t>ÖSTHAMMAR</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54934-2024</t>
        </is>
      </c>
      <c r="B6238" s="1" t="n">
        <v>45618</v>
      </c>
      <c r="C6238" s="1" t="n">
        <v>45705</v>
      </c>
      <c r="D6238" t="inlineStr">
        <is>
          <t>UPPSALA LÄN</t>
        </is>
      </c>
      <c r="E6238" t="inlineStr">
        <is>
          <t>ÖSTHAMMAR</t>
        </is>
      </c>
      <c r="F6238" t="inlineStr">
        <is>
          <t>Bergvik skog öst AB</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54776-2024</t>
        </is>
      </c>
      <c r="B6239" s="1" t="n">
        <v>45618</v>
      </c>
      <c r="C6239" s="1" t="n">
        <v>45705</v>
      </c>
      <c r="D6239" t="inlineStr">
        <is>
          <t>UPPSALA LÄN</t>
        </is>
      </c>
      <c r="E6239" t="inlineStr">
        <is>
          <t>ENKÖPING</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54935-2024</t>
        </is>
      </c>
      <c r="B6240" s="1" t="n">
        <v>45618</v>
      </c>
      <c r="C6240" s="1" t="n">
        <v>45705</v>
      </c>
      <c r="D6240" t="inlineStr">
        <is>
          <t>UPPSALA LÄN</t>
        </is>
      </c>
      <c r="E6240" t="inlineStr">
        <is>
          <t>ÖSTHAMMAR</t>
        </is>
      </c>
      <c r="F6240" t="inlineStr">
        <is>
          <t>Bergvik skog öst AB</t>
        </is>
      </c>
      <c r="G6240" t="n">
        <v>13.4</v>
      </c>
      <c r="H6240" t="n">
        <v>0</v>
      </c>
      <c r="I6240" t="n">
        <v>0</v>
      </c>
      <c r="J6240" t="n">
        <v>0</v>
      </c>
      <c r="K6240" t="n">
        <v>0</v>
      </c>
      <c r="L6240" t="n">
        <v>0</v>
      </c>
      <c r="M6240" t="n">
        <v>0</v>
      </c>
      <c r="N6240" t="n">
        <v>0</v>
      </c>
      <c r="O6240" t="n">
        <v>0</v>
      </c>
      <c r="P6240" t="n">
        <v>0</v>
      </c>
      <c r="Q6240" t="n">
        <v>0</v>
      </c>
      <c r="R6240" s="2" t="inlineStr"/>
    </row>
    <row r="6241" ht="15" customHeight="1">
      <c r="A6241" t="inlineStr">
        <is>
          <t>A 55277-2024</t>
        </is>
      </c>
      <c r="B6241" s="1" t="n">
        <v>45621</v>
      </c>
      <c r="C6241" s="1" t="n">
        <v>45705</v>
      </c>
      <c r="D6241" t="inlineStr">
        <is>
          <t>UPPSALA LÄN</t>
        </is>
      </c>
      <c r="E6241" t="inlineStr">
        <is>
          <t>TIERP</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55139-2024</t>
        </is>
      </c>
      <c r="B6242" s="1" t="n">
        <v>45621</v>
      </c>
      <c r="C6242" s="1" t="n">
        <v>45705</v>
      </c>
      <c r="D6242" t="inlineStr">
        <is>
          <t>UPPSALA LÄN</t>
        </is>
      </c>
      <c r="E6242" t="inlineStr">
        <is>
          <t>ÄLVKARLEBY</t>
        </is>
      </c>
      <c r="F6242" t="inlineStr">
        <is>
          <t>Bergvik skog väst AB</t>
        </is>
      </c>
      <c r="G6242" t="n">
        <v>10.4</v>
      </c>
      <c r="H6242" t="n">
        <v>0</v>
      </c>
      <c r="I6242" t="n">
        <v>0</v>
      </c>
      <c r="J6242" t="n">
        <v>0</v>
      </c>
      <c r="K6242" t="n">
        <v>0</v>
      </c>
      <c r="L6242" t="n">
        <v>0</v>
      </c>
      <c r="M6242" t="n">
        <v>0</v>
      </c>
      <c r="N6242" t="n">
        <v>0</v>
      </c>
      <c r="O6242" t="n">
        <v>0</v>
      </c>
      <c r="P6242" t="n">
        <v>0</v>
      </c>
      <c r="Q6242" t="n">
        <v>0</v>
      </c>
      <c r="R6242" s="2" t="inlineStr"/>
    </row>
    <row r="6243" ht="15" customHeight="1">
      <c r="A6243" t="inlineStr">
        <is>
          <t>A 55261-2024</t>
        </is>
      </c>
      <c r="B6243" s="1" t="n">
        <v>45621</v>
      </c>
      <c r="C6243" s="1" t="n">
        <v>45705</v>
      </c>
      <c r="D6243" t="inlineStr">
        <is>
          <t>UPPSALA LÄN</t>
        </is>
      </c>
      <c r="E6243" t="inlineStr">
        <is>
          <t>HEBY</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55093-2024</t>
        </is>
      </c>
      <c r="B6244" s="1" t="n">
        <v>45621</v>
      </c>
      <c r="C6244" s="1" t="n">
        <v>45705</v>
      </c>
      <c r="D6244" t="inlineStr">
        <is>
          <t>UPPSALA LÄN</t>
        </is>
      </c>
      <c r="E6244" t="inlineStr">
        <is>
          <t>ÖSTHAMMAR</t>
        </is>
      </c>
      <c r="F6244" t="inlineStr">
        <is>
          <t>Sveaskog</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55097-2024</t>
        </is>
      </c>
      <c r="B6245" s="1" t="n">
        <v>45621</v>
      </c>
      <c r="C6245" s="1" t="n">
        <v>45705</v>
      </c>
      <c r="D6245" t="inlineStr">
        <is>
          <t>UPPSALA LÄN</t>
        </is>
      </c>
      <c r="E6245" t="inlineStr">
        <is>
          <t>ÖSTHAMMAR</t>
        </is>
      </c>
      <c r="F6245" t="inlineStr">
        <is>
          <t>Sveaskog</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55100-2024</t>
        </is>
      </c>
      <c r="B6246" s="1" t="n">
        <v>45621</v>
      </c>
      <c r="C6246" s="1" t="n">
        <v>45705</v>
      </c>
      <c r="D6246" t="inlineStr">
        <is>
          <t>UPPSALA LÄN</t>
        </is>
      </c>
      <c r="E6246" t="inlineStr">
        <is>
          <t>ÖSTHAMMAR</t>
        </is>
      </c>
      <c r="F6246" t="inlineStr">
        <is>
          <t>Sveaskog</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55055-2024</t>
        </is>
      </c>
      <c r="B6247" s="1" t="n">
        <v>45621</v>
      </c>
      <c r="C6247" s="1" t="n">
        <v>45705</v>
      </c>
      <c r="D6247" t="inlineStr">
        <is>
          <t>UPPSALA LÄN</t>
        </is>
      </c>
      <c r="E6247" t="inlineStr">
        <is>
          <t>HEBY</t>
        </is>
      </c>
      <c r="G6247" t="n">
        <v>6.3</v>
      </c>
      <c r="H6247" t="n">
        <v>0</v>
      </c>
      <c r="I6247" t="n">
        <v>0</v>
      </c>
      <c r="J6247" t="n">
        <v>0</v>
      </c>
      <c r="K6247" t="n">
        <v>0</v>
      </c>
      <c r="L6247" t="n">
        <v>0</v>
      </c>
      <c r="M6247" t="n">
        <v>0</v>
      </c>
      <c r="N6247" t="n">
        <v>0</v>
      </c>
      <c r="O6247" t="n">
        <v>0</v>
      </c>
      <c r="P6247" t="n">
        <v>0</v>
      </c>
      <c r="Q6247" t="n">
        <v>0</v>
      </c>
      <c r="R6247" s="2" t="inlineStr"/>
    </row>
    <row r="6248" ht="15" customHeight="1">
      <c r="A6248" t="inlineStr">
        <is>
          <t>A 55234-2024</t>
        </is>
      </c>
      <c r="B6248" s="1" t="n">
        <v>45621</v>
      </c>
      <c r="C6248" s="1" t="n">
        <v>45705</v>
      </c>
      <c r="D6248" t="inlineStr">
        <is>
          <t>UPPSALA LÄN</t>
        </is>
      </c>
      <c r="E6248" t="inlineStr">
        <is>
          <t>TIERP</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55086-2024</t>
        </is>
      </c>
      <c r="B6249" s="1" t="n">
        <v>45621</v>
      </c>
      <c r="C6249" s="1" t="n">
        <v>45705</v>
      </c>
      <c r="D6249" t="inlineStr">
        <is>
          <t>UPPSALA LÄN</t>
        </is>
      </c>
      <c r="E6249" t="inlineStr">
        <is>
          <t>ÖSTHAMMAR</t>
        </is>
      </c>
      <c r="F6249" t="inlineStr">
        <is>
          <t>Sveaskog</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55090-2024</t>
        </is>
      </c>
      <c r="B6250" s="1" t="n">
        <v>45621</v>
      </c>
      <c r="C6250" s="1" t="n">
        <v>45705</v>
      </c>
      <c r="D6250" t="inlineStr">
        <is>
          <t>UPPSALA LÄN</t>
        </is>
      </c>
      <c r="E6250" t="inlineStr">
        <is>
          <t>ÖSTHAMMAR</t>
        </is>
      </c>
      <c r="F6250" t="inlineStr">
        <is>
          <t>Sveaskog</t>
        </is>
      </c>
      <c r="G6250" t="n">
        <v>4.4</v>
      </c>
      <c r="H6250" t="n">
        <v>0</v>
      </c>
      <c r="I6250" t="n">
        <v>0</v>
      </c>
      <c r="J6250" t="n">
        <v>0</v>
      </c>
      <c r="K6250" t="n">
        <v>0</v>
      </c>
      <c r="L6250" t="n">
        <v>0</v>
      </c>
      <c r="M6250" t="n">
        <v>0</v>
      </c>
      <c r="N6250" t="n">
        <v>0</v>
      </c>
      <c r="O6250" t="n">
        <v>0</v>
      </c>
      <c r="P6250" t="n">
        <v>0</v>
      </c>
      <c r="Q6250" t="n">
        <v>0</v>
      </c>
      <c r="R6250" s="2" t="inlineStr"/>
    </row>
    <row r="6251" ht="15" customHeight="1">
      <c r="A6251" t="inlineStr">
        <is>
          <t>A 55079-2024</t>
        </is>
      </c>
      <c r="B6251" s="1" t="n">
        <v>45621</v>
      </c>
      <c r="C6251" s="1" t="n">
        <v>45705</v>
      </c>
      <c r="D6251" t="inlineStr">
        <is>
          <t>UPPSALA LÄN</t>
        </is>
      </c>
      <c r="E6251" t="inlineStr">
        <is>
          <t>ÖSTHAMMAR</t>
        </is>
      </c>
      <c r="F6251" t="inlineStr">
        <is>
          <t>Sveaskog</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55471-2024</t>
        </is>
      </c>
      <c r="B6252" s="1" t="n">
        <v>45622</v>
      </c>
      <c r="C6252" s="1" t="n">
        <v>45705</v>
      </c>
      <c r="D6252" t="inlineStr">
        <is>
          <t>UPPSALA LÄN</t>
        </is>
      </c>
      <c r="E6252" t="inlineStr">
        <is>
          <t>HEBY</t>
        </is>
      </c>
      <c r="G6252" t="n">
        <v>7.8</v>
      </c>
      <c r="H6252" t="n">
        <v>0</v>
      </c>
      <c r="I6252" t="n">
        <v>0</v>
      </c>
      <c r="J6252" t="n">
        <v>0</v>
      </c>
      <c r="K6252" t="n">
        <v>0</v>
      </c>
      <c r="L6252" t="n">
        <v>0</v>
      </c>
      <c r="M6252" t="n">
        <v>0</v>
      </c>
      <c r="N6252" t="n">
        <v>0</v>
      </c>
      <c r="O6252" t="n">
        <v>0</v>
      </c>
      <c r="P6252" t="n">
        <v>0</v>
      </c>
      <c r="Q6252" t="n">
        <v>0</v>
      </c>
      <c r="R6252" s="2" t="inlineStr"/>
    </row>
    <row r="6253" ht="15" customHeight="1">
      <c r="A6253" t="inlineStr">
        <is>
          <t>A 55473-2024</t>
        </is>
      </c>
      <c r="B6253" s="1" t="n">
        <v>45622</v>
      </c>
      <c r="C6253" s="1" t="n">
        <v>45705</v>
      </c>
      <c r="D6253" t="inlineStr">
        <is>
          <t>UPPSALA LÄN</t>
        </is>
      </c>
      <c r="E6253" t="inlineStr">
        <is>
          <t>HEBY</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55547-2024</t>
        </is>
      </c>
      <c r="B6254" s="1" t="n">
        <v>45622</v>
      </c>
      <c r="C6254" s="1" t="n">
        <v>45705</v>
      </c>
      <c r="D6254" t="inlineStr">
        <is>
          <t>UPPSALA LÄN</t>
        </is>
      </c>
      <c r="E6254" t="inlineStr">
        <is>
          <t>ÄLVKARLEBY</t>
        </is>
      </c>
      <c r="F6254" t="inlineStr">
        <is>
          <t>Bergvik skog väst AB</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55555-2024</t>
        </is>
      </c>
      <c r="B6255" s="1" t="n">
        <v>45622</v>
      </c>
      <c r="C6255" s="1" t="n">
        <v>45705</v>
      </c>
      <c r="D6255" t="inlineStr">
        <is>
          <t>UPPSALA LÄN</t>
        </is>
      </c>
      <c r="E6255" t="inlineStr">
        <is>
          <t>ÄLVKARLEBY</t>
        </is>
      </c>
      <c r="F6255" t="inlineStr">
        <is>
          <t>Bergvik skog väst AB</t>
        </is>
      </c>
      <c r="G6255" t="n">
        <v>0.7</v>
      </c>
      <c r="H6255" t="n">
        <v>0</v>
      </c>
      <c r="I6255" t="n">
        <v>0</v>
      </c>
      <c r="J6255" t="n">
        <v>0</v>
      </c>
      <c r="K6255" t="n">
        <v>0</v>
      </c>
      <c r="L6255" t="n">
        <v>0</v>
      </c>
      <c r="M6255" t="n">
        <v>0</v>
      </c>
      <c r="N6255" t="n">
        <v>0</v>
      </c>
      <c r="O6255" t="n">
        <v>0</v>
      </c>
      <c r="P6255" t="n">
        <v>0</v>
      </c>
      <c r="Q6255" t="n">
        <v>0</v>
      </c>
      <c r="R6255" s="2" t="inlineStr"/>
      <c r="U6255">
        <f>HYPERLINK("https://klasma.github.io/Logging_0319/knärot/A 55555-2024 karta knärot.png", "A 55555-2024")</f>
        <v/>
      </c>
      <c r="V6255">
        <f>HYPERLINK("https://klasma.github.io/Logging_0319/klagomål/A 55555-2024 FSC-klagomål.docx", "A 55555-2024")</f>
        <v/>
      </c>
      <c r="W6255">
        <f>HYPERLINK("https://klasma.github.io/Logging_0319/klagomålsmail/A 55555-2024 FSC-klagomål mail.docx", "A 55555-2024")</f>
        <v/>
      </c>
      <c r="X6255">
        <f>HYPERLINK("https://klasma.github.io/Logging_0319/tillsyn/A 55555-2024 tillsynsbegäran.docx", "A 55555-2024")</f>
        <v/>
      </c>
      <c r="Y6255">
        <f>HYPERLINK("https://klasma.github.io/Logging_0319/tillsynsmail/A 55555-2024 tillsynsbegäran mail.docx", "A 55555-2024")</f>
        <v/>
      </c>
    </row>
    <row r="6256" ht="15" customHeight="1">
      <c r="A6256" t="inlineStr">
        <is>
          <t>A 55678-2024</t>
        </is>
      </c>
      <c r="B6256" s="1" t="n">
        <v>45622</v>
      </c>
      <c r="C6256" s="1" t="n">
        <v>45705</v>
      </c>
      <c r="D6256" t="inlineStr">
        <is>
          <t>UPPSALA LÄN</t>
        </is>
      </c>
      <c r="E6256" t="inlineStr">
        <is>
          <t>TIERP</t>
        </is>
      </c>
      <c r="G6256" t="n">
        <v>8.4</v>
      </c>
      <c r="H6256" t="n">
        <v>0</v>
      </c>
      <c r="I6256" t="n">
        <v>0</v>
      </c>
      <c r="J6256" t="n">
        <v>0</v>
      </c>
      <c r="K6256" t="n">
        <v>0</v>
      </c>
      <c r="L6256" t="n">
        <v>0</v>
      </c>
      <c r="M6256" t="n">
        <v>0</v>
      </c>
      <c r="N6256" t="n">
        <v>0</v>
      </c>
      <c r="O6256" t="n">
        <v>0</v>
      </c>
      <c r="P6256" t="n">
        <v>0</v>
      </c>
      <c r="Q6256" t="n">
        <v>0</v>
      </c>
      <c r="R6256" s="2" t="inlineStr"/>
    </row>
    <row r="6257" ht="15" customHeight="1">
      <c r="A6257" t="inlineStr">
        <is>
          <t>A 55560-2024</t>
        </is>
      </c>
      <c r="B6257" s="1" t="n">
        <v>45622</v>
      </c>
      <c r="C6257" s="1" t="n">
        <v>45705</v>
      </c>
      <c r="D6257" t="inlineStr">
        <is>
          <t>UPPSALA LÄN</t>
        </is>
      </c>
      <c r="E6257" t="inlineStr">
        <is>
          <t>ÄLVKARLEBY</t>
        </is>
      </c>
      <c r="F6257" t="inlineStr">
        <is>
          <t>Bergvik skog väst AB</t>
        </is>
      </c>
      <c r="G6257" t="n">
        <v>1</v>
      </c>
      <c r="H6257" t="n">
        <v>0</v>
      </c>
      <c r="I6257" t="n">
        <v>0</v>
      </c>
      <c r="J6257" t="n">
        <v>0</v>
      </c>
      <c r="K6257" t="n">
        <v>0</v>
      </c>
      <c r="L6257" t="n">
        <v>0</v>
      </c>
      <c r="M6257" t="n">
        <v>0</v>
      </c>
      <c r="N6257" t="n">
        <v>0</v>
      </c>
      <c r="O6257" t="n">
        <v>0</v>
      </c>
      <c r="P6257" t="n">
        <v>0</v>
      </c>
      <c r="Q6257" t="n">
        <v>0</v>
      </c>
      <c r="R6257" s="2" t="inlineStr"/>
      <c r="U6257">
        <f>HYPERLINK("https://klasma.github.io/Logging_0319/knärot/A 55560-2024 karta knärot.png", "A 55560-2024")</f>
        <v/>
      </c>
      <c r="V6257">
        <f>HYPERLINK("https://klasma.github.io/Logging_0319/klagomål/A 55560-2024 FSC-klagomål.docx", "A 55560-2024")</f>
        <v/>
      </c>
      <c r="W6257">
        <f>HYPERLINK("https://klasma.github.io/Logging_0319/klagomålsmail/A 55560-2024 FSC-klagomål mail.docx", "A 55560-2024")</f>
        <v/>
      </c>
      <c r="X6257">
        <f>HYPERLINK("https://klasma.github.io/Logging_0319/tillsyn/A 55560-2024 tillsynsbegäran.docx", "A 55560-2024")</f>
        <v/>
      </c>
      <c r="Y6257">
        <f>HYPERLINK("https://klasma.github.io/Logging_0319/tillsynsmail/A 55560-2024 tillsynsbegäran mail.docx", "A 55560-2024")</f>
        <v/>
      </c>
    </row>
    <row r="6258" ht="15" customHeight="1">
      <c r="A6258" t="inlineStr">
        <is>
          <t>A 55578-2024</t>
        </is>
      </c>
      <c r="B6258" s="1" t="n">
        <v>45622</v>
      </c>
      <c r="C6258" s="1" t="n">
        <v>45705</v>
      </c>
      <c r="D6258" t="inlineStr">
        <is>
          <t>UPPSALA LÄN</t>
        </is>
      </c>
      <c r="E6258" t="inlineStr">
        <is>
          <t>ÄLVKARLEBY</t>
        </is>
      </c>
      <c r="F6258" t="inlineStr">
        <is>
          <t>Bergvik skog väst AB</t>
        </is>
      </c>
      <c r="G6258" t="n">
        <v>5.8</v>
      </c>
      <c r="H6258" t="n">
        <v>0</v>
      </c>
      <c r="I6258" t="n">
        <v>0</v>
      </c>
      <c r="J6258" t="n">
        <v>0</v>
      </c>
      <c r="K6258" t="n">
        <v>0</v>
      </c>
      <c r="L6258" t="n">
        <v>0</v>
      </c>
      <c r="M6258" t="n">
        <v>0</v>
      </c>
      <c r="N6258" t="n">
        <v>0</v>
      </c>
      <c r="O6258" t="n">
        <v>0</v>
      </c>
      <c r="P6258" t="n">
        <v>0</v>
      </c>
      <c r="Q6258" t="n">
        <v>0</v>
      </c>
      <c r="R6258" s="2" t="inlineStr"/>
    </row>
    <row r="6259" ht="15" customHeight="1">
      <c r="A6259" t="inlineStr">
        <is>
          <t>A 55632-2024</t>
        </is>
      </c>
      <c r="B6259" s="1" t="n">
        <v>45622</v>
      </c>
      <c r="C6259" s="1" t="n">
        <v>45705</v>
      </c>
      <c r="D6259" t="inlineStr">
        <is>
          <t>UPPSALA LÄN</t>
        </is>
      </c>
      <c r="E6259" t="inlineStr">
        <is>
          <t>TIERP</t>
        </is>
      </c>
      <c r="G6259" t="n">
        <v>5.7</v>
      </c>
      <c r="H6259" t="n">
        <v>0</v>
      </c>
      <c r="I6259" t="n">
        <v>0</v>
      </c>
      <c r="J6259" t="n">
        <v>0</v>
      </c>
      <c r="K6259" t="n">
        <v>0</v>
      </c>
      <c r="L6259" t="n">
        <v>0</v>
      </c>
      <c r="M6259" t="n">
        <v>0</v>
      </c>
      <c r="N6259" t="n">
        <v>0</v>
      </c>
      <c r="O6259" t="n">
        <v>0</v>
      </c>
      <c r="P6259" t="n">
        <v>0</v>
      </c>
      <c r="Q6259" t="n">
        <v>0</v>
      </c>
      <c r="R6259" s="2" t="inlineStr"/>
    </row>
    <row r="6260" ht="15" customHeight="1">
      <c r="A6260" t="inlineStr">
        <is>
          <t>A 55644-2024</t>
        </is>
      </c>
      <c r="B6260" s="1" t="n">
        <v>45622</v>
      </c>
      <c r="C6260" s="1" t="n">
        <v>45705</v>
      </c>
      <c r="D6260" t="inlineStr">
        <is>
          <t>UPPSALA LÄN</t>
        </is>
      </c>
      <c r="E6260" t="inlineStr">
        <is>
          <t>HEBY</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55688-2024</t>
        </is>
      </c>
      <c r="B6261" s="1" t="n">
        <v>45622</v>
      </c>
      <c r="C6261" s="1" t="n">
        <v>45705</v>
      </c>
      <c r="D6261" t="inlineStr">
        <is>
          <t>UPPSALA LÄN</t>
        </is>
      </c>
      <c r="E6261" t="inlineStr">
        <is>
          <t>TIERP</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55627-2024</t>
        </is>
      </c>
      <c r="B6262" s="1" t="n">
        <v>45622</v>
      </c>
      <c r="C6262" s="1" t="n">
        <v>45705</v>
      </c>
      <c r="D6262" t="inlineStr">
        <is>
          <t>UPPSALA LÄN</t>
        </is>
      </c>
      <c r="E6262" t="inlineStr">
        <is>
          <t>TIERP</t>
        </is>
      </c>
      <c r="F6262" t="inlineStr">
        <is>
          <t>Bergvik skog väst AB</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55780-2024</t>
        </is>
      </c>
      <c r="B6263" s="1" t="n">
        <v>45623</v>
      </c>
      <c r="C6263" s="1" t="n">
        <v>45705</v>
      </c>
      <c r="D6263" t="inlineStr">
        <is>
          <t>UPPSALA LÄN</t>
        </is>
      </c>
      <c r="E6263" t="inlineStr">
        <is>
          <t>TIERP</t>
        </is>
      </c>
      <c r="G6263" t="n">
        <v>5.2</v>
      </c>
      <c r="H6263" t="n">
        <v>0</v>
      </c>
      <c r="I6263" t="n">
        <v>0</v>
      </c>
      <c r="J6263" t="n">
        <v>0</v>
      </c>
      <c r="K6263" t="n">
        <v>0</v>
      </c>
      <c r="L6263" t="n">
        <v>0</v>
      </c>
      <c r="M6263" t="n">
        <v>0</v>
      </c>
      <c r="N6263" t="n">
        <v>0</v>
      </c>
      <c r="O6263" t="n">
        <v>0</v>
      </c>
      <c r="P6263" t="n">
        <v>0</v>
      </c>
      <c r="Q6263" t="n">
        <v>0</v>
      </c>
      <c r="R6263" s="2" t="inlineStr"/>
    </row>
    <row r="6264" ht="15" customHeight="1">
      <c r="A6264" t="inlineStr">
        <is>
          <t>A 55863-2024</t>
        </is>
      </c>
      <c r="B6264" s="1" t="n">
        <v>45623</v>
      </c>
      <c r="C6264" s="1" t="n">
        <v>45705</v>
      </c>
      <c r="D6264" t="inlineStr">
        <is>
          <t>UPPSALA LÄN</t>
        </is>
      </c>
      <c r="E6264" t="inlineStr">
        <is>
          <t>ENKÖPING</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55816-2024</t>
        </is>
      </c>
      <c r="B6265" s="1" t="n">
        <v>45623</v>
      </c>
      <c r="C6265" s="1" t="n">
        <v>45705</v>
      </c>
      <c r="D6265" t="inlineStr">
        <is>
          <t>UPPSALA LÄN</t>
        </is>
      </c>
      <c r="E6265" t="inlineStr">
        <is>
          <t>TIERP</t>
        </is>
      </c>
      <c r="G6265" t="n">
        <v>5.2</v>
      </c>
      <c r="H6265" t="n">
        <v>0</v>
      </c>
      <c r="I6265" t="n">
        <v>0</v>
      </c>
      <c r="J6265" t="n">
        <v>0</v>
      </c>
      <c r="K6265" t="n">
        <v>0</v>
      </c>
      <c r="L6265" t="n">
        <v>0</v>
      </c>
      <c r="M6265" t="n">
        <v>0</v>
      </c>
      <c r="N6265" t="n">
        <v>0</v>
      </c>
      <c r="O6265" t="n">
        <v>0</v>
      </c>
      <c r="P6265" t="n">
        <v>0</v>
      </c>
      <c r="Q6265" t="n">
        <v>0</v>
      </c>
      <c r="R6265" s="2" t="inlineStr"/>
    </row>
    <row r="6266" ht="15" customHeight="1">
      <c r="A6266" t="inlineStr">
        <is>
          <t>A 55876-2024</t>
        </is>
      </c>
      <c r="B6266" s="1" t="n">
        <v>45623</v>
      </c>
      <c r="C6266" s="1" t="n">
        <v>45705</v>
      </c>
      <c r="D6266" t="inlineStr">
        <is>
          <t>UPPSALA LÄN</t>
        </is>
      </c>
      <c r="E6266" t="inlineStr">
        <is>
          <t>ENKÖPING</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55862-2024</t>
        </is>
      </c>
      <c r="B6267" s="1" t="n">
        <v>45623</v>
      </c>
      <c r="C6267" s="1" t="n">
        <v>45705</v>
      </c>
      <c r="D6267" t="inlineStr">
        <is>
          <t>UPPSALA LÄN</t>
        </is>
      </c>
      <c r="E6267" t="inlineStr">
        <is>
          <t>ENKÖPING</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55963-2024</t>
        </is>
      </c>
      <c r="B6268" s="1" t="n">
        <v>45623</v>
      </c>
      <c r="C6268" s="1" t="n">
        <v>45705</v>
      </c>
      <c r="D6268" t="inlineStr">
        <is>
          <t>UPPSALA LÄN</t>
        </is>
      </c>
      <c r="E6268" t="inlineStr">
        <is>
          <t>TIERP</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55957-2024</t>
        </is>
      </c>
      <c r="B6269" s="1" t="n">
        <v>45623</v>
      </c>
      <c r="C6269" s="1" t="n">
        <v>45705</v>
      </c>
      <c r="D6269" t="inlineStr">
        <is>
          <t>UPPSALA LÄN</t>
        </is>
      </c>
      <c r="E6269" t="inlineStr">
        <is>
          <t>TIERP</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55954-2024</t>
        </is>
      </c>
      <c r="B6270" s="1" t="n">
        <v>45623</v>
      </c>
      <c r="C6270" s="1" t="n">
        <v>45705</v>
      </c>
      <c r="D6270" t="inlineStr">
        <is>
          <t>UPPSALA LÄN</t>
        </is>
      </c>
      <c r="E6270" t="inlineStr">
        <is>
          <t>TIERP</t>
        </is>
      </c>
      <c r="F6270" t="inlineStr">
        <is>
          <t>Bergvik skog väst AB</t>
        </is>
      </c>
      <c r="G6270" t="n">
        <v>3.9</v>
      </c>
      <c r="H6270" t="n">
        <v>0</v>
      </c>
      <c r="I6270" t="n">
        <v>0</v>
      </c>
      <c r="J6270" t="n">
        <v>0</v>
      </c>
      <c r="K6270" t="n">
        <v>0</v>
      </c>
      <c r="L6270" t="n">
        <v>0</v>
      </c>
      <c r="M6270" t="n">
        <v>0</v>
      </c>
      <c r="N6270" t="n">
        <v>0</v>
      </c>
      <c r="O6270" t="n">
        <v>0</v>
      </c>
      <c r="P6270" t="n">
        <v>0</v>
      </c>
      <c r="Q6270" t="n">
        <v>0</v>
      </c>
      <c r="R6270" s="2" t="inlineStr"/>
    </row>
    <row r="6271" ht="15" customHeight="1">
      <c r="A6271" t="inlineStr">
        <is>
          <t>A 55962-2024</t>
        </is>
      </c>
      <c r="B6271" s="1" t="n">
        <v>45623</v>
      </c>
      <c r="C6271" s="1" t="n">
        <v>45705</v>
      </c>
      <c r="D6271" t="inlineStr">
        <is>
          <t>UPPSALA LÄN</t>
        </is>
      </c>
      <c r="E6271" t="inlineStr">
        <is>
          <t>TIERP</t>
        </is>
      </c>
      <c r="G6271" t="n">
        <v>3.2</v>
      </c>
      <c r="H6271" t="n">
        <v>0</v>
      </c>
      <c r="I6271" t="n">
        <v>0</v>
      </c>
      <c r="J6271" t="n">
        <v>0</v>
      </c>
      <c r="K6271" t="n">
        <v>0</v>
      </c>
      <c r="L6271" t="n">
        <v>0</v>
      </c>
      <c r="M6271" t="n">
        <v>0</v>
      </c>
      <c r="N6271" t="n">
        <v>0</v>
      </c>
      <c r="O6271" t="n">
        <v>0</v>
      </c>
      <c r="P6271" t="n">
        <v>0</v>
      </c>
      <c r="Q6271" t="n">
        <v>0</v>
      </c>
      <c r="R6271" s="2" t="inlineStr"/>
    </row>
    <row r="6272" ht="15" customHeight="1">
      <c r="A6272" t="inlineStr">
        <is>
          <t>A 55966-2024</t>
        </is>
      </c>
      <c r="B6272" s="1" t="n">
        <v>45623</v>
      </c>
      <c r="C6272" s="1" t="n">
        <v>45705</v>
      </c>
      <c r="D6272" t="inlineStr">
        <is>
          <t>UPPSALA LÄN</t>
        </is>
      </c>
      <c r="E6272" t="inlineStr">
        <is>
          <t>TIERP</t>
        </is>
      </c>
      <c r="G6272" t="n">
        <v>6.2</v>
      </c>
      <c r="H6272" t="n">
        <v>0</v>
      </c>
      <c r="I6272" t="n">
        <v>0</v>
      </c>
      <c r="J6272" t="n">
        <v>0</v>
      </c>
      <c r="K6272" t="n">
        <v>0</v>
      </c>
      <c r="L6272" t="n">
        <v>0</v>
      </c>
      <c r="M6272" t="n">
        <v>0</v>
      </c>
      <c r="N6272" t="n">
        <v>0</v>
      </c>
      <c r="O6272" t="n">
        <v>0</v>
      </c>
      <c r="P6272" t="n">
        <v>0</v>
      </c>
      <c r="Q6272" t="n">
        <v>0</v>
      </c>
      <c r="R6272" s="2" t="inlineStr"/>
    </row>
    <row r="6273" ht="15" customHeight="1">
      <c r="A6273" t="inlineStr">
        <is>
          <t>A 56050-2024</t>
        </is>
      </c>
      <c r="B6273" s="1" t="n">
        <v>45624</v>
      </c>
      <c r="C6273" s="1" t="n">
        <v>45705</v>
      </c>
      <c r="D6273" t="inlineStr">
        <is>
          <t>UPPSALA LÄN</t>
        </is>
      </c>
      <c r="E6273" t="inlineStr">
        <is>
          <t>UPPSALA</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56063-2024</t>
        </is>
      </c>
      <c r="B6274" s="1" t="n">
        <v>45624</v>
      </c>
      <c r="C6274" s="1" t="n">
        <v>45705</v>
      </c>
      <c r="D6274" t="inlineStr">
        <is>
          <t>UPPSALA LÄN</t>
        </is>
      </c>
      <c r="E6274" t="inlineStr">
        <is>
          <t>TIERP</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56067-2024</t>
        </is>
      </c>
      <c r="B6275" s="1" t="n">
        <v>45624</v>
      </c>
      <c r="C6275" s="1" t="n">
        <v>45705</v>
      </c>
      <c r="D6275" t="inlineStr">
        <is>
          <t>UPPSALA LÄN</t>
        </is>
      </c>
      <c r="E6275" t="inlineStr">
        <is>
          <t>UPPSALA</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56084-2024</t>
        </is>
      </c>
      <c r="B6276" s="1" t="n">
        <v>45624</v>
      </c>
      <c r="C6276" s="1" t="n">
        <v>45705</v>
      </c>
      <c r="D6276" t="inlineStr">
        <is>
          <t>UPPSALA LÄN</t>
        </is>
      </c>
      <c r="E6276" t="inlineStr">
        <is>
          <t>UPPSALA</t>
        </is>
      </c>
      <c r="G6276" t="n">
        <v>3.8</v>
      </c>
      <c r="H6276" t="n">
        <v>0</v>
      </c>
      <c r="I6276" t="n">
        <v>0</v>
      </c>
      <c r="J6276" t="n">
        <v>0</v>
      </c>
      <c r="K6276" t="n">
        <v>0</v>
      </c>
      <c r="L6276" t="n">
        <v>0</v>
      </c>
      <c r="M6276" t="n">
        <v>0</v>
      </c>
      <c r="N6276" t="n">
        <v>0</v>
      </c>
      <c r="O6276" t="n">
        <v>0</v>
      </c>
      <c r="P6276" t="n">
        <v>0</v>
      </c>
      <c r="Q6276" t="n">
        <v>0</v>
      </c>
      <c r="R6276" s="2" t="inlineStr"/>
    </row>
    <row r="6277" ht="15" customHeight="1">
      <c r="A6277" t="inlineStr">
        <is>
          <t>A 56172-2024</t>
        </is>
      </c>
      <c r="B6277" s="1" t="n">
        <v>45624</v>
      </c>
      <c r="C6277" s="1" t="n">
        <v>45705</v>
      </c>
      <c r="D6277" t="inlineStr">
        <is>
          <t>UPPSALA LÄN</t>
        </is>
      </c>
      <c r="E6277" t="inlineStr">
        <is>
          <t>HEBY</t>
        </is>
      </c>
      <c r="G6277" t="n">
        <v>7.4</v>
      </c>
      <c r="H6277" t="n">
        <v>0</v>
      </c>
      <c r="I6277" t="n">
        <v>0</v>
      </c>
      <c r="J6277" t="n">
        <v>0</v>
      </c>
      <c r="K6277" t="n">
        <v>0</v>
      </c>
      <c r="L6277" t="n">
        <v>0</v>
      </c>
      <c r="M6277" t="n">
        <v>0</v>
      </c>
      <c r="N6277" t="n">
        <v>0</v>
      </c>
      <c r="O6277" t="n">
        <v>0</v>
      </c>
      <c r="P6277" t="n">
        <v>0</v>
      </c>
      <c r="Q6277" t="n">
        <v>0</v>
      </c>
      <c r="R6277" s="2" t="inlineStr"/>
    </row>
    <row r="6278" ht="15" customHeight="1">
      <c r="A6278" t="inlineStr">
        <is>
          <t>A 56173-2024</t>
        </is>
      </c>
      <c r="B6278" s="1" t="n">
        <v>45624</v>
      </c>
      <c r="C6278" s="1" t="n">
        <v>45705</v>
      </c>
      <c r="D6278" t="inlineStr">
        <is>
          <t>UPPSALA LÄN</t>
        </is>
      </c>
      <c r="E6278" t="inlineStr">
        <is>
          <t>TIERP</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56073-2024</t>
        </is>
      </c>
      <c r="B6279" s="1" t="n">
        <v>45624</v>
      </c>
      <c r="C6279" s="1" t="n">
        <v>45705</v>
      </c>
      <c r="D6279" t="inlineStr">
        <is>
          <t>UPPSALA LÄN</t>
        </is>
      </c>
      <c r="E6279" t="inlineStr">
        <is>
          <t>HEBY</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56081-2024</t>
        </is>
      </c>
      <c r="B6280" s="1" t="n">
        <v>45624</v>
      </c>
      <c r="C6280" s="1" t="n">
        <v>45705</v>
      </c>
      <c r="D6280" t="inlineStr">
        <is>
          <t>UPPSALA LÄN</t>
        </is>
      </c>
      <c r="E6280" t="inlineStr">
        <is>
          <t>HEBY</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56225-2024</t>
        </is>
      </c>
      <c r="B6281" s="1" t="n">
        <v>45624</v>
      </c>
      <c r="C6281" s="1" t="n">
        <v>45705</v>
      </c>
      <c r="D6281" t="inlineStr">
        <is>
          <t>UPPSALA LÄN</t>
        </is>
      </c>
      <c r="E6281" t="inlineStr">
        <is>
          <t>ENKÖPING</t>
        </is>
      </c>
      <c r="G6281" t="n">
        <v>11.7</v>
      </c>
      <c r="H6281" t="n">
        <v>0</v>
      </c>
      <c r="I6281" t="n">
        <v>0</v>
      </c>
      <c r="J6281" t="n">
        <v>0</v>
      </c>
      <c r="K6281" t="n">
        <v>0</v>
      </c>
      <c r="L6281" t="n">
        <v>0</v>
      </c>
      <c r="M6281" t="n">
        <v>0</v>
      </c>
      <c r="N6281" t="n">
        <v>0</v>
      </c>
      <c r="O6281" t="n">
        <v>0</v>
      </c>
      <c r="P6281" t="n">
        <v>0</v>
      </c>
      <c r="Q6281" t="n">
        <v>0</v>
      </c>
      <c r="R6281" s="2" t="inlineStr"/>
    </row>
    <row r="6282" ht="15" customHeight="1">
      <c r="A6282" t="inlineStr">
        <is>
          <t>A 56577-2024</t>
        </is>
      </c>
      <c r="B6282" s="1" t="n">
        <v>45625</v>
      </c>
      <c r="C6282" s="1" t="n">
        <v>45705</v>
      </c>
      <c r="D6282" t="inlineStr">
        <is>
          <t>UPPSALA LÄN</t>
        </is>
      </c>
      <c r="E6282" t="inlineStr">
        <is>
          <t>TIERP</t>
        </is>
      </c>
      <c r="F6282" t="inlineStr">
        <is>
          <t>Bergvik skog väst AB</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56564-2024</t>
        </is>
      </c>
      <c r="B6283" s="1" t="n">
        <v>45625</v>
      </c>
      <c r="C6283" s="1" t="n">
        <v>45705</v>
      </c>
      <c r="D6283" t="inlineStr">
        <is>
          <t>UPPSALA LÄN</t>
        </is>
      </c>
      <c r="E6283" t="inlineStr">
        <is>
          <t>UPPSALA</t>
        </is>
      </c>
      <c r="F6283" t="inlineStr">
        <is>
          <t>Övriga Aktiebolag</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56759-2024</t>
        </is>
      </c>
      <c r="B6284" s="1" t="n">
        <v>45628</v>
      </c>
      <c r="C6284" s="1" t="n">
        <v>45705</v>
      </c>
      <c r="D6284" t="inlineStr">
        <is>
          <t>UPPSALA LÄN</t>
        </is>
      </c>
      <c r="E6284" t="inlineStr">
        <is>
          <t>ÖSTHAMMAR</t>
        </is>
      </c>
      <c r="G6284" t="n">
        <v>4.7</v>
      </c>
      <c r="H6284" t="n">
        <v>0</v>
      </c>
      <c r="I6284" t="n">
        <v>0</v>
      </c>
      <c r="J6284" t="n">
        <v>0</v>
      </c>
      <c r="K6284" t="n">
        <v>0</v>
      </c>
      <c r="L6284" t="n">
        <v>0</v>
      </c>
      <c r="M6284" t="n">
        <v>0</v>
      </c>
      <c r="N6284" t="n">
        <v>0</v>
      </c>
      <c r="O6284" t="n">
        <v>0</v>
      </c>
      <c r="P6284" t="n">
        <v>0</v>
      </c>
      <c r="Q6284" t="n">
        <v>0</v>
      </c>
      <c r="R6284" s="2" t="inlineStr"/>
    </row>
    <row r="6285" ht="15" customHeight="1">
      <c r="A6285" t="inlineStr">
        <is>
          <t>A 56795-2024</t>
        </is>
      </c>
      <c r="B6285" s="1" t="n">
        <v>45628</v>
      </c>
      <c r="C6285" s="1" t="n">
        <v>45705</v>
      </c>
      <c r="D6285" t="inlineStr">
        <is>
          <t>UPPSALA LÄN</t>
        </is>
      </c>
      <c r="E6285" t="inlineStr">
        <is>
          <t>HEBY</t>
        </is>
      </c>
      <c r="G6285" t="n">
        <v>3.6</v>
      </c>
      <c r="H6285" t="n">
        <v>0</v>
      </c>
      <c r="I6285" t="n">
        <v>0</v>
      </c>
      <c r="J6285" t="n">
        <v>0</v>
      </c>
      <c r="K6285" t="n">
        <v>0</v>
      </c>
      <c r="L6285" t="n">
        <v>0</v>
      </c>
      <c r="M6285" t="n">
        <v>0</v>
      </c>
      <c r="N6285" t="n">
        <v>0</v>
      </c>
      <c r="O6285" t="n">
        <v>0</v>
      </c>
      <c r="P6285" t="n">
        <v>0</v>
      </c>
      <c r="Q6285" t="n">
        <v>0</v>
      </c>
      <c r="R6285" s="2" t="inlineStr"/>
    </row>
    <row r="6286" ht="15" customHeight="1">
      <c r="A6286" t="inlineStr">
        <is>
          <t>A 56837-2024</t>
        </is>
      </c>
      <c r="B6286" s="1" t="n">
        <v>45628</v>
      </c>
      <c r="C6286" s="1" t="n">
        <v>45705</v>
      </c>
      <c r="D6286" t="inlineStr">
        <is>
          <t>UPPSALA LÄN</t>
        </is>
      </c>
      <c r="E6286" t="inlineStr">
        <is>
          <t>ENKÖPING</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56713-2024</t>
        </is>
      </c>
      <c r="B6287" s="1" t="n">
        <v>45628</v>
      </c>
      <c r="C6287" s="1" t="n">
        <v>45705</v>
      </c>
      <c r="D6287" t="inlineStr">
        <is>
          <t>UPPSALA LÄN</t>
        </is>
      </c>
      <c r="E6287" t="inlineStr">
        <is>
          <t>ENKÖPING</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56864-2024</t>
        </is>
      </c>
      <c r="B6288" s="1" t="n">
        <v>45628</v>
      </c>
      <c r="C6288" s="1" t="n">
        <v>45705</v>
      </c>
      <c r="D6288" t="inlineStr">
        <is>
          <t>UPPSALA LÄN</t>
        </is>
      </c>
      <c r="E6288" t="inlineStr">
        <is>
          <t>ÄLVKARLEBY</t>
        </is>
      </c>
      <c r="F6288" t="inlineStr">
        <is>
          <t>Bergvik skog väst AB</t>
        </is>
      </c>
      <c r="G6288" t="n">
        <v>11.3</v>
      </c>
      <c r="H6288" t="n">
        <v>0</v>
      </c>
      <c r="I6288" t="n">
        <v>0</v>
      </c>
      <c r="J6288" t="n">
        <v>0</v>
      </c>
      <c r="K6288" t="n">
        <v>0</v>
      </c>
      <c r="L6288" t="n">
        <v>0</v>
      </c>
      <c r="M6288" t="n">
        <v>0</v>
      </c>
      <c r="N6288" t="n">
        <v>0</v>
      </c>
      <c r="O6288" t="n">
        <v>0</v>
      </c>
      <c r="P6288" t="n">
        <v>0</v>
      </c>
      <c r="Q6288" t="n">
        <v>0</v>
      </c>
      <c r="R6288" s="2" t="inlineStr"/>
    </row>
    <row r="6289" ht="15" customHeight="1">
      <c r="A6289" t="inlineStr">
        <is>
          <t>A 57187-2024</t>
        </is>
      </c>
      <c r="B6289" s="1" t="n">
        <v>45629</v>
      </c>
      <c r="C6289" s="1" t="n">
        <v>45705</v>
      </c>
      <c r="D6289" t="inlineStr">
        <is>
          <t>UPPSALA LÄN</t>
        </is>
      </c>
      <c r="E6289" t="inlineStr">
        <is>
          <t>ÖSTHAMMAR</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57209-2024</t>
        </is>
      </c>
      <c r="B6290" s="1" t="n">
        <v>45629</v>
      </c>
      <c r="C6290" s="1" t="n">
        <v>45705</v>
      </c>
      <c r="D6290" t="inlineStr">
        <is>
          <t>UPPSALA LÄN</t>
        </is>
      </c>
      <c r="E6290" t="inlineStr">
        <is>
          <t>ENKÖPING</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57369-2024</t>
        </is>
      </c>
      <c r="B6291" s="1" t="n">
        <v>45629</v>
      </c>
      <c r="C6291" s="1" t="n">
        <v>45705</v>
      </c>
      <c r="D6291" t="inlineStr">
        <is>
          <t>UPPSALA LÄN</t>
        </is>
      </c>
      <c r="E6291" t="inlineStr">
        <is>
          <t>TIERP</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57373-2024</t>
        </is>
      </c>
      <c r="B6292" s="1" t="n">
        <v>45629</v>
      </c>
      <c r="C6292" s="1" t="n">
        <v>45705</v>
      </c>
      <c r="D6292" t="inlineStr">
        <is>
          <t>UPPSALA LÄN</t>
        </is>
      </c>
      <c r="E6292" t="inlineStr">
        <is>
          <t>ÖSTHAMMAR</t>
        </is>
      </c>
      <c r="F6292" t="inlineStr">
        <is>
          <t>Bergvik skog öst AB</t>
        </is>
      </c>
      <c r="G6292" t="n">
        <v>8.699999999999999</v>
      </c>
      <c r="H6292" t="n">
        <v>0</v>
      </c>
      <c r="I6292" t="n">
        <v>0</v>
      </c>
      <c r="J6292" t="n">
        <v>0</v>
      </c>
      <c r="K6292" t="n">
        <v>0</v>
      </c>
      <c r="L6292" t="n">
        <v>0</v>
      </c>
      <c r="M6292" t="n">
        <v>0</v>
      </c>
      <c r="N6292" t="n">
        <v>0</v>
      </c>
      <c r="O6292" t="n">
        <v>0</v>
      </c>
      <c r="P6292" t="n">
        <v>0</v>
      </c>
      <c r="Q6292" t="n">
        <v>0</v>
      </c>
      <c r="R6292" s="2" t="inlineStr"/>
    </row>
    <row r="6293" ht="15" customHeight="1">
      <c r="A6293" t="inlineStr">
        <is>
          <t>A 57215-2024</t>
        </is>
      </c>
      <c r="B6293" s="1" t="n">
        <v>45629</v>
      </c>
      <c r="C6293" s="1" t="n">
        <v>45705</v>
      </c>
      <c r="D6293" t="inlineStr">
        <is>
          <t>UPPSALA LÄN</t>
        </is>
      </c>
      <c r="E6293" t="inlineStr">
        <is>
          <t>ENKÖPING</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57335-2024</t>
        </is>
      </c>
      <c r="B6294" s="1" t="n">
        <v>45629</v>
      </c>
      <c r="C6294" s="1" t="n">
        <v>45705</v>
      </c>
      <c r="D6294" t="inlineStr">
        <is>
          <t>UPPSALA LÄN</t>
        </is>
      </c>
      <c r="E6294" t="inlineStr">
        <is>
          <t>ENKÖPING</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57214-2024</t>
        </is>
      </c>
      <c r="B6295" s="1" t="n">
        <v>45629</v>
      </c>
      <c r="C6295" s="1" t="n">
        <v>45705</v>
      </c>
      <c r="D6295" t="inlineStr">
        <is>
          <t>UPPSALA LÄN</t>
        </is>
      </c>
      <c r="E6295" t="inlineStr">
        <is>
          <t>ENKÖPING</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57218-2024</t>
        </is>
      </c>
      <c r="B6296" s="1" t="n">
        <v>45629</v>
      </c>
      <c r="C6296" s="1" t="n">
        <v>45705</v>
      </c>
      <c r="D6296" t="inlineStr">
        <is>
          <t>UPPSALA LÄN</t>
        </is>
      </c>
      <c r="E6296" t="inlineStr">
        <is>
          <t>ENKÖPING</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57402-2024</t>
        </is>
      </c>
      <c r="B6297" s="1" t="n">
        <v>45629</v>
      </c>
      <c r="C6297" s="1" t="n">
        <v>45705</v>
      </c>
      <c r="D6297" t="inlineStr">
        <is>
          <t>UPPSALA LÄN</t>
        </is>
      </c>
      <c r="E6297" t="inlineStr">
        <is>
          <t>TIERP</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57415-2024</t>
        </is>
      </c>
      <c r="B6298" s="1" t="n">
        <v>45629</v>
      </c>
      <c r="C6298" s="1" t="n">
        <v>45705</v>
      </c>
      <c r="D6298" t="inlineStr">
        <is>
          <t>UPPSALA LÄN</t>
        </is>
      </c>
      <c r="E6298" t="inlineStr">
        <is>
          <t>ENKÖPING</t>
        </is>
      </c>
      <c r="F6298" t="inlineStr">
        <is>
          <t>Allmännings- och besparingsskogar</t>
        </is>
      </c>
      <c r="G6298" t="n">
        <v>11.8</v>
      </c>
      <c r="H6298" t="n">
        <v>0</v>
      </c>
      <c r="I6298" t="n">
        <v>0</v>
      </c>
      <c r="J6298" t="n">
        <v>0</v>
      </c>
      <c r="K6298" t="n">
        <v>0</v>
      </c>
      <c r="L6298" t="n">
        <v>0</v>
      </c>
      <c r="M6298" t="n">
        <v>0</v>
      </c>
      <c r="N6298" t="n">
        <v>0</v>
      </c>
      <c r="O6298" t="n">
        <v>0</v>
      </c>
      <c r="P6298" t="n">
        <v>0</v>
      </c>
      <c r="Q6298" t="n">
        <v>0</v>
      </c>
      <c r="R6298" s="2" t="inlineStr"/>
    </row>
    <row r="6299" ht="15" customHeight="1">
      <c r="A6299" t="inlineStr">
        <is>
          <t>A 57328-2024</t>
        </is>
      </c>
      <c r="B6299" s="1" t="n">
        <v>45629</v>
      </c>
      <c r="C6299" s="1" t="n">
        <v>45705</v>
      </c>
      <c r="D6299" t="inlineStr">
        <is>
          <t>UPPSALA LÄN</t>
        </is>
      </c>
      <c r="E6299" t="inlineStr">
        <is>
          <t>ENKÖPING</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57674-2024</t>
        </is>
      </c>
      <c r="B6300" s="1" t="n">
        <v>45630</v>
      </c>
      <c r="C6300" s="1" t="n">
        <v>45705</v>
      </c>
      <c r="D6300" t="inlineStr">
        <is>
          <t>UPPSALA LÄN</t>
        </is>
      </c>
      <c r="E6300" t="inlineStr">
        <is>
          <t>HEBY</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57614-2024</t>
        </is>
      </c>
      <c r="B6301" s="1" t="n">
        <v>45630</v>
      </c>
      <c r="C6301" s="1" t="n">
        <v>45705</v>
      </c>
      <c r="D6301" t="inlineStr">
        <is>
          <t>UPPSALA LÄN</t>
        </is>
      </c>
      <c r="E6301" t="inlineStr">
        <is>
          <t>UPPSALA</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57618-2024</t>
        </is>
      </c>
      <c r="B6302" s="1" t="n">
        <v>45630</v>
      </c>
      <c r="C6302" s="1" t="n">
        <v>45705</v>
      </c>
      <c r="D6302" t="inlineStr">
        <is>
          <t>UPPSALA LÄN</t>
        </is>
      </c>
      <c r="E6302" t="inlineStr">
        <is>
          <t>UPPSALA</t>
        </is>
      </c>
      <c r="G6302" t="n">
        <v>4.2</v>
      </c>
      <c r="H6302" t="n">
        <v>0</v>
      </c>
      <c r="I6302" t="n">
        <v>0</v>
      </c>
      <c r="J6302" t="n">
        <v>0</v>
      </c>
      <c r="K6302" t="n">
        <v>0</v>
      </c>
      <c r="L6302" t="n">
        <v>0</v>
      </c>
      <c r="M6302" t="n">
        <v>0</v>
      </c>
      <c r="N6302" t="n">
        <v>0</v>
      </c>
      <c r="O6302" t="n">
        <v>0</v>
      </c>
      <c r="P6302" t="n">
        <v>0</v>
      </c>
      <c r="Q6302" t="n">
        <v>0</v>
      </c>
      <c r="R6302" s="2" t="inlineStr"/>
    </row>
    <row r="6303" ht="15" customHeight="1">
      <c r="A6303" t="inlineStr">
        <is>
          <t>A 57643-2024</t>
        </is>
      </c>
      <c r="B6303" s="1" t="n">
        <v>45630</v>
      </c>
      <c r="C6303" s="1" t="n">
        <v>45705</v>
      </c>
      <c r="D6303" t="inlineStr">
        <is>
          <t>UPPSALA LÄN</t>
        </is>
      </c>
      <c r="E6303" t="inlineStr">
        <is>
          <t>UPPSALA</t>
        </is>
      </c>
      <c r="G6303" t="n">
        <v>8.300000000000001</v>
      </c>
      <c r="H6303" t="n">
        <v>0</v>
      </c>
      <c r="I6303" t="n">
        <v>0</v>
      </c>
      <c r="J6303" t="n">
        <v>0</v>
      </c>
      <c r="K6303" t="n">
        <v>0</v>
      </c>
      <c r="L6303" t="n">
        <v>0</v>
      </c>
      <c r="M6303" t="n">
        <v>0</v>
      </c>
      <c r="N6303" t="n">
        <v>0</v>
      </c>
      <c r="O6303" t="n">
        <v>0</v>
      </c>
      <c r="P6303" t="n">
        <v>0</v>
      </c>
      <c r="Q6303" t="n">
        <v>0</v>
      </c>
      <c r="R6303" s="2" t="inlineStr"/>
    </row>
    <row r="6304" ht="15" customHeight="1">
      <c r="A6304" t="inlineStr">
        <is>
          <t>A 57704-2024</t>
        </is>
      </c>
      <c r="B6304" s="1" t="n">
        <v>45630</v>
      </c>
      <c r="C6304" s="1" t="n">
        <v>45705</v>
      </c>
      <c r="D6304" t="inlineStr">
        <is>
          <t>UPPSALA LÄN</t>
        </is>
      </c>
      <c r="E6304" t="inlineStr">
        <is>
          <t>HEBY</t>
        </is>
      </c>
      <c r="G6304" t="n">
        <v>3.7</v>
      </c>
      <c r="H6304" t="n">
        <v>0</v>
      </c>
      <c r="I6304" t="n">
        <v>0</v>
      </c>
      <c r="J6304" t="n">
        <v>0</v>
      </c>
      <c r="K6304" t="n">
        <v>0</v>
      </c>
      <c r="L6304" t="n">
        <v>0</v>
      </c>
      <c r="M6304" t="n">
        <v>0</v>
      </c>
      <c r="N6304" t="n">
        <v>0</v>
      </c>
      <c r="O6304" t="n">
        <v>0</v>
      </c>
      <c r="P6304" t="n">
        <v>0</v>
      </c>
      <c r="Q6304" t="n">
        <v>0</v>
      </c>
      <c r="R6304" s="2" t="inlineStr"/>
    </row>
    <row r="6305" ht="15" customHeight="1">
      <c r="A6305" t="inlineStr">
        <is>
          <t>A 57818-2024</t>
        </is>
      </c>
      <c r="B6305" s="1" t="n">
        <v>45631</v>
      </c>
      <c r="C6305" s="1" t="n">
        <v>45705</v>
      </c>
      <c r="D6305" t="inlineStr">
        <is>
          <t>UPPSALA LÄN</t>
        </is>
      </c>
      <c r="E6305" t="inlineStr">
        <is>
          <t>TIERP</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57822-2024</t>
        </is>
      </c>
      <c r="B6306" s="1" t="n">
        <v>45631</v>
      </c>
      <c r="C6306" s="1" t="n">
        <v>45705</v>
      </c>
      <c r="D6306" t="inlineStr">
        <is>
          <t>UPPSALA LÄN</t>
        </is>
      </c>
      <c r="E6306" t="inlineStr">
        <is>
          <t>TIERP</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57829-2024</t>
        </is>
      </c>
      <c r="B6307" s="1" t="n">
        <v>45631</v>
      </c>
      <c r="C6307" s="1" t="n">
        <v>45705</v>
      </c>
      <c r="D6307" t="inlineStr">
        <is>
          <t>UPPSALA LÄN</t>
        </is>
      </c>
      <c r="E6307" t="inlineStr">
        <is>
          <t>TIERP</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57833-2024</t>
        </is>
      </c>
      <c r="B6308" s="1" t="n">
        <v>45631</v>
      </c>
      <c r="C6308" s="1" t="n">
        <v>45705</v>
      </c>
      <c r="D6308" t="inlineStr">
        <is>
          <t>UPPSALA LÄN</t>
        </is>
      </c>
      <c r="E6308" t="inlineStr">
        <is>
          <t>ENKÖPING</t>
        </is>
      </c>
      <c r="G6308" t="n">
        <v>2.8</v>
      </c>
      <c r="H6308" t="n">
        <v>0</v>
      </c>
      <c r="I6308" t="n">
        <v>0</v>
      </c>
      <c r="J6308" t="n">
        <v>0</v>
      </c>
      <c r="K6308" t="n">
        <v>0</v>
      </c>
      <c r="L6308" t="n">
        <v>0</v>
      </c>
      <c r="M6308" t="n">
        <v>0</v>
      </c>
      <c r="N6308" t="n">
        <v>0</v>
      </c>
      <c r="O6308" t="n">
        <v>0</v>
      </c>
      <c r="P6308" t="n">
        <v>0</v>
      </c>
      <c r="Q6308" t="n">
        <v>0</v>
      </c>
      <c r="R6308" s="2" t="inlineStr"/>
    </row>
    <row r="6309" ht="15" customHeight="1">
      <c r="A6309" t="inlineStr">
        <is>
          <t>A 57831-2024</t>
        </is>
      </c>
      <c r="B6309" s="1" t="n">
        <v>45631</v>
      </c>
      <c r="C6309" s="1" t="n">
        <v>45705</v>
      </c>
      <c r="D6309" t="inlineStr">
        <is>
          <t>UPPSALA LÄN</t>
        </is>
      </c>
      <c r="E6309" t="inlineStr">
        <is>
          <t>ENKÖPING</t>
        </is>
      </c>
      <c r="G6309" t="n">
        <v>7.2</v>
      </c>
      <c r="H6309" t="n">
        <v>0</v>
      </c>
      <c r="I6309" t="n">
        <v>0</v>
      </c>
      <c r="J6309" t="n">
        <v>0</v>
      </c>
      <c r="K6309" t="n">
        <v>0</v>
      </c>
      <c r="L6309" t="n">
        <v>0</v>
      </c>
      <c r="M6309" t="n">
        <v>0</v>
      </c>
      <c r="N6309" t="n">
        <v>0</v>
      </c>
      <c r="O6309" t="n">
        <v>0</v>
      </c>
      <c r="P6309" t="n">
        <v>0</v>
      </c>
      <c r="Q6309" t="n">
        <v>0</v>
      </c>
      <c r="R6309" s="2" t="inlineStr"/>
    </row>
    <row r="6310" ht="15" customHeight="1">
      <c r="A6310" t="inlineStr">
        <is>
          <t>A 57835-2024</t>
        </is>
      </c>
      <c r="B6310" s="1" t="n">
        <v>45631</v>
      </c>
      <c r="C6310" s="1" t="n">
        <v>45705</v>
      </c>
      <c r="D6310" t="inlineStr">
        <is>
          <t>UPPSALA LÄN</t>
        </is>
      </c>
      <c r="E6310" t="inlineStr">
        <is>
          <t>ENKÖPING</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57848-2024</t>
        </is>
      </c>
      <c r="B6311" s="1" t="n">
        <v>45631</v>
      </c>
      <c r="C6311" s="1" t="n">
        <v>45705</v>
      </c>
      <c r="D6311" t="inlineStr">
        <is>
          <t>UPPSALA LÄN</t>
        </is>
      </c>
      <c r="E6311" t="inlineStr">
        <is>
          <t>ENKÖPING</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57937-2024</t>
        </is>
      </c>
      <c r="B6312" s="1" t="n">
        <v>45631</v>
      </c>
      <c r="C6312" s="1" t="n">
        <v>45705</v>
      </c>
      <c r="D6312" t="inlineStr">
        <is>
          <t>UPPSALA LÄN</t>
        </is>
      </c>
      <c r="E6312" t="inlineStr">
        <is>
          <t>ENKÖPING</t>
        </is>
      </c>
      <c r="G6312" t="n">
        <v>4</v>
      </c>
      <c r="H6312" t="n">
        <v>0</v>
      </c>
      <c r="I6312" t="n">
        <v>0</v>
      </c>
      <c r="J6312" t="n">
        <v>0</v>
      </c>
      <c r="K6312" t="n">
        <v>0</v>
      </c>
      <c r="L6312" t="n">
        <v>0</v>
      </c>
      <c r="M6312" t="n">
        <v>0</v>
      </c>
      <c r="N6312" t="n">
        <v>0</v>
      </c>
      <c r="O6312" t="n">
        <v>0</v>
      </c>
      <c r="P6312" t="n">
        <v>0</v>
      </c>
      <c r="Q6312" t="n">
        <v>0</v>
      </c>
      <c r="R6312" s="2" t="inlineStr"/>
    </row>
    <row r="6313" ht="15" customHeight="1">
      <c r="A6313" t="inlineStr">
        <is>
          <t>A 57961-2024</t>
        </is>
      </c>
      <c r="B6313" s="1" t="n">
        <v>45631</v>
      </c>
      <c r="C6313" s="1" t="n">
        <v>45705</v>
      </c>
      <c r="D6313" t="inlineStr">
        <is>
          <t>UPPSALA LÄN</t>
        </is>
      </c>
      <c r="E6313" t="inlineStr">
        <is>
          <t>TIERP</t>
        </is>
      </c>
      <c r="F6313" t="inlineStr">
        <is>
          <t>Bergvik skog väst AB</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57931-2024</t>
        </is>
      </c>
      <c r="B6314" s="1" t="n">
        <v>45631</v>
      </c>
      <c r="C6314" s="1" t="n">
        <v>45705</v>
      </c>
      <c r="D6314" t="inlineStr">
        <is>
          <t>UPPSALA LÄN</t>
        </is>
      </c>
      <c r="E6314" t="inlineStr">
        <is>
          <t>TIERP</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57841-2024</t>
        </is>
      </c>
      <c r="B6315" s="1" t="n">
        <v>45631</v>
      </c>
      <c r="C6315" s="1" t="n">
        <v>45705</v>
      </c>
      <c r="D6315" t="inlineStr">
        <is>
          <t>UPPSALA LÄN</t>
        </is>
      </c>
      <c r="E6315" t="inlineStr">
        <is>
          <t>ENKÖPING</t>
        </is>
      </c>
      <c r="G6315" t="n">
        <v>3.4</v>
      </c>
      <c r="H6315" t="n">
        <v>0</v>
      </c>
      <c r="I6315" t="n">
        <v>0</v>
      </c>
      <c r="J6315" t="n">
        <v>0</v>
      </c>
      <c r="K6315" t="n">
        <v>0</v>
      </c>
      <c r="L6315" t="n">
        <v>0</v>
      </c>
      <c r="M6315" t="n">
        <v>0</v>
      </c>
      <c r="N6315" t="n">
        <v>0</v>
      </c>
      <c r="O6315" t="n">
        <v>0</v>
      </c>
      <c r="P6315" t="n">
        <v>0</v>
      </c>
      <c r="Q6315" t="n">
        <v>0</v>
      </c>
      <c r="R6315" s="2" t="inlineStr"/>
    </row>
    <row r="6316" ht="15" customHeight="1">
      <c r="A6316" t="inlineStr">
        <is>
          <t>A 57871-2024</t>
        </is>
      </c>
      <c r="B6316" s="1" t="n">
        <v>45631</v>
      </c>
      <c r="C6316" s="1" t="n">
        <v>45705</v>
      </c>
      <c r="D6316" t="inlineStr">
        <is>
          <t>UPPSALA LÄN</t>
        </is>
      </c>
      <c r="E6316" t="inlineStr">
        <is>
          <t>UPPSALA</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57880-2024</t>
        </is>
      </c>
      <c r="B6317" s="1" t="n">
        <v>45631</v>
      </c>
      <c r="C6317" s="1" t="n">
        <v>45705</v>
      </c>
      <c r="D6317" t="inlineStr">
        <is>
          <t>UPPSALA LÄN</t>
        </is>
      </c>
      <c r="E6317" t="inlineStr">
        <is>
          <t>HEBY</t>
        </is>
      </c>
      <c r="G6317" t="n">
        <v>3.3</v>
      </c>
      <c r="H6317" t="n">
        <v>0</v>
      </c>
      <c r="I6317" t="n">
        <v>0</v>
      </c>
      <c r="J6317" t="n">
        <v>0</v>
      </c>
      <c r="K6317" t="n">
        <v>0</v>
      </c>
      <c r="L6317" t="n">
        <v>0</v>
      </c>
      <c r="M6317" t="n">
        <v>0</v>
      </c>
      <c r="N6317" t="n">
        <v>0</v>
      </c>
      <c r="O6317" t="n">
        <v>0</v>
      </c>
      <c r="P6317" t="n">
        <v>0</v>
      </c>
      <c r="Q6317" t="n">
        <v>0</v>
      </c>
      <c r="R6317" s="2" t="inlineStr"/>
    </row>
    <row r="6318" ht="15" customHeight="1">
      <c r="A6318" t="inlineStr">
        <is>
          <t>A 57897-2024</t>
        </is>
      </c>
      <c r="B6318" s="1" t="n">
        <v>45631</v>
      </c>
      <c r="C6318" s="1" t="n">
        <v>45705</v>
      </c>
      <c r="D6318" t="inlineStr">
        <is>
          <t>UPPSALA LÄN</t>
        </is>
      </c>
      <c r="E6318" t="inlineStr">
        <is>
          <t>HEBY</t>
        </is>
      </c>
      <c r="G6318" t="n">
        <v>4.1</v>
      </c>
      <c r="H6318" t="n">
        <v>0</v>
      </c>
      <c r="I6318" t="n">
        <v>0</v>
      </c>
      <c r="J6318" t="n">
        <v>0</v>
      </c>
      <c r="K6318" t="n">
        <v>0</v>
      </c>
      <c r="L6318" t="n">
        <v>0</v>
      </c>
      <c r="M6318" t="n">
        <v>0</v>
      </c>
      <c r="N6318" t="n">
        <v>0</v>
      </c>
      <c r="O6318" t="n">
        <v>0</v>
      </c>
      <c r="P6318" t="n">
        <v>0</v>
      </c>
      <c r="Q6318" t="n">
        <v>0</v>
      </c>
      <c r="R6318" s="2" t="inlineStr"/>
    </row>
    <row r="6319" ht="15" customHeight="1">
      <c r="A6319" t="inlineStr">
        <is>
          <t>A 57934-2024</t>
        </is>
      </c>
      <c r="B6319" s="1" t="n">
        <v>45631</v>
      </c>
      <c r="C6319" s="1" t="n">
        <v>45705</v>
      </c>
      <c r="D6319" t="inlineStr">
        <is>
          <t>UPPSALA LÄN</t>
        </is>
      </c>
      <c r="E6319" t="inlineStr">
        <is>
          <t>TIERP</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57938-2024</t>
        </is>
      </c>
      <c r="B6320" s="1" t="n">
        <v>45631</v>
      </c>
      <c r="C6320" s="1" t="n">
        <v>45705</v>
      </c>
      <c r="D6320" t="inlineStr">
        <is>
          <t>UPPSALA LÄN</t>
        </is>
      </c>
      <c r="E6320" t="inlineStr">
        <is>
          <t>TIERP</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57998-2024</t>
        </is>
      </c>
      <c r="B6321" s="1" t="n">
        <v>45631</v>
      </c>
      <c r="C6321" s="1" t="n">
        <v>45705</v>
      </c>
      <c r="D6321" t="inlineStr">
        <is>
          <t>UPPSALA LÄN</t>
        </is>
      </c>
      <c r="E6321" t="inlineStr">
        <is>
          <t>ENKÖPING</t>
        </is>
      </c>
      <c r="G6321" t="n">
        <v>8.699999999999999</v>
      </c>
      <c r="H6321" t="n">
        <v>0</v>
      </c>
      <c r="I6321" t="n">
        <v>0</v>
      </c>
      <c r="J6321" t="n">
        <v>0</v>
      </c>
      <c r="K6321" t="n">
        <v>0</v>
      </c>
      <c r="L6321" t="n">
        <v>0</v>
      </c>
      <c r="M6321" t="n">
        <v>0</v>
      </c>
      <c r="N6321" t="n">
        <v>0</v>
      </c>
      <c r="O6321" t="n">
        <v>0</v>
      </c>
      <c r="P6321" t="n">
        <v>0</v>
      </c>
      <c r="Q6321" t="n">
        <v>0</v>
      </c>
      <c r="R6321" s="2" t="inlineStr"/>
    </row>
    <row r="6322" ht="15" customHeight="1">
      <c r="A6322" t="inlineStr">
        <is>
          <t>A 58092-2024</t>
        </is>
      </c>
      <c r="B6322" s="1" t="n">
        <v>45632</v>
      </c>
      <c r="C6322" s="1" t="n">
        <v>45705</v>
      </c>
      <c r="D6322" t="inlineStr">
        <is>
          <t>UPPSALA LÄN</t>
        </is>
      </c>
      <c r="E6322" t="inlineStr">
        <is>
          <t>ENKÖPING</t>
        </is>
      </c>
      <c r="G6322" t="n">
        <v>4.8</v>
      </c>
      <c r="H6322" t="n">
        <v>0</v>
      </c>
      <c r="I6322" t="n">
        <v>0</v>
      </c>
      <c r="J6322" t="n">
        <v>0</v>
      </c>
      <c r="K6322" t="n">
        <v>0</v>
      </c>
      <c r="L6322" t="n">
        <v>0</v>
      </c>
      <c r="M6322" t="n">
        <v>0</v>
      </c>
      <c r="N6322" t="n">
        <v>0</v>
      </c>
      <c r="O6322" t="n">
        <v>0</v>
      </c>
      <c r="P6322" t="n">
        <v>0</v>
      </c>
      <c r="Q6322" t="n">
        <v>0</v>
      </c>
      <c r="R6322" s="2" t="inlineStr"/>
    </row>
    <row r="6323" ht="15" customHeight="1">
      <c r="A6323" t="inlineStr">
        <is>
          <t>A 58242-2024</t>
        </is>
      </c>
      <c r="B6323" s="1" t="n">
        <v>45632</v>
      </c>
      <c r="C6323" s="1" t="n">
        <v>45705</v>
      </c>
      <c r="D6323" t="inlineStr">
        <is>
          <t>UPPSALA LÄN</t>
        </is>
      </c>
      <c r="E6323" t="inlineStr">
        <is>
          <t>ÖSTHAMMAR</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58252-2024</t>
        </is>
      </c>
      <c r="B6324" s="1" t="n">
        <v>45632</v>
      </c>
      <c r="C6324" s="1" t="n">
        <v>45705</v>
      </c>
      <c r="D6324" t="inlineStr">
        <is>
          <t>UPPSALA LÄN</t>
        </is>
      </c>
      <c r="E6324" t="inlineStr">
        <is>
          <t>TIERP</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58264-2024</t>
        </is>
      </c>
      <c r="B6325" s="1" t="n">
        <v>45632</v>
      </c>
      <c r="C6325" s="1" t="n">
        <v>45705</v>
      </c>
      <c r="D6325" t="inlineStr">
        <is>
          <t>UPPSALA LÄN</t>
        </is>
      </c>
      <c r="E6325" t="inlineStr">
        <is>
          <t>TIERP</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58147-2024</t>
        </is>
      </c>
      <c r="B6326" s="1" t="n">
        <v>45632</v>
      </c>
      <c r="C6326" s="1" t="n">
        <v>45705</v>
      </c>
      <c r="D6326" t="inlineStr">
        <is>
          <t>UPPSALA LÄN</t>
        </is>
      </c>
      <c r="E6326" t="inlineStr">
        <is>
          <t>ENKÖPING</t>
        </is>
      </c>
      <c r="G6326" t="n">
        <v>3</v>
      </c>
      <c r="H6326" t="n">
        <v>0</v>
      </c>
      <c r="I6326" t="n">
        <v>0</v>
      </c>
      <c r="J6326" t="n">
        <v>0</v>
      </c>
      <c r="K6326" t="n">
        <v>0</v>
      </c>
      <c r="L6326" t="n">
        <v>0</v>
      </c>
      <c r="M6326" t="n">
        <v>0</v>
      </c>
      <c r="N6326" t="n">
        <v>0</v>
      </c>
      <c r="O6326" t="n">
        <v>0</v>
      </c>
      <c r="P6326" t="n">
        <v>0</v>
      </c>
      <c r="Q6326" t="n">
        <v>0</v>
      </c>
      <c r="R6326" s="2" t="inlineStr"/>
    </row>
    <row r="6327" ht="15" customHeight="1">
      <c r="A6327" t="inlineStr">
        <is>
          <t>A 58187-2024</t>
        </is>
      </c>
      <c r="B6327" s="1" t="n">
        <v>45632</v>
      </c>
      <c r="C6327" s="1" t="n">
        <v>45705</v>
      </c>
      <c r="D6327" t="inlineStr">
        <is>
          <t>UPPSALA LÄN</t>
        </is>
      </c>
      <c r="E6327" t="inlineStr">
        <is>
          <t>UPPSALA</t>
        </is>
      </c>
      <c r="F6327" t="inlineStr">
        <is>
          <t>Bergvik skog väst AB</t>
        </is>
      </c>
      <c r="G6327" t="n">
        <v>10.4</v>
      </c>
      <c r="H6327" t="n">
        <v>0</v>
      </c>
      <c r="I6327" t="n">
        <v>0</v>
      </c>
      <c r="J6327" t="n">
        <v>0</v>
      </c>
      <c r="K6327" t="n">
        <v>0</v>
      </c>
      <c r="L6327" t="n">
        <v>0</v>
      </c>
      <c r="M6327" t="n">
        <v>0</v>
      </c>
      <c r="N6327" t="n">
        <v>0</v>
      </c>
      <c r="O6327" t="n">
        <v>0</v>
      </c>
      <c r="P6327" t="n">
        <v>0</v>
      </c>
      <c r="Q6327" t="n">
        <v>0</v>
      </c>
      <c r="R6327" s="2" t="inlineStr"/>
    </row>
    <row r="6328" ht="15" customHeight="1">
      <c r="A6328" t="inlineStr">
        <is>
          <t>A 58265-2024</t>
        </is>
      </c>
      <c r="B6328" s="1" t="n">
        <v>45632</v>
      </c>
      <c r="C6328" s="1" t="n">
        <v>45705</v>
      </c>
      <c r="D6328" t="inlineStr">
        <is>
          <t>UPPSALA LÄN</t>
        </is>
      </c>
      <c r="E6328" t="inlineStr">
        <is>
          <t>ÖSTHAMMAR</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58297-2024</t>
        </is>
      </c>
      <c r="B6329" s="1" t="n">
        <v>45632</v>
      </c>
      <c r="C6329" s="1" t="n">
        <v>45705</v>
      </c>
      <c r="D6329" t="inlineStr">
        <is>
          <t>UPPSALA LÄN</t>
        </is>
      </c>
      <c r="E6329" t="inlineStr">
        <is>
          <t>ÖSTHAMMAR</t>
        </is>
      </c>
      <c r="G6329" t="n">
        <v>5.1</v>
      </c>
      <c r="H6329" t="n">
        <v>0</v>
      </c>
      <c r="I6329" t="n">
        <v>0</v>
      </c>
      <c r="J6329" t="n">
        <v>0</v>
      </c>
      <c r="K6329" t="n">
        <v>0</v>
      </c>
      <c r="L6329" t="n">
        <v>0</v>
      </c>
      <c r="M6329" t="n">
        <v>0</v>
      </c>
      <c r="N6329" t="n">
        <v>0</v>
      </c>
      <c r="O6329" t="n">
        <v>0</v>
      </c>
      <c r="P6329" t="n">
        <v>0</v>
      </c>
      <c r="Q6329" t="n">
        <v>0</v>
      </c>
      <c r="R6329" s="2" t="inlineStr"/>
    </row>
    <row r="6330" ht="15" customHeight="1">
      <c r="A6330" t="inlineStr">
        <is>
          <t>A 58366-2024</t>
        </is>
      </c>
      <c r="B6330" s="1" t="n">
        <v>45632</v>
      </c>
      <c r="C6330" s="1" t="n">
        <v>45705</v>
      </c>
      <c r="D6330" t="inlineStr">
        <is>
          <t>UPPSALA LÄN</t>
        </is>
      </c>
      <c r="E6330" t="inlineStr">
        <is>
          <t>ÖSTHAMMAR</t>
        </is>
      </c>
      <c r="G6330" t="n">
        <v>6.1</v>
      </c>
      <c r="H6330" t="n">
        <v>0</v>
      </c>
      <c r="I6330" t="n">
        <v>0</v>
      </c>
      <c r="J6330" t="n">
        <v>0</v>
      </c>
      <c r="K6330" t="n">
        <v>0</v>
      </c>
      <c r="L6330" t="n">
        <v>0</v>
      </c>
      <c r="M6330" t="n">
        <v>0</v>
      </c>
      <c r="N6330" t="n">
        <v>0</v>
      </c>
      <c r="O6330" t="n">
        <v>0</v>
      </c>
      <c r="P6330" t="n">
        <v>0</v>
      </c>
      <c r="Q6330" t="n">
        <v>0</v>
      </c>
      <c r="R6330" s="2" t="inlineStr"/>
    </row>
    <row r="6331" ht="15" customHeight="1">
      <c r="A6331" t="inlineStr">
        <is>
          <t>A 58188-2024</t>
        </is>
      </c>
      <c r="B6331" s="1" t="n">
        <v>45632</v>
      </c>
      <c r="C6331" s="1" t="n">
        <v>45705</v>
      </c>
      <c r="D6331" t="inlineStr">
        <is>
          <t>UPPSALA LÄN</t>
        </is>
      </c>
      <c r="E6331" t="inlineStr">
        <is>
          <t>UPPSALA</t>
        </is>
      </c>
      <c r="F6331" t="inlineStr">
        <is>
          <t>Bergvik skog väst AB</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58232-2024</t>
        </is>
      </c>
      <c r="B6332" s="1" t="n">
        <v>45632</v>
      </c>
      <c r="C6332" s="1" t="n">
        <v>45705</v>
      </c>
      <c r="D6332" t="inlineStr">
        <is>
          <t>UPPSALA LÄN</t>
        </is>
      </c>
      <c r="E6332" t="inlineStr">
        <is>
          <t>TIERP</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58601-2024</t>
        </is>
      </c>
      <c r="B6333" s="1" t="n">
        <v>45635</v>
      </c>
      <c r="C6333" s="1" t="n">
        <v>45705</v>
      </c>
      <c r="D6333" t="inlineStr">
        <is>
          <t>UPPSALA LÄN</t>
        </is>
      </c>
      <c r="E6333" t="inlineStr">
        <is>
          <t>TIERP</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58772-2024</t>
        </is>
      </c>
      <c r="B6334" s="1" t="n">
        <v>45635</v>
      </c>
      <c r="C6334" s="1" t="n">
        <v>45705</v>
      </c>
      <c r="D6334" t="inlineStr">
        <is>
          <t>UPPSALA LÄN</t>
        </is>
      </c>
      <c r="E6334" t="inlineStr">
        <is>
          <t>TIERP</t>
        </is>
      </c>
      <c r="G6334" t="n">
        <v>4.7</v>
      </c>
      <c r="H6334" t="n">
        <v>0</v>
      </c>
      <c r="I6334" t="n">
        <v>0</v>
      </c>
      <c r="J6334" t="n">
        <v>0</v>
      </c>
      <c r="K6334" t="n">
        <v>0</v>
      </c>
      <c r="L6334" t="n">
        <v>0</v>
      </c>
      <c r="M6334" t="n">
        <v>0</v>
      </c>
      <c r="N6334" t="n">
        <v>0</v>
      </c>
      <c r="O6334" t="n">
        <v>0</v>
      </c>
      <c r="P6334" t="n">
        <v>0</v>
      </c>
      <c r="Q6334" t="n">
        <v>0</v>
      </c>
      <c r="R6334" s="2" t="inlineStr"/>
    </row>
    <row r="6335" ht="15" customHeight="1">
      <c r="A6335" t="inlineStr">
        <is>
          <t>A 58961-2024</t>
        </is>
      </c>
      <c r="B6335" s="1" t="n">
        <v>45636</v>
      </c>
      <c r="C6335" s="1" t="n">
        <v>45705</v>
      </c>
      <c r="D6335" t="inlineStr">
        <is>
          <t>UPPSALA LÄN</t>
        </is>
      </c>
      <c r="E6335" t="inlineStr">
        <is>
          <t>ENKÖPING</t>
        </is>
      </c>
      <c r="G6335" t="n">
        <v>4</v>
      </c>
      <c r="H6335" t="n">
        <v>0</v>
      </c>
      <c r="I6335" t="n">
        <v>0</v>
      </c>
      <c r="J6335" t="n">
        <v>0</v>
      </c>
      <c r="K6335" t="n">
        <v>0</v>
      </c>
      <c r="L6335" t="n">
        <v>0</v>
      </c>
      <c r="M6335" t="n">
        <v>0</v>
      </c>
      <c r="N6335" t="n">
        <v>0</v>
      </c>
      <c r="O6335" t="n">
        <v>0</v>
      </c>
      <c r="P6335" t="n">
        <v>0</v>
      </c>
      <c r="Q6335" t="n">
        <v>0</v>
      </c>
      <c r="R6335" s="2" t="inlineStr"/>
    </row>
    <row r="6336" ht="15" customHeight="1">
      <c r="A6336" t="inlineStr">
        <is>
          <t>A 59205-2024</t>
        </is>
      </c>
      <c r="B6336" s="1" t="n">
        <v>45636</v>
      </c>
      <c r="C6336" s="1" t="n">
        <v>45705</v>
      </c>
      <c r="D6336" t="inlineStr">
        <is>
          <t>UPPSALA LÄN</t>
        </is>
      </c>
      <c r="E6336" t="inlineStr">
        <is>
          <t>TIERP</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59027-2024</t>
        </is>
      </c>
      <c r="B6337" s="1" t="n">
        <v>45636</v>
      </c>
      <c r="C6337" s="1" t="n">
        <v>45705</v>
      </c>
      <c r="D6337" t="inlineStr">
        <is>
          <t>UPPSALA LÄN</t>
        </is>
      </c>
      <c r="E6337" t="inlineStr">
        <is>
          <t>ENKÖPING</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59098-2024</t>
        </is>
      </c>
      <c r="B6338" s="1" t="n">
        <v>45636</v>
      </c>
      <c r="C6338" s="1" t="n">
        <v>45705</v>
      </c>
      <c r="D6338" t="inlineStr">
        <is>
          <t>UPPSALA LÄN</t>
        </is>
      </c>
      <c r="E6338" t="inlineStr">
        <is>
          <t>UPPSALA</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59114-2024</t>
        </is>
      </c>
      <c r="B6339" s="1" t="n">
        <v>45637</v>
      </c>
      <c r="C6339" s="1" t="n">
        <v>45705</v>
      </c>
      <c r="D6339" t="inlineStr">
        <is>
          <t>UPPSALA LÄN</t>
        </is>
      </c>
      <c r="E6339" t="inlineStr">
        <is>
          <t>UPPSALA</t>
        </is>
      </c>
      <c r="F6339" t="inlineStr">
        <is>
          <t>Sveaskog</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59116-2024</t>
        </is>
      </c>
      <c r="B6340" s="1" t="n">
        <v>45637</v>
      </c>
      <c r="C6340" s="1" t="n">
        <v>45705</v>
      </c>
      <c r="D6340" t="inlineStr">
        <is>
          <t>UPPSALA LÄN</t>
        </is>
      </c>
      <c r="E6340" t="inlineStr">
        <is>
          <t>UPPSALA</t>
        </is>
      </c>
      <c r="F6340" t="inlineStr">
        <is>
          <t>Sveaskog</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59158-2024</t>
        </is>
      </c>
      <c r="B6341" s="1" t="n">
        <v>45637</v>
      </c>
      <c r="C6341" s="1" t="n">
        <v>45705</v>
      </c>
      <c r="D6341" t="inlineStr">
        <is>
          <t>UPPSALA LÄN</t>
        </is>
      </c>
      <c r="E6341" t="inlineStr">
        <is>
          <t>UPPSALA</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59211-2024</t>
        </is>
      </c>
      <c r="B6342" s="1" t="n">
        <v>45637</v>
      </c>
      <c r="C6342" s="1" t="n">
        <v>45705</v>
      </c>
      <c r="D6342" t="inlineStr">
        <is>
          <t>UPPSALA LÄN</t>
        </is>
      </c>
      <c r="E6342" t="inlineStr">
        <is>
          <t>TIERP</t>
        </is>
      </c>
      <c r="G6342" t="n">
        <v>5.1</v>
      </c>
      <c r="H6342" t="n">
        <v>0</v>
      </c>
      <c r="I6342" t="n">
        <v>0</v>
      </c>
      <c r="J6342" t="n">
        <v>0</v>
      </c>
      <c r="K6342" t="n">
        <v>0</v>
      </c>
      <c r="L6342" t="n">
        <v>0</v>
      </c>
      <c r="M6342" t="n">
        <v>0</v>
      </c>
      <c r="N6342" t="n">
        <v>0</v>
      </c>
      <c r="O6342" t="n">
        <v>0</v>
      </c>
      <c r="P6342" t="n">
        <v>0</v>
      </c>
      <c r="Q6342" t="n">
        <v>0</v>
      </c>
      <c r="R6342" s="2" t="inlineStr"/>
    </row>
    <row r="6343" ht="15" customHeight="1">
      <c r="A6343" t="inlineStr">
        <is>
          <t>A 59244-2024</t>
        </is>
      </c>
      <c r="B6343" s="1" t="n">
        <v>45637</v>
      </c>
      <c r="C6343" s="1" t="n">
        <v>45705</v>
      </c>
      <c r="D6343" t="inlineStr">
        <is>
          <t>UPPSALA LÄN</t>
        </is>
      </c>
      <c r="E6343" t="inlineStr">
        <is>
          <t>TIERP</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59267-2024</t>
        </is>
      </c>
      <c r="B6344" s="1" t="n">
        <v>45637</v>
      </c>
      <c r="C6344" s="1" t="n">
        <v>45705</v>
      </c>
      <c r="D6344" t="inlineStr">
        <is>
          <t>UPPSALA LÄN</t>
        </is>
      </c>
      <c r="E6344" t="inlineStr">
        <is>
          <t>TIERP</t>
        </is>
      </c>
      <c r="G6344" t="n">
        <v>4.1</v>
      </c>
      <c r="H6344" t="n">
        <v>0</v>
      </c>
      <c r="I6344" t="n">
        <v>0</v>
      </c>
      <c r="J6344" t="n">
        <v>0</v>
      </c>
      <c r="K6344" t="n">
        <v>0</v>
      </c>
      <c r="L6344" t="n">
        <v>0</v>
      </c>
      <c r="M6344" t="n">
        <v>0</v>
      </c>
      <c r="N6344" t="n">
        <v>0</v>
      </c>
      <c r="O6344" t="n">
        <v>0</v>
      </c>
      <c r="P6344" t="n">
        <v>0</v>
      </c>
      <c r="Q6344" t="n">
        <v>0</v>
      </c>
      <c r="R6344" s="2" t="inlineStr"/>
    </row>
    <row r="6345" ht="15" customHeight="1">
      <c r="A6345" t="inlineStr">
        <is>
          <t>A 59358-2024</t>
        </is>
      </c>
      <c r="B6345" s="1" t="n">
        <v>45638</v>
      </c>
      <c r="C6345" s="1" t="n">
        <v>45705</v>
      </c>
      <c r="D6345" t="inlineStr">
        <is>
          <t>UPPSALA LÄN</t>
        </is>
      </c>
      <c r="E6345" t="inlineStr">
        <is>
          <t>UPPSALA</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59549-2024</t>
        </is>
      </c>
      <c r="B6346" s="1" t="n">
        <v>45638</v>
      </c>
      <c r="C6346" s="1" t="n">
        <v>45705</v>
      </c>
      <c r="D6346" t="inlineStr">
        <is>
          <t>UPPSALA LÄN</t>
        </is>
      </c>
      <c r="E6346" t="inlineStr">
        <is>
          <t>UPPSALA</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59562-2024</t>
        </is>
      </c>
      <c r="B6347" s="1" t="n">
        <v>45638</v>
      </c>
      <c r="C6347" s="1" t="n">
        <v>45705</v>
      </c>
      <c r="D6347" t="inlineStr">
        <is>
          <t>UPPSALA LÄN</t>
        </is>
      </c>
      <c r="E6347" t="inlineStr">
        <is>
          <t>UPPSALA</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59570-2024</t>
        </is>
      </c>
      <c r="B6348" s="1" t="n">
        <v>45638</v>
      </c>
      <c r="C6348" s="1" t="n">
        <v>45705</v>
      </c>
      <c r="D6348" t="inlineStr">
        <is>
          <t>UPPSALA LÄN</t>
        </is>
      </c>
      <c r="E6348" t="inlineStr">
        <is>
          <t>ENKÖPING</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59597-2024</t>
        </is>
      </c>
      <c r="B6349" s="1" t="n">
        <v>45638</v>
      </c>
      <c r="C6349" s="1" t="n">
        <v>45705</v>
      </c>
      <c r="D6349" t="inlineStr">
        <is>
          <t>UPPSALA LÄN</t>
        </is>
      </c>
      <c r="E6349" t="inlineStr">
        <is>
          <t>TIERP</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59547-2024</t>
        </is>
      </c>
      <c r="B6350" s="1" t="n">
        <v>45638</v>
      </c>
      <c r="C6350" s="1" t="n">
        <v>45705</v>
      </c>
      <c r="D6350" t="inlineStr">
        <is>
          <t>UPPSALA LÄN</t>
        </is>
      </c>
      <c r="E6350" t="inlineStr">
        <is>
          <t>UPPSALA</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59602-2024</t>
        </is>
      </c>
      <c r="B6351" s="1" t="n">
        <v>45638</v>
      </c>
      <c r="C6351" s="1" t="n">
        <v>45705</v>
      </c>
      <c r="D6351" t="inlineStr">
        <is>
          <t>UPPSALA LÄN</t>
        </is>
      </c>
      <c r="E6351" t="inlineStr">
        <is>
          <t>ENKÖPING</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59587-2024</t>
        </is>
      </c>
      <c r="B6352" s="1" t="n">
        <v>45638</v>
      </c>
      <c r="C6352" s="1" t="n">
        <v>45705</v>
      </c>
      <c r="D6352" t="inlineStr">
        <is>
          <t>UPPSALA LÄN</t>
        </is>
      </c>
      <c r="E6352" t="inlineStr">
        <is>
          <t>UPPSALA</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59382-2024</t>
        </is>
      </c>
      <c r="B6353" s="1" t="n">
        <v>45638</v>
      </c>
      <c r="C6353" s="1" t="n">
        <v>45705</v>
      </c>
      <c r="D6353" t="inlineStr">
        <is>
          <t>UPPSALA LÄN</t>
        </is>
      </c>
      <c r="E6353" t="inlineStr">
        <is>
          <t>HEBY</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59391-2024</t>
        </is>
      </c>
      <c r="B6354" s="1" t="n">
        <v>45638</v>
      </c>
      <c r="C6354" s="1" t="n">
        <v>45705</v>
      </c>
      <c r="D6354" t="inlineStr">
        <is>
          <t>UPPSALA LÄN</t>
        </is>
      </c>
      <c r="E6354" t="inlineStr">
        <is>
          <t>HEBY</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59387-2024</t>
        </is>
      </c>
      <c r="B6355" s="1" t="n">
        <v>45638</v>
      </c>
      <c r="C6355" s="1" t="n">
        <v>45705</v>
      </c>
      <c r="D6355" t="inlineStr">
        <is>
          <t>UPPSALA LÄN</t>
        </is>
      </c>
      <c r="E6355" t="inlineStr">
        <is>
          <t>HEBY</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59824-2024</t>
        </is>
      </c>
      <c r="B6356" s="1" t="n">
        <v>45639</v>
      </c>
      <c r="C6356" s="1" t="n">
        <v>45705</v>
      </c>
      <c r="D6356" t="inlineStr">
        <is>
          <t>UPPSALA LÄN</t>
        </is>
      </c>
      <c r="E6356" t="inlineStr">
        <is>
          <t>HEBY</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59815-2024</t>
        </is>
      </c>
      <c r="B6357" s="1" t="n">
        <v>45639</v>
      </c>
      <c r="C6357" s="1" t="n">
        <v>45705</v>
      </c>
      <c r="D6357" t="inlineStr">
        <is>
          <t>UPPSALA LÄN</t>
        </is>
      </c>
      <c r="E6357" t="inlineStr">
        <is>
          <t>HEBY</t>
        </is>
      </c>
      <c r="G6357" t="n">
        <v>3.4</v>
      </c>
      <c r="H6357" t="n">
        <v>0</v>
      </c>
      <c r="I6357" t="n">
        <v>0</v>
      </c>
      <c r="J6357" t="n">
        <v>0</v>
      </c>
      <c r="K6357" t="n">
        <v>0</v>
      </c>
      <c r="L6357" t="n">
        <v>0</v>
      </c>
      <c r="M6357" t="n">
        <v>0</v>
      </c>
      <c r="N6357" t="n">
        <v>0</v>
      </c>
      <c r="O6357" t="n">
        <v>0</v>
      </c>
      <c r="P6357" t="n">
        <v>0</v>
      </c>
      <c r="Q6357" t="n">
        <v>0</v>
      </c>
      <c r="R6357" s="2" t="inlineStr"/>
    </row>
    <row r="6358" ht="15" customHeight="1">
      <c r="A6358" t="inlineStr">
        <is>
          <t>A 59858-2024</t>
        </is>
      </c>
      <c r="B6358" s="1" t="n">
        <v>45639</v>
      </c>
      <c r="C6358" s="1" t="n">
        <v>45705</v>
      </c>
      <c r="D6358" t="inlineStr">
        <is>
          <t>UPPSALA LÄN</t>
        </is>
      </c>
      <c r="E6358" t="inlineStr">
        <is>
          <t>HEBY</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59658-2024</t>
        </is>
      </c>
      <c r="B6359" s="1" t="n">
        <v>45639</v>
      </c>
      <c r="C6359" s="1" t="n">
        <v>45705</v>
      </c>
      <c r="D6359" t="inlineStr">
        <is>
          <t>UPPSALA LÄN</t>
        </is>
      </c>
      <c r="E6359" t="inlineStr">
        <is>
          <t>TIERP</t>
        </is>
      </c>
      <c r="G6359" t="n">
        <v>4.9</v>
      </c>
      <c r="H6359" t="n">
        <v>0</v>
      </c>
      <c r="I6359" t="n">
        <v>0</v>
      </c>
      <c r="J6359" t="n">
        <v>0</v>
      </c>
      <c r="K6359" t="n">
        <v>0</v>
      </c>
      <c r="L6359" t="n">
        <v>0</v>
      </c>
      <c r="M6359" t="n">
        <v>0</v>
      </c>
      <c r="N6359" t="n">
        <v>0</v>
      </c>
      <c r="O6359" t="n">
        <v>0</v>
      </c>
      <c r="P6359" t="n">
        <v>0</v>
      </c>
      <c r="Q6359" t="n">
        <v>0</v>
      </c>
      <c r="R6359" s="2" t="inlineStr"/>
    </row>
    <row r="6360" ht="15" customHeight="1">
      <c r="A6360" t="inlineStr">
        <is>
          <t>A 60167-2024</t>
        </is>
      </c>
      <c r="B6360" s="1" t="n">
        <v>45642</v>
      </c>
      <c r="C6360" s="1" t="n">
        <v>45705</v>
      </c>
      <c r="D6360" t="inlineStr">
        <is>
          <t>UPPSALA LÄN</t>
        </is>
      </c>
      <c r="E6360" t="inlineStr">
        <is>
          <t>UPPSALA</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60123-2024</t>
        </is>
      </c>
      <c r="B6361" s="1" t="n">
        <v>45642</v>
      </c>
      <c r="C6361" s="1" t="n">
        <v>45705</v>
      </c>
      <c r="D6361" t="inlineStr">
        <is>
          <t>UPPSALA LÄN</t>
        </is>
      </c>
      <c r="E6361" t="inlineStr">
        <is>
          <t>TIERP</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60129-2024</t>
        </is>
      </c>
      <c r="B6362" s="1" t="n">
        <v>45642</v>
      </c>
      <c r="C6362" s="1" t="n">
        <v>45705</v>
      </c>
      <c r="D6362" t="inlineStr">
        <is>
          <t>UPPSALA LÄN</t>
        </is>
      </c>
      <c r="E6362" t="inlineStr">
        <is>
          <t>TIERP</t>
        </is>
      </c>
      <c r="G6362" t="n">
        <v>4.7</v>
      </c>
      <c r="H6362" t="n">
        <v>0</v>
      </c>
      <c r="I6362" t="n">
        <v>0</v>
      </c>
      <c r="J6362" t="n">
        <v>0</v>
      </c>
      <c r="K6362" t="n">
        <v>0</v>
      </c>
      <c r="L6362" t="n">
        <v>0</v>
      </c>
      <c r="M6362" t="n">
        <v>0</v>
      </c>
      <c r="N6362" t="n">
        <v>0</v>
      </c>
      <c r="O6362" t="n">
        <v>0</v>
      </c>
      <c r="P6362" t="n">
        <v>0</v>
      </c>
      <c r="Q6362" t="n">
        <v>0</v>
      </c>
      <c r="R6362" s="2" t="inlineStr"/>
    </row>
    <row r="6363" ht="15" customHeight="1">
      <c r="A6363" t="inlineStr">
        <is>
          <t>A 60136-2024</t>
        </is>
      </c>
      <c r="B6363" s="1" t="n">
        <v>45642</v>
      </c>
      <c r="C6363" s="1" t="n">
        <v>45705</v>
      </c>
      <c r="D6363" t="inlineStr">
        <is>
          <t>UPPSALA LÄN</t>
        </is>
      </c>
      <c r="E6363" t="inlineStr">
        <is>
          <t>TIERP</t>
        </is>
      </c>
      <c r="G6363" t="n">
        <v>6</v>
      </c>
      <c r="H6363" t="n">
        <v>0</v>
      </c>
      <c r="I6363" t="n">
        <v>0</v>
      </c>
      <c r="J6363" t="n">
        <v>0</v>
      </c>
      <c r="K6363" t="n">
        <v>0</v>
      </c>
      <c r="L6363" t="n">
        <v>0</v>
      </c>
      <c r="M6363" t="n">
        <v>0</v>
      </c>
      <c r="N6363" t="n">
        <v>0</v>
      </c>
      <c r="O6363" t="n">
        <v>0</v>
      </c>
      <c r="P6363" t="n">
        <v>0</v>
      </c>
      <c r="Q6363" t="n">
        <v>0</v>
      </c>
      <c r="R6363" s="2" t="inlineStr"/>
    </row>
    <row r="6364" ht="15" customHeight="1">
      <c r="A6364" t="inlineStr">
        <is>
          <t>A 60011-2024</t>
        </is>
      </c>
      <c r="B6364" s="1" t="n">
        <v>45642</v>
      </c>
      <c r="C6364" s="1" t="n">
        <v>45705</v>
      </c>
      <c r="D6364" t="inlineStr">
        <is>
          <t>UPPSALA LÄN</t>
        </is>
      </c>
      <c r="E6364" t="inlineStr">
        <is>
          <t>TIERP</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60125-2024</t>
        </is>
      </c>
      <c r="B6365" s="1" t="n">
        <v>45642</v>
      </c>
      <c r="C6365" s="1" t="n">
        <v>45705</v>
      </c>
      <c r="D6365" t="inlineStr">
        <is>
          <t>UPPSALA LÄN</t>
        </is>
      </c>
      <c r="E6365" t="inlineStr">
        <is>
          <t>ENKÖPING</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60018-2024</t>
        </is>
      </c>
      <c r="B6366" s="1" t="n">
        <v>45642</v>
      </c>
      <c r="C6366" s="1" t="n">
        <v>45705</v>
      </c>
      <c r="D6366" t="inlineStr">
        <is>
          <t>UPPSALA LÄN</t>
        </is>
      </c>
      <c r="E6366" t="inlineStr">
        <is>
          <t>KNIVSTA</t>
        </is>
      </c>
      <c r="G6366" t="n">
        <v>4.1</v>
      </c>
      <c r="H6366" t="n">
        <v>0</v>
      </c>
      <c r="I6366" t="n">
        <v>0</v>
      </c>
      <c r="J6366" t="n">
        <v>0</v>
      </c>
      <c r="K6366" t="n">
        <v>0</v>
      </c>
      <c r="L6366" t="n">
        <v>0</v>
      </c>
      <c r="M6366" t="n">
        <v>0</v>
      </c>
      <c r="N6366" t="n">
        <v>0</v>
      </c>
      <c r="O6366" t="n">
        <v>0</v>
      </c>
      <c r="P6366" t="n">
        <v>0</v>
      </c>
      <c r="Q6366" t="n">
        <v>0</v>
      </c>
      <c r="R6366" s="2" t="inlineStr"/>
    </row>
    <row r="6367" ht="15" customHeight="1">
      <c r="A6367" t="inlineStr">
        <is>
          <t>A 60014-2024</t>
        </is>
      </c>
      <c r="B6367" s="1" t="n">
        <v>45642</v>
      </c>
      <c r="C6367" s="1" t="n">
        <v>45705</v>
      </c>
      <c r="D6367" t="inlineStr">
        <is>
          <t>UPPSALA LÄN</t>
        </is>
      </c>
      <c r="E6367" t="inlineStr">
        <is>
          <t>TIERP</t>
        </is>
      </c>
      <c r="F6367" t="inlineStr">
        <is>
          <t>Bergvik skog väst AB</t>
        </is>
      </c>
      <c r="G6367" t="n">
        <v>8.4</v>
      </c>
      <c r="H6367" t="n">
        <v>0</v>
      </c>
      <c r="I6367" t="n">
        <v>0</v>
      </c>
      <c r="J6367" t="n">
        <v>0</v>
      </c>
      <c r="K6367" t="n">
        <v>0</v>
      </c>
      <c r="L6367" t="n">
        <v>0</v>
      </c>
      <c r="M6367" t="n">
        <v>0</v>
      </c>
      <c r="N6367" t="n">
        <v>0</v>
      </c>
      <c r="O6367" t="n">
        <v>0</v>
      </c>
      <c r="P6367" t="n">
        <v>0</v>
      </c>
      <c r="Q6367" t="n">
        <v>0</v>
      </c>
      <c r="R6367" s="2" t="inlineStr"/>
    </row>
    <row r="6368" ht="15" customHeight="1">
      <c r="A6368" t="inlineStr">
        <is>
          <t>A 60003-2024</t>
        </is>
      </c>
      <c r="B6368" s="1" t="n">
        <v>45642</v>
      </c>
      <c r="C6368" s="1" t="n">
        <v>45705</v>
      </c>
      <c r="D6368" t="inlineStr">
        <is>
          <t>UPPSALA LÄN</t>
        </is>
      </c>
      <c r="E6368" t="inlineStr">
        <is>
          <t>UPPSALA</t>
        </is>
      </c>
      <c r="F6368" t="inlineStr">
        <is>
          <t>Bergvik skog väst AB</t>
        </is>
      </c>
      <c r="G6368" t="n">
        <v>14.5</v>
      </c>
      <c r="H6368" t="n">
        <v>0</v>
      </c>
      <c r="I6368" t="n">
        <v>0</v>
      </c>
      <c r="J6368" t="n">
        <v>0</v>
      </c>
      <c r="K6368" t="n">
        <v>0</v>
      </c>
      <c r="L6368" t="n">
        <v>0</v>
      </c>
      <c r="M6368" t="n">
        <v>0</v>
      </c>
      <c r="N6368" t="n">
        <v>0</v>
      </c>
      <c r="O6368" t="n">
        <v>0</v>
      </c>
      <c r="P6368" t="n">
        <v>0</v>
      </c>
      <c r="Q6368" t="n">
        <v>0</v>
      </c>
      <c r="R6368" s="2" t="inlineStr"/>
    </row>
    <row r="6369" ht="15" customHeight="1">
      <c r="A6369" t="inlineStr">
        <is>
          <t>A 59996-2024</t>
        </is>
      </c>
      <c r="B6369" s="1" t="n">
        <v>45642</v>
      </c>
      <c r="C6369" s="1" t="n">
        <v>45705</v>
      </c>
      <c r="D6369" t="inlineStr">
        <is>
          <t>UPPSALA LÄN</t>
        </is>
      </c>
      <c r="E6369" t="inlineStr">
        <is>
          <t>UPPSALA</t>
        </is>
      </c>
      <c r="F6369" t="inlineStr">
        <is>
          <t>Bergvik skog väst AB</t>
        </is>
      </c>
      <c r="G6369" t="n">
        <v>14.5</v>
      </c>
      <c r="H6369" t="n">
        <v>0</v>
      </c>
      <c r="I6369" t="n">
        <v>0</v>
      </c>
      <c r="J6369" t="n">
        <v>0</v>
      </c>
      <c r="K6369" t="n">
        <v>0</v>
      </c>
      <c r="L6369" t="n">
        <v>0</v>
      </c>
      <c r="M6369" t="n">
        <v>0</v>
      </c>
      <c r="N6369" t="n">
        <v>0</v>
      </c>
      <c r="O6369" t="n">
        <v>0</v>
      </c>
      <c r="P6369" t="n">
        <v>0</v>
      </c>
      <c r="Q6369" t="n">
        <v>0</v>
      </c>
      <c r="R6369" s="2" t="inlineStr"/>
    </row>
    <row r="6370" ht="15" customHeight="1">
      <c r="A6370" t="inlineStr">
        <is>
          <t>A 60357-2024</t>
        </is>
      </c>
      <c r="B6370" s="1" t="n">
        <v>45643</v>
      </c>
      <c r="C6370" s="1" t="n">
        <v>45705</v>
      </c>
      <c r="D6370" t="inlineStr">
        <is>
          <t>UPPSALA LÄN</t>
        </is>
      </c>
      <c r="E6370" t="inlineStr">
        <is>
          <t>TIERP</t>
        </is>
      </c>
      <c r="F6370" t="inlineStr">
        <is>
          <t>Bergvik skog öst AB</t>
        </is>
      </c>
      <c r="G6370" t="n">
        <v>9.6</v>
      </c>
      <c r="H6370" t="n">
        <v>0</v>
      </c>
      <c r="I6370" t="n">
        <v>0</v>
      </c>
      <c r="J6370" t="n">
        <v>0</v>
      </c>
      <c r="K6370" t="n">
        <v>0</v>
      </c>
      <c r="L6370" t="n">
        <v>0</v>
      </c>
      <c r="M6370" t="n">
        <v>0</v>
      </c>
      <c r="N6370" t="n">
        <v>0</v>
      </c>
      <c r="O6370" t="n">
        <v>0</v>
      </c>
      <c r="P6370" t="n">
        <v>0</v>
      </c>
      <c r="Q6370" t="n">
        <v>0</v>
      </c>
      <c r="R6370" s="2" t="inlineStr"/>
    </row>
    <row r="6371" ht="15" customHeight="1">
      <c r="A6371" t="inlineStr">
        <is>
          <t>A 60445-2024</t>
        </is>
      </c>
      <c r="B6371" s="1" t="n">
        <v>45643</v>
      </c>
      <c r="C6371" s="1" t="n">
        <v>45705</v>
      </c>
      <c r="D6371" t="inlineStr">
        <is>
          <t>UPPSALA LÄN</t>
        </is>
      </c>
      <c r="E6371" t="inlineStr">
        <is>
          <t>UPPSALA</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60314-2024</t>
        </is>
      </c>
      <c r="B6372" s="1" t="n">
        <v>45643</v>
      </c>
      <c r="C6372" s="1" t="n">
        <v>45705</v>
      </c>
      <c r="D6372" t="inlineStr">
        <is>
          <t>UPPSALA LÄN</t>
        </is>
      </c>
      <c r="E6372" t="inlineStr">
        <is>
          <t>TIERP</t>
        </is>
      </c>
      <c r="F6372" t="inlineStr">
        <is>
          <t>Bergvik skog öst AB</t>
        </is>
      </c>
      <c r="G6372" t="n">
        <v>4.4</v>
      </c>
      <c r="H6372" t="n">
        <v>0</v>
      </c>
      <c r="I6372" t="n">
        <v>0</v>
      </c>
      <c r="J6372" t="n">
        <v>0</v>
      </c>
      <c r="K6372" t="n">
        <v>0</v>
      </c>
      <c r="L6372" t="n">
        <v>0</v>
      </c>
      <c r="M6372" t="n">
        <v>0</v>
      </c>
      <c r="N6372" t="n">
        <v>0</v>
      </c>
      <c r="O6372" t="n">
        <v>0</v>
      </c>
      <c r="P6372" t="n">
        <v>0</v>
      </c>
      <c r="Q6372" t="n">
        <v>0</v>
      </c>
      <c r="R6372" s="2" t="inlineStr"/>
    </row>
    <row r="6373" ht="15" customHeight="1">
      <c r="A6373" t="inlineStr">
        <is>
          <t>A 60538-2024</t>
        </is>
      </c>
      <c r="B6373" s="1" t="n">
        <v>45643</v>
      </c>
      <c r="C6373" s="1" t="n">
        <v>45705</v>
      </c>
      <c r="D6373" t="inlineStr">
        <is>
          <t>UPPSALA LÄN</t>
        </is>
      </c>
      <c r="E6373" t="inlineStr">
        <is>
          <t>ENKÖPING</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60304-2024</t>
        </is>
      </c>
      <c r="B6374" s="1" t="n">
        <v>45643</v>
      </c>
      <c r="C6374" s="1" t="n">
        <v>45705</v>
      </c>
      <c r="D6374" t="inlineStr">
        <is>
          <t>UPPSALA LÄN</t>
        </is>
      </c>
      <c r="E6374" t="inlineStr">
        <is>
          <t>TIERP</t>
        </is>
      </c>
      <c r="F6374" t="inlineStr">
        <is>
          <t>Bergvik skog öst AB</t>
        </is>
      </c>
      <c r="G6374" t="n">
        <v>3.4</v>
      </c>
      <c r="H6374" t="n">
        <v>0</v>
      </c>
      <c r="I6374" t="n">
        <v>0</v>
      </c>
      <c r="J6374" t="n">
        <v>0</v>
      </c>
      <c r="K6374" t="n">
        <v>0</v>
      </c>
      <c r="L6374" t="n">
        <v>0</v>
      </c>
      <c r="M6374" t="n">
        <v>0</v>
      </c>
      <c r="N6374" t="n">
        <v>0</v>
      </c>
      <c r="O6374" t="n">
        <v>0</v>
      </c>
      <c r="P6374" t="n">
        <v>0</v>
      </c>
      <c r="Q6374" t="n">
        <v>0</v>
      </c>
      <c r="R6374" s="2" t="inlineStr"/>
    </row>
    <row r="6375" ht="15" customHeight="1">
      <c r="A6375" t="inlineStr">
        <is>
          <t>A 60519-2024</t>
        </is>
      </c>
      <c r="B6375" s="1" t="n">
        <v>45643</v>
      </c>
      <c r="C6375" s="1" t="n">
        <v>45705</v>
      </c>
      <c r="D6375" t="inlineStr">
        <is>
          <t>UPPSALA LÄN</t>
        </is>
      </c>
      <c r="E6375" t="inlineStr">
        <is>
          <t>ENKÖPING</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60539-2024</t>
        </is>
      </c>
      <c r="B6376" s="1" t="n">
        <v>45643</v>
      </c>
      <c r="C6376" s="1" t="n">
        <v>45705</v>
      </c>
      <c r="D6376" t="inlineStr">
        <is>
          <t>UPPSALA LÄN</t>
        </is>
      </c>
      <c r="E6376" t="inlineStr">
        <is>
          <t>ENKÖPING</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60329-2024</t>
        </is>
      </c>
      <c r="B6377" s="1" t="n">
        <v>45643</v>
      </c>
      <c r="C6377" s="1" t="n">
        <v>45705</v>
      </c>
      <c r="D6377" t="inlineStr">
        <is>
          <t>UPPSALA LÄN</t>
        </is>
      </c>
      <c r="E6377" t="inlineStr">
        <is>
          <t>HEBY</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60698-2024</t>
        </is>
      </c>
      <c r="B6378" s="1" t="n">
        <v>45644</v>
      </c>
      <c r="C6378" s="1" t="n">
        <v>45705</v>
      </c>
      <c r="D6378" t="inlineStr">
        <is>
          <t>UPPSALA LÄN</t>
        </is>
      </c>
      <c r="E6378" t="inlineStr">
        <is>
          <t>UPPSALA</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60735-2024</t>
        </is>
      </c>
      <c r="B6379" s="1" t="n">
        <v>45644</v>
      </c>
      <c r="C6379" s="1" t="n">
        <v>45705</v>
      </c>
      <c r="D6379" t="inlineStr">
        <is>
          <t>UPPSALA LÄN</t>
        </is>
      </c>
      <c r="E6379" t="inlineStr">
        <is>
          <t>UPPSALA</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60648-2024</t>
        </is>
      </c>
      <c r="B6380" s="1" t="n">
        <v>45644</v>
      </c>
      <c r="C6380" s="1" t="n">
        <v>45705</v>
      </c>
      <c r="D6380" t="inlineStr">
        <is>
          <t>UPPSALA LÄN</t>
        </is>
      </c>
      <c r="E6380" t="inlineStr">
        <is>
          <t>TIERP</t>
        </is>
      </c>
      <c r="G6380" t="n">
        <v>3.9</v>
      </c>
      <c r="H6380" t="n">
        <v>0</v>
      </c>
      <c r="I6380" t="n">
        <v>0</v>
      </c>
      <c r="J6380" t="n">
        <v>0</v>
      </c>
      <c r="K6380" t="n">
        <v>0</v>
      </c>
      <c r="L6380" t="n">
        <v>0</v>
      </c>
      <c r="M6380" t="n">
        <v>0</v>
      </c>
      <c r="N6380" t="n">
        <v>0</v>
      </c>
      <c r="O6380" t="n">
        <v>0</v>
      </c>
      <c r="P6380" t="n">
        <v>0</v>
      </c>
      <c r="Q6380" t="n">
        <v>0</v>
      </c>
      <c r="R6380" s="2" t="inlineStr"/>
    </row>
    <row r="6381" ht="15" customHeight="1">
      <c r="A6381" t="inlineStr">
        <is>
          <t>A 60807-2024</t>
        </is>
      </c>
      <c r="B6381" s="1" t="n">
        <v>45644</v>
      </c>
      <c r="C6381" s="1" t="n">
        <v>45705</v>
      </c>
      <c r="D6381" t="inlineStr">
        <is>
          <t>UPPSALA LÄN</t>
        </is>
      </c>
      <c r="E6381" t="inlineStr">
        <is>
          <t>UPPSALA</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60820-2024</t>
        </is>
      </c>
      <c r="B6382" s="1" t="n">
        <v>45644</v>
      </c>
      <c r="C6382" s="1" t="n">
        <v>45705</v>
      </c>
      <c r="D6382" t="inlineStr">
        <is>
          <t>UPPSALA LÄN</t>
        </is>
      </c>
      <c r="E6382" t="inlineStr">
        <is>
          <t>UPPSALA</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60729-2024</t>
        </is>
      </c>
      <c r="B6383" s="1" t="n">
        <v>45644</v>
      </c>
      <c r="C6383" s="1" t="n">
        <v>45705</v>
      </c>
      <c r="D6383" t="inlineStr">
        <is>
          <t>UPPSALA LÄN</t>
        </is>
      </c>
      <c r="E6383" t="inlineStr">
        <is>
          <t>UPPSALA</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60691-2024</t>
        </is>
      </c>
      <c r="B6384" s="1" t="n">
        <v>45644</v>
      </c>
      <c r="C6384" s="1" t="n">
        <v>45705</v>
      </c>
      <c r="D6384" t="inlineStr">
        <is>
          <t>UPPSALA LÄN</t>
        </is>
      </c>
      <c r="E6384" t="inlineStr">
        <is>
          <t>UPPSALA</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60811-2024</t>
        </is>
      </c>
      <c r="B6385" s="1" t="n">
        <v>45644</v>
      </c>
      <c r="C6385" s="1" t="n">
        <v>45705</v>
      </c>
      <c r="D6385" t="inlineStr">
        <is>
          <t>UPPSALA LÄN</t>
        </is>
      </c>
      <c r="E6385" t="inlineStr">
        <is>
          <t>UPPSALA</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60949-2024</t>
        </is>
      </c>
      <c r="B6386" s="1" t="n">
        <v>45645</v>
      </c>
      <c r="C6386" s="1" t="n">
        <v>45705</v>
      </c>
      <c r="D6386" t="inlineStr">
        <is>
          <t>UPPSALA LÄN</t>
        </is>
      </c>
      <c r="E6386" t="inlineStr">
        <is>
          <t>UPPSALA</t>
        </is>
      </c>
      <c r="F6386" t="inlineStr">
        <is>
          <t>Kommuner</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60954-2024</t>
        </is>
      </c>
      <c r="B6387" s="1" t="n">
        <v>45645</v>
      </c>
      <c r="C6387" s="1" t="n">
        <v>45705</v>
      </c>
      <c r="D6387" t="inlineStr">
        <is>
          <t>UPPSALA LÄN</t>
        </is>
      </c>
      <c r="E6387" t="inlineStr">
        <is>
          <t>UPPSALA</t>
        </is>
      </c>
      <c r="F6387" t="inlineStr">
        <is>
          <t>Kommuner</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60985-2024</t>
        </is>
      </c>
      <c r="B6388" s="1" t="n">
        <v>45645</v>
      </c>
      <c r="C6388" s="1" t="n">
        <v>45705</v>
      </c>
      <c r="D6388" t="inlineStr">
        <is>
          <t>UPPSALA LÄN</t>
        </is>
      </c>
      <c r="E6388" t="inlineStr">
        <is>
          <t>TIERP</t>
        </is>
      </c>
      <c r="G6388" t="n">
        <v>5.5</v>
      </c>
      <c r="H6388" t="n">
        <v>0</v>
      </c>
      <c r="I6388" t="n">
        <v>0</v>
      </c>
      <c r="J6388" t="n">
        <v>0</v>
      </c>
      <c r="K6388" t="n">
        <v>0</v>
      </c>
      <c r="L6388" t="n">
        <v>0</v>
      </c>
      <c r="M6388" t="n">
        <v>0</v>
      </c>
      <c r="N6388" t="n">
        <v>0</v>
      </c>
      <c r="O6388" t="n">
        <v>0</v>
      </c>
      <c r="P6388" t="n">
        <v>0</v>
      </c>
      <c r="Q6388" t="n">
        <v>0</v>
      </c>
      <c r="R6388" s="2" t="inlineStr"/>
    </row>
    <row r="6389" ht="15" customHeight="1">
      <c r="A6389" t="inlineStr">
        <is>
          <t>A 61038-2024</t>
        </is>
      </c>
      <c r="B6389" s="1" t="n">
        <v>45645</v>
      </c>
      <c r="C6389" s="1" t="n">
        <v>45705</v>
      </c>
      <c r="D6389" t="inlineStr">
        <is>
          <t>UPPSALA LÄN</t>
        </is>
      </c>
      <c r="E6389" t="inlineStr">
        <is>
          <t>HEBY</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61248-2024</t>
        </is>
      </c>
      <c r="B6390" s="1" t="n">
        <v>45645</v>
      </c>
      <c r="C6390" s="1" t="n">
        <v>45705</v>
      </c>
      <c r="D6390" t="inlineStr">
        <is>
          <t>UPPSALA LÄN</t>
        </is>
      </c>
      <c r="E6390" t="inlineStr">
        <is>
          <t>TIERP</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61071-2024</t>
        </is>
      </c>
      <c r="B6391" s="1" t="n">
        <v>45645</v>
      </c>
      <c r="C6391" s="1" t="n">
        <v>45705</v>
      </c>
      <c r="D6391" t="inlineStr">
        <is>
          <t>UPPSALA LÄN</t>
        </is>
      </c>
      <c r="E6391" t="inlineStr">
        <is>
          <t>UPPSALA</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61149-2024</t>
        </is>
      </c>
      <c r="B6392" s="1" t="n">
        <v>45645</v>
      </c>
      <c r="C6392" s="1" t="n">
        <v>45705</v>
      </c>
      <c r="D6392" t="inlineStr">
        <is>
          <t>UPPSALA LÄN</t>
        </is>
      </c>
      <c r="E6392" t="inlineStr">
        <is>
          <t>TIERP</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61156-2024</t>
        </is>
      </c>
      <c r="B6393" s="1" t="n">
        <v>45645</v>
      </c>
      <c r="C6393" s="1" t="n">
        <v>45705</v>
      </c>
      <c r="D6393" t="inlineStr">
        <is>
          <t>UPPSALA LÄN</t>
        </is>
      </c>
      <c r="E6393" t="inlineStr">
        <is>
          <t>TIERP</t>
        </is>
      </c>
      <c r="F6393" t="inlineStr">
        <is>
          <t>Bergvik skog väst AB</t>
        </is>
      </c>
      <c r="G6393" t="n">
        <v>10.6</v>
      </c>
      <c r="H6393" t="n">
        <v>0</v>
      </c>
      <c r="I6393" t="n">
        <v>0</v>
      </c>
      <c r="J6393" t="n">
        <v>0</v>
      </c>
      <c r="K6393" t="n">
        <v>0</v>
      </c>
      <c r="L6393" t="n">
        <v>0</v>
      </c>
      <c r="M6393" t="n">
        <v>0</v>
      </c>
      <c r="N6393" t="n">
        <v>0</v>
      </c>
      <c r="O6393" t="n">
        <v>0</v>
      </c>
      <c r="P6393" t="n">
        <v>0</v>
      </c>
      <c r="Q6393" t="n">
        <v>0</v>
      </c>
      <c r="R6393" s="2" t="inlineStr"/>
    </row>
    <row r="6394" ht="15" customHeight="1">
      <c r="A6394" t="inlineStr">
        <is>
          <t>A 61230-2024</t>
        </is>
      </c>
      <c r="B6394" s="1" t="n">
        <v>45645</v>
      </c>
      <c r="C6394" s="1" t="n">
        <v>45705</v>
      </c>
      <c r="D6394" t="inlineStr">
        <is>
          <t>UPPSALA LÄN</t>
        </is>
      </c>
      <c r="E6394" t="inlineStr">
        <is>
          <t>TIERP</t>
        </is>
      </c>
      <c r="G6394" t="n">
        <v>1.8</v>
      </c>
      <c r="H6394" t="n">
        <v>0</v>
      </c>
      <c r="I6394" t="n">
        <v>0</v>
      </c>
      <c r="J6394" t="n">
        <v>0</v>
      </c>
      <c r="K6394" t="n">
        <v>0</v>
      </c>
      <c r="L6394" t="n">
        <v>0</v>
      </c>
      <c r="M6394" t="n">
        <v>0</v>
      </c>
      <c r="N6394" t="n">
        <v>0</v>
      </c>
      <c r="O6394" t="n">
        <v>0</v>
      </c>
      <c r="P6394" t="n">
        <v>0</v>
      </c>
      <c r="Q6394" t="n">
        <v>0</v>
      </c>
      <c r="R6394" s="2" t="inlineStr"/>
      <c r="U6394">
        <f>HYPERLINK("https://klasma.github.io/Logging_0360/knärot/A 61230-2024 karta knärot.png", "A 61230-2024")</f>
        <v/>
      </c>
      <c r="V6394">
        <f>HYPERLINK("https://klasma.github.io/Logging_0360/klagomål/A 61230-2024 FSC-klagomål.docx", "A 61230-2024")</f>
        <v/>
      </c>
      <c r="W6394">
        <f>HYPERLINK("https://klasma.github.io/Logging_0360/klagomålsmail/A 61230-2024 FSC-klagomål mail.docx", "A 61230-2024")</f>
        <v/>
      </c>
      <c r="X6394">
        <f>HYPERLINK("https://klasma.github.io/Logging_0360/tillsyn/A 61230-2024 tillsynsbegäran.docx", "A 61230-2024")</f>
        <v/>
      </c>
      <c r="Y6394">
        <f>HYPERLINK("https://klasma.github.io/Logging_0360/tillsynsmail/A 61230-2024 tillsynsbegäran mail.docx", "A 61230-2024")</f>
        <v/>
      </c>
    </row>
    <row r="6395" ht="15" customHeight="1">
      <c r="A6395" t="inlineStr">
        <is>
          <t>A 61235-2024</t>
        </is>
      </c>
      <c r="B6395" s="1" t="n">
        <v>45645</v>
      </c>
      <c r="C6395" s="1" t="n">
        <v>45705</v>
      </c>
      <c r="D6395" t="inlineStr">
        <is>
          <t>UPPSALA LÄN</t>
        </is>
      </c>
      <c r="E6395" t="inlineStr">
        <is>
          <t>ÖSTHAMMAR</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61280-2024</t>
        </is>
      </c>
      <c r="B6396" s="1" t="n">
        <v>45645</v>
      </c>
      <c r="C6396" s="1" t="n">
        <v>45705</v>
      </c>
      <c r="D6396" t="inlineStr">
        <is>
          <t>UPPSALA LÄN</t>
        </is>
      </c>
      <c r="E6396" t="inlineStr">
        <is>
          <t>TIERP</t>
        </is>
      </c>
      <c r="G6396" t="n">
        <v>5.4</v>
      </c>
      <c r="H6396" t="n">
        <v>0</v>
      </c>
      <c r="I6396" t="n">
        <v>0</v>
      </c>
      <c r="J6396" t="n">
        <v>0</v>
      </c>
      <c r="K6396" t="n">
        <v>0</v>
      </c>
      <c r="L6396" t="n">
        <v>0</v>
      </c>
      <c r="M6396" t="n">
        <v>0</v>
      </c>
      <c r="N6396" t="n">
        <v>0</v>
      </c>
      <c r="O6396" t="n">
        <v>0</v>
      </c>
      <c r="P6396" t="n">
        <v>0</v>
      </c>
      <c r="Q6396" t="n">
        <v>0</v>
      </c>
      <c r="R6396" s="2" t="inlineStr"/>
    </row>
    <row r="6397" ht="15" customHeight="1">
      <c r="A6397" t="inlineStr">
        <is>
          <t>A 61152-2024</t>
        </is>
      </c>
      <c r="B6397" s="1" t="n">
        <v>45645</v>
      </c>
      <c r="C6397" s="1" t="n">
        <v>45705</v>
      </c>
      <c r="D6397" t="inlineStr">
        <is>
          <t>UPPSALA LÄN</t>
        </is>
      </c>
      <c r="E6397" t="inlineStr">
        <is>
          <t>TIERP</t>
        </is>
      </c>
      <c r="F6397" t="inlineStr">
        <is>
          <t>Bergvik skog väst AB</t>
        </is>
      </c>
      <c r="G6397" t="n">
        <v>4.8</v>
      </c>
      <c r="H6397" t="n">
        <v>0</v>
      </c>
      <c r="I6397" t="n">
        <v>0</v>
      </c>
      <c r="J6397" t="n">
        <v>0</v>
      </c>
      <c r="K6397" t="n">
        <v>0</v>
      </c>
      <c r="L6397" t="n">
        <v>0</v>
      </c>
      <c r="M6397" t="n">
        <v>0</v>
      </c>
      <c r="N6397" t="n">
        <v>0</v>
      </c>
      <c r="O6397" t="n">
        <v>0</v>
      </c>
      <c r="P6397" t="n">
        <v>0</v>
      </c>
      <c r="Q6397" t="n">
        <v>0</v>
      </c>
      <c r="R6397" s="2" t="inlineStr"/>
    </row>
    <row r="6398" ht="15" customHeight="1">
      <c r="A6398" t="inlineStr">
        <is>
          <t>A 61033-2024</t>
        </is>
      </c>
      <c r="B6398" s="1" t="n">
        <v>45645</v>
      </c>
      <c r="C6398" s="1" t="n">
        <v>45705</v>
      </c>
      <c r="D6398" t="inlineStr">
        <is>
          <t>UPPSALA LÄN</t>
        </is>
      </c>
      <c r="E6398" t="inlineStr">
        <is>
          <t>HEBY</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61154-2024</t>
        </is>
      </c>
      <c r="B6399" s="1" t="n">
        <v>45645</v>
      </c>
      <c r="C6399" s="1" t="n">
        <v>45705</v>
      </c>
      <c r="D6399" t="inlineStr">
        <is>
          <t>UPPSALA LÄN</t>
        </is>
      </c>
      <c r="E6399" t="inlineStr">
        <is>
          <t>TIERP</t>
        </is>
      </c>
      <c r="F6399" t="inlineStr">
        <is>
          <t>Bergvik skog väst AB</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61246-2024</t>
        </is>
      </c>
      <c r="B6400" s="1" t="n">
        <v>45645</v>
      </c>
      <c r="C6400" s="1" t="n">
        <v>45705</v>
      </c>
      <c r="D6400" t="inlineStr">
        <is>
          <t>UPPSALA LÄN</t>
        </is>
      </c>
      <c r="E6400" t="inlineStr">
        <is>
          <t>TIERP</t>
        </is>
      </c>
      <c r="G6400" t="n">
        <v>4.7</v>
      </c>
      <c r="H6400" t="n">
        <v>0</v>
      </c>
      <c r="I6400" t="n">
        <v>0</v>
      </c>
      <c r="J6400" t="n">
        <v>0</v>
      </c>
      <c r="K6400" t="n">
        <v>0</v>
      </c>
      <c r="L6400" t="n">
        <v>0</v>
      </c>
      <c r="M6400" t="n">
        <v>0</v>
      </c>
      <c r="N6400" t="n">
        <v>0</v>
      </c>
      <c r="O6400" t="n">
        <v>0</v>
      </c>
      <c r="P6400" t="n">
        <v>0</v>
      </c>
      <c r="Q6400" t="n">
        <v>0</v>
      </c>
      <c r="R6400" s="2" t="inlineStr"/>
    </row>
    <row r="6401" ht="15" customHeight="1">
      <c r="A6401" t="inlineStr">
        <is>
          <t>A 61412-2024</t>
        </is>
      </c>
      <c r="B6401" s="1" t="n">
        <v>45646</v>
      </c>
      <c r="C6401" s="1" t="n">
        <v>45705</v>
      </c>
      <c r="D6401" t="inlineStr">
        <is>
          <t>UPPSALA LÄN</t>
        </is>
      </c>
      <c r="E6401" t="inlineStr">
        <is>
          <t>TIERP</t>
        </is>
      </c>
      <c r="F6401" t="inlineStr">
        <is>
          <t>Bergvik skog väst AB</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61443-2024</t>
        </is>
      </c>
      <c r="B6402" s="1" t="n">
        <v>45646</v>
      </c>
      <c r="C6402" s="1" t="n">
        <v>45705</v>
      </c>
      <c r="D6402" t="inlineStr">
        <is>
          <t>UPPSALA LÄN</t>
        </is>
      </c>
      <c r="E6402" t="inlineStr">
        <is>
          <t>ÖSTHAMMAR</t>
        </is>
      </c>
      <c r="G6402" t="n">
        <v>0.4</v>
      </c>
      <c r="H6402" t="n">
        <v>0</v>
      </c>
      <c r="I6402" t="n">
        <v>0</v>
      </c>
      <c r="J6402" t="n">
        <v>0</v>
      </c>
      <c r="K6402" t="n">
        <v>0</v>
      </c>
      <c r="L6402" t="n">
        <v>0</v>
      </c>
      <c r="M6402" t="n">
        <v>0</v>
      </c>
      <c r="N6402" t="n">
        <v>0</v>
      </c>
      <c r="O6402" t="n">
        <v>0</v>
      </c>
      <c r="P6402" t="n">
        <v>0</v>
      </c>
      <c r="Q6402" t="n">
        <v>0</v>
      </c>
      <c r="R6402" s="2" t="inlineStr"/>
    </row>
    <row r="6403" ht="15" customHeight="1">
      <c r="A6403" t="inlineStr">
        <is>
          <t>A 61455-2024</t>
        </is>
      </c>
      <c r="B6403" s="1" t="n">
        <v>45646</v>
      </c>
      <c r="C6403" s="1" t="n">
        <v>45705</v>
      </c>
      <c r="D6403" t="inlineStr">
        <is>
          <t>UPPSALA LÄN</t>
        </is>
      </c>
      <c r="E6403" t="inlineStr">
        <is>
          <t>ÖSTHAMMAR</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61463-2024</t>
        </is>
      </c>
      <c r="B6404" s="1" t="n">
        <v>45646</v>
      </c>
      <c r="C6404" s="1" t="n">
        <v>45705</v>
      </c>
      <c r="D6404" t="inlineStr">
        <is>
          <t>UPPSALA LÄN</t>
        </is>
      </c>
      <c r="E6404" t="inlineStr">
        <is>
          <t>UPPSALA</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61461-2024</t>
        </is>
      </c>
      <c r="B6405" s="1" t="n">
        <v>45646</v>
      </c>
      <c r="C6405" s="1" t="n">
        <v>45705</v>
      </c>
      <c r="D6405" t="inlineStr">
        <is>
          <t>UPPSALA LÄN</t>
        </is>
      </c>
      <c r="E6405" t="inlineStr">
        <is>
          <t>ÖSTHAMMAR</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61518-2024</t>
        </is>
      </c>
      <c r="B6406" s="1" t="n">
        <v>45646</v>
      </c>
      <c r="C6406" s="1" t="n">
        <v>45705</v>
      </c>
      <c r="D6406" t="inlineStr">
        <is>
          <t>UPPSALA LÄN</t>
        </is>
      </c>
      <c r="E6406" t="inlineStr">
        <is>
          <t>TIERP</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61526-2024</t>
        </is>
      </c>
      <c r="B6407" s="1" t="n">
        <v>45646</v>
      </c>
      <c r="C6407" s="1" t="n">
        <v>45705</v>
      </c>
      <c r="D6407" t="inlineStr">
        <is>
          <t>UPPSALA LÄN</t>
        </is>
      </c>
      <c r="E6407" t="inlineStr">
        <is>
          <t>TIERP</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61574-2024</t>
        </is>
      </c>
      <c r="B6408" s="1" t="n">
        <v>45646</v>
      </c>
      <c r="C6408" s="1" t="n">
        <v>45705</v>
      </c>
      <c r="D6408" t="inlineStr">
        <is>
          <t>UPPSALA LÄN</t>
        </is>
      </c>
      <c r="E6408" t="inlineStr">
        <is>
          <t>UPPSALA</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61395-2024</t>
        </is>
      </c>
      <c r="B6409" s="1" t="n">
        <v>45646</v>
      </c>
      <c r="C6409" s="1" t="n">
        <v>45705</v>
      </c>
      <c r="D6409" t="inlineStr">
        <is>
          <t>UPPSALA LÄN</t>
        </is>
      </c>
      <c r="E6409" t="inlineStr">
        <is>
          <t>TIERP</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61464-2024</t>
        </is>
      </c>
      <c r="B6410" s="1" t="n">
        <v>45646</v>
      </c>
      <c r="C6410" s="1" t="n">
        <v>45705</v>
      </c>
      <c r="D6410" t="inlineStr">
        <is>
          <t>UPPSALA LÄN</t>
        </is>
      </c>
      <c r="E6410" t="inlineStr">
        <is>
          <t>ÖSTHAMMAR</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61458-2024</t>
        </is>
      </c>
      <c r="B6411" s="1" t="n">
        <v>45646</v>
      </c>
      <c r="C6411" s="1" t="n">
        <v>45705</v>
      </c>
      <c r="D6411" t="inlineStr">
        <is>
          <t>UPPSALA LÄN</t>
        </is>
      </c>
      <c r="E6411" t="inlineStr">
        <is>
          <t>ÖSTHAMMAR</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61739-2024</t>
        </is>
      </c>
      <c r="B6412" s="1" t="n">
        <v>45649</v>
      </c>
      <c r="C6412" s="1" t="n">
        <v>45705</v>
      </c>
      <c r="D6412" t="inlineStr">
        <is>
          <t>UPPSALA LÄN</t>
        </is>
      </c>
      <c r="E6412" t="inlineStr">
        <is>
          <t>TIERP</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61827-2024</t>
        </is>
      </c>
      <c r="B6413" s="1" t="n">
        <v>45649</v>
      </c>
      <c r="C6413" s="1" t="n">
        <v>45705</v>
      </c>
      <c r="D6413" t="inlineStr">
        <is>
          <t>UPPSALA LÄN</t>
        </is>
      </c>
      <c r="E6413" t="inlineStr">
        <is>
          <t>TIERP</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192-2025</t>
        </is>
      </c>
      <c r="B6414" s="1" t="n">
        <v>45649</v>
      </c>
      <c r="C6414" s="1" t="n">
        <v>45705</v>
      </c>
      <c r="D6414" t="inlineStr">
        <is>
          <t>UPPSALA LÄN</t>
        </is>
      </c>
      <c r="E6414" t="inlineStr">
        <is>
          <t>ENKÖPING</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61836-2024</t>
        </is>
      </c>
      <c r="B6415" s="1" t="n">
        <v>45649</v>
      </c>
      <c r="C6415" s="1" t="n">
        <v>45705</v>
      </c>
      <c r="D6415" t="inlineStr">
        <is>
          <t>UPPSALA LÄN</t>
        </is>
      </c>
      <c r="E6415" t="inlineStr">
        <is>
          <t>TIERP</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61832-2024</t>
        </is>
      </c>
      <c r="B6416" s="1" t="n">
        <v>45649</v>
      </c>
      <c r="C6416" s="1" t="n">
        <v>45705</v>
      </c>
      <c r="D6416" t="inlineStr">
        <is>
          <t>UPPSALA LÄN</t>
        </is>
      </c>
      <c r="E6416" t="inlineStr">
        <is>
          <t>TIERP</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61842-2024</t>
        </is>
      </c>
      <c r="B6417" s="1" t="n">
        <v>45649</v>
      </c>
      <c r="C6417" s="1" t="n">
        <v>45705</v>
      </c>
      <c r="D6417" t="inlineStr">
        <is>
          <t>UPPSALA LÄN</t>
        </is>
      </c>
      <c r="E6417" t="inlineStr">
        <is>
          <t>TIERP</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61956-2024</t>
        </is>
      </c>
      <c r="B6418" s="1" t="n">
        <v>45653</v>
      </c>
      <c r="C6418" s="1" t="n">
        <v>45705</v>
      </c>
      <c r="D6418" t="inlineStr">
        <is>
          <t>UPPSALA LÄN</t>
        </is>
      </c>
      <c r="E6418" t="inlineStr">
        <is>
          <t>TIERP</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62006-2024</t>
        </is>
      </c>
      <c r="B6419" s="1" t="n">
        <v>45655</v>
      </c>
      <c r="C6419" s="1" t="n">
        <v>45705</v>
      </c>
      <c r="D6419" t="inlineStr">
        <is>
          <t>UPPSALA LÄN</t>
        </is>
      </c>
      <c r="E6419" t="inlineStr">
        <is>
          <t>TIERP</t>
        </is>
      </c>
      <c r="G6419" t="n">
        <v>4.2</v>
      </c>
      <c r="H6419" t="n">
        <v>0</v>
      </c>
      <c r="I6419" t="n">
        <v>0</v>
      </c>
      <c r="J6419" t="n">
        <v>0</v>
      </c>
      <c r="K6419" t="n">
        <v>0</v>
      </c>
      <c r="L6419" t="n">
        <v>0</v>
      </c>
      <c r="M6419" t="n">
        <v>0</v>
      </c>
      <c r="N6419" t="n">
        <v>0</v>
      </c>
      <c r="O6419" t="n">
        <v>0</v>
      </c>
      <c r="P6419" t="n">
        <v>0</v>
      </c>
      <c r="Q6419" t="n">
        <v>0</v>
      </c>
      <c r="R6419" s="2" t="inlineStr"/>
    </row>
    <row r="6420" ht="15" customHeight="1">
      <c r="A6420" t="inlineStr">
        <is>
          <t>A 62044-2024</t>
        </is>
      </c>
      <c r="B6420" s="1" t="n">
        <v>45656</v>
      </c>
      <c r="C6420" s="1" t="n">
        <v>45705</v>
      </c>
      <c r="D6420" t="inlineStr">
        <is>
          <t>UPPSALA LÄN</t>
        </is>
      </c>
      <c r="E6420" t="inlineStr">
        <is>
          <t>UPPSALA</t>
        </is>
      </c>
      <c r="F6420" t="inlineStr">
        <is>
          <t>Övriga statliga verk och myndigheter</t>
        </is>
      </c>
      <c r="G6420" t="n">
        <v>11.6</v>
      </c>
      <c r="H6420" t="n">
        <v>0</v>
      </c>
      <c r="I6420" t="n">
        <v>0</v>
      </c>
      <c r="J6420" t="n">
        <v>0</v>
      </c>
      <c r="K6420" t="n">
        <v>0</v>
      </c>
      <c r="L6420" t="n">
        <v>0</v>
      </c>
      <c r="M6420" t="n">
        <v>0</v>
      </c>
      <c r="N6420" t="n">
        <v>0</v>
      </c>
      <c r="O6420" t="n">
        <v>0</v>
      </c>
      <c r="P6420" t="n">
        <v>0</v>
      </c>
      <c r="Q6420" t="n">
        <v>0</v>
      </c>
      <c r="R6420" s="2" t="inlineStr"/>
    </row>
    <row r="6421" ht="15" customHeight="1">
      <c r="A6421" t="inlineStr">
        <is>
          <t>A 62054-2024</t>
        </is>
      </c>
      <c r="B6421" s="1" t="n">
        <v>45656</v>
      </c>
      <c r="C6421" s="1" t="n">
        <v>45705</v>
      </c>
      <c r="D6421" t="inlineStr">
        <is>
          <t>UPPSALA LÄN</t>
        </is>
      </c>
      <c r="E6421" t="inlineStr">
        <is>
          <t>UPPSALA</t>
        </is>
      </c>
      <c r="F6421" t="inlineStr">
        <is>
          <t>Övriga statliga verk och myndigheter</t>
        </is>
      </c>
      <c r="G6421" t="n">
        <v>29.3</v>
      </c>
      <c r="H6421" t="n">
        <v>0</v>
      </c>
      <c r="I6421" t="n">
        <v>0</v>
      </c>
      <c r="J6421" t="n">
        <v>0</v>
      </c>
      <c r="K6421" t="n">
        <v>0</v>
      </c>
      <c r="L6421" t="n">
        <v>0</v>
      </c>
      <c r="M6421" t="n">
        <v>0</v>
      </c>
      <c r="N6421" t="n">
        <v>0</v>
      </c>
      <c r="O6421" t="n">
        <v>0</v>
      </c>
      <c r="P6421" t="n">
        <v>0</v>
      </c>
      <c r="Q6421" t="n">
        <v>0</v>
      </c>
      <c r="R6421" s="2" t="inlineStr"/>
    </row>
    <row r="6422" ht="15" customHeight="1">
      <c r="A6422" t="inlineStr">
        <is>
          <t>A 62155-2024</t>
        </is>
      </c>
      <c r="B6422" s="1" t="n">
        <v>45656</v>
      </c>
      <c r="C6422" s="1" t="n">
        <v>45705</v>
      </c>
      <c r="D6422" t="inlineStr">
        <is>
          <t>UPPSALA LÄN</t>
        </is>
      </c>
      <c r="E6422" t="inlineStr">
        <is>
          <t>HEBY</t>
        </is>
      </c>
      <c r="G6422" t="n">
        <v>5</v>
      </c>
      <c r="H6422" t="n">
        <v>0</v>
      </c>
      <c r="I6422" t="n">
        <v>0</v>
      </c>
      <c r="J6422" t="n">
        <v>0</v>
      </c>
      <c r="K6422" t="n">
        <v>0</v>
      </c>
      <c r="L6422" t="n">
        <v>0</v>
      </c>
      <c r="M6422" t="n">
        <v>0</v>
      </c>
      <c r="N6422" t="n">
        <v>0</v>
      </c>
      <c r="O6422" t="n">
        <v>0</v>
      </c>
      <c r="P6422" t="n">
        <v>0</v>
      </c>
      <c r="Q6422" t="n">
        <v>0</v>
      </c>
      <c r="R6422" s="2" t="inlineStr"/>
    </row>
    <row r="6423" ht="15" customHeight="1">
      <c r="A6423" t="inlineStr">
        <is>
          <t>A 314-2025</t>
        </is>
      </c>
      <c r="B6423" s="1" t="n">
        <v>45656</v>
      </c>
      <c r="C6423" s="1" t="n">
        <v>45705</v>
      </c>
      <c r="D6423" t="inlineStr">
        <is>
          <t>UPPSALA LÄN</t>
        </is>
      </c>
      <c r="E6423" t="inlineStr">
        <is>
          <t>ENKÖPING</t>
        </is>
      </c>
      <c r="G6423" t="n">
        <v>9</v>
      </c>
      <c r="H6423" t="n">
        <v>0</v>
      </c>
      <c r="I6423" t="n">
        <v>0</v>
      </c>
      <c r="J6423" t="n">
        <v>0</v>
      </c>
      <c r="K6423" t="n">
        <v>0</v>
      </c>
      <c r="L6423" t="n">
        <v>0</v>
      </c>
      <c r="M6423" t="n">
        <v>0</v>
      </c>
      <c r="N6423" t="n">
        <v>0</v>
      </c>
      <c r="O6423" t="n">
        <v>0</v>
      </c>
      <c r="P6423" t="n">
        <v>0</v>
      </c>
      <c r="Q6423" t="n">
        <v>0</v>
      </c>
      <c r="R6423" s="2" t="inlineStr"/>
    </row>
    <row r="6424" ht="15" customHeight="1">
      <c r="A6424" t="inlineStr">
        <is>
          <t>A 62078-2024</t>
        </is>
      </c>
      <c r="B6424" s="1" t="n">
        <v>45656</v>
      </c>
      <c r="C6424" s="1" t="n">
        <v>45705</v>
      </c>
      <c r="D6424" t="inlineStr">
        <is>
          <t>UPPSALA LÄN</t>
        </is>
      </c>
      <c r="E6424" t="inlineStr">
        <is>
          <t>TIERP</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66-2025</t>
        </is>
      </c>
      <c r="B6425" s="1" t="n">
        <v>45659</v>
      </c>
      <c r="C6425" s="1" t="n">
        <v>45705</v>
      </c>
      <c r="D6425" t="inlineStr">
        <is>
          <t>UPPSALA LÄN</t>
        </is>
      </c>
      <c r="E6425" t="inlineStr">
        <is>
          <t>TIERP</t>
        </is>
      </c>
      <c r="F6425" t="inlineStr">
        <is>
          <t>Bergvik skog öst AB</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89-2025</t>
        </is>
      </c>
      <c r="B6426" s="1" t="n">
        <v>45659</v>
      </c>
      <c r="C6426" s="1" t="n">
        <v>45705</v>
      </c>
      <c r="D6426" t="inlineStr">
        <is>
          <t>UPPSALA LÄN</t>
        </is>
      </c>
      <c r="E6426" t="inlineStr">
        <is>
          <t>HEBY</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128-2025</t>
        </is>
      </c>
      <c r="B6427" s="1" t="n">
        <v>45659</v>
      </c>
      <c r="C6427" s="1" t="n">
        <v>45705</v>
      </c>
      <c r="D6427" t="inlineStr">
        <is>
          <t>UPPSALA LÄN</t>
        </is>
      </c>
      <c r="E6427" t="inlineStr">
        <is>
          <t>TIERP</t>
        </is>
      </c>
      <c r="F6427" t="inlineStr">
        <is>
          <t>Bergvik skog öst AB</t>
        </is>
      </c>
      <c r="G6427" t="n">
        <v>7.8</v>
      </c>
      <c r="H6427" t="n">
        <v>0</v>
      </c>
      <c r="I6427" t="n">
        <v>0</v>
      </c>
      <c r="J6427" t="n">
        <v>0</v>
      </c>
      <c r="K6427" t="n">
        <v>0</v>
      </c>
      <c r="L6427" t="n">
        <v>0</v>
      </c>
      <c r="M6427" t="n">
        <v>0</v>
      </c>
      <c r="N6427" t="n">
        <v>0</v>
      </c>
      <c r="O6427" t="n">
        <v>0</v>
      </c>
      <c r="P6427" t="n">
        <v>0</v>
      </c>
      <c r="Q6427" t="n">
        <v>0</v>
      </c>
      <c r="R6427" s="2" t="inlineStr"/>
    </row>
    <row r="6428" ht="15" customHeight="1">
      <c r="A6428" t="inlineStr">
        <is>
          <t>A 129-2025</t>
        </is>
      </c>
      <c r="B6428" s="1" t="n">
        <v>45659</v>
      </c>
      <c r="C6428" s="1" t="n">
        <v>45705</v>
      </c>
      <c r="D6428" t="inlineStr">
        <is>
          <t>UPPSALA LÄN</t>
        </is>
      </c>
      <c r="E6428" t="inlineStr">
        <is>
          <t>TIERP</t>
        </is>
      </c>
      <c r="F6428" t="inlineStr">
        <is>
          <t>Bergvik skog öst AB</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130-2025</t>
        </is>
      </c>
      <c r="B6429" s="1" t="n">
        <v>45659</v>
      </c>
      <c r="C6429" s="1" t="n">
        <v>45705</v>
      </c>
      <c r="D6429" t="inlineStr">
        <is>
          <t>UPPSALA LÄN</t>
        </is>
      </c>
      <c r="E6429" t="inlineStr">
        <is>
          <t>TIERP</t>
        </is>
      </c>
      <c r="F6429" t="inlineStr">
        <is>
          <t>Bergvik skog öst AB</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357-2025</t>
        </is>
      </c>
      <c r="B6430" s="1" t="n">
        <v>45659</v>
      </c>
      <c r="C6430" s="1" t="n">
        <v>45705</v>
      </c>
      <c r="D6430" t="inlineStr">
        <is>
          <t>UPPSALA LÄN</t>
        </is>
      </c>
      <c r="E6430" t="inlineStr">
        <is>
          <t>ÖSTHAMMAR</t>
        </is>
      </c>
      <c r="G6430" t="n">
        <v>15.8</v>
      </c>
      <c r="H6430" t="n">
        <v>0</v>
      </c>
      <c r="I6430" t="n">
        <v>0</v>
      </c>
      <c r="J6430" t="n">
        <v>0</v>
      </c>
      <c r="K6430" t="n">
        <v>0</v>
      </c>
      <c r="L6430" t="n">
        <v>0</v>
      </c>
      <c r="M6430" t="n">
        <v>0</v>
      </c>
      <c r="N6430" t="n">
        <v>0</v>
      </c>
      <c r="O6430" t="n">
        <v>0</v>
      </c>
      <c r="P6430" t="n">
        <v>0</v>
      </c>
      <c r="Q6430" t="n">
        <v>0</v>
      </c>
      <c r="R6430" s="2" t="inlineStr"/>
    </row>
    <row r="6431" ht="15" customHeight="1">
      <c r="A6431" t="inlineStr">
        <is>
          <t>A 358-2025</t>
        </is>
      </c>
      <c r="B6431" s="1" t="n">
        <v>45659</v>
      </c>
      <c r="C6431" s="1" t="n">
        <v>45705</v>
      </c>
      <c r="D6431" t="inlineStr">
        <is>
          <t>UPPSALA LÄN</t>
        </is>
      </c>
      <c r="E6431" t="inlineStr">
        <is>
          <t>ÖSTHAMMAR</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387-2025</t>
        </is>
      </c>
      <c r="B6432" s="1" t="n">
        <v>45662</v>
      </c>
      <c r="C6432" s="1" t="n">
        <v>45705</v>
      </c>
      <c r="D6432" t="inlineStr">
        <is>
          <t>UPPSALA LÄN</t>
        </is>
      </c>
      <c r="E6432" t="inlineStr">
        <is>
          <t>HEBY</t>
        </is>
      </c>
      <c r="G6432" t="n">
        <v>3.6</v>
      </c>
      <c r="H6432" t="n">
        <v>0</v>
      </c>
      <c r="I6432" t="n">
        <v>0</v>
      </c>
      <c r="J6432" t="n">
        <v>0</v>
      </c>
      <c r="K6432" t="n">
        <v>0</v>
      </c>
      <c r="L6432" t="n">
        <v>0</v>
      </c>
      <c r="M6432" t="n">
        <v>0</v>
      </c>
      <c r="N6432" t="n">
        <v>0</v>
      </c>
      <c r="O6432" t="n">
        <v>0</v>
      </c>
      <c r="P6432" t="n">
        <v>0</v>
      </c>
      <c r="Q6432" t="n">
        <v>0</v>
      </c>
      <c r="R6432" s="2" t="inlineStr"/>
    </row>
    <row r="6433" ht="15" customHeight="1">
      <c r="A6433" t="inlineStr">
        <is>
          <t>A 385-2025</t>
        </is>
      </c>
      <c r="B6433" s="1" t="n">
        <v>45662</v>
      </c>
      <c r="C6433" s="1" t="n">
        <v>45705</v>
      </c>
      <c r="D6433" t="inlineStr">
        <is>
          <t>UPPSALA LÄN</t>
        </is>
      </c>
      <c r="E6433" t="inlineStr">
        <is>
          <t>HEBY</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478-2025</t>
        </is>
      </c>
      <c r="B6434" s="1" t="n">
        <v>45664</v>
      </c>
      <c r="C6434" s="1" t="n">
        <v>45705</v>
      </c>
      <c r="D6434" t="inlineStr">
        <is>
          <t>UPPSALA LÄN</t>
        </is>
      </c>
      <c r="E6434" t="inlineStr">
        <is>
          <t>HEBY</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668-2025</t>
        </is>
      </c>
      <c r="B6435" s="1" t="n">
        <v>45664</v>
      </c>
      <c r="C6435" s="1" t="n">
        <v>45705</v>
      </c>
      <c r="D6435" t="inlineStr">
        <is>
          <t>UPPSALA LÄN</t>
        </is>
      </c>
      <c r="E6435" t="inlineStr">
        <is>
          <t>UPPSALA</t>
        </is>
      </c>
      <c r="F6435" t="inlineStr">
        <is>
          <t>Bergvik skog öst AB</t>
        </is>
      </c>
      <c r="G6435" t="n">
        <v>4.7</v>
      </c>
      <c r="H6435" t="n">
        <v>0</v>
      </c>
      <c r="I6435" t="n">
        <v>0</v>
      </c>
      <c r="J6435" t="n">
        <v>0</v>
      </c>
      <c r="K6435" t="n">
        <v>0</v>
      </c>
      <c r="L6435" t="n">
        <v>0</v>
      </c>
      <c r="M6435" t="n">
        <v>0</v>
      </c>
      <c r="N6435" t="n">
        <v>0</v>
      </c>
      <c r="O6435" t="n">
        <v>0</v>
      </c>
      <c r="P6435" t="n">
        <v>0</v>
      </c>
      <c r="Q6435" t="n">
        <v>0</v>
      </c>
      <c r="R6435" s="2" t="inlineStr"/>
    </row>
    <row r="6436" ht="15" customHeight="1">
      <c r="A6436" t="inlineStr">
        <is>
          <t>A 486-2025</t>
        </is>
      </c>
      <c r="B6436" s="1" t="n">
        <v>45664</v>
      </c>
      <c r="C6436" s="1" t="n">
        <v>45705</v>
      </c>
      <c r="D6436" t="inlineStr">
        <is>
          <t>UPPSALA LÄN</t>
        </is>
      </c>
      <c r="E6436" t="inlineStr">
        <is>
          <t>HEBY</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819-2025</t>
        </is>
      </c>
      <c r="B6437" s="1" t="n">
        <v>45665</v>
      </c>
      <c r="C6437" s="1" t="n">
        <v>45705</v>
      </c>
      <c r="D6437" t="inlineStr">
        <is>
          <t>UPPSALA LÄN</t>
        </is>
      </c>
      <c r="E6437" t="inlineStr">
        <is>
          <t>ENKÖPING</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845-2025</t>
        </is>
      </c>
      <c r="B6438" s="1" t="n">
        <v>45665</v>
      </c>
      <c r="C6438" s="1" t="n">
        <v>45705</v>
      </c>
      <c r="D6438" t="inlineStr">
        <is>
          <t>UPPSALA LÄN</t>
        </is>
      </c>
      <c r="E6438" t="inlineStr">
        <is>
          <t>ENKÖPING</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849-2025</t>
        </is>
      </c>
      <c r="B6439" s="1" t="n">
        <v>45665</v>
      </c>
      <c r="C6439" s="1" t="n">
        <v>45705</v>
      </c>
      <c r="D6439" t="inlineStr">
        <is>
          <t>UPPSALA LÄN</t>
        </is>
      </c>
      <c r="E6439" t="inlineStr">
        <is>
          <t>ENKÖPING</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719-2025</t>
        </is>
      </c>
      <c r="B6440" s="1" t="n">
        <v>45665</v>
      </c>
      <c r="C6440" s="1" t="n">
        <v>45705</v>
      </c>
      <c r="D6440" t="inlineStr">
        <is>
          <t>UPPSALA LÄN</t>
        </is>
      </c>
      <c r="E6440" t="inlineStr">
        <is>
          <t>HEBY</t>
        </is>
      </c>
      <c r="G6440" t="n">
        <v>5.3</v>
      </c>
      <c r="H6440" t="n">
        <v>0</v>
      </c>
      <c r="I6440" t="n">
        <v>0</v>
      </c>
      <c r="J6440" t="n">
        <v>0</v>
      </c>
      <c r="K6440" t="n">
        <v>0</v>
      </c>
      <c r="L6440" t="n">
        <v>0</v>
      </c>
      <c r="M6440" t="n">
        <v>0</v>
      </c>
      <c r="N6440" t="n">
        <v>0</v>
      </c>
      <c r="O6440" t="n">
        <v>0</v>
      </c>
      <c r="P6440" t="n">
        <v>0</v>
      </c>
      <c r="Q6440" t="n">
        <v>0</v>
      </c>
      <c r="R6440" s="2" t="inlineStr"/>
    </row>
    <row r="6441" ht="15" customHeight="1">
      <c r="A6441" t="inlineStr">
        <is>
          <t>A 842-2025</t>
        </is>
      </c>
      <c r="B6441" s="1" t="n">
        <v>45665</v>
      </c>
      <c r="C6441" s="1" t="n">
        <v>45705</v>
      </c>
      <c r="D6441" t="inlineStr">
        <is>
          <t>UPPSALA LÄN</t>
        </is>
      </c>
      <c r="E6441" t="inlineStr">
        <is>
          <t>UPPSALA</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834-2025</t>
        </is>
      </c>
      <c r="B6442" s="1" t="n">
        <v>45665</v>
      </c>
      <c r="C6442" s="1" t="n">
        <v>45705</v>
      </c>
      <c r="D6442" t="inlineStr">
        <is>
          <t>UPPSALA LÄN</t>
        </is>
      </c>
      <c r="E6442" t="inlineStr">
        <is>
          <t>HEBY</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835-2025</t>
        </is>
      </c>
      <c r="B6443" s="1" t="n">
        <v>45665</v>
      </c>
      <c r="C6443" s="1" t="n">
        <v>45705</v>
      </c>
      <c r="D6443" t="inlineStr">
        <is>
          <t>UPPSALA LÄN</t>
        </is>
      </c>
      <c r="E6443" t="inlineStr">
        <is>
          <t>ÖSTHAMMAR</t>
        </is>
      </c>
      <c r="F6443" t="inlineStr">
        <is>
          <t>Övriga Aktiebolag</t>
        </is>
      </c>
      <c r="G6443" t="n">
        <v>4.8</v>
      </c>
      <c r="H6443" t="n">
        <v>0</v>
      </c>
      <c r="I6443" t="n">
        <v>0</v>
      </c>
      <c r="J6443" t="n">
        <v>0</v>
      </c>
      <c r="K6443" t="n">
        <v>0</v>
      </c>
      <c r="L6443" t="n">
        <v>0</v>
      </c>
      <c r="M6443" t="n">
        <v>0</v>
      </c>
      <c r="N6443" t="n">
        <v>0</v>
      </c>
      <c r="O6443" t="n">
        <v>0</v>
      </c>
      <c r="P6443" t="n">
        <v>0</v>
      </c>
      <c r="Q6443" t="n">
        <v>0</v>
      </c>
      <c r="R6443" s="2" t="inlineStr"/>
    </row>
    <row r="6444" ht="15" customHeight="1">
      <c r="A6444" t="inlineStr">
        <is>
          <t>A 724-2025</t>
        </is>
      </c>
      <c r="B6444" s="1" t="n">
        <v>45665</v>
      </c>
      <c r="C6444" s="1" t="n">
        <v>45705</v>
      </c>
      <c r="D6444" t="inlineStr">
        <is>
          <t>UPPSALA LÄN</t>
        </is>
      </c>
      <c r="E6444" t="inlineStr">
        <is>
          <t>HEBY</t>
        </is>
      </c>
      <c r="G6444" t="n">
        <v>3.7</v>
      </c>
      <c r="H6444" t="n">
        <v>0</v>
      </c>
      <c r="I6444" t="n">
        <v>0</v>
      </c>
      <c r="J6444" t="n">
        <v>0</v>
      </c>
      <c r="K6444" t="n">
        <v>0</v>
      </c>
      <c r="L6444" t="n">
        <v>0</v>
      </c>
      <c r="M6444" t="n">
        <v>0</v>
      </c>
      <c r="N6444" t="n">
        <v>0</v>
      </c>
      <c r="O6444" t="n">
        <v>0</v>
      </c>
      <c r="P6444" t="n">
        <v>0</v>
      </c>
      <c r="Q6444" t="n">
        <v>0</v>
      </c>
      <c r="R6444" s="2" t="inlineStr"/>
    </row>
    <row r="6445" ht="15" customHeight="1">
      <c r="A6445" t="inlineStr">
        <is>
          <t>A 697-2025</t>
        </is>
      </c>
      <c r="B6445" s="1" t="n">
        <v>45665</v>
      </c>
      <c r="C6445" s="1" t="n">
        <v>45705</v>
      </c>
      <c r="D6445" t="inlineStr">
        <is>
          <t>UPPSALA LÄN</t>
        </is>
      </c>
      <c r="E6445" t="inlineStr">
        <is>
          <t>TIERP</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840-2025</t>
        </is>
      </c>
      <c r="B6446" s="1" t="n">
        <v>45665</v>
      </c>
      <c r="C6446" s="1" t="n">
        <v>45705</v>
      </c>
      <c r="D6446" t="inlineStr">
        <is>
          <t>UPPSALA LÄN</t>
        </is>
      </c>
      <c r="E6446" t="inlineStr">
        <is>
          <t>ENKÖPING</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844-2025</t>
        </is>
      </c>
      <c r="B6447" s="1" t="n">
        <v>45665</v>
      </c>
      <c r="C6447" s="1" t="n">
        <v>45705</v>
      </c>
      <c r="D6447" t="inlineStr">
        <is>
          <t>UPPSALA LÄN</t>
        </is>
      </c>
      <c r="E6447" t="inlineStr">
        <is>
          <t>UPPSALA</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1063-2025</t>
        </is>
      </c>
      <c r="B6448" s="1" t="n">
        <v>45666</v>
      </c>
      <c r="C6448" s="1" t="n">
        <v>45705</v>
      </c>
      <c r="D6448" t="inlineStr">
        <is>
          <t>UPPSALA LÄN</t>
        </is>
      </c>
      <c r="E6448" t="inlineStr">
        <is>
          <t>ÖSTHAMMAR</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1086-2025</t>
        </is>
      </c>
      <c r="B6449" s="1" t="n">
        <v>45666</v>
      </c>
      <c r="C6449" s="1" t="n">
        <v>45705</v>
      </c>
      <c r="D6449" t="inlineStr">
        <is>
          <t>UPPSALA LÄN</t>
        </is>
      </c>
      <c r="E6449" t="inlineStr">
        <is>
          <t>HEBY</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1056-2025</t>
        </is>
      </c>
      <c r="B6450" s="1" t="n">
        <v>45666</v>
      </c>
      <c r="C6450" s="1" t="n">
        <v>45705</v>
      </c>
      <c r="D6450" t="inlineStr">
        <is>
          <t>UPPSALA LÄN</t>
        </is>
      </c>
      <c r="E6450" t="inlineStr">
        <is>
          <t>TIERP</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1229-2025</t>
        </is>
      </c>
      <c r="B6451" s="1" t="n">
        <v>45667</v>
      </c>
      <c r="C6451" s="1" t="n">
        <v>45705</v>
      </c>
      <c r="D6451" t="inlineStr">
        <is>
          <t>UPPSALA LÄN</t>
        </is>
      </c>
      <c r="E6451" t="inlineStr">
        <is>
          <t>TIERP</t>
        </is>
      </c>
      <c r="F6451" t="inlineStr">
        <is>
          <t>Bergvik skog öst AB</t>
        </is>
      </c>
      <c r="G6451" t="n">
        <v>7.7</v>
      </c>
      <c r="H6451" t="n">
        <v>0</v>
      </c>
      <c r="I6451" t="n">
        <v>0</v>
      </c>
      <c r="J6451" t="n">
        <v>0</v>
      </c>
      <c r="K6451" t="n">
        <v>0</v>
      </c>
      <c r="L6451" t="n">
        <v>0</v>
      </c>
      <c r="M6451" t="n">
        <v>0</v>
      </c>
      <c r="N6451" t="n">
        <v>0</v>
      </c>
      <c r="O6451" t="n">
        <v>0</v>
      </c>
      <c r="P6451" t="n">
        <v>0</v>
      </c>
      <c r="Q6451" t="n">
        <v>0</v>
      </c>
      <c r="R6451" s="2" t="inlineStr"/>
    </row>
    <row r="6452" ht="15" customHeight="1">
      <c r="A6452" t="inlineStr">
        <is>
          <t>A 1245-2025</t>
        </is>
      </c>
      <c r="B6452" s="1" t="n">
        <v>45667</v>
      </c>
      <c r="C6452" s="1" t="n">
        <v>45705</v>
      </c>
      <c r="D6452" t="inlineStr">
        <is>
          <t>UPPSALA LÄN</t>
        </is>
      </c>
      <c r="E6452" t="inlineStr">
        <is>
          <t>TIERP</t>
        </is>
      </c>
      <c r="F6452" t="inlineStr">
        <is>
          <t>Bergvik skog öst AB</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1202-2025</t>
        </is>
      </c>
      <c r="B6453" s="1" t="n">
        <v>45667</v>
      </c>
      <c r="C6453" s="1" t="n">
        <v>45705</v>
      </c>
      <c r="D6453" t="inlineStr">
        <is>
          <t>UPPSALA LÄN</t>
        </is>
      </c>
      <c r="E6453" t="inlineStr">
        <is>
          <t>TIERP</t>
        </is>
      </c>
      <c r="G6453" t="n">
        <v>3.1</v>
      </c>
      <c r="H6453" t="n">
        <v>0</v>
      </c>
      <c r="I6453" t="n">
        <v>0</v>
      </c>
      <c r="J6453" t="n">
        <v>0</v>
      </c>
      <c r="K6453" t="n">
        <v>0</v>
      </c>
      <c r="L6453" t="n">
        <v>0</v>
      </c>
      <c r="M6453" t="n">
        <v>0</v>
      </c>
      <c r="N6453" t="n">
        <v>0</v>
      </c>
      <c r="O6453" t="n">
        <v>0</v>
      </c>
      <c r="P6453" t="n">
        <v>0</v>
      </c>
      <c r="Q6453" t="n">
        <v>0</v>
      </c>
      <c r="R6453" s="2" t="inlineStr"/>
    </row>
    <row r="6454" ht="15" customHeight="1">
      <c r="A6454" t="inlineStr">
        <is>
          <t>A 1436-2025</t>
        </is>
      </c>
      <c r="B6454" s="1" t="n">
        <v>45669</v>
      </c>
      <c r="C6454" s="1" t="n">
        <v>45705</v>
      </c>
      <c r="D6454" t="inlineStr">
        <is>
          <t>UPPSALA LÄN</t>
        </is>
      </c>
      <c r="E6454" t="inlineStr">
        <is>
          <t>ÖSTHAMMAR</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1439-2025</t>
        </is>
      </c>
      <c r="B6455" s="1" t="n">
        <v>45669</v>
      </c>
      <c r="C6455" s="1" t="n">
        <v>45705</v>
      </c>
      <c r="D6455" t="inlineStr">
        <is>
          <t>UPPSALA LÄN</t>
        </is>
      </c>
      <c r="E6455" t="inlineStr">
        <is>
          <t>ÖSTHAMMAR</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1695-2025</t>
        </is>
      </c>
      <c r="B6456" s="1" t="n">
        <v>45670</v>
      </c>
      <c r="C6456" s="1" t="n">
        <v>45705</v>
      </c>
      <c r="D6456" t="inlineStr">
        <is>
          <t>UPPSALA LÄN</t>
        </is>
      </c>
      <c r="E6456" t="inlineStr">
        <is>
          <t>ENKÖPING</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1586-2025</t>
        </is>
      </c>
      <c r="B6457" s="1" t="n">
        <v>45670</v>
      </c>
      <c r="C6457" s="1" t="n">
        <v>45705</v>
      </c>
      <c r="D6457" t="inlineStr">
        <is>
          <t>UPPSALA LÄN</t>
        </is>
      </c>
      <c r="E6457" t="inlineStr">
        <is>
          <t>ÖSTHAMMAR</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1561-2025</t>
        </is>
      </c>
      <c r="B6458" s="1" t="n">
        <v>45670</v>
      </c>
      <c r="C6458" s="1" t="n">
        <v>45705</v>
      </c>
      <c r="D6458" t="inlineStr">
        <is>
          <t>UPPSALA LÄN</t>
        </is>
      </c>
      <c r="E6458" t="inlineStr">
        <is>
          <t>HEBY</t>
        </is>
      </c>
      <c r="G6458" t="n">
        <v>3.2</v>
      </c>
      <c r="H6458" t="n">
        <v>0</v>
      </c>
      <c r="I6458" t="n">
        <v>0</v>
      </c>
      <c r="J6458" t="n">
        <v>0</v>
      </c>
      <c r="K6458" t="n">
        <v>0</v>
      </c>
      <c r="L6458" t="n">
        <v>0</v>
      </c>
      <c r="M6458" t="n">
        <v>0</v>
      </c>
      <c r="N6458" t="n">
        <v>0</v>
      </c>
      <c r="O6458" t="n">
        <v>0</v>
      </c>
      <c r="P6458" t="n">
        <v>0</v>
      </c>
      <c r="Q6458" t="n">
        <v>0</v>
      </c>
      <c r="R6458" s="2" t="inlineStr"/>
    </row>
    <row r="6459" ht="15" customHeight="1">
      <c r="A6459" t="inlineStr">
        <is>
          <t>A 1525-2025</t>
        </is>
      </c>
      <c r="B6459" s="1" t="n">
        <v>45670</v>
      </c>
      <c r="C6459" s="1" t="n">
        <v>45705</v>
      </c>
      <c r="D6459" t="inlineStr">
        <is>
          <t>UPPSALA LÄN</t>
        </is>
      </c>
      <c r="E6459" t="inlineStr">
        <is>
          <t>ÖSTHAMMAR</t>
        </is>
      </c>
      <c r="F6459" t="inlineStr">
        <is>
          <t>Bergvik skog öst AB</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1584-2025</t>
        </is>
      </c>
      <c r="B6460" s="1" t="n">
        <v>45670</v>
      </c>
      <c r="C6460" s="1" t="n">
        <v>45705</v>
      </c>
      <c r="D6460" t="inlineStr">
        <is>
          <t>UPPSALA LÄN</t>
        </is>
      </c>
      <c r="E6460" t="inlineStr">
        <is>
          <t>ÖSTHAMMAR</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1588-2025</t>
        </is>
      </c>
      <c r="B6461" s="1" t="n">
        <v>45670</v>
      </c>
      <c r="C6461" s="1" t="n">
        <v>45705</v>
      </c>
      <c r="D6461" t="inlineStr">
        <is>
          <t>UPPSALA LÄN</t>
        </is>
      </c>
      <c r="E6461" t="inlineStr">
        <is>
          <t>UPPSALA</t>
        </is>
      </c>
      <c r="F6461" t="inlineStr">
        <is>
          <t>Bergvik skog väst AB</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1656-2025</t>
        </is>
      </c>
      <c r="B6462" s="1" t="n">
        <v>45670</v>
      </c>
      <c r="C6462" s="1" t="n">
        <v>45705</v>
      </c>
      <c r="D6462" t="inlineStr">
        <is>
          <t>UPPSALA LÄN</t>
        </is>
      </c>
      <c r="E6462" t="inlineStr">
        <is>
          <t>ENKÖPING</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1592-2025</t>
        </is>
      </c>
      <c r="B6463" s="1" t="n">
        <v>45670</v>
      </c>
      <c r="C6463" s="1" t="n">
        <v>45705</v>
      </c>
      <c r="D6463" t="inlineStr">
        <is>
          <t>UPPSALA LÄN</t>
        </is>
      </c>
      <c r="E6463" t="inlineStr">
        <is>
          <t>UPPSALA</t>
        </is>
      </c>
      <c r="F6463" t="inlineStr">
        <is>
          <t>Bergvik skog väst AB</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1575-2025</t>
        </is>
      </c>
      <c r="B6464" s="1" t="n">
        <v>45670</v>
      </c>
      <c r="C6464" s="1" t="n">
        <v>45705</v>
      </c>
      <c r="D6464" t="inlineStr">
        <is>
          <t>UPPSALA LÄN</t>
        </is>
      </c>
      <c r="E6464" t="inlineStr">
        <is>
          <t>ÖSTHAMMAR</t>
        </is>
      </c>
      <c r="G6464" t="n">
        <v>0.4</v>
      </c>
      <c r="H6464" t="n">
        <v>0</v>
      </c>
      <c r="I6464" t="n">
        <v>0</v>
      </c>
      <c r="J6464" t="n">
        <v>0</v>
      </c>
      <c r="K6464" t="n">
        <v>0</v>
      </c>
      <c r="L6464" t="n">
        <v>0</v>
      </c>
      <c r="M6464" t="n">
        <v>0</v>
      </c>
      <c r="N6464" t="n">
        <v>0</v>
      </c>
      <c r="O6464" t="n">
        <v>0</v>
      </c>
      <c r="P6464" t="n">
        <v>0</v>
      </c>
      <c r="Q6464" t="n">
        <v>0</v>
      </c>
      <c r="R6464" s="2" t="inlineStr"/>
    </row>
    <row r="6465" ht="15" customHeight="1">
      <c r="A6465" t="inlineStr">
        <is>
          <t>A 1567-2025</t>
        </is>
      </c>
      <c r="B6465" s="1" t="n">
        <v>45670</v>
      </c>
      <c r="C6465" s="1" t="n">
        <v>45705</v>
      </c>
      <c r="D6465" t="inlineStr">
        <is>
          <t>UPPSALA LÄN</t>
        </is>
      </c>
      <c r="E6465" t="inlineStr">
        <is>
          <t>ÖSTHAMMAR</t>
        </is>
      </c>
      <c r="G6465" t="n">
        <v>2.8</v>
      </c>
      <c r="H6465" t="n">
        <v>0</v>
      </c>
      <c r="I6465" t="n">
        <v>0</v>
      </c>
      <c r="J6465" t="n">
        <v>0</v>
      </c>
      <c r="K6465" t="n">
        <v>0</v>
      </c>
      <c r="L6465" t="n">
        <v>0</v>
      </c>
      <c r="M6465" t="n">
        <v>0</v>
      </c>
      <c r="N6465" t="n">
        <v>0</v>
      </c>
      <c r="O6465" t="n">
        <v>0</v>
      </c>
      <c r="P6465" t="n">
        <v>0</v>
      </c>
      <c r="Q6465" t="n">
        <v>0</v>
      </c>
      <c r="R6465" s="2" t="inlineStr"/>
    </row>
    <row r="6466" ht="15" customHeight="1">
      <c r="A6466" t="inlineStr">
        <is>
          <t>A 1471-2025</t>
        </is>
      </c>
      <c r="B6466" s="1" t="n">
        <v>45670</v>
      </c>
      <c r="C6466" s="1" t="n">
        <v>45705</v>
      </c>
      <c r="D6466" t="inlineStr">
        <is>
          <t>UPPSALA LÄN</t>
        </is>
      </c>
      <c r="E6466" t="inlineStr">
        <is>
          <t>HEBY</t>
        </is>
      </c>
      <c r="G6466" t="n">
        <v>4.3</v>
      </c>
      <c r="H6466" t="n">
        <v>0</v>
      </c>
      <c r="I6466" t="n">
        <v>0</v>
      </c>
      <c r="J6466" t="n">
        <v>0</v>
      </c>
      <c r="K6466" t="n">
        <v>0</v>
      </c>
      <c r="L6466" t="n">
        <v>0</v>
      </c>
      <c r="M6466" t="n">
        <v>0</v>
      </c>
      <c r="N6466" t="n">
        <v>0</v>
      </c>
      <c r="O6466" t="n">
        <v>0</v>
      </c>
      <c r="P6466" t="n">
        <v>0</v>
      </c>
      <c r="Q6466" t="n">
        <v>0</v>
      </c>
      <c r="R6466" s="2" t="inlineStr"/>
    </row>
    <row r="6467" ht="15" customHeight="1">
      <c r="A6467" t="inlineStr">
        <is>
          <t>A 1568-2025</t>
        </is>
      </c>
      <c r="B6467" s="1" t="n">
        <v>45670</v>
      </c>
      <c r="C6467" s="1" t="n">
        <v>45705</v>
      </c>
      <c r="D6467" t="inlineStr">
        <is>
          <t>UPPSALA LÄN</t>
        </is>
      </c>
      <c r="E6467" t="inlineStr">
        <is>
          <t>HEBY</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1527-2025</t>
        </is>
      </c>
      <c r="B6468" s="1" t="n">
        <v>45670</v>
      </c>
      <c r="C6468" s="1" t="n">
        <v>45705</v>
      </c>
      <c r="D6468" t="inlineStr">
        <is>
          <t>UPPSALA LÄN</t>
        </is>
      </c>
      <c r="E6468" t="inlineStr">
        <is>
          <t>ÖSTHAMMAR</t>
        </is>
      </c>
      <c r="F6468" t="inlineStr">
        <is>
          <t>Bergvik skog öst AB</t>
        </is>
      </c>
      <c r="G6468" t="n">
        <v>7.7</v>
      </c>
      <c r="H6468" t="n">
        <v>0</v>
      </c>
      <c r="I6468" t="n">
        <v>0</v>
      </c>
      <c r="J6468" t="n">
        <v>0</v>
      </c>
      <c r="K6468" t="n">
        <v>0</v>
      </c>
      <c r="L6468" t="n">
        <v>0</v>
      </c>
      <c r="M6468" t="n">
        <v>0</v>
      </c>
      <c r="N6468" t="n">
        <v>0</v>
      </c>
      <c r="O6468" t="n">
        <v>0</v>
      </c>
      <c r="P6468" t="n">
        <v>0</v>
      </c>
      <c r="Q6468" t="n">
        <v>0</v>
      </c>
      <c r="R6468" s="2" t="inlineStr"/>
    </row>
    <row r="6469" ht="15" customHeight="1">
      <c r="A6469" t="inlineStr">
        <is>
          <t>A 1810-2025</t>
        </is>
      </c>
      <c r="B6469" s="1" t="n">
        <v>45671</v>
      </c>
      <c r="C6469" s="1" t="n">
        <v>45705</v>
      </c>
      <c r="D6469" t="inlineStr">
        <is>
          <t>UPPSALA LÄN</t>
        </is>
      </c>
      <c r="E6469" t="inlineStr">
        <is>
          <t>HEBY</t>
        </is>
      </c>
      <c r="G6469" t="n">
        <v>3</v>
      </c>
      <c r="H6469" t="n">
        <v>0</v>
      </c>
      <c r="I6469" t="n">
        <v>0</v>
      </c>
      <c r="J6469" t="n">
        <v>0</v>
      </c>
      <c r="K6469" t="n">
        <v>0</v>
      </c>
      <c r="L6469" t="n">
        <v>0</v>
      </c>
      <c r="M6469" t="n">
        <v>0</v>
      </c>
      <c r="N6469" t="n">
        <v>0</v>
      </c>
      <c r="O6469" t="n">
        <v>0</v>
      </c>
      <c r="P6469" t="n">
        <v>0</v>
      </c>
      <c r="Q6469" t="n">
        <v>0</v>
      </c>
      <c r="R6469" s="2" t="inlineStr"/>
    </row>
    <row r="6470" ht="15" customHeight="1">
      <c r="A6470" t="inlineStr">
        <is>
          <t>A 2068-2025</t>
        </is>
      </c>
      <c r="B6470" s="1" t="n">
        <v>45672</v>
      </c>
      <c r="C6470" s="1" t="n">
        <v>45705</v>
      </c>
      <c r="D6470" t="inlineStr">
        <is>
          <t>UPPSALA LÄN</t>
        </is>
      </c>
      <c r="E6470" t="inlineStr">
        <is>
          <t>KNIVSTA</t>
        </is>
      </c>
      <c r="G6470" t="n">
        <v>6.4</v>
      </c>
      <c r="H6470" t="n">
        <v>0</v>
      </c>
      <c r="I6470" t="n">
        <v>0</v>
      </c>
      <c r="J6470" t="n">
        <v>0</v>
      </c>
      <c r="K6470" t="n">
        <v>0</v>
      </c>
      <c r="L6470" t="n">
        <v>0</v>
      </c>
      <c r="M6470" t="n">
        <v>0</v>
      </c>
      <c r="N6470" t="n">
        <v>0</v>
      </c>
      <c r="O6470" t="n">
        <v>0</v>
      </c>
      <c r="P6470" t="n">
        <v>0</v>
      </c>
      <c r="Q6470" t="n">
        <v>0</v>
      </c>
      <c r="R6470" s="2" t="inlineStr"/>
    </row>
    <row r="6471" ht="15" customHeight="1">
      <c r="A6471" t="inlineStr">
        <is>
          <t>A 2099-2025</t>
        </is>
      </c>
      <c r="B6471" s="1" t="n">
        <v>45672</v>
      </c>
      <c r="C6471" s="1" t="n">
        <v>45705</v>
      </c>
      <c r="D6471" t="inlineStr">
        <is>
          <t>UPPSALA LÄN</t>
        </is>
      </c>
      <c r="E6471" t="inlineStr">
        <is>
          <t>KNIVSTA</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2309-2025</t>
        </is>
      </c>
      <c r="B6472" s="1" t="n">
        <v>45673</v>
      </c>
      <c r="C6472" s="1" t="n">
        <v>45705</v>
      </c>
      <c r="D6472" t="inlineStr">
        <is>
          <t>UPPSALA LÄN</t>
        </is>
      </c>
      <c r="E6472" t="inlineStr">
        <is>
          <t>HEBY</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2313-2025</t>
        </is>
      </c>
      <c r="B6473" s="1" t="n">
        <v>45673</v>
      </c>
      <c r="C6473" s="1" t="n">
        <v>45705</v>
      </c>
      <c r="D6473" t="inlineStr">
        <is>
          <t>UPPSALA LÄN</t>
        </is>
      </c>
      <c r="E6473" t="inlineStr">
        <is>
          <t>TIERP</t>
        </is>
      </c>
      <c r="G6473" t="n">
        <v>5.4</v>
      </c>
      <c r="H6473" t="n">
        <v>0</v>
      </c>
      <c r="I6473" t="n">
        <v>0</v>
      </c>
      <c r="J6473" t="n">
        <v>0</v>
      </c>
      <c r="K6473" t="n">
        <v>0</v>
      </c>
      <c r="L6473" t="n">
        <v>0</v>
      </c>
      <c r="M6473" t="n">
        <v>0</v>
      </c>
      <c r="N6473" t="n">
        <v>0</v>
      </c>
      <c r="O6473" t="n">
        <v>0</v>
      </c>
      <c r="P6473" t="n">
        <v>0</v>
      </c>
      <c r="Q6473" t="n">
        <v>0</v>
      </c>
      <c r="R6473" s="2" t="inlineStr"/>
    </row>
    <row r="6474" ht="15" customHeight="1">
      <c r="A6474" t="inlineStr">
        <is>
          <t>A 2303-2025</t>
        </is>
      </c>
      <c r="B6474" s="1" t="n">
        <v>45673</v>
      </c>
      <c r="C6474" s="1" t="n">
        <v>45705</v>
      </c>
      <c r="D6474" t="inlineStr">
        <is>
          <t>UPPSALA LÄN</t>
        </is>
      </c>
      <c r="E6474" t="inlineStr">
        <is>
          <t>HEBY</t>
        </is>
      </c>
      <c r="G6474" t="n">
        <v>6.3</v>
      </c>
      <c r="H6474" t="n">
        <v>0</v>
      </c>
      <c r="I6474" t="n">
        <v>0</v>
      </c>
      <c r="J6474" t="n">
        <v>0</v>
      </c>
      <c r="K6474" t="n">
        <v>0</v>
      </c>
      <c r="L6474" t="n">
        <v>0</v>
      </c>
      <c r="M6474" t="n">
        <v>0</v>
      </c>
      <c r="N6474" t="n">
        <v>0</v>
      </c>
      <c r="O6474" t="n">
        <v>0</v>
      </c>
      <c r="P6474" t="n">
        <v>0</v>
      </c>
      <c r="Q6474" t="n">
        <v>0</v>
      </c>
      <c r="R6474" s="2" t="inlineStr"/>
    </row>
    <row r="6475" ht="15" customHeight="1">
      <c r="A6475" t="inlineStr">
        <is>
          <t>A 2396-2025</t>
        </is>
      </c>
      <c r="B6475" s="1" t="n">
        <v>45674</v>
      </c>
      <c r="C6475" s="1" t="n">
        <v>45705</v>
      </c>
      <c r="D6475" t="inlineStr">
        <is>
          <t>UPPSALA LÄN</t>
        </is>
      </c>
      <c r="E6475" t="inlineStr">
        <is>
          <t>TIERP</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2411-2025</t>
        </is>
      </c>
      <c r="B6476" s="1" t="n">
        <v>45674</v>
      </c>
      <c r="C6476" s="1" t="n">
        <v>45705</v>
      </c>
      <c r="D6476" t="inlineStr">
        <is>
          <t>UPPSALA LÄN</t>
        </is>
      </c>
      <c r="E6476" t="inlineStr">
        <is>
          <t>TIERP</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2491-2025</t>
        </is>
      </c>
      <c r="B6477" s="1" t="n">
        <v>45674</v>
      </c>
      <c r="C6477" s="1" t="n">
        <v>45705</v>
      </c>
      <c r="D6477" t="inlineStr">
        <is>
          <t>UPPSALA LÄN</t>
        </is>
      </c>
      <c r="E6477" t="inlineStr">
        <is>
          <t>HEBY</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2487-2025</t>
        </is>
      </c>
      <c r="B6478" s="1" t="n">
        <v>45674</v>
      </c>
      <c r="C6478" s="1" t="n">
        <v>45705</v>
      </c>
      <c r="D6478" t="inlineStr">
        <is>
          <t>UPPSALA LÄN</t>
        </is>
      </c>
      <c r="E6478" t="inlineStr">
        <is>
          <t>HEBY</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2549-2025</t>
        </is>
      </c>
      <c r="B6479" s="1" t="n">
        <v>45674</v>
      </c>
      <c r="C6479" s="1" t="n">
        <v>45705</v>
      </c>
      <c r="D6479" t="inlineStr">
        <is>
          <t>UPPSALA LÄN</t>
        </is>
      </c>
      <c r="E6479" t="inlineStr">
        <is>
          <t>TIERP</t>
        </is>
      </c>
      <c r="G6479" t="n">
        <v>4</v>
      </c>
      <c r="H6479" t="n">
        <v>0</v>
      </c>
      <c r="I6479" t="n">
        <v>0</v>
      </c>
      <c r="J6479" t="n">
        <v>0</v>
      </c>
      <c r="K6479" t="n">
        <v>0</v>
      </c>
      <c r="L6479" t="n">
        <v>0</v>
      </c>
      <c r="M6479" t="n">
        <v>0</v>
      </c>
      <c r="N6479" t="n">
        <v>0</v>
      </c>
      <c r="O6479" t="n">
        <v>0</v>
      </c>
      <c r="P6479" t="n">
        <v>0</v>
      </c>
      <c r="Q6479" t="n">
        <v>0</v>
      </c>
      <c r="R6479" s="2" t="inlineStr"/>
    </row>
    <row r="6480" ht="15" customHeight="1">
      <c r="A6480" t="inlineStr">
        <is>
          <t>A 2407-2025</t>
        </is>
      </c>
      <c r="B6480" s="1" t="n">
        <v>45674</v>
      </c>
      <c r="C6480" s="1" t="n">
        <v>45705</v>
      </c>
      <c r="D6480" t="inlineStr">
        <is>
          <t>UPPSALA LÄN</t>
        </is>
      </c>
      <c r="E6480" t="inlineStr">
        <is>
          <t>TIERP</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2628-2025</t>
        </is>
      </c>
      <c r="B6481" s="1" t="n">
        <v>45675</v>
      </c>
      <c r="C6481" s="1" t="n">
        <v>45705</v>
      </c>
      <c r="D6481" t="inlineStr">
        <is>
          <t>UPPSALA LÄN</t>
        </is>
      </c>
      <c r="E6481" t="inlineStr">
        <is>
          <t>KNIVSTA</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2629-2025</t>
        </is>
      </c>
      <c r="B6482" s="1" t="n">
        <v>45675</v>
      </c>
      <c r="C6482" s="1" t="n">
        <v>45705</v>
      </c>
      <c r="D6482" t="inlineStr">
        <is>
          <t>UPPSALA LÄN</t>
        </is>
      </c>
      <c r="E6482" t="inlineStr">
        <is>
          <t>KNIVSTA</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2695-2025</t>
        </is>
      </c>
      <c r="B6483" s="1" t="n">
        <v>45677</v>
      </c>
      <c r="C6483" s="1" t="n">
        <v>45705</v>
      </c>
      <c r="D6483" t="inlineStr">
        <is>
          <t>UPPSALA LÄN</t>
        </is>
      </c>
      <c r="E6483" t="inlineStr">
        <is>
          <t>UPPSALA</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2790-2025</t>
        </is>
      </c>
      <c r="B6484" s="1" t="n">
        <v>45677</v>
      </c>
      <c r="C6484" s="1" t="n">
        <v>45705</v>
      </c>
      <c r="D6484" t="inlineStr">
        <is>
          <t>UPPSALA LÄN</t>
        </is>
      </c>
      <c r="E6484" t="inlineStr">
        <is>
          <t>UPPSALA</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2838-2025</t>
        </is>
      </c>
      <c r="B6485" s="1" t="n">
        <v>45677</v>
      </c>
      <c r="C6485" s="1" t="n">
        <v>45705</v>
      </c>
      <c r="D6485" t="inlineStr">
        <is>
          <t>UPPSALA LÄN</t>
        </is>
      </c>
      <c r="E6485" t="inlineStr">
        <is>
          <t>TIERP</t>
        </is>
      </c>
      <c r="F6485" t="inlineStr">
        <is>
          <t>Bergvik skog väst AB</t>
        </is>
      </c>
      <c r="G6485" t="n">
        <v>9.300000000000001</v>
      </c>
      <c r="H6485" t="n">
        <v>0</v>
      </c>
      <c r="I6485" t="n">
        <v>0</v>
      </c>
      <c r="J6485" t="n">
        <v>0</v>
      </c>
      <c r="K6485" t="n">
        <v>0</v>
      </c>
      <c r="L6485" t="n">
        <v>0</v>
      </c>
      <c r="M6485" t="n">
        <v>0</v>
      </c>
      <c r="N6485" t="n">
        <v>0</v>
      </c>
      <c r="O6485" t="n">
        <v>0</v>
      </c>
      <c r="P6485" t="n">
        <v>0</v>
      </c>
      <c r="Q6485" t="n">
        <v>0</v>
      </c>
      <c r="R6485" s="2" t="inlineStr"/>
    </row>
    <row r="6486" ht="15" customHeight="1">
      <c r="A6486" t="inlineStr">
        <is>
          <t>A 2847-2025</t>
        </is>
      </c>
      <c r="B6486" s="1" t="n">
        <v>45677</v>
      </c>
      <c r="C6486" s="1" t="n">
        <v>45705</v>
      </c>
      <c r="D6486" t="inlineStr">
        <is>
          <t>UPPSALA LÄN</t>
        </is>
      </c>
      <c r="E6486" t="inlineStr">
        <is>
          <t>ÖSTHAMMAR</t>
        </is>
      </c>
      <c r="F6486" t="inlineStr">
        <is>
          <t>Övriga Aktiebolag</t>
        </is>
      </c>
      <c r="G6486" t="n">
        <v>6.8</v>
      </c>
      <c r="H6486" t="n">
        <v>0</v>
      </c>
      <c r="I6486" t="n">
        <v>0</v>
      </c>
      <c r="J6486" t="n">
        <v>0</v>
      </c>
      <c r="K6486" t="n">
        <v>0</v>
      </c>
      <c r="L6486" t="n">
        <v>0</v>
      </c>
      <c r="M6486" t="n">
        <v>0</v>
      </c>
      <c r="N6486" t="n">
        <v>0</v>
      </c>
      <c r="O6486" t="n">
        <v>0</v>
      </c>
      <c r="P6486" t="n">
        <v>0</v>
      </c>
      <c r="Q6486" t="n">
        <v>0</v>
      </c>
      <c r="R6486" s="2" t="inlineStr"/>
    </row>
    <row r="6487" ht="15" customHeight="1">
      <c r="A6487" t="inlineStr">
        <is>
          <t>A 2839-2025</t>
        </is>
      </c>
      <c r="B6487" s="1" t="n">
        <v>45677</v>
      </c>
      <c r="C6487" s="1" t="n">
        <v>45705</v>
      </c>
      <c r="D6487" t="inlineStr">
        <is>
          <t>UPPSALA LÄN</t>
        </is>
      </c>
      <c r="E6487" t="inlineStr">
        <is>
          <t>ÖSTHAMMAR</t>
        </is>
      </c>
      <c r="F6487" t="inlineStr">
        <is>
          <t>Övriga Aktiebolag</t>
        </is>
      </c>
      <c r="G6487" t="n">
        <v>4</v>
      </c>
      <c r="H6487" t="n">
        <v>0</v>
      </c>
      <c r="I6487" t="n">
        <v>0</v>
      </c>
      <c r="J6487" t="n">
        <v>0</v>
      </c>
      <c r="K6487" t="n">
        <v>0</v>
      </c>
      <c r="L6487" t="n">
        <v>0</v>
      </c>
      <c r="M6487" t="n">
        <v>0</v>
      </c>
      <c r="N6487" t="n">
        <v>0</v>
      </c>
      <c r="O6487" t="n">
        <v>0</v>
      </c>
      <c r="P6487" t="n">
        <v>0</v>
      </c>
      <c r="Q6487" t="n">
        <v>0</v>
      </c>
      <c r="R6487" s="2" t="inlineStr"/>
    </row>
    <row r="6488" ht="15" customHeight="1">
      <c r="A6488" t="inlineStr">
        <is>
          <t>A 2833-2025</t>
        </is>
      </c>
      <c r="B6488" s="1" t="n">
        <v>45677</v>
      </c>
      <c r="C6488" s="1" t="n">
        <v>45705</v>
      </c>
      <c r="D6488" t="inlineStr">
        <is>
          <t>UPPSALA LÄN</t>
        </is>
      </c>
      <c r="E6488" t="inlineStr">
        <is>
          <t>ENKÖPING</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2850-2025</t>
        </is>
      </c>
      <c r="B6489" s="1" t="n">
        <v>45677</v>
      </c>
      <c r="C6489" s="1" t="n">
        <v>45705</v>
      </c>
      <c r="D6489" t="inlineStr">
        <is>
          <t>UPPSALA LÄN</t>
        </is>
      </c>
      <c r="E6489" t="inlineStr">
        <is>
          <t>ENKÖPING</t>
        </is>
      </c>
      <c r="G6489" t="n">
        <v>0.3</v>
      </c>
      <c r="H6489" t="n">
        <v>0</v>
      </c>
      <c r="I6489" t="n">
        <v>0</v>
      </c>
      <c r="J6489" t="n">
        <v>0</v>
      </c>
      <c r="K6489" t="n">
        <v>0</v>
      </c>
      <c r="L6489" t="n">
        <v>0</v>
      </c>
      <c r="M6489" t="n">
        <v>0</v>
      </c>
      <c r="N6489" t="n">
        <v>0</v>
      </c>
      <c r="O6489" t="n">
        <v>0</v>
      </c>
      <c r="P6489" t="n">
        <v>0</v>
      </c>
      <c r="Q6489" t="n">
        <v>0</v>
      </c>
      <c r="R6489" s="2" t="inlineStr"/>
    </row>
    <row r="6490" ht="15" customHeight="1">
      <c r="A6490" t="inlineStr">
        <is>
          <t>A 2916-2025</t>
        </is>
      </c>
      <c r="B6490" s="1" t="n">
        <v>45678</v>
      </c>
      <c r="C6490" s="1" t="n">
        <v>45705</v>
      </c>
      <c r="D6490" t="inlineStr">
        <is>
          <t>UPPSALA LÄN</t>
        </is>
      </c>
      <c r="E6490" t="inlineStr">
        <is>
          <t>ÖSTHAMMAR</t>
        </is>
      </c>
      <c r="F6490" t="inlineStr">
        <is>
          <t>Allmännings- och besparingsskogar</t>
        </is>
      </c>
      <c r="G6490" t="n">
        <v>10.5</v>
      </c>
      <c r="H6490" t="n">
        <v>0</v>
      </c>
      <c r="I6490" t="n">
        <v>0</v>
      </c>
      <c r="J6490" t="n">
        <v>0</v>
      </c>
      <c r="K6490" t="n">
        <v>0</v>
      </c>
      <c r="L6490" t="n">
        <v>0</v>
      </c>
      <c r="M6490" t="n">
        <v>0</v>
      </c>
      <c r="N6490" t="n">
        <v>0</v>
      </c>
      <c r="O6490" t="n">
        <v>0</v>
      </c>
      <c r="P6490" t="n">
        <v>0</v>
      </c>
      <c r="Q6490" t="n">
        <v>0</v>
      </c>
      <c r="R6490" s="2" t="inlineStr"/>
    </row>
    <row r="6491" ht="15" customHeight="1">
      <c r="A6491" t="inlineStr">
        <is>
          <t>A 2897-2025</t>
        </is>
      </c>
      <c r="B6491" s="1" t="n">
        <v>45677</v>
      </c>
      <c r="C6491" s="1" t="n">
        <v>45705</v>
      </c>
      <c r="D6491" t="inlineStr">
        <is>
          <t>UPPSALA LÄN</t>
        </is>
      </c>
      <c r="E6491" t="inlineStr">
        <is>
          <t>UPPSALA</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2947-2025</t>
        </is>
      </c>
      <c r="B6492" s="1" t="n">
        <v>45678</v>
      </c>
      <c r="C6492" s="1" t="n">
        <v>45705</v>
      </c>
      <c r="D6492" t="inlineStr">
        <is>
          <t>UPPSALA LÄN</t>
        </is>
      </c>
      <c r="E6492" t="inlineStr">
        <is>
          <t>ÖSTHAMMAR</t>
        </is>
      </c>
      <c r="G6492" t="n">
        <v>3.6</v>
      </c>
      <c r="H6492" t="n">
        <v>0</v>
      </c>
      <c r="I6492" t="n">
        <v>0</v>
      </c>
      <c r="J6492" t="n">
        <v>0</v>
      </c>
      <c r="K6492" t="n">
        <v>0</v>
      </c>
      <c r="L6492" t="n">
        <v>0</v>
      </c>
      <c r="M6492" t="n">
        <v>0</v>
      </c>
      <c r="N6492" t="n">
        <v>0</v>
      </c>
      <c r="O6492" t="n">
        <v>0</v>
      </c>
      <c r="P6492" t="n">
        <v>0</v>
      </c>
      <c r="Q6492" t="n">
        <v>0</v>
      </c>
      <c r="R6492" s="2" t="inlineStr"/>
    </row>
    <row r="6493" ht="15" customHeight="1">
      <c r="A6493" t="inlineStr">
        <is>
          <t>A 2974-2025</t>
        </is>
      </c>
      <c r="B6493" s="1" t="n">
        <v>45678</v>
      </c>
      <c r="C6493" s="1" t="n">
        <v>45705</v>
      </c>
      <c r="D6493" t="inlineStr">
        <is>
          <t>UPPSALA LÄN</t>
        </is>
      </c>
      <c r="E6493" t="inlineStr">
        <is>
          <t>ENKÖPING</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2968-2025</t>
        </is>
      </c>
      <c r="B6494" s="1" t="n">
        <v>45678</v>
      </c>
      <c r="C6494" s="1" t="n">
        <v>45705</v>
      </c>
      <c r="D6494" t="inlineStr">
        <is>
          <t>UPPSALA LÄN</t>
        </is>
      </c>
      <c r="E6494" t="inlineStr">
        <is>
          <t>ENKÖPING</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3119-2025</t>
        </is>
      </c>
      <c r="B6495" s="1" t="n">
        <v>45678</v>
      </c>
      <c r="C6495" s="1" t="n">
        <v>45705</v>
      </c>
      <c r="D6495" t="inlineStr">
        <is>
          <t>UPPSALA LÄN</t>
        </is>
      </c>
      <c r="E6495" t="inlineStr">
        <is>
          <t>ÖSTHAMMAR</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3197-2025</t>
        </is>
      </c>
      <c r="B6496" s="1" t="n">
        <v>45679</v>
      </c>
      <c r="C6496" s="1" t="n">
        <v>45705</v>
      </c>
      <c r="D6496" t="inlineStr">
        <is>
          <t>UPPSALA LÄN</t>
        </is>
      </c>
      <c r="E6496" t="inlineStr">
        <is>
          <t>ENKÖPING</t>
        </is>
      </c>
      <c r="G6496" t="n">
        <v>2.5</v>
      </c>
      <c r="H6496" t="n">
        <v>0</v>
      </c>
      <c r="I6496" t="n">
        <v>0</v>
      </c>
      <c r="J6496" t="n">
        <v>0</v>
      </c>
      <c r="K6496" t="n">
        <v>0</v>
      </c>
      <c r="L6496" t="n">
        <v>0</v>
      </c>
      <c r="M6496" t="n">
        <v>0</v>
      </c>
      <c r="N6496" t="n">
        <v>0</v>
      </c>
      <c r="O6496" t="n">
        <v>0</v>
      </c>
      <c r="P6496" t="n">
        <v>0</v>
      </c>
      <c r="Q6496" t="n">
        <v>0</v>
      </c>
      <c r="R6496" s="2" t="inlineStr"/>
    </row>
    <row r="6497" ht="15" customHeight="1">
      <c r="A6497" t="inlineStr">
        <is>
          <t>A 3235-2025</t>
        </is>
      </c>
      <c r="B6497" s="1" t="n">
        <v>45679</v>
      </c>
      <c r="C6497" s="1" t="n">
        <v>45705</v>
      </c>
      <c r="D6497" t="inlineStr">
        <is>
          <t>UPPSALA LÄN</t>
        </is>
      </c>
      <c r="E6497" t="inlineStr">
        <is>
          <t>ENKÖPING</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3259-2025</t>
        </is>
      </c>
      <c r="B6498" s="1" t="n">
        <v>45679</v>
      </c>
      <c r="C6498" s="1" t="n">
        <v>45705</v>
      </c>
      <c r="D6498" t="inlineStr">
        <is>
          <t>UPPSALA LÄN</t>
        </is>
      </c>
      <c r="E6498" t="inlineStr">
        <is>
          <t>ÖSTHAMMAR</t>
        </is>
      </c>
      <c r="G6498" t="n">
        <v>4.4</v>
      </c>
      <c r="H6498" t="n">
        <v>0</v>
      </c>
      <c r="I6498" t="n">
        <v>0</v>
      </c>
      <c r="J6498" t="n">
        <v>0</v>
      </c>
      <c r="K6498" t="n">
        <v>0</v>
      </c>
      <c r="L6498" t="n">
        <v>0</v>
      </c>
      <c r="M6498" t="n">
        <v>0</v>
      </c>
      <c r="N6498" t="n">
        <v>0</v>
      </c>
      <c r="O6498" t="n">
        <v>0</v>
      </c>
      <c r="P6498" t="n">
        <v>0</v>
      </c>
      <c r="Q6498" t="n">
        <v>0</v>
      </c>
      <c r="R6498" s="2" t="inlineStr"/>
    </row>
    <row r="6499" ht="15" customHeight="1">
      <c r="A6499" t="inlineStr">
        <is>
          <t>A 3301-2025</t>
        </is>
      </c>
      <c r="B6499" s="1" t="n">
        <v>45679</v>
      </c>
      <c r="C6499" s="1" t="n">
        <v>45705</v>
      </c>
      <c r="D6499" t="inlineStr">
        <is>
          <t>UPPSALA LÄN</t>
        </is>
      </c>
      <c r="E6499" t="inlineStr">
        <is>
          <t>ENKÖPING</t>
        </is>
      </c>
      <c r="G6499" t="n">
        <v>20.9</v>
      </c>
      <c r="H6499" t="n">
        <v>0</v>
      </c>
      <c r="I6499" t="n">
        <v>0</v>
      </c>
      <c r="J6499" t="n">
        <v>0</v>
      </c>
      <c r="K6499" t="n">
        <v>0</v>
      </c>
      <c r="L6499" t="n">
        <v>0</v>
      </c>
      <c r="M6499" t="n">
        <v>0</v>
      </c>
      <c r="N6499" t="n">
        <v>0</v>
      </c>
      <c r="O6499" t="n">
        <v>0</v>
      </c>
      <c r="P6499" t="n">
        <v>0</v>
      </c>
      <c r="Q6499" t="n">
        <v>0</v>
      </c>
      <c r="R6499" s="2" t="inlineStr"/>
    </row>
    <row r="6500" ht="15" customHeight="1">
      <c r="A6500" t="inlineStr">
        <is>
          <t>A 3314-2025</t>
        </is>
      </c>
      <c r="B6500" s="1" t="n">
        <v>45679</v>
      </c>
      <c r="C6500" s="1" t="n">
        <v>45705</v>
      </c>
      <c r="D6500" t="inlineStr">
        <is>
          <t>UPPSALA LÄN</t>
        </is>
      </c>
      <c r="E6500" t="inlineStr">
        <is>
          <t>UPPSALA</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3300-2025</t>
        </is>
      </c>
      <c r="B6501" s="1" t="n">
        <v>45679</v>
      </c>
      <c r="C6501" s="1" t="n">
        <v>45705</v>
      </c>
      <c r="D6501" t="inlineStr">
        <is>
          <t>UPPSALA LÄN</t>
        </is>
      </c>
      <c r="E6501" t="inlineStr">
        <is>
          <t>ENKÖPING</t>
        </is>
      </c>
      <c r="G6501" t="n">
        <v>8.9</v>
      </c>
      <c r="H6501" t="n">
        <v>0</v>
      </c>
      <c r="I6501" t="n">
        <v>0</v>
      </c>
      <c r="J6501" t="n">
        <v>0</v>
      </c>
      <c r="K6501" t="n">
        <v>0</v>
      </c>
      <c r="L6501" t="n">
        <v>0</v>
      </c>
      <c r="M6501" t="n">
        <v>0</v>
      </c>
      <c r="N6501" t="n">
        <v>0</v>
      </c>
      <c r="O6501" t="n">
        <v>0</v>
      </c>
      <c r="P6501" t="n">
        <v>0</v>
      </c>
      <c r="Q6501" t="n">
        <v>0</v>
      </c>
      <c r="R6501" s="2" t="inlineStr"/>
    </row>
    <row r="6502" ht="15" customHeight="1">
      <c r="A6502" t="inlineStr">
        <is>
          <t>A 3287-2025</t>
        </is>
      </c>
      <c r="B6502" s="1" t="n">
        <v>45679</v>
      </c>
      <c r="C6502" s="1" t="n">
        <v>45705</v>
      </c>
      <c r="D6502" t="inlineStr">
        <is>
          <t>UPPSALA LÄN</t>
        </is>
      </c>
      <c r="E6502" t="inlineStr">
        <is>
          <t>UPPSALA</t>
        </is>
      </c>
      <c r="F6502" t="inlineStr">
        <is>
          <t>Kyrkan</t>
        </is>
      </c>
      <c r="G6502" t="n">
        <v>6.7</v>
      </c>
      <c r="H6502" t="n">
        <v>0</v>
      </c>
      <c r="I6502" t="n">
        <v>0</v>
      </c>
      <c r="J6502" t="n">
        <v>0</v>
      </c>
      <c r="K6502" t="n">
        <v>0</v>
      </c>
      <c r="L6502" t="n">
        <v>0</v>
      </c>
      <c r="M6502" t="n">
        <v>0</v>
      </c>
      <c r="N6502" t="n">
        <v>0</v>
      </c>
      <c r="O6502" t="n">
        <v>0</v>
      </c>
      <c r="P6502" t="n">
        <v>0</v>
      </c>
      <c r="Q6502" t="n">
        <v>0</v>
      </c>
      <c r="R6502" s="2" t="inlineStr"/>
    </row>
    <row r="6503" ht="15" customHeight="1">
      <c r="A6503" t="inlineStr">
        <is>
          <t>A 3315-2025</t>
        </is>
      </c>
      <c r="B6503" s="1" t="n">
        <v>45679</v>
      </c>
      <c r="C6503" s="1" t="n">
        <v>45705</v>
      </c>
      <c r="D6503" t="inlineStr">
        <is>
          <t>UPPSALA LÄN</t>
        </is>
      </c>
      <c r="E6503" t="inlineStr">
        <is>
          <t>UPPSALA</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3420-2025</t>
        </is>
      </c>
      <c r="B6504" s="1" t="n">
        <v>45680</v>
      </c>
      <c r="C6504" s="1" t="n">
        <v>45705</v>
      </c>
      <c r="D6504" t="inlineStr">
        <is>
          <t>UPPSALA LÄN</t>
        </is>
      </c>
      <c r="E6504" t="inlineStr">
        <is>
          <t>ÖSTHAMMAR</t>
        </is>
      </c>
      <c r="F6504" t="inlineStr">
        <is>
          <t>Bergvik skog väst AB</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3418-2025</t>
        </is>
      </c>
      <c r="B6505" s="1" t="n">
        <v>45680</v>
      </c>
      <c r="C6505" s="1" t="n">
        <v>45705</v>
      </c>
      <c r="D6505" t="inlineStr">
        <is>
          <t>UPPSALA LÄN</t>
        </is>
      </c>
      <c r="E6505" t="inlineStr">
        <is>
          <t>ÖSTHAMMAR</t>
        </is>
      </c>
      <c r="F6505" t="inlineStr">
        <is>
          <t>Bergvik skog väst AB</t>
        </is>
      </c>
      <c r="G6505" t="n">
        <v>0.4</v>
      </c>
      <c r="H6505" t="n">
        <v>0</v>
      </c>
      <c r="I6505" t="n">
        <v>0</v>
      </c>
      <c r="J6505" t="n">
        <v>0</v>
      </c>
      <c r="K6505" t="n">
        <v>0</v>
      </c>
      <c r="L6505" t="n">
        <v>0</v>
      </c>
      <c r="M6505" t="n">
        <v>0</v>
      </c>
      <c r="N6505" t="n">
        <v>0</v>
      </c>
      <c r="O6505" t="n">
        <v>0</v>
      </c>
      <c r="P6505" t="n">
        <v>0</v>
      </c>
      <c r="Q6505" t="n">
        <v>0</v>
      </c>
      <c r="R6505" s="2" t="inlineStr"/>
    </row>
    <row r="6506" ht="15" customHeight="1">
      <c r="A6506" t="inlineStr">
        <is>
          <t>A 3400-2025</t>
        </is>
      </c>
      <c r="B6506" s="1" t="n">
        <v>45680</v>
      </c>
      <c r="C6506" s="1" t="n">
        <v>45705</v>
      </c>
      <c r="D6506" t="inlineStr">
        <is>
          <t>UPPSALA LÄN</t>
        </is>
      </c>
      <c r="E6506" t="inlineStr">
        <is>
          <t>ENKÖPING</t>
        </is>
      </c>
      <c r="G6506" t="n">
        <v>5.3</v>
      </c>
      <c r="H6506" t="n">
        <v>0</v>
      </c>
      <c r="I6506" t="n">
        <v>0</v>
      </c>
      <c r="J6506" t="n">
        <v>0</v>
      </c>
      <c r="K6506" t="n">
        <v>0</v>
      </c>
      <c r="L6506" t="n">
        <v>0</v>
      </c>
      <c r="M6506" t="n">
        <v>0</v>
      </c>
      <c r="N6506" t="n">
        <v>0</v>
      </c>
      <c r="O6506" t="n">
        <v>0</v>
      </c>
      <c r="P6506" t="n">
        <v>0</v>
      </c>
      <c r="Q6506" t="n">
        <v>0</v>
      </c>
      <c r="R6506" s="2" t="inlineStr"/>
    </row>
    <row r="6507" ht="15" customHeight="1">
      <c r="A6507" t="inlineStr">
        <is>
          <t>A 3466-2025</t>
        </is>
      </c>
      <c r="B6507" s="1" t="n">
        <v>45680</v>
      </c>
      <c r="C6507" s="1" t="n">
        <v>45705</v>
      </c>
      <c r="D6507" t="inlineStr">
        <is>
          <t>UPPSALA LÄN</t>
        </is>
      </c>
      <c r="E6507" t="inlineStr">
        <is>
          <t>HEBY</t>
        </is>
      </c>
      <c r="G6507" t="n">
        <v>6.6</v>
      </c>
      <c r="H6507" t="n">
        <v>0</v>
      </c>
      <c r="I6507" t="n">
        <v>0</v>
      </c>
      <c r="J6507" t="n">
        <v>0</v>
      </c>
      <c r="K6507" t="n">
        <v>0</v>
      </c>
      <c r="L6507" t="n">
        <v>0</v>
      </c>
      <c r="M6507" t="n">
        <v>0</v>
      </c>
      <c r="N6507" t="n">
        <v>0</v>
      </c>
      <c r="O6507" t="n">
        <v>0</v>
      </c>
      <c r="P6507" t="n">
        <v>0</v>
      </c>
      <c r="Q6507" t="n">
        <v>0</v>
      </c>
      <c r="R6507" s="2" t="inlineStr"/>
    </row>
    <row r="6508" ht="15" customHeight="1">
      <c r="A6508" t="inlineStr">
        <is>
          <t>A 3527-2025</t>
        </is>
      </c>
      <c r="B6508" s="1" t="n">
        <v>45680</v>
      </c>
      <c r="C6508" s="1" t="n">
        <v>45705</v>
      </c>
      <c r="D6508" t="inlineStr">
        <is>
          <t>UPPSALA LÄN</t>
        </is>
      </c>
      <c r="E6508" t="inlineStr">
        <is>
          <t>HEBY</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3499-2025</t>
        </is>
      </c>
      <c r="B6509" s="1" t="n">
        <v>45680</v>
      </c>
      <c r="C6509" s="1" t="n">
        <v>45705</v>
      </c>
      <c r="D6509" t="inlineStr">
        <is>
          <t>UPPSALA LÄN</t>
        </is>
      </c>
      <c r="E6509" t="inlineStr">
        <is>
          <t>ENKÖPING</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3950-2025</t>
        </is>
      </c>
      <c r="B6510" s="1" t="n">
        <v>45684</v>
      </c>
      <c r="C6510" s="1" t="n">
        <v>45705</v>
      </c>
      <c r="D6510" t="inlineStr">
        <is>
          <t>UPPSALA LÄN</t>
        </is>
      </c>
      <c r="E6510" t="inlineStr">
        <is>
          <t>ÄLVKARLEBY</t>
        </is>
      </c>
      <c r="G6510" t="n">
        <v>3.1</v>
      </c>
      <c r="H6510" t="n">
        <v>0</v>
      </c>
      <c r="I6510" t="n">
        <v>0</v>
      </c>
      <c r="J6510" t="n">
        <v>0</v>
      </c>
      <c r="K6510" t="n">
        <v>0</v>
      </c>
      <c r="L6510" t="n">
        <v>0</v>
      </c>
      <c r="M6510" t="n">
        <v>0</v>
      </c>
      <c r="N6510" t="n">
        <v>0</v>
      </c>
      <c r="O6510" t="n">
        <v>0</v>
      </c>
      <c r="P6510" t="n">
        <v>0</v>
      </c>
      <c r="Q6510" t="n">
        <v>0</v>
      </c>
      <c r="R6510" s="2" t="inlineStr"/>
    </row>
    <row r="6511" ht="15" customHeight="1">
      <c r="A6511" t="inlineStr">
        <is>
          <t>A 3973-2025</t>
        </is>
      </c>
      <c r="B6511" s="1" t="n">
        <v>45684</v>
      </c>
      <c r="C6511" s="1" t="n">
        <v>45705</v>
      </c>
      <c r="D6511" t="inlineStr">
        <is>
          <t>UPPSALA LÄN</t>
        </is>
      </c>
      <c r="E6511" t="inlineStr">
        <is>
          <t>UPPSALA</t>
        </is>
      </c>
      <c r="G6511" t="n">
        <v>8</v>
      </c>
      <c r="H6511" t="n">
        <v>0</v>
      </c>
      <c r="I6511" t="n">
        <v>0</v>
      </c>
      <c r="J6511" t="n">
        <v>0</v>
      </c>
      <c r="K6511" t="n">
        <v>0</v>
      </c>
      <c r="L6511" t="n">
        <v>0</v>
      </c>
      <c r="M6511" t="n">
        <v>0</v>
      </c>
      <c r="N6511" t="n">
        <v>0</v>
      </c>
      <c r="O6511" t="n">
        <v>0</v>
      </c>
      <c r="P6511" t="n">
        <v>0</v>
      </c>
      <c r="Q6511" t="n">
        <v>0</v>
      </c>
      <c r="R6511" s="2" t="inlineStr"/>
    </row>
    <row r="6512" ht="15" customHeight="1">
      <c r="A6512" t="inlineStr">
        <is>
          <t>A 4014-2025</t>
        </is>
      </c>
      <c r="B6512" s="1" t="n">
        <v>45684</v>
      </c>
      <c r="C6512" s="1" t="n">
        <v>45705</v>
      </c>
      <c r="D6512" t="inlineStr">
        <is>
          <t>UPPSALA LÄN</t>
        </is>
      </c>
      <c r="E6512" t="inlineStr">
        <is>
          <t>UPPSALA</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4096-2025</t>
        </is>
      </c>
      <c r="B6513" s="1" t="n">
        <v>45684</v>
      </c>
      <c r="C6513" s="1" t="n">
        <v>45705</v>
      </c>
      <c r="D6513" t="inlineStr">
        <is>
          <t>UPPSALA LÄN</t>
        </is>
      </c>
      <c r="E6513" t="inlineStr">
        <is>
          <t>ÖSTHAMMAR</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4099-2025</t>
        </is>
      </c>
      <c r="B6514" s="1" t="n">
        <v>45684</v>
      </c>
      <c r="C6514" s="1" t="n">
        <v>45705</v>
      </c>
      <c r="D6514" t="inlineStr">
        <is>
          <t>UPPSALA LÄN</t>
        </is>
      </c>
      <c r="E6514" t="inlineStr">
        <is>
          <t>ÖSTHAMMAR</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4293-2025</t>
        </is>
      </c>
      <c r="B6515" s="1" t="n">
        <v>45685</v>
      </c>
      <c r="C6515" s="1" t="n">
        <v>45705</v>
      </c>
      <c r="D6515" t="inlineStr">
        <is>
          <t>UPPSALA LÄN</t>
        </is>
      </c>
      <c r="E6515" t="inlineStr">
        <is>
          <t>UPPSALA</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4343-2025</t>
        </is>
      </c>
      <c r="B6516" s="1" t="n">
        <v>45685</v>
      </c>
      <c r="C6516" s="1" t="n">
        <v>45705</v>
      </c>
      <c r="D6516" t="inlineStr">
        <is>
          <t>UPPSALA LÄN</t>
        </is>
      </c>
      <c r="E6516" t="inlineStr">
        <is>
          <t>TIERP</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4240-2025</t>
        </is>
      </c>
      <c r="B6517" s="1" t="n">
        <v>45685</v>
      </c>
      <c r="C6517" s="1" t="n">
        <v>45705</v>
      </c>
      <c r="D6517" t="inlineStr">
        <is>
          <t>UPPSALA LÄN</t>
        </is>
      </c>
      <c r="E6517" t="inlineStr">
        <is>
          <t>UPPSALA</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4244-2025</t>
        </is>
      </c>
      <c r="B6518" s="1" t="n">
        <v>45685</v>
      </c>
      <c r="C6518" s="1" t="n">
        <v>45705</v>
      </c>
      <c r="D6518" t="inlineStr">
        <is>
          <t>UPPSALA LÄN</t>
        </is>
      </c>
      <c r="E6518" t="inlineStr">
        <is>
          <t>UPPSALA</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4242-2025</t>
        </is>
      </c>
      <c r="B6519" s="1" t="n">
        <v>45685</v>
      </c>
      <c r="C6519" s="1" t="n">
        <v>45705</v>
      </c>
      <c r="D6519" t="inlineStr">
        <is>
          <t>UPPSALA LÄN</t>
        </is>
      </c>
      <c r="E6519" t="inlineStr">
        <is>
          <t>UPPSALA</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4292-2025</t>
        </is>
      </c>
      <c r="B6520" s="1" t="n">
        <v>45685</v>
      </c>
      <c r="C6520" s="1" t="n">
        <v>45705</v>
      </c>
      <c r="D6520" t="inlineStr">
        <is>
          <t>UPPSALA LÄN</t>
        </is>
      </c>
      <c r="E6520" t="inlineStr">
        <is>
          <t>ÖSTHAMMAR</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4304-2025</t>
        </is>
      </c>
      <c r="B6521" s="1" t="n">
        <v>45685</v>
      </c>
      <c r="C6521" s="1" t="n">
        <v>45705</v>
      </c>
      <c r="D6521" t="inlineStr">
        <is>
          <t>UPPSALA LÄN</t>
        </is>
      </c>
      <c r="E6521" t="inlineStr">
        <is>
          <t>ÖSTHAMMAR</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4314-2025</t>
        </is>
      </c>
      <c r="B6522" s="1" t="n">
        <v>45685</v>
      </c>
      <c r="C6522" s="1" t="n">
        <v>45705</v>
      </c>
      <c r="D6522" t="inlineStr">
        <is>
          <t>UPPSALA LÄN</t>
        </is>
      </c>
      <c r="E6522" t="inlineStr">
        <is>
          <t>TIERP</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4356-2025</t>
        </is>
      </c>
      <c r="B6523" s="1" t="n">
        <v>45686</v>
      </c>
      <c r="C6523" s="1" t="n">
        <v>45705</v>
      </c>
      <c r="D6523" t="inlineStr">
        <is>
          <t>UPPSALA LÄN</t>
        </is>
      </c>
      <c r="E6523" t="inlineStr">
        <is>
          <t>ÖSTHAMMAR</t>
        </is>
      </c>
      <c r="F6523" t="inlineStr">
        <is>
          <t>Övriga Aktiebolag</t>
        </is>
      </c>
      <c r="G6523" t="n">
        <v>24.6</v>
      </c>
      <c r="H6523" t="n">
        <v>0</v>
      </c>
      <c r="I6523" t="n">
        <v>0</v>
      </c>
      <c r="J6523" t="n">
        <v>0</v>
      </c>
      <c r="K6523" t="n">
        <v>0</v>
      </c>
      <c r="L6523" t="n">
        <v>0</v>
      </c>
      <c r="M6523" t="n">
        <v>0</v>
      </c>
      <c r="N6523" t="n">
        <v>0</v>
      </c>
      <c r="O6523" t="n">
        <v>0</v>
      </c>
      <c r="P6523" t="n">
        <v>0</v>
      </c>
      <c r="Q6523" t="n">
        <v>0</v>
      </c>
      <c r="R6523" s="2" t="inlineStr"/>
    </row>
    <row r="6524" ht="15" customHeight="1">
      <c r="A6524" t="inlineStr">
        <is>
          <t>A 4388-2025</t>
        </is>
      </c>
      <c r="B6524" s="1" t="n">
        <v>45686</v>
      </c>
      <c r="C6524" s="1" t="n">
        <v>45705</v>
      </c>
      <c r="D6524" t="inlineStr">
        <is>
          <t>UPPSALA LÄN</t>
        </is>
      </c>
      <c r="E6524" t="inlineStr">
        <is>
          <t>HEBY</t>
        </is>
      </c>
      <c r="G6524" t="n">
        <v>4.1</v>
      </c>
      <c r="H6524" t="n">
        <v>0</v>
      </c>
      <c r="I6524" t="n">
        <v>0</v>
      </c>
      <c r="J6524" t="n">
        <v>0</v>
      </c>
      <c r="K6524" t="n">
        <v>0</v>
      </c>
      <c r="L6524" t="n">
        <v>0</v>
      </c>
      <c r="M6524" t="n">
        <v>0</v>
      </c>
      <c r="N6524" t="n">
        <v>0</v>
      </c>
      <c r="O6524" t="n">
        <v>0</v>
      </c>
      <c r="P6524" t="n">
        <v>0</v>
      </c>
      <c r="Q6524" t="n">
        <v>0</v>
      </c>
      <c r="R6524" s="2" t="inlineStr"/>
    </row>
    <row r="6525" ht="15" customHeight="1">
      <c r="A6525" t="inlineStr">
        <is>
          <t>A 4447-2025</t>
        </is>
      </c>
      <c r="B6525" s="1" t="n">
        <v>45686</v>
      </c>
      <c r="C6525" s="1" t="n">
        <v>45705</v>
      </c>
      <c r="D6525" t="inlineStr">
        <is>
          <t>UPPSALA LÄN</t>
        </is>
      </c>
      <c r="E6525" t="inlineStr">
        <is>
          <t>TIERP</t>
        </is>
      </c>
      <c r="F6525" t="inlineStr">
        <is>
          <t>Bergvik skog öst AB</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4524-2025</t>
        </is>
      </c>
      <c r="B6526" s="1" t="n">
        <v>45686</v>
      </c>
      <c r="C6526" s="1" t="n">
        <v>45705</v>
      </c>
      <c r="D6526" t="inlineStr">
        <is>
          <t>UPPSALA LÄN</t>
        </is>
      </c>
      <c r="E6526" t="inlineStr">
        <is>
          <t>TIERP</t>
        </is>
      </c>
      <c r="G6526" t="n">
        <v>6</v>
      </c>
      <c r="H6526" t="n">
        <v>0</v>
      </c>
      <c r="I6526" t="n">
        <v>0</v>
      </c>
      <c r="J6526" t="n">
        <v>0</v>
      </c>
      <c r="K6526" t="n">
        <v>0</v>
      </c>
      <c r="L6526" t="n">
        <v>0</v>
      </c>
      <c r="M6526" t="n">
        <v>0</v>
      </c>
      <c r="N6526" t="n">
        <v>0</v>
      </c>
      <c r="O6526" t="n">
        <v>0</v>
      </c>
      <c r="P6526" t="n">
        <v>0</v>
      </c>
      <c r="Q6526" t="n">
        <v>0</v>
      </c>
      <c r="R6526" s="2" t="inlineStr"/>
    </row>
    <row r="6527" ht="15" customHeight="1">
      <c r="A6527" t="inlineStr">
        <is>
          <t>A 4473-2025</t>
        </is>
      </c>
      <c r="B6527" s="1" t="n">
        <v>45686</v>
      </c>
      <c r="C6527" s="1" t="n">
        <v>45705</v>
      </c>
      <c r="D6527" t="inlineStr">
        <is>
          <t>UPPSALA LÄN</t>
        </is>
      </c>
      <c r="E6527" t="inlineStr">
        <is>
          <t>TIERP</t>
        </is>
      </c>
      <c r="F6527" t="inlineStr">
        <is>
          <t>Bergvik skog öst AB</t>
        </is>
      </c>
      <c r="G6527" t="n">
        <v>7.8</v>
      </c>
      <c r="H6527" t="n">
        <v>0</v>
      </c>
      <c r="I6527" t="n">
        <v>0</v>
      </c>
      <c r="J6527" t="n">
        <v>0</v>
      </c>
      <c r="K6527" t="n">
        <v>0</v>
      </c>
      <c r="L6527" t="n">
        <v>0</v>
      </c>
      <c r="M6527" t="n">
        <v>0</v>
      </c>
      <c r="N6527" t="n">
        <v>0</v>
      </c>
      <c r="O6527" t="n">
        <v>0</v>
      </c>
      <c r="P6527" t="n">
        <v>0</v>
      </c>
      <c r="Q6527" t="n">
        <v>0</v>
      </c>
      <c r="R6527" s="2" t="inlineStr"/>
    </row>
    <row r="6528" ht="15" customHeight="1">
      <c r="A6528" t="inlineStr">
        <is>
          <t>A 4483-2025</t>
        </is>
      </c>
      <c r="B6528" s="1" t="n">
        <v>45686</v>
      </c>
      <c r="C6528" s="1" t="n">
        <v>45705</v>
      </c>
      <c r="D6528" t="inlineStr">
        <is>
          <t>UPPSALA LÄN</t>
        </is>
      </c>
      <c r="E6528" t="inlineStr">
        <is>
          <t>TIERP</t>
        </is>
      </c>
      <c r="F6528" t="inlineStr">
        <is>
          <t>Bergvik skog öst AB</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4562-2025</t>
        </is>
      </c>
      <c r="B6529" s="1" t="n">
        <v>45687</v>
      </c>
      <c r="C6529" s="1" t="n">
        <v>45705</v>
      </c>
      <c r="D6529" t="inlineStr">
        <is>
          <t>UPPSALA LÄN</t>
        </is>
      </c>
      <c r="E6529" t="inlineStr">
        <is>
          <t>ENKÖPING</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4569-2025</t>
        </is>
      </c>
      <c r="B6530" s="1" t="n">
        <v>45687</v>
      </c>
      <c r="C6530" s="1" t="n">
        <v>45705</v>
      </c>
      <c r="D6530" t="inlineStr">
        <is>
          <t>UPPSALA LÄN</t>
        </is>
      </c>
      <c r="E6530" t="inlineStr">
        <is>
          <t>UPPSALA</t>
        </is>
      </c>
      <c r="G6530" t="n">
        <v>4.4</v>
      </c>
      <c r="H6530" t="n">
        <v>0</v>
      </c>
      <c r="I6530" t="n">
        <v>0</v>
      </c>
      <c r="J6530" t="n">
        <v>0</v>
      </c>
      <c r="K6530" t="n">
        <v>0</v>
      </c>
      <c r="L6530" t="n">
        <v>0</v>
      </c>
      <c r="M6530" t="n">
        <v>0</v>
      </c>
      <c r="N6530" t="n">
        <v>0</v>
      </c>
      <c r="O6530" t="n">
        <v>0</v>
      </c>
      <c r="P6530" t="n">
        <v>0</v>
      </c>
      <c r="Q6530" t="n">
        <v>0</v>
      </c>
      <c r="R6530" s="2" t="inlineStr"/>
    </row>
    <row r="6531" ht="15" customHeight="1">
      <c r="A6531" t="inlineStr">
        <is>
          <t>A 4635-2025</t>
        </is>
      </c>
      <c r="B6531" s="1" t="n">
        <v>45687</v>
      </c>
      <c r="C6531" s="1" t="n">
        <v>45705</v>
      </c>
      <c r="D6531" t="inlineStr">
        <is>
          <t>UPPSALA LÄN</t>
        </is>
      </c>
      <c r="E6531" t="inlineStr">
        <is>
          <t>ÖSTHAMMAR</t>
        </is>
      </c>
      <c r="F6531" t="inlineStr">
        <is>
          <t>Övriga Aktiebolag</t>
        </is>
      </c>
      <c r="G6531" t="n">
        <v>5.9</v>
      </c>
      <c r="H6531" t="n">
        <v>0</v>
      </c>
      <c r="I6531" t="n">
        <v>0</v>
      </c>
      <c r="J6531" t="n">
        <v>0</v>
      </c>
      <c r="K6531" t="n">
        <v>0</v>
      </c>
      <c r="L6531" t="n">
        <v>0</v>
      </c>
      <c r="M6531" t="n">
        <v>0</v>
      </c>
      <c r="N6531" t="n">
        <v>0</v>
      </c>
      <c r="O6531" t="n">
        <v>0</v>
      </c>
      <c r="P6531" t="n">
        <v>0</v>
      </c>
      <c r="Q6531" t="n">
        <v>0</v>
      </c>
      <c r="R6531" s="2" t="inlineStr"/>
    </row>
    <row r="6532" ht="15" customHeight="1">
      <c r="A6532" t="inlineStr">
        <is>
          <t>A 4643-2025</t>
        </is>
      </c>
      <c r="B6532" s="1" t="n">
        <v>45687</v>
      </c>
      <c r="C6532" s="1" t="n">
        <v>45705</v>
      </c>
      <c r="D6532" t="inlineStr">
        <is>
          <t>UPPSALA LÄN</t>
        </is>
      </c>
      <c r="E6532" t="inlineStr">
        <is>
          <t>ÖSTHAMMAR</t>
        </is>
      </c>
      <c r="F6532" t="inlineStr">
        <is>
          <t>Övriga Aktiebolag</t>
        </is>
      </c>
      <c r="G6532" t="n">
        <v>7.2</v>
      </c>
      <c r="H6532" t="n">
        <v>0</v>
      </c>
      <c r="I6532" t="n">
        <v>0</v>
      </c>
      <c r="J6532" t="n">
        <v>0</v>
      </c>
      <c r="K6532" t="n">
        <v>0</v>
      </c>
      <c r="L6532" t="n">
        <v>0</v>
      </c>
      <c r="M6532" t="n">
        <v>0</v>
      </c>
      <c r="N6532" t="n">
        <v>0</v>
      </c>
      <c r="O6532" t="n">
        <v>0</v>
      </c>
      <c r="P6532" t="n">
        <v>0</v>
      </c>
      <c r="Q6532" t="n">
        <v>0</v>
      </c>
      <c r="R6532" s="2" t="inlineStr"/>
    </row>
    <row r="6533" ht="15" customHeight="1">
      <c r="A6533" t="inlineStr">
        <is>
          <t>A 4666-2025</t>
        </is>
      </c>
      <c r="B6533" s="1" t="n">
        <v>45687</v>
      </c>
      <c r="C6533" s="1" t="n">
        <v>45705</v>
      </c>
      <c r="D6533" t="inlineStr">
        <is>
          <t>UPPSALA LÄN</t>
        </is>
      </c>
      <c r="E6533" t="inlineStr">
        <is>
          <t>HEBY</t>
        </is>
      </c>
      <c r="F6533" t="inlineStr">
        <is>
          <t>Övriga Aktiebolag</t>
        </is>
      </c>
      <c r="G6533" t="n">
        <v>4.9</v>
      </c>
      <c r="H6533" t="n">
        <v>0</v>
      </c>
      <c r="I6533" t="n">
        <v>0</v>
      </c>
      <c r="J6533" t="n">
        <v>0</v>
      </c>
      <c r="K6533" t="n">
        <v>0</v>
      </c>
      <c r="L6533" t="n">
        <v>0</v>
      </c>
      <c r="M6533" t="n">
        <v>0</v>
      </c>
      <c r="N6533" t="n">
        <v>0</v>
      </c>
      <c r="O6533" t="n">
        <v>0</v>
      </c>
      <c r="P6533" t="n">
        <v>0</v>
      </c>
      <c r="Q6533" t="n">
        <v>0</v>
      </c>
      <c r="R6533" s="2" t="inlineStr"/>
    </row>
    <row r="6534" ht="15" customHeight="1">
      <c r="A6534" t="inlineStr">
        <is>
          <t>A 4658-2025</t>
        </is>
      </c>
      <c r="B6534" s="1" t="n">
        <v>45687</v>
      </c>
      <c r="C6534" s="1" t="n">
        <v>45705</v>
      </c>
      <c r="D6534" t="inlineStr">
        <is>
          <t>UPPSALA LÄN</t>
        </is>
      </c>
      <c r="E6534" t="inlineStr">
        <is>
          <t>KNIVSTA</t>
        </is>
      </c>
      <c r="F6534" t="inlineStr">
        <is>
          <t>Övriga Aktiebolag</t>
        </is>
      </c>
      <c r="G6534" t="n">
        <v>12.3</v>
      </c>
      <c r="H6534" t="n">
        <v>0</v>
      </c>
      <c r="I6534" t="n">
        <v>0</v>
      </c>
      <c r="J6534" t="n">
        <v>0</v>
      </c>
      <c r="K6534" t="n">
        <v>0</v>
      </c>
      <c r="L6534" t="n">
        <v>0</v>
      </c>
      <c r="M6534" t="n">
        <v>0</v>
      </c>
      <c r="N6534" t="n">
        <v>0</v>
      </c>
      <c r="O6534" t="n">
        <v>0</v>
      </c>
      <c r="P6534" t="n">
        <v>0</v>
      </c>
      <c r="Q6534" t="n">
        <v>0</v>
      </c>
      <c r="R6534" s="2" t="inlineStr"/>
    </row>
    <row r="6535" ht="15" customHeight="1">
      <c r="A6535" t="inlineStr">
        <is>
          <t>A 4637-2025</t>
        </is>
      </c>
      <c r="B6535" s="1" t="n">
        <v>45687</v>
      </c>
      <c r="C6535" s="1" t="n">
        <v>45705</v>
      </c>
      <c r="D6535" t="inlineStr">
        <is>
          <t>UPPSALA LÄN</t>
        </is>
      </c>
      <c r="E6535" t="inlineStr">
        <is>
          <t>ÖSTHAMMAR</t>
        </is>
      </c>
      <c r="F6535" t="inlineStr">
        <is>
          <t>Övriga Aktiebolag</t>
        </is>
      </c>
      <c r="G6535" t="n">
        <v>3.9</v>
      </c>
      <c r="H6535" t="n">
        <v>0</v>
      </c>
      <c r="I6535" t="n">
        <v>0</v>
      </c>
      <c r="J6535" t="n">
        <v>0</v>
      </c>
      <c r="K6535" t="n">
        <v>0</v>
      </c>
      <c r="L6535" t="n">
        <v>0</v>
      </c>
      <c r="M6535" t="n">
        <v>0</v>
      </c>
      <c r="N6535" t="n">
        <v>0</v>
      </c>
      <c r="O6535" t="n">
        <v>0</v>
      </c>
      <c r="P6535" t="n">
        <v>0</v>
      </c>
      <c r="Q6535" t="n">
        <v>0</v>
      </c>
      <c r="R6535" s="2" t="inlineStr"/>
    </row>
    <row r="6536" ht="15" customHeight="1">
      <c r="A6536" t="inlineStr">
        <is>
          <t>A 4641-2025</t>
        </is>
      </c>
      <c r="B6536" s="1" t="n">
        <v>45687</v>
      </c>
      <c r="C6536" s="1" t="n">
        <v>45705</v>
      </c>
      <c r="D6536" t="inlineStr">
        <is>
          <t>UPPSALA LÄN</t>
        </is>
      </c>
      <c r="E6536" t="inlineStr">
        <is>
          <t>ÖSTHAMMAR</t>
        </is>
      </c>
      <c r="F6536" t="inlineStr">
        <is>
          <t>Övriga Aktiebolag</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4676-2025</t>
        </is>
      </c>
      <c r="B6537" s="1" t="n">
        <v>45687</v>
      </c>
      <c r="C6537" s="1" t="n">
        <v>45705</v>
      </c>
      <c r="D6537" t="inlineStr">
        <is>
          <t>UPPSALA LÄN</t>
        </is>
      </c>
      <c r="E6537" t="inlineStr">
        <is>
          <t>ÖSTHAMMAR</t>
        </is>
      </c>
      <c r="G6537" t="n">
        <v>3.7</v>
      </c>
      <c r="H6537" t="n">
        <v>0</v>
      </c>
      <c r="I6537" t="n">
        <v>0</v>
      </c>
      <c r="J6537" t="n">
        <v>0</v>
      </c>
      <c r="K6537" t="n">
        <v>0</v>
      </c>
      <c r="L6537" t="n">
        <v>0</v>
      </c>
      <c r="M6537" t="n">
        <v>0</v>
      </c>
      <c r="N6537" t="n">
        <v>0</v>
      </c>
      <c r="O6537" t="n">
        <v>0</v>
      </c>
      <c r="P6537" t="n">
        <v>0</v>
      </c>
      <c r="Q6537" t="n">
        <v>0</v>
      </c>
      <c r="R6537" s="2" t="inlineStr"/>
    </row>
    <row r="6538" ht="15" customHeight="1">
      <c r="A6538" t="inlineStr">
        <is>
          <t>A 4735-2025</t>
        </is>
      </c>
      <c r="B6538" s="1" t="n">
        <v>45688</v>
      </c>
      <c r="C6538" s="1" t="n">
        <v>45705</v>
      </c>
      <c r="D6538" t="inlineStr">
        <is>
          <t>UPPSALA LÄN</t>
        </is>
      </c>
      <c r="E6538" t="inlineStr">
        <is>
          <t>HEBY</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4701-2025</t>
        </is>
      </c>
      <c r="B6539" s="1" t="n">
        <v>45688</v>
      </c>
      <c r="C6539" s="1" t="n">
        <v>45705</v>
      </c>
      <c r="D6539" t="inlineStr">
        <is>
          <t>UPPSALA LÄN</t>
        </is>
      </c>
      <c r="E6539" t="inlineStr">
        <is>
          <t>ÖSTHAMMAR</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4737-2025</t>
        </is>
      </c>
      <c r="B6540" s="1" t="n">
        <v>45688</v>
      </c>
      <c r="C6540" s="1" t="n">
        <v>45705</v>
      </c>
      <c r="D6540" t="inlineStr">
        <is>
          <t>UPPSALA LÄN</t>
        </is>
      </c>
      <c r="E6540" t="inlineStr">
        <is>
          <t>HEBY</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4690-2025</t>
        </is>
      </c>
      <c r="B6541" s="1" t="n">
        <v>45688</v>
      </c>
      <c r="C6541" s="1" t="n">
        <v>45705</v>
      </c>
      <c r="D6541" t="inlineStr">
        <is>
          <t>UPPSALA LÄN</t>
        </is>
      </c>
      <c r="E6541" t="inlineStr">
        <is>
          <t>TIERP</t>
        </is>
      </c>
      <c r="F6541" t="inlineStr">
        <is>
          <t>Bergvik skog öst AB</t>
        </is>
      </c>
      <c r="G6541" t="n">
        <v>3.3</v>
      </c>
      <c r="H6541" t="n">
        <v>0</v>
      </c>
      <c r="I6541" t="n">
        <v>0</v>
      </c>
      <c r="J6541" t="n">
        <v>0</v>
      </c>
      <c r="K6541" t="n">
        <v>0</v>
      </c>
      <c r="L6541" t="n">
        <v>0</v>
      </c>
      <c r="M6541" t="n">
        <v>0</v>
      </c>
      <c r="N6541" t="n">
        <v>0</v>
      </c>
      <c r="O6541" t="n">
        <v>0</v>
      </c>
      <c r="P6541" t="n">
        <v>0</v>
      </c>
      <c r="Q6541" t="n">
        <v>0</v>
      </c>
      <c r="R6541" s="2" t="inlineStr"/>
    </row>
    <row r="6542" ht="15" customHeight="1">
      <c r="A6542" t="inlineStr">
        <is>
          <t>A 5013-2025</t>
        </is>
      </c>
      <c r="B6542" s="1" t="n">
        <v>45691</v>
      </c>
      <c r="C6542" s="1" t="n">
        <v>45705</v>
      </c>
      <c r="D6542" t="inlineStr">
        <is>
          <t>UPPSALA LÄN</t>
        </is>
      </c>
      <c r="E6542" t="inlineStr">
        <is>
          <t>ENKÖPING</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4993-2025</t>
        </is>
      </c>
      <c r="B6543" s="1" t="n">
        <v>45691</v>
      </c>
      <c r="C6543" s="1" t="n">
        <v>45705</v>
      </c>
      <c r="D6543" t="inlineStr">
        <is>
          <t>UPPSALA LÄN</t>
        </is>
      </c>
      <c r="E6543" t="inlineStr">
        <is>
          <t>UPPSALA</t>
        </is>
      </c>
      <c r="F6543" t="inlineStr">
        <is>
          <t>Kyrkan</t>
        </is>
      </c>
      <c r="G6543" t="n">
        <v>6.7</v>
      </c>
      <c r="H6543" t="n">
        <v>0</v>
      </c>
      <c r="I6543" t="n">
        <v>0</v>
      </c>
      <c r="J6543" t="n">
        <v>0</v>
      </c>
      <c r="K6543" t="n">
        <v>0</v>
      </c>
      <c r="L6543" t="n">
        <v>0</v>
      </c>
      <c r="M6543" t="n">
        <v>0</v>
      </c>
      <c r="N6543" t="n">
        <v>0</v>
      </c>
      <c r="O6543" t="n">
        <v>0</v>
      </c>
      <c r="P6543" t="n">
        <v>0</v>
      </c>
      <c r="Q6543" t="n">
        <v>0</v>
      </c>
      <c r="R6543" s="2" t="inlineStr"/>
    </row>
    <row r="6544" ht="15" customHeight="1">
      <c r="A6544" t="inlineStr">
        <is>
          <t>A 5188-2025</t>
        </is>
      </c>
      <c r="B6544" s="1" t="n">
        <v>45691</v>
      </c>
      <c r="C6544" s="1" t="n">
        <v>45705</v>
      </c>
      <c r="D6544" t="inlineStr">
        <is>
          <t>UPPSALA LÄN</t>
        </is>
      </c>
      <c r="E6544" t="inlineStr">
        <is>
          <t>ÖSTHAMMAR</t>
        </is>
      </c>
      <c r="F6544" t="inlineStr">
        <is>
          <t>Bergvik skog öst AB</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5215-2025</t>
        </is>
      </c>
      <c r="B6545" s="1" t="n">
        <v>45691</v>
      </c>
      <c r="C6545" s="1" t="n">
        <v>45705</v>
      </c>
      <c r="D6545" t="inlineStr">
        <is>
          <t>UPPSALA LÄN</t>
        </is>
      </c>
      <c r="E6545" t="inlineStr">
        <is>
          <t>ÖSTHAMMAR</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5068-2025</t>
        </is>
      </c>
      <c r="B6546" s="1" t="n">
        <v>45691</v>
      </c>
      <c r="C6546" s="1" t="n">
        <v>45705</v>
      </c>
      <c r="D6546" t="inlineStr">
        <is>
          <t>UPPSALA LÄN</t>
        </is>
      </c>
      <c r="E6546" t="inlineStr">
        <is>
          <t>UPPSALA</t>
        </is>
      </c>
      <c r="G6546" t="n">
        <v>5.9</v>
      </c>
      <c r="H6546" t="n">
        <v>0</v>
      </c>
      <c r="I6546" t="n">
        <v>0</v>
      </c>
      <c r="J6546" t="n">
        <v>0</v>
      </c>
      <c r="K6546" t="n">
        <v>0</v>
      </c>
      <c r="L6546" t="n">
        <v>0</v>
      </c>
      <c r="M6546" t="n">
        <v>0</v>
      </c>
      <c r="N6546" t="n">
        <v>0</v>
      </c>
      <c r="O6546" t="n">
        <v>0</v>
      </c>
      <c r="P6546" t="n">
        <v>0</v>
      </c>
      <c r="Q6546" t="n">
        <v>0</v>
      </c>
      <c r="R6546" s="2" t="inlineStr"/>
    </row>
    <row r="6547" ht="15" customHeight="1">
      <c r="A6547" t="inlineStr">
        <is>
          <t>A 5076-2025</t>
        </is>
      </c>
      <c r="B6547" s="1" t="n">
        <v>45691</v>
      </c>
      <c r="C6547" s="1" t="n">
        <v>45705</v>
      </c>
      <c r="D6547" t="inlineStr">
        <is>
          <t>UPPSALA LÄN</t>
        </is>
      </c>
      <c r="E6547" t="inlineStr">
        <is>
          <t>ÖSTHAMMAR</t>
        </is>
      </c>
      <c r="G6547" t="n">
        <v>5.8</v>
      </c>
      <c r="H6547" t="n">
        <v>0</v>
      </c>
      <c r="I6547" t="n">
        <v>0</v>
      </c>
      <c r="J6547" t="n">
        <v>0</v>
      </c>
      <c r="K6547" t="n">
        <v>0</v>
      </c>
      <c r="L6547" t="n">
        <v>0</v>
      </c>
      <c r="M6547" t="n">
        <v>0</v>
      </c>
      <c r="N6547" t="n">
        <v>0</v>
      </c>
      <c r="O6547" t="n">
        <v>0</v>
      </c>
      <c r="P6547" t="n">
        <v>0</v>
      </c>
      <c r="Q6547" t="n">
        <v>0</v>
      </c>
      <c r="R6547" s="2" t="inlineStr"/>
    </row>
    <row r="6548" ht="15" customHeight="1">
      <c r="A6548" t="inlineStr">
        <is>
          <t>A 5189-2025</t>
        </is>
      </c>
      <c r="B6548" s="1" t="n">
        <v>45691</v>
      </c>
      <c r="C6548" s="1" t="n">
        <v>45705</v>
      </c>
      <c r="D6548" t="inlineStr">
        <is>
          <t>UPPSALA LÄN</t>
        </is>
      </c>
      <c r="E6548" t="inlineStr">
        <is>
          <t>ÖSTHAMMAR</t>
        </is>
      </c>
      <c r="F6548" t="inlineStr">
        <is>
          <t>Bergvik skog öst AB</t>
        </is>
      </c>
      <c r="G6548" t="n">
        <v>24.4</v>
      </c>
      <c r="H6548" t="n">
        <v>0</v>
      </c>
      <c r="I6548" t="n">
        <v>0</v>
      </c>
      <c r="J6548" t="n">
        <v>0</v>
      </c>
      <c r="K6548" t="n">
        <v>0</v>
      </c>
      <c r="L6548" t="n">
        <v>0</v>
      </c>
      <c r="M6548" t="n">
        <v>0</v>
      </c>
      <c r="N6548" t="n">
        <v>0</v>
      </c>
      <c r="O6548" t="n">
        <v>0</v>
      </c>
      <c r="P6548" t="n">
        <v>0</v>
      </c>
      <c r="Q6548" t="n">
        <v>0</v>
      </c>
      <c r="R6548" s="2" t="inlineStr"/>
    </row>
    <row r="6549" ht="15" customHeight="1">
      <c r="A6549" t="inlineStr">
        <is>
          <t>A 5204-2025</t>
        </is>
      </c>
      <c r="B6549" s="1" t="n">
        <v>45691</v>
      </c>
      <c r="C6549" s="1" t="n">
        <v>45705</v>
      </c>
      <c r="D6549" t="inlineStr">
        <is>
          <t>UPPSALA LÄN</t>
        </is>
      </c>
      <c r="E6549" t="inlineStr">
        <is>
          <t>UPPSALA</t>
        </is>
      </c>
      <c r="G6549" t="n">
        <v>3.7</v>
      </c>
      <c r="H6549" t="n">
        <v>0</v>
      </c>
      <c r="I6549" t="n">
        <v>0</v>
      </c>
      <c r="J6549" t="n">
        <v>0</v>
      </c>
      <c r="K6549" t="n">
        <v>0</v>
      </c>
      <c r="L6549" t="n">
        <v>0</v>
      </c>
      <c r="M6549" t="n">
        <v>0</v>
      </c>
      <c r="N6549" t="n">
        <v>0</v>
      </c>
      <c r="O6549" t="n">
        <v>0</v>
      </c>
      <c r="P6549" t="n">
        <v>0</v>
      </c>
      <c r="Q6549" t="n">
        <v>0</v>
      </c>
      <c r="R6549" s="2" t="inlineStr"/>
    </row>
    <row r="6550" ht="15" customHeight="1">
      <c r="A6550" t="inlineStr">
        <is>
          <t>A 5253-2025</t>
        </is>
      </c>
      <c r="B6550" s="1" t="n">
        <v>45692</v>
      </c>
      <c r="C6550" s="1" t="n">
        <v>45705</v>
      </c>
      <c r="D6550" t="inlineStr">
        <is>
          <t>UPPSALA LÄN</t>
        </is>
      </c>
      <c r="E6550" t="inlineStr">
        <is>
          <t>TIERP</t>
        </is>
      </c>
      <c r="F6550" t="inlineStr">
        <is>
          <t>Bergvik skog öst AB</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5261-2025</t>
        </is>
      </c>
      <c r="B6551" s="1" t="n">
        <v>45692</v>
      </c>
      <c r="C6551" s="1" t="n">
        <v>45705</v>
      </c>
      <c r="D6551" t="inlineStr">
        <is>
          <t>UPPSALA LÄN</t>
        </is>
      </c>
      <c r="E6551" t="inlineStr">
        <is>
          <t>ÖSTHAMMAR</t>
        </is>
      </c>
      <c r="F6551" t="inlineStr">
        <is>
          <t>Övriga Aktiebolag</t>
        </is>
      </c>
      <c r="G6551" t="n">
        <v>12.4</v>
      </c>
      <c r="H6551" t="n">
        <v>0</v>
      </c>
      <c r="I6551" t="n">
        <v>0</v>
      </c>
      <c r="J6551" t="n">
        <v>0</v>
      </c>
      <c r="K6551" t="n">
        <v>0</v>
      </c>
      <c r="L6551" t="n">
        <v>0</v>
      </c>
      <c r="M6551" t="n">
        <v>0</v>
      </c>
      <c r="N6551" t="n">
        <v>0</v>
      </c>
      <c r="O6551" t="n">
        <v>0</v>
      </c>
      <c r="P6551" t="n">
        <v>0</v>
      </c>
      <c r="Q6551" t="n">
        <v>0</v>
      </c>
      <c r="R6551" s="2" t="inlineStr"/>
    </row>
    <row r="6552" ht="15" customHeight="1">
      <c r="A6552" t="inlineStr">
        <is>
          <t>A 5254-2025</t>
        </is>
      </c>
      <c r="B6552" s="1" t="n">
        <v>45692</v>
      </c>
      <c r="C6552" s="1" t="n">
        <v>45705</v>
      </c>
      <c r="D6552" t="inlineStr">
        <is>
          <t>UPPSALA LÄN</t>
        </is>
      </c>
      <c r="E6552" t="inlineStr">
        <is>
          <t>ÖSTHAMMAR</t>
        </is>
      </c>
      <c r="G6552" t="n">
        <v>5</v>
      </c>
      <c r="H6552" t="n">
        <v>0</v>
      </c>
      <c r="I6552" t="n">
        <v>0</v>
      </c>
      <c r="J6552" t="n">
        <v>0</v>
      </c>
      <c r="K6552" t="n">
        <v>0</v>
      </c>
      <c r="L6552" t="n">
        <v>0</v>
      </c>
      <c r="M6552" t="n">
        <v>0</v>
      </c>
      <c r="N6552" t="n">
        <v>0</v>
      </c>
      <c r="O6552" t="n">
        <v>0</v>
      </c>
      <c r="P6552" t="n">
        <v>0</v>
      </c>
      <c r="Q6552" t="n">
        <v>0</v>
      </c>
      <c r="R6552" s="2" t="inlineStr"/>
    </row>
    <row r="6553" ht="15" customHeight="1">
      <c r="A6553" t="inlineStr">
        <is>
          <t>A 5373-2025</t>
        </is>
      </c>
      <c r="B6553" s="1" t="n">
        <v>45692</v>
      </c>
      <c r="C6553" s="1" t="n">
        <v>45705</v>
      </c>
      <c r="D6553" t="inlineStr">
        <is>
          <t>UPPSALA LÄN</t>
        </is>
      </c>
      <c r="E6553" t="inlineStr">
        <is>
          <t>UPPSALA</t>
        </is>
      </c>
      <c r="G6553" t="n">
        <v>8.5</v>
      </c>
      <c r="H6553" t="n">
        <v>0</v>
      </c>
      <c r="I6553" t="n">
        <v>0</v>
      </c>
      <c r="J6553" t="n">
        <v>0</v>
      </c>
      <c r="K6553" t="n">
        <v>0</v>
      </c>
      <c r="L6553" t="n">
        <v>0</v>
      </c>
      <c r="M6553" t="n">
        <v>0</v>
      </c>
      <c r="N6553" t="n">
        <v>0</v>
      </c>
      <c r="O6553" t="n">
        <v>0</v>
      </c>
      <c r="P6553" t="n">
        <v>0</v>
      </c>
      <c r="Q6553" t="n">
        <v>0</v>
      </c>
      <c r="R6553" s="2" t="inlineStr"/>
    </row>
    <row r="6554" ht="15" customHeight="1">
      <c r="A6554" t="inlineStr">
        <is>
          <t>A 5303-2025</t>
        </is>
      </c>
      <c r="B6554" s="1" t="n">
        <v>45692</v>
      </c>
      <c r="C6554" s="1" t="n">
        <v>45705</v>
      </c>
      <c r="D6554" t="inlineStr">
        <is>
          <t>UPPSALA LÄN</t>
        </is>
      </c>
      <c r="E6554" t="inlineStr">
        <is>
          <t>ÖSTHAMMAR</t>
        </is>
      </c>
      <c r="G6554" t="n">
        <v>5</v>
      </c>
      <c r="H6554" t="n">
        <v>0</v>
      </c>
      <c r="I6554" t="n">
        <v>0</v>
      </c>
      <c r="J6554" t="n">
        <v>0</v>
      </c>
      <c r="K6554" t="n">
        <v>0</v>
      </c>
      <c r="L6554" t="n">
        <v>0</v>
      </c>
      <c r="M6554" t="n">
        <v>0</v>
      </c>
      <c r="N6554" t="n">
        <v>0</v>
      </c>
      <c r="O6554" t="n">
        <v>0</v>
      </c>
      <c r="P6554" t="n">
        <v>0</v>
      </c>
      <c r="Q6554" t="n">
        <v>0</v>
      </c>
      <c r="R6554" s="2" t="inlineStr"/>
    </row>
    <row r="6555" ht="15" customHeight="1">
      <c r="A6555" t="inlineStr">
        <is>
          <t>A 5344-2025</t>
        </is>
      </c>
      <c r="B6555" s="1" t="n">
        <v>45692</v>
      </c>
      <c r="C6555" s="1" t="n">
        <v>45705</v>
      </c>
      <c r="D6555" t="inlineStr">
        <is>
          <t>UPPSALA LÄN</t>
        </is>
      </c>
      <c r="E6555" t="inlineStr">
        <is>
          <t>ÖSTHAMMAR</t>
        </is>
      </c>
      <c r="F6555" t="inlineStr">
        <is>
          <t>Bergvik skog öst AB</t>
        </is>
      </c>
      <c r="G6555" t="n">
        <v>3.2</v>
      </c>
      <c r="H6555" t="n">
        <v>0</v>
      </c>
      <c r="I6555" t="n">
        <v>0</v>
      </c>
      <c r="J6555" t="n">
        <v>0</v>
      </c>
      <c r="K6555" t="n">
        <v>0</v>
      </c>
      <c r="L6555" t="n">
        <v>0</v>
      </c>
      <c r="M6555" t="n">
        <v>0</v>
      </c>
      <c r="N6555" t="n">
        <v>0</v>
      </c>
      <c r="O6555" t="n">
        <v>0</v>
      </c>
      <c r="P6555" t="n">
        <v>0</v>
      </c>
      <c r="Q6555" t="n">
        <v>0</v>
      </c>
      <c r="R6555" s="2" t="inlineStr"/>
    </row>
    <row r="6556" ht="15" customHeight="1">
      <c r="A6556" t="inlineStr">
        <is>
          <t>A 5371-2025</t>
        </is>
      </c>
      <c r="B6556" s="1" t="n">
        <v>45692</v>
      </c>
      <c r="C6556" s="1" t="n">
        <v>45705</v>
      </c>
      <c r="D6556" t="inlineStr">
        <is>
          <t>UPPSALA LÄN</t>
        </is>
      </c>
      <c r="E6556" t="inlineStr">
        <is>
          <t>UPPSALA</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5455-2025</t>
        </is>
      </c>
      <c r="B6557" s="1" t="n">
        <v>45693</v>
      </c>
      <c r="C6557" s="1" t="n">
        <v>45705</v>
      </c>
      <c r="D6557" t="inlineStr">
        <is>
          <t>UPPSALA LÄN</t>
        </is>
      </c>
      <c r="E6557" t="inlineStr">
        <is>
          <t>KNIVSTA</t>
        </is>
      </c>
      <c r="G6557" t="n">
        <v>17.1</v>
      </c>
      <c r="H6557" t="n">
        <v>0</v>
      </c>
      <c r="I6557" t="n">
        <v>0</v>
      </c>
      <c r="J6557" t="n">
        <v>0</v>
      </c>
      <c r="K6557" t="n">
        <v>0</v>
      </c>
      <c r="L6557" t="n">
        <v>0</v>
      </c>
      <c r="M6557" t="n">
        <v>0</v>
      </c>
      <c r="N6557" t="n">
        <v>0</v>
      </c>
      <c r="O6557" t="n">
        <v>0</v>
      </c>
      <c r="P6557" t="n">
        <v>0</v>
      </c>
      <c r="Q6557" t="n">
        <v>0</v>
      </c>
      <c r="R6557" s="2" t="inlineStr"/>
    </row>
    <row r="6558" ht="15" customHeight="1">
      <c r="A6558" t="inlineStr">
        <is>
          <t>A 5624-2025</t>
        </is>
      </c>
      <c r="B6558" s="1" t="n">
        <v>45693</v>
      </c>
      <c r="C6558" s="1" t="n">
        <v>45705</v>
      </c>
      <c r="D6558" t="inlineStr">
        <is>
          <t>UPPSALA LÄN</t>
        </is>
      </c>
      <c r="E6558" t="inlineStr">
        <is>
          <t>UPPSALA</t>
        </is>
      </c>
      <c r="G6558" t="n">
        <v>6.1</v>
      </c>
      <c r="H6558" t="n">
        <v>0</v>
      </c>
      <c r="I6558" t="n">
        <v>0</v>
      </c>
      <c r="J6558" t="n">
        <v>0</v>
      </c>
      <c r="K6558" t="n">
        <v>0</v>
      </c>
      <c r="L6558" t="n">
        <v>0</v>
      </c>
      <c r="M6558" t="n">
        <v>0</v>
      </c>
      <c r="N6558" t="n">
        <v>0</v>
      </c>
      <c r="O6558" t="n">
        <v>0</v>
      </c>
      <c r="P6558" t="n">
        <v>0</v>
      </c>
      <c r="Q6558" t="n">
        <v>0</v>
      </c>
      <c r="R6558" s="2" t="inlineStr"/>
    </row>
    <row r="6559" ht="15" customHeight="1">
      <c r="A6559" t="inlineStr">
        <is>
          <t>A 5628-2025</t>
        </is>
      </c>
      <c r="B6559" s="1" t="n">
        <v>45693</v>
      </c>
      <c r="C6559" s="1" t="n">
        <v>45705</v>
      </c>
      <c r="D6559" t="inlineStr">
        <is>
          <t>UPPSALA LÄN</t>
        </is>
      </c>
      <c r="E6559" t="inlineStr">
        <is>
          <t>UPPSALA</t>
        </is>
      </c>
      <c r="F6559" t="inlineStr">
        <is>
          <t>Bergvik skog öst AB</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5511-2025</t>
        </is>
      </c>
      <c r="B6560" s="1" t="n">
        <v>45693</v>
      </c>
      <c r="C6560" s="1" t="n">
        <v>45705</v>
      </c>
      <c r="D6560" t="inlineStr">
        <is>
          <t>UPPSALA LÄN</t>
        </is>
      </c>
      <c r="E6560" t="inlineStr">
        <is>
          <t>ÖSTHAMMAR</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5605-2025</t>
        </is>
      </c>
      <c r="B6561" s="1" t="n">
        <v>45693</v>
      </c>
      <c r="C6561" s="1" t="n">
        <v>45705</v>
      </c>
      <c r="D6561" t="inlineStr">
        <is>
          <t>UPPSALA LÄN</t>
        </is>
      </c>
      <c r="E6561" t="inlineStr">
        <is>
          <t>UPPSALA</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5625-2025</t>
        </is>
      </c>
      <c r="B6562" s="1" t="n">
        <v>45693</v>
      </c>
      <c r="C6562" s="1" t="n">
        <v>45705</v>
      </c>
      <c r="D6562" t="inlineStr">
        <is>
          <t>UPPSALA LÄN</t>
        </is>
      </c>
      <c r="E6562" t="inlineStr">
        <is>
          <t>HEBY</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5633-2025</t>
        </is>
      </c>
      <c r="B6563" s="1" t="n">
        <v>45693</v>
      </c>
      <c r="C6563" s="1" t="n">
        <v>45705</v>
      </c>
      <c r="D6563" t="inlineStr">
        <is>
          <t>UPPSALA LÄN</t>
        </is>
      </c>
      <c r="E6563" t="inlineStr">
        <is>
          <t>HEBY</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5577-2025</t>
        </is>
      </c>
      <c r="B6564" s="1" t="n">
        <v>45693</v>
      </c>
      <c r="C6564" s="1" t="n">
        <v>45705</v>
      </c>
      <c r="D6564" t="inlineStr">
        <is>
          <t>UPPSALA LÄN</t>
        </is>
      </c>
      <c r="E6564" t="inlineStr">
        <is>
          <t>TIERP</t>
        </is>
      </c>
      <c r="F6564" t="inlineStr">
        <is>
          <t>Bergvik skog väst AB</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6971-2025</t>
        </is>
      </c>
      <c r="B6565" s="1" t="n">
        <v>45693</v>
      </c>
      <c r="C6565" s="1" t="n">
        <v>45705</v>
      </c>
      <c r="D6565" t="inlineStr">
        <is>
          <t>UPPSALA LÄN</t>
        </is>
      </c>
      <c r="E6565" t="inlineStr">
        <is>
          <t>UPPSALA</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6988-2025</t>
        </is>
      </c>
      <c r="B6566" s="1" t="n">
        <v>45693</v>
      </c>
      <c r="C6566" s="1" t="n">
        <v>45705</v>
      </c>
      <c r="D6566" t="inlineStr">
        <is>
          <t>UPPSALA LÄN</t>
        </is>
      </c>
      <c r="E6566" t="inlineStr">
        <is>
          <t>UPPSALA</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6973-2025</t>
        </is>
      </c>
      <c r="B6567" s="1" t="n">
        <v>45693</v>
      </c>
      <c r="C6567" s="1" t="n">
        <v>45705</v>
      </c>
      <c r="D6567" t="inlineStr">
        <is>
          <t>UPPSALA LÄN</t>
        </is>
      </c>
      <c r="E6567" t="inlineStr">
        <is>
          <t>UPPSALA</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6970-2025</t>
        </is>
      </c>
      <c r="B6568" s="1" t="n">
        <v>45693</v>
      </c>
      <c r="C6568" s="1" t="n">
        <v>45705</v>
      </c>
      <c r="D6568" t="inlineStr">
        <is>
          <t>UPPSALA LÄN</t>
        </is>
      </c>
      <c r="E6568" t="inlineStr">
        <is>
          <t>UPPSALA</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5725-2025</t>
        </is>
      </c>
      <c r="B6569" s="1" t="n">
        <v>45694</v>
      </c>
      <c r="C6569" s="1" t="n">
        <v>45705</v>
      </c>
      <c r="D6569" t="inlineStr">
        <is>
          <t>UPPSALA LÄN</t>
        </is>
      </c>
      <c r="E6569" t="inlineStr">
        <is>
          <t>UPPSALA</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5729-2025</t>
        </is>
      </c>
      <c r="B6570" s="1" t="n">
        <v>45694</v>
      </c>
      <c r="C6570" s="1" t="n">
        <v>45705</v>
      </c>
      <c r="D6570" t="inlineStr">
        <is>
          <t>UPPSALA LÄN</t>
        </is>
      </c>
      <c r="E6570" t="inlineStr">
        <is>
          <t>UPPSALA</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5722-2025</t>
        </is>
      </c>
      <c r="B6571" s="1" t="n">
        <v>45694</v>
      </c>
      <c r="C6571" s="1" t="n">
        <v>45705</v>
      </c>
      <c r="D6571" t="inlineStr">
        <is>
          <t>UPPSALA LÄN</t>
        </is>
      </c>
      <c r="E6571" t="inlineStr">
        <is>
          <t>UPPSALA</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5730-2025</t>
        </is>
      </c>
      <c r="B6572" s="1" t="n">
        <v>45694</v>
      </c>
      <c r="C6572" s="1" t="n">
        <v>45705</v>
      </c>
      <c r="D6572" t="inlineStr">
        <is>
          <t>UPPSALA LÄN</t>
        </is>
      </c>
      <c r="E6572" t="inlineStr">
        <is>
          <t>UPPSALA</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5719-2025</t>
        </is>
      </c>
      <c r="B6573" s="1" t="n">
        <v>45694</v>
      </c>
      <c r="C6573" s="1" t="n">
        <v>45705</v>
      </c>
      <c r="D6573" t="inlineStr">
        <is>
          <t>UPPSALA LÄN</t>
        </is>
      </c>
      <c r="E6573" t="inlineStr">
        <is>
          <t>UPPSALA</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5764-2025</t>
        </is>
      </c>
      <c r="B6574" s="1" t="n">
        <v>45694</v>
      </c>
      <c r="C6574" s="1" t="n">
        <v>45705</v>
      </c>
      <c r="D6574" t="inlineStr">
        <is>
          <t>UPPSALA LÄN</t>
        </is>
      </c>
      <c r="E6574" t="inlineStr">
        <is>
          <t>UPPSALA</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5671-2025</t>
        </is>
      </c>
      <c r="B6575" s="1" t="n">
        <v>45694</v>
      </c>
      <c r="C6575" s="1" t="n">
        <v>45705</v>
      </c>
      <c r="D6575" t="inlineStr">
        <is>
          <t>UPPSALA LÄN</t>
        </is>
      </c>
      <c r="E6575" t="inlineStr">
        <is>
          <t>UPPSALA</t>
        </is>
      </c>
      <c r="F6575" t="inlineStr">
        <is>
          <t>Bergvik skog öst AB</t>
        </is>
      </c>
      <c r="G6575" t="n">
        <v>4.7</v>
      </c>
      <c r="H6575" t="n">
        <v>0</v>
      </c>
      <c r="I6575" t="n">
        <v>0</v>
      </c>
      <c r="J6575" t="n">
        <v>0</v>
      </c>
      <c r="K6575" t="n">
        <v>0</v>
      </c>
      <c r="L6575" t="n">
        <v>0</v>
      </c>
      <c r="M6575" t="n">
        <v>0</v>
      </c>
      <c r="N6575" t="n">
        <v>0</v>
      </c>
      <c r="O6575" t="n">
        <v>0</v>
      </c>
      <c r="P6575" t="n">
        <v>0</v>
      </c>
      <c r="Q6575" t="n">
        <v>0</v>
      </c>
      <c r="R6575" s="2" t="inlineStr"/>
    </row>
    <row r="6576" ht="15" customHeight="1">
      <c r="A6576" t="inlineStr">
        <is>
          <t>A 5699-2025</t>
        </is>
      </c>
      <c r="B6576" s="1" t="n">
        <v>45694</v>
      </c>
      <c r="C6576" s="1" t="n">
        <v>45705</v>
      </c>
      <c r="D6576" t="inlineStr">
        <is>
          <t>UPPSALA LÄN</t>
        </is>
      </c>
      <c r="E6576" t="inlineStr">
        <is>
          <t>ENKÖPING</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5712-2025</t>
        </is>
      </c>
      <c r="B6577" s="1" t="n">
        <v>45694</v>
      </c>
      <c r="C6577" s="1" t="n">
        <v>45705</v>
      </c>
      <c r="D6577" t="inlineStr">
        <is>
          <t>UPPSALA LÄN</t>
        </is>
      </c>
      <c r="E6577" t="inlineStr">
        <is>
          <t>ENKÖPING</t>
        </is>
      </c>
      <c r="G6577" t="n">
        <v>5.1</v>
      </c>
      <c r="H6577" t="n">
        <v>0</v>
      </c>
      <c r="I6577" t="n">
        <v>0</v>
      </c>
      <c r="J6577" t="n">
        <v>0</v>
      </c>
      <c r="K6577" t="n">
        <v>0</v>
      </c>
      <c r="L6577" t="n">
        <v>0</v>
      </c>
      <c r="M6577" t="n">
        <v>0</v>
      </c>
      <c r="N6577" t="n">
        <v>0</v>
      </c>
      <c r="O6577" t="n">
        <v>0</v>
      </c>
      <c r="P6577" t="n">
        <v>0</v>
      </c>
      <c r="Q6577" t="n">
        <v>0</v>
      </c>
      <c r="R6577" s="2" t="inlineStr"/>
    </row>
    <row r="6578" ht="15" customHeight="1">
      <c r="A6578" t="inlineStr">
        <is>
          <t>A 5749-2025</t>
        </is>
      </c>
      <c r="B6578" s="1" t="n">
        <v>45694</v>
      </c>
      <c r="C6578" s="1" t="n">
        <v>45705</v>
      </c>
      <c r="D6578" t="inlineStr">
        <is>
          <t>UPPSALA LÄN</t>
        </is>
      </c>
      <c r="E6578" t="inlineStr">
        <is>
          <t>ENKÖPING</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5786-2025</t>
        </is>
      </c>
      <c r="B6579" s="1" t="n">
        <v>45694</v>
      </c>
      <c r="C6579" s="1" t="n">
        <v>45705</v>
      </c>
      <c r="D6579" t="inlineStr">
        <is>
          <t>UPPSALA LÄN</t>
        </is>
      </c>
      <c r="E6579" t="inlineStr">
        <is>
          <t>TIERP</t>
        </is>
      </c>
      <c r="F6579" t="inlineStr">
        <is>
          <t>Bergvik skog öst AB</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5791-2025</t>
        </is>
      </c>
      <c r="B6580" s="1" t="n">
        <v>45694</v>
      </c>
      <c r="C6580" s="1" t="n">
        <v>45705</v>
      </c>
      <c r="D6580" t="inlineStr">
        <is>
          <t>UPPSALA LÄN</t>
        </is>
      </c>
      <c r="E6580" t="inlineStr">
        <is>
          <t>TIERP</t>
        </is>
      </c>
      <c r="F6580" t="inlineStr">
        <is>
          <t>Bergvik skog öst AB</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5854-2025</t>
        </is>
      </c>
      <c r="B6581" s="1" t="n">
        <v>45695</v>
      </c>
      <c r="C6581" s="1" t="n">
        <v>45705</v>
      </c>
      <c r="D6581" t="inlineStr">
        <is>
          <t>UPPSALA LÄN</t>
        </is>
      </c>
      <c r="E6581" t="inlineStr">
        <is>
          <t>TIERP</t>
        </is>
      </c>
      <c r="F6581" t="inlineStr">
        <is>
          <t>Bergvik skog öst AB</t>
        </is>
      </c>
      <c r="G6581" t="n">
        <v>4.5</v>
      </c>
      <c r="H6581" t="n">
        <v>0</v>
      </c>
      <c r="I6581" t="n">
        <v>0</v>
      </c>
      <c r="J6581" t="n">
        <v>0</v>
      </c>
      <c r="K6581" t="n">
        <v>0</v>
      </c>
      <c r="L6581" t="n">
        <v>0</v>
      </c>
      <c r="M6581" t="n">
        <v>0</v>
      </c>
      <c r="N6581" t="n">
        <v>0</v>
      </c>
      <c r="O6581" t="n">
        <v>0</v>
      </c>
      <c r="P6581" t="n">
        <v>0</v>
      </c>
      <c r="Q6581" t="n">
        <v>0</v>
      </c>
      <c r="R6581" s="2" t="inlineStr"/>
    </row>
    <row r="6582" ht="15" customHeight="1">
      <c r="A6582" t="inlineStr">
        <is>
          <t>A 5962-2025</t>
        </is>
      </c>
      <c r="B6582" s="1" t="n">
        <v>45695</v>
      </c>
      <c r="C6582" s="1" t="n">
        <v>45705</v>
      </c>
      <c r="D6582" t="inlineStr">
        <is>
          <t>UPPSALA LÄN</t>
        </is>
      </c>
      <c r="E6582" t="inlineStr">
        <is>
          <t>ÖSTHAMMAR</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6046-2025</t>
        </is>
      </c>
      <c r="B6583" s="1" t="n">
        <v>45695</v>
      </c>
      <c r="C6583" s="1" t="n">
        <v>45705</v>
      </c>
      <c r="D6583" t="inlineStr">
        <is>
          <t>UPPSALA LÄN</t>
        </is>
      </c>
      <c r="E6583" t="inlineStr">
        <is>
          <t>ÖSTHAMMAR</t>
        </is>
      </c>
      <c r="G6583" t="n">
        <v>0.8</v>
      </c>
      <c r="H6583" t="n">
        <v>0</v>
      </c>
      <c r="I6583" t="n">
        <v>0</v>
      </c>
      <c r="J6583" t="n">
        <v>0</v>
      </c>
      <c r="K6583" t="n">
        <v>0</v>
      </c>
      <c r="L6583" t="n">
        <v>0</v>
      </c>
      <c r="M6583" t="n">
        <v>0</v>
      </c>
      <c r="N6583" t="n">
        <v>0</v>
      </c>
      <c r="O6583" t="n">
        <v>0</v>
      </c>
      <c r="P6583" t="n">
        <v>0</v>
      </c>
      <c r="Q6583" t="n">
        <v>0</v>
      </c>
      <c r="R6583" s="2" t="inlineStr"/>
      <c r="U6583">
        <f>HYPERLINK("https://klasma.github.io/Logging_0382/knärot/A 6046-2025 karta knärot.png", "A 6046-2025")</f>
        <v/>
      </c>
      <c r="V6583">
        <f>HYPERLINK("https://klasma.github.io/Logging_0382/klagomål/A 6046-2025 FSC-klagomål.docx", "A 6046-2025")</f>
        <v/>
      </c>
      <c r="W6583">
        <f>HYPERLINK("https://klasma.github.io/Logging_0382/klagomålsmail/A 6046-2025 FSC-klagomål mail.docx", "A 6046-2025")</f>
        <v/>
      </c>
      <c r="X6583">
        <f>HYPERLINK("https://klasma.github.io/Logging_0382/tillsyn/A 6046-2025 tillsynsbegäran.docx", "A 6046-2025")</f>
        <v/>
      </c>
      <c r="Y6583">
        <f>HYPERLINK("https://klasma.github.io/Logging_0382/tillsynsmail/A 6046-2025 tillsynsbegäran mail.docx", "A 6046-2025")</f>
        <v/>
      </c>
    </row>
    <row r="6584" ht="15" customHeight="1">
      <c r="A6584" t="inlineStr">
        <is>
          <t>A 6059-2025</t>
        </is>
      </c>
      <c r="B6584" s="1" t="n">
        <v>45695</v>
      </c>
      <c r="C6584" s="1" t="n">
        <v>45705</v>
      </c>
      <c r="D6584" t="inlineStr">
        <is>
          <t>UPPSALA LÄN</t>
        </is>
      </c>
      <c r="E6584" t="inlineStr">
        <is>
          <t>UPPSALA</t>
        </is>
      </c>
      <c r="F6584" t="inlineStr">
        <is>
          <t>Bergvik skog öst AB</t>
        </is>
      </c>
      <c r="G6584" t="n">
        <v>0.4</v>
      </c>
      <c r="H6584" t="n">
        <v>0</v>
      </c>
      <c r="I6584" t="n">
        <v>0</v>
      </c>
      <c r="J6584" t="n">
        <v>0</v>
      </c>
      <c r="K6584" t="n">
        <v>0</v>
      </c>
      <c r="L6584" t="n">
        <v>0</v>
      </c>
      <c r="M6584" t="n">
        <v>0</v>
      </c>
      <c r="N6584" t="n">
        <v>0</v>
      </c>
      <c r="O6584" t="n">
        <v>0</v>
      </c>
      <c r="P6584" t="n">
        <v>0</v>
      </c>
      <c r="Q6584" t="n">
        <v>0</v>
      </c>
      <c r="R6584" s="2" t="inlineStr"/>
    </row>
    <row r="6585" ht="15" customHeight="1">
      <c r="A6585" t="inlineStr">
        <is>
          <t>A 5925-2025</t>
        </is>
      </c>
      <c r="B6585" s="1" t="n">
        <v>45695</v>
      </c>
      <c r="C6585" s="1" t="n">
        <v>45705</v>
      </c>
      <c r="D6585" t="inlineStr">
        <is>
          <t>UPPSALA LÄN</t>
        </is>
      </c>
      <c r="E6585" t="inlineStr">
        <is>
          <t>UPPSALA</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5957-2025</t>
        </is>
      </c>
      <c r="B6586" s="1" t="n">
        <v>45695</v>
      </c>
      <c r="C6586" s="1" t="n">
        <v>45705</v>
      </c>
      <c r="D6586" t="inlineStr">
        <is>
          <t>UPPSALA LÄN</t>
        </is>
      </c>
      <c r="E6586" t="inlineStr">
        <is>
          <t>ÖSTHAMMAR</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6006-2025</t>
        </is>
      </c>
      <c r="B6587" s="1" t="n">
        <v>45695</v>
      </c>
      <c r="C6587" s="1" t="n">
        <v>45705</v>
      </c>
      <c r="D6587" t="inlineStr">
        <is>
          <t>UPPSALA LÄN</t>
        </is>
      </c>
      <c r="E6587" t="inlineStr">
        <is>
          <t>UPPSALA</t>
        </is>
      </c>
      <c r="F6587" t="inlineStr">
        <is>
          <t>Övriga Aktiebolag</t>
        </is>
      </c>
      <c r="G6587" t="n">
        <v>13.8</v>
      </c>
      <c r="H6587" t="n">
        <v>0</v>
      </c>
      <c r="I6587" t="n">
        <v>0</v>
      </c>
      <c r="J6587" t="n">
        <v>0</v>
      </c>
      <c r="K6587" t="n">
        <v>0</v>
      </c>
      <c r="L6587" t="n">
        <v>0</v>
      </c>
      <c r="M6587" t="n">
        <v>0</v>
      </c>
      <c r="N6587" t="n">
        <v>0</v>
      </c>
      <c r="O6587" t="n">
        <v>0</v>
      </c>
      <c r="P6587" t="n">
        <v>0</v>
      </c>
      <c r="Q6587" t="n">
        <v>0</v>
      </c>
      <c r="R6587" s="2" t="inlineStr"/>
    </row>
    <row r="6588" ht="15" customHeight="1">
      <c r="A6588" t="inlineStr">
        <is>
          <t>A 6058-2025</t>
        </is>
      </c>
      <c r="B6588" s="1" t="n">
        <v>45695</v>
      </c>
      <c r="C6588" s="1" t="n">
        <v>45705</v>
      </c>
      <c r="D6588" t="inlineStr">
        <is>
          <t>UPPSALA LÄN</t>
        </is>
      </c>
      <c r="E6588" t="inlineStr">
        <is>
          <t>UPPSALA</t>
        </is>
      </c>
      <c r="F6588" t="inlineStr">
        <is>
          <t>Bergvik skog öst AB</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6039-2025</t>
        </is>
      </c>
      <c r="B6589" s="1" t="n">
        <v>45695</v>
      </c>
      <c r="C6589" s="1" t="n">
        <v>45705</v>
      </c>
      <c r="D6589" t="inlineStr">
        <is>
          <t>UPPSALA LÄN</t>
        </is>
      </c>
      <c r="E6589" t="inlineStr">
        <is>
          <t>ÖSTHAMMAR</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6048-2025</t>
        </is>
      </c>
      <c r="B6590" s="1" t="n">
        <v>45695</v>
      </c>
      <c r="C6590" s="1" t="n">
        <v>45705</v>
      </c>
      <c r="D6590" t="inlineStr">
        <is>
          <t>UPPSALA LÄN</t>
        </is>
      </c>
      <c r="E6590" t="inlineStr">
        <is>
          <t>ÖSTHAMMAR</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6012-2025</t>
        </is>
      </c>
      <c r="B6591" s="1" t="n">
        <v>45695</v>
      </c>
      <c r="C6591" s="1" t="n">
        <v>45705</v>
      </c>
      <c r="D6591" t="inlineStr">
        <is>
          <t>UPPSALA LÄN</t>
        </is>
      </c>
      <c r="E6591" t="inlineStr">
        <is>
          <t>UPPSALA</t>
        </is>
      </c>
      <c r="F6591" t="inlineStr">
        <is>
          <t>Övriga Aktiebolag</t>
        </is>
      </c>
      <c r="G6591" t="n">
        <v>14.3</v>
      </c>
      <c r="H6591" t="n">
        <v>0</v>
      </c>
      <c r="I6591" t="n">
        <v>0</v>
      </c>
      <c r="J6591" t="n">
        <v>0</v>
      </c>
      <c r="K6591" t="n">
        <v>0</v>
      </c>
      <c r="L6591" t="n">
        <v>0</v>
      </c>
      <c r="M6591" t="n">
        <v>0</v>
      </c>
      <c r="N6591" t="n">
        <v>0</v>
      </c>
      <c r="O6591" t="n">
        <v>0</v>
      </c>
      <c r="P6591" t="n">
        <v>0</v>
      </c>
      <c r="Q6591" t="n">
        <v>0</v>
      </c>
      <c r="R6591" s="2" t="inlineStr"/>
    </row>
    <row r="6592" ht="15" customHeight="1">
      <c r="A6592" t="inlineStr">
        <is>
          <t>A 6060-2025</t>
        </is>
      </c>
      <c r="B6592" s="1" t="n">
        <v>45695</v>
      </c>
      <c r="C6592" s="1" t="n">
        <v>45705</v>
      </c>
      <c r="D6592" t="inlineStr">
        <is>
          <t>UPPSALA LÄN</t>
        </is>
      </c>
      <c r="E6592" t="inlineStr">
        <is>
          <t>UPPSALA</t>
        </is>
      </c>
      <c r="F6592" t="inlineStr">
        <is>
          <t>Bergvik skog öst AB</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6242-2025</t>
        </is>
      </c>
      <c r="B6593" s="1" t="n">
        <v>45697</v>
      </c>
      <c r="C6593" s="1" t="n">
        <v>45705</v>
      </c>
      <c r="D6593" t="inlineStr">
        <is>
          <t>UPPSALA LÄN</t>
        </is>
      </c>
      <c r="E6593" t="inlineStr">
        <is>
          <t>ENKÖPING</t>
        </is>
      </c>
      <c r="G6593" t="n">
        <v>17.9</v>
      </c>
      <c r="H6593" t="n">
        <v>0</v>
      </c>
      <c r="I6593" t="n">
        <v>0</v>
      </c>
      <c r="J6593" t="n">
        <v>0</v>
      </c>
      <c r="K6593" t="n">
        <v>0</v>
      </c>
      <c r="L6593" t="n">
        <v>0</v>
      </c>
      <c r="M6593" t="n">
        <v>0</v>
      </c>
      <c r="N6593" t="n">
        <v>0</v>
      </c>
      <c r="O6593" t="n">
        <v>0</v>
      </c>
      <c r="P6593" t="n">
        <v>0</v>
      </c>
      <c r="Q6593" t="n">
        <v>0</v>
      </c>
      <c r="R6593" s="2" t="inlineStr"/>
    </row>
    <row r="6594" ht="15" customHeight="1">
      <c r="A6594" t="inlineStr">
        <is>
          <t>A 6184-2025</t>
        </is>
      </c>
      <c r="B6594" s="1" t="n">
        <v>45698</v>
      </c>
      <c r="C6594" s="1" t="n">
        <v>45705</v>
      </c>
      <c r="D6594" t="inlineStr">
        <is>
          <t>UPPSALA LÄN</t>
        </is>
      </c>
      <c r="E6594" t="inlineStr">
        <is>
          <t>ÖSTHAMMAR</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6290-2025</t>
        </is>
      </c>
      <c r="B6595" s="1" t="n">
        <v>45698</v>
      </c>
      <c r="C6595" s="1" t="n">
        <v>45705</v>
      </c>
      <c r="D6595" t="inlineStr">
        <is>
          <t>UPPSALA LÄN</t>
        </is>
      </c>
      <c r="E6595" t="inlineStr">
        <is>
          <t>UPPSALA</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6327-2025</t>
        </is>
      </c>
      <c r="B6596" s="1" t="n">
        <v>45698</v>
      </c>
      <c r="C6596" s="1" t="n">
        <v>45705</v>
      </c>
      <c r="D6596" t="inlineStr">
        <is>
          <t>UPPSALA LÄN</t>
        </is>
      </c>
      <c r="E6596" t="inlineStr">
        <is>
          <t>ÖSTHAMMAR</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6325-2025</t>
        </is>
      </c>
      <c r="B6597" s="1" t="n">
        <v>45698</v>
      </c>
      <c r="C6597" s="1" t="n">
        <v>45705</v>
      </c>
      <c r="D6597" t="inlineStr">
        <is>
          <t>UPPSALA LÄN</t>
        </is>
      </c>
      <c r="E6597" t="inlineStr">
        <is>
          <t>ÖSTHAMMAR</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6548-2025</t>
        </is>
      </c>
      <c r="B6598" s="1" t="n">
        <v>45699</v>
      </c>
      <c r="C6598" s="1" t="n">
        <v>45705</v>
      </c>
      <c r="D6598" t="inlineStr">
        <is>
          <t>UPPSALA LÄN</t>
        </is>
      </c>
      <c r="E6598" t="inlineStr">
        <is>
          <t>ÖSTHAMMAR</t>
        </is>
      </c>
      <c r="G6598" t="n">
        <v>3</v>
      </c>
      <c r="H6598" t="n">
        <v>0</v>
      </c>
      <c r="I6598" t="n">
        <v>0</v>
      </c>
      <c r="J6598" t="n">
        <v>0</v>
      </c>
      <c r="K6598" t="n">
        <v>0</v>
      </c>
      <c r="L6598" t="n">
        <v>0</v>
      </c>
      <c r="M6598" t="n">
        <v>0</v>
      </c>
      <c r="N6598" t="n">
        <v>0</v>
      </c>
      <c r="O6598" t="n">
        <v>0</v>
      </c>
      <c r="P6598" t="n">
        <v>0</v>
      </c>
      <c r="Q6598" t="n">
        <v>0</v>
      </c>
      <c r="R6598" s="2" t="inlineStr"/>
    </row>
    <row r="6599" ht="15" customHeight="1">
      <c r="A6599" t="inlineStr">
        <is>
          <t>A 6552-2025</t>
        </is>
      </c>
      <c r="B6599" s="1" t="n">
        <v>45699</v>
      </c>
      <c r="C6599" s="1" t="n">
        <v>45705</v>
      </c>
      <c r="D6599" t="inlineStr">
        <is>
          <t>UPPSALA LÄN</t>
        </is>
      </c>
      <c r="E6599" t="inlineStr">
        <is>
          <t>ÖSTHAMMAR</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6343-2025</t>
        </is>
      </c>
      <c r="B6600" s="1" t="n">
        <v>45699</v>
      </c>
      <c r="C6600" s="1" t="n">
        <v>45705</v>
      </c>
      <c r="D6600" t="inlineStr">
        <is>
          <t>UPPSALA LÄN</t>
        </is>
      </c>
      <c r="E6600" t="inlineStr">
        <is>
          <t>ÖSTHAMMAR</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6359-2025</t>
        </is>
      </c>
      <c r="B6601" s="1" t="n">
        <v>45699</v>
      </c>
      <c r="C6601" s="1" t="n">
        <v>45705</v>
      </c>
      <c r="D6601" t="inlineStr">
        <is>
          <t>UPPSALA LÄN</t>
        </is>
      </c>
      <c r="E6601" t="inlineStr">
        <is>
          <t>ÖSTHAMMAR</t>
        </is>
      </c>
      <c r="F6601" t="inlineStr">
        <is>
          <t>Bergvik skog öst AB</t>
        </is>
      </c>
      <c r="G6601" t="n">
        <v>6.9</v>
      </c>
      <c r="H6601" t="n">
        <v>0</v>
      </c>
      <c r="I6601" t="n">
        <v>0</v>
      </c>
      <c r="J6601" t="n">
        <v>0</v>
      </c>
      <c r="K6601" t="n">
        <v>0</v>
      </c>
      <c r="L6601" t="n">
        <v>0</v>
      </c>
      <c r="M6601" t="n">
        <v>0</v>
      </c>
      <c r="N6601" t="n">
        <v>0</v>
      </c>
      <c r="O6601" t="n">
        <v>0</v>
      </c>
      <c r="P6601" t="n">
        <v>0</v>
      </c>
      <c r="Q6601" t="n">
        <v>0</v>
      </c>
      <c r="R6601" s="2" t="inlineStr"/>
    </row>
    <row r="6602" ht="15" customHeight="1">
      <c r="A6602" t="inlineStr">
        <is>
          <t>A 6360-2025</t>
        </is>
      </c>
      <c r="B6602" s="1" t="n">
        <v>45699</v>
      </c>
      <c r="C6602" s="1" t="n">
        <v>45705</v>
      </c>
      <c r="D6602" t="inlineStr">
        <is>
          <t>UPPSALA LÄN</t>
        </is>
      </c>
      <c r="E6602" t="inlineStr">
        <is>
          <t>ÖSTHAMMAR</t>
        </is>
      </c>
      <c r="F6602" t="inlineStr">
        <is>
          <t>Bergvik skog öst AB</t>
        </is>
      </c>
      <c r="G6602" t="n">
        <v>4.3</v>
      </c>
      <c r="H6602" t="n">
        <v>0</v>
      </c>
      <c r="I6602" t="n">
        <v>0</v>
      </c>
      <c r="J6602" t="n">
        <v>0</v>
      </c>
      <c r="K6602" t="n">
        <v>0</v>
      </c>
      <c r="L6602" t="n">
        <v>0</v>
      </c>
      <c r="M6602" t="n">
        <v>0</v>
      </c>
      <c r="N6602" t="n">
        <v>0</v>
      </c>
      <c r="O6602" t="n">
        <v>0</v>
      </c>
      <c r="P6602" t="n">
        <v>0</v>
      </c>
      <c r="Q6602" t="n">
        <v>0</v>
      </c>
      <c r="R6602" s="2" t="inlineStr"/>
    </row>
    <row r="6603" ht="15" customHeight="1">
      <c r="A6603" t="inlineStr">
        <is>
          <t>A 6450-2025</t>
        </is>
      </c>
      <c r="B6603" s="1" t="n">
        <v>45699</v>
      </c>
      <c r="C6603" s="1" t="n">
        <v>45705</v>
      </c>
      <c r="D6603" t="inlineStr">
        <is>
          <t>UPPSALA LÄN</t>
        </is>
      </c>
      <c r="E6603" t="inlineStr">
        <is>
          <t>HEBY</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6550-2025</t>
        </is>
      </c>
      <c r="B6604" s="1" t="n">
        <v>45699</v>
      </c>
      <c r="C6604" s="1" t="n">
        <v>45705</v>
      </c>
      <c r="D6604" t="inlineStr">
        <is>
          <t>UPPSALA LÄN</t>
        </is>
      </c>
      <c r="E6604" t="inlineStr">
        <is>
          <t>UPPSALA</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6543-2025</t>
        </is>
      </c>
      <c r="B6605" s="1" t="n">
        <v>45699</v>
      </c>
      <c r="C6605" s="1" t="n">
        <v>45705</v>
      </c>
      <c r="D6605" t="inlineStr">
        <is>
          <t>UPPSALA LÄN</t>
        </is>
      </c>
      <c r="E6605" t="inlineStr">
        <is>
          <t>ÖSTHAMMAR</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6537-2025</t>
        </is>
      </c>
      <c r="B6606" s="1" t="n">
        <v>45699</v>
      </c>
      <c r="C6606" s="1" t="n">
        <v>45705</v>
      </c>
      <c r="D6606" t="inlineStr">
        <is>
          <t>UPPSALA LÄN</t>
        </is>
      </c>
      <c r="E6606" t="inlineStr">
        <is>
          <t>ÖSTHAMMAR</t>
        </is>
      </c>
      <c r="G6606" t="n">
        <v>8.1</v>
      </c>
      <c r="H6606" t="n">
        <v>0</v>
      </c>
      <c r="I6606" t="n">
        <v>0</v>
      </c>
      <c r="J6606" t="n">
        <v>0</v>
      </c>
      <c r="K6606" t="n">
        <v>0</v>
      </c>
      <c r="L6606" t="n">
        <v>0</v>
      </c>
      <c r="M6606" t="n">
        <v>0</v>
      </c>
      <c r="N6606" t="n">
        <v>0</v>
      </c>
      <c r="O6606" t="n">
        <v>0</v>
      </c>
      <c r="P6606" t="n">
        <v>0</v>
      </c>
      <c r="Q6606" t="n">
        <v>0</v>
      </c>
      <c r="R6606" s="2" t="inlineStr"/>
    </row>
    <row r="6607" ht="15" customHeight="1">
      <c r="A6607" t="inlineStr">
        <is>
          <t>A 6541-2025</t>
        </is>
      </c>
      <c r="B6607" s="1" t="n">
        <v>45699</v>
      </c>
      <c r="C6607" s="1" t="n">
        <v>45705</v>
      </c>
      <c r="D6607" t="inlineStr">
        <is>
          <t>UPPSALA LÄN</t>
        </is>
      </c>
      <c r="E6607" t="inlineStr">
        <is>
          <t>UPPSALA</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6549-2025</t>
        </is>
      </c>
      <c r="B6608" s="1" t="n">
        <v>45699</v>
      </c>
      <c r="C6608" s="1" t="n">
        <v>45705</v>
      </c>
      <c r="D6608" t="inlineStr">
        <is>
          <t>UPPSALA LÄN</t>
        </is>
      </c>
      <c r="E6608" t="inlineStr">
        <is>
          <t>UPPSALA</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6764-2025</t>
        </is>
      </c>
      <c r="B6609" s="1" t="n">
        <v>45700</v>
      </c>
      <c r="C6609" s="1" t="n">
        <v>45705</v>
      </c>
      <c r="D6609" t="inlineStr">
        <is>
          <t>UPPSALA LÄN</t>
        </is>
      </c>
      <c r="E6609" t="inlineStr">
        <is>
          <t>ÖSTHAMMAR</t>
        </is>
      </c>
      <c r="F6609" t="inlineStr">
        <is>
          <t>Bergvik skog öst AB</t>
        </is>
      </c>
      <c r="G6609" t="n">
        <v>5.3</v>
      </c>
      <c r="H6609" t="n">
        <v>0</v>
      </c>
      <c r="I6609" t="n">
        <v>0</v>
      </c>
      <c r="J6609" t="n">
        <v>0</v>
      </c>
      <c r="K6609" t="n">
        <v>0</v>
      </c>
      <c r="L6609" t="n">
        <v>0</v>
      </c>
      <c r="M6609" t="n">
        <v>0</v>
      </c>
      <c r="N6609" t="n">
        <v>0</v>
      </c>
      <c r="O6609" t="n">
        <v>0</v>
      </c>
      <c r="P6609" t="n">
        <v>0</v>
      </c>
      <c r="Q6609" t="n">
        <v>0</v>
      </c>
      <c r="R6609" s="2" t="inlineStr"/>
    </row>
    <row r="6610" ht="15" customHeight="1">
      <c r="A6610" t="inlineStr">
        <is>
          <t>A 6888-2025</t>
        </is>
      </c>
      <c r="B6610" s="1" t="n">
        <v>45701</v>
      </c>
      <c r="C6610" s="1" t="n">
        <v>45705</v>
      </c>
      <c r="D6610" t="inlineStr">
        <is>
          <t>UPPSALA LÄN</t>
        </is>
      </c>
      <c r="E6610" t="inlineStr">
        <is>
          <t>TIERP</t>
        </is>
      </c>
      <c r="F6610" t="inlineStr">
        <is>
          <t>Bergvik skog väst AB</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6889-2025</t>
        </is>
      </c>
      <c r="B6611" s="1" t="n">
        <v>45701</v>
      </c>
      <c r="C6611" s="1" t="n">
        <v>45705</v>
      </c>
      <c r="D6611" t="inlineStr">
        <is>
          <t>UPPSALA LÄN</t>
        </is>
      </c>
      <c r="E6611" t="inlineStr">
        <is>
          <t>TIERP</t>
        </is>
      </c>
      <c r="F6611" t="inlineStr">
        <is>
          <t>Bergvik skog väst AB</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6981-2025</t>
        </is>
      </c>
      <c r="B6612" s="1" t="n">
        <v>45701</v>
      </c>
      <c r="C6612" s="1" t="n">
        <v>45705</v>
      </c>
      <c r="D6612" t="inlineStr">
        <is>
          <t>UPPSALA LÄN</t>
        </is>
      </c>
      <c r="E6612" t="inlineStr">
        <is>
          <t>ENKÖPING</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7100-2025</t>
        </is>
      </c>
      <c r="B6613" s="1" t="n">
        <v>45701</v>
      </c>
      <c r="C6613" s="1" t="n">
        <v>45705</v>
      </c>
      <c r="D6613" t="inlineStr">
        <is>
          <t>UPPSALA LÄN</t>
        </is>
      </c>
      <c r="E6613" t="inlineStr">
        <is>
          <t>ÖSTHAMMAR</t>
        </is>
      </c>
      <c r="G6613" t="n">
        <v>4.3</v>
      </c>
      <c r="H6613" t="n">
        <v>0</v>
      </c>
      <c r="I6613" t="n">
        <v>0</v>
      </c>
      <c r="J6613" t="n">
        <v>0</v>
      </c>
      <c r="K6613" t="n">
        <v>0</v>
      </c>
      <c r="L6613" t="n">
        <v>0</v>
      </c>
      <c r="M6613" t="n">
        <v>0</v>
      </c>
      <c r="N6613" t="n">
        <v>0</v>
      </c>
      <c r="O6613" t="n">
        <v>0</v>
      </c>
      <c r="P6613" t="n">
        <v>0</v>
      </c>
      <c r="Q6613" t="n">
        <v>0</v>
      </c>
      <c r="R6613" s="2" t="inlineStr"/>
    </row>
    <row r="6614" ht="15" customHeight="1">
      <c r="A6614" t="inlineStr">
        <is>
          <t>A 6959-2025</t>
        </is>
      </c>
      <c r="B6614" s="1" t="n">
        <v>45701</v>
      </c>
      <c r="C6614" s="1" t="n">
        <v>45705</v>
      </c>
      <c r="D6614" t="inlineStr">
        <is>
          <t>UPPSALA LÄN</t>
        </is>
      </c>
      <c r="E6614" t="inlineStr">
        <is>
          <t>ENKÖPING</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7216-2025</t>
        </is>
      </c>
      <c r="B6615" s="1" t="n">
        <v>45702</v>
      </c>
      <c r="C6615" s="1" t="n">
        <v>45705</v>
      </c>
      <c r="D6615" t="inlineStr">
        <is>
          <t>UPPSALA LÄN</t>
        </is>
      </c>
      <c r="E6615" t="inlineStr">
        <is>
          <t>ÖSTHAMMAR</t>
        </is>
      </c>
      <c r="F6615" t="inlineStr">
        <is>
          <t>Övriga Aktiebolag</t>
        </is>
      </c>
      <c r="G6615" t="n">
        <v>12.5</v>
      </c>
      <c r="H6615" t="n">
        <v>0</v>
      </c>
      <c r="I6615" t="n">
        <v>0</v>
      </c>
      <c r="J6615" t="n">
        <v>0</v>
      </c>
      <c r="K6615" t="n">
        <v>0</v>
      </c>
      <c r="L6615" t="n">
        <v>0</v>
      </c>
      <c r="M6615" t="n">
        <v>0</v>
      </c>
      <c r="N6615" t="n">
        <v>0</v>
      </c>
      <c r="O6615" t="n">
        <v>0</v>
      </c>
      <c r="P6615" t="n">
        <v>0</v>
      </c>
      <c r="Q6615" t="n">
        <v>0</v>
      </c>
      <c r="R6615" s="2" t="inlineStr"/>
    </row>
    <row r="6616">
      <c r="A6616" t="inlineStr">
        <is>
          <t>A 7346-2025</t>
        </is>
      </c>
      <c r="B6616" s="1" t="n">
        <v>45703</v>
      </c>
      <c r="C6616" s="1" t="n">
        <v>45705</v>
      </c>
      <c r="D6616" t="inlineStr">
        <is>
          <t>UPPSALA LÄN</t>
        </is>
      </c>
      <c r="E6616" t="inlineStr">
        <is>
          <t>UPPSALA</t>
        </is>
      </c>
      <c r="F6616" t="inlineStr">
        <is>
          <t>Bergvik skog öst AB</t>
        </is>
      </c>
      <c r="G6616" t="n">
        <v>2.8</v>
      </c>
      <c r="H6616" t="n">
        <v>0</v>
      </c>
      <c r="I6616" t="n">
        <v>0</v>
      </c>
      <c r="J6616" t="n">
        <v>0</v>
      </c>
      <c r="K6616" t="n">
        <v>0</v>
      </c>
      <c r="L6616" t="n">
        <v>0</v>
      </c>
      <c r="M6616" t="n">
        <v>0</v>
      </c>
      <c r="N6616" t="n">
        <v>0</v>
      </c>
      <c r="O6616" t="n">
        <v>0</v>
      </c>
      <c r="P6616" t="n">
        <v>0</v>
      </c>
      <c r="Q6616" t="n">
        <v>0</v>
      </c>
      <c r="R66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2025-02-17T16:46:56Z</dcterms:created>
  <dcterms:modified xmlns:dcterms="http://purl.org/dc/terms/" xmlns:xsi="http://www.w3.org/2001/XMLSchema-instance" xsi:type="dcterms:W3CDTF">2025-02-17T16:47:02Z</dcterms:modified>
</cp:coreProperties>
</file>