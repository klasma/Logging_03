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45346</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45346</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45346</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45346</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45346</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45346</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45346</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45346</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45346</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45346</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45346</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45346</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45346</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45346</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45346</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45346</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45346</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45346</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45346</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45346</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45346</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45346</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45346</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45346</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45346</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45346</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45346</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45346</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45346</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45346</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45346</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45346</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45346</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45346</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45346</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45346</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45346</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45346</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45346</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45346</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45346</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45346</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45346</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45346</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45346</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45346</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45346</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45346</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45346</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45346</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45346</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45346</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45346</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45346</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45346</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45346</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45346</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45346</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45346</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45346</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45346</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45346</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45346</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45346</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45346</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45346</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45346</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45346</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45346</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45346</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45346</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45346</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45346</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45346</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45346</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45346</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45346</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45346</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45346</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45346</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45346</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45346</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45346</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45346</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45346</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45346</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45346</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45346</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45346</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45346</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45346</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45346</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45346</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45346</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45346</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45346</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45346</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45346</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45346</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45346</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45346</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45346</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45346</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45346</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45346</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45346</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45346</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45346</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45346</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45346</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45346</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45346</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45346</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45346</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45346</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45346</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45346</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45346</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45346</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45346</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45346</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45346</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45346</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45346</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45346</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45346</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45346</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45346</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45346</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45346</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45346</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45346</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45346</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45346</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45346</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45346</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45346</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45346</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45346</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45346</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45346</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45346</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45346</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45346</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45346</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45346</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45346</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45346</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45346</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45346</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45346</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45346</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45346</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45346</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45346</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45346</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45346</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45346</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45346</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45346</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45346</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45346</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45346</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45346</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45346</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45346</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45346</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45346</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45346</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45346</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45346</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45346</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45346</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45346</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45346</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45346</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45346</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45346</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45346</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45346</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45346</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45346</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45346</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45346</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45346</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45346</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45346</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45346</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45346</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45346</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45346</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45346</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45346</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45346</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45346</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45346</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45346</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45346</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45346</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45346</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45346</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45346</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45346</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45346</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45346</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45346</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45346</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45346</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45346</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45346</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45346</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45346</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45346</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45346</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45346</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45346</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45346</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45346</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45346</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45346</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45346</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45346</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45346</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45346</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45346</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45346</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45346</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45346</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45346</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45346</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45346</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45346</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45346</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45346</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45346</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45346</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45346</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45346</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45346</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45346</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45346</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45346</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45346</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45346</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45346</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45346</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45346</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45346</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45346</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45346</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45346</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45346</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45346</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45346</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45346</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45346</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45346</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45346</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45346</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45346</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45346</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45346</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45346</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45346</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45346</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45346</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45346</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45346</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45346</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45346</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45346</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45346</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45346</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45346</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45346</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45346</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45346</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45346</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45346</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45346</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45346</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45346</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45346</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45346</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45346</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45346</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45346</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45346</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45346</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45346</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45346</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45346</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45346</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45346</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45346</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45346</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45346</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45346</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45346</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45346</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45346</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45346</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45346</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45346</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45346</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45346</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45346</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45346</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45346</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45346</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45346</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45346</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45346</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45346</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45346</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45346</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45346</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45346</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45346</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45346</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45346</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45346</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45346</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45346</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45346</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45346</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45346</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45346</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45346</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45346</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45346</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45346</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45346</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45346</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45346</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45346</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45346</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45346</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45346</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45346</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45346</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45346</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45346</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45346</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45346</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45346</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45346</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45346</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45346</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45346</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45346</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45346</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45346</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45346</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45346</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45346</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45346</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45346</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45346</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45346</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45346</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45346</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45346</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45346</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45346</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45346</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45346</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45346</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45346</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45346</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45346</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45346</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45346</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45346</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45346</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45346</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45346</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45346</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45346</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45346</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45346</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45346</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45346</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45346</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45346</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45346</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45346</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45346</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45346</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45346</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45346</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45346</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45346</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45346</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45346</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45346</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45346</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45346</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45346</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45346</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45346</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45346</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45346</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45346</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45346</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45346</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45346</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45346</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45346</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45346</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45346</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45346</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45346</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45346</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45346</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45346</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45346</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45346</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45346</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45346</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45346</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45346</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45346</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45346</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45346</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45346</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45346</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45346</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45346</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45346</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45346</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45346</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45346</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45346</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45346</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45346</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45346</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45346</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45346</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45346</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45346</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45346</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45346</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45346</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45346</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45346</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45346</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45346</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45346</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45346</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45346</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45346</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45346</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45346</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45346</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45346</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45346</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45346</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45346</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45346</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45346</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45346</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45346</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45346</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45346</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45346</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45346</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45346</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45346</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45346</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45346</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45346</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45346</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45346</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45346</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45346</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45346</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45346</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45346</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45346</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45346</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45346</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45346</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45346</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45346</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45346</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45346</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45346</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45346</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45346</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45346</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45346</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45346</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45346</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45346</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45346</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45346</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45346</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45346</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45346</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45346</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45346</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45346</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45346</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45346</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45346</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45346</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45346</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45346</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45346</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45346</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45346</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45346</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45346</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45346</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45346</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45346</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45346</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7397-2024</t>
        </is>
      </c>
      <c r="B523" s="1" t="n">
        <v>45345</v>
      </c>
      <c r="C523" s="1" t="n">
        <v>45346</v>
      </c>
      <c r="D523" t="inlineStr">
        <is>
          <t>UPPSALA LÄN</t>
        </is>
      </c>
      <c r="E523" t="inlineStr">
        <is>
          <t>UPPSALA</t>
        </is>
      </c>
      <c r="G523" t="n">
        <v>3.4</v>
      </c>
      <c r="H523" t="n">
        <v>0</v>
      </c>
      <c r="I523" t="n">
        <v>1</v>
      </c>
      <c r="J523" t="n">
        <v>0</v>
      </c>
      <c r="K523" t="n">
        <v>0</v>
      </c>
      <c r="L523" t="n">
        <v>0</v>
      </c>
      <c r="M523" t="n">
        <v>0</v>
      </c>
      <c r="N523" t="n">
        <v>0</v>
      </c>
      <c r="O523" t="n">
        <v>0</v>
      </c>
      <c r="P523" t="n">
        <v>0</v>
      </c>
      <c r="Q523" t="n">
        <v>1</v>
      </c>
      <c r="R523" s="2" t="inlineStr">
        <is>
          <t>Svavelriska</t>
        </is>
      </c>
      <c r="S523">
        <f>HYPERLINK("https://klasma.github.io/Logging_0380/artfynd/A 7397-2024 artfynd.xlsx", "A 7397-2024")</f>
        <v/>
      </c>
      <c r="T523">
        <f>HYPERLINK("https://klasma.github.io/Logging_0380/kartor/A 7397-2024 karta.png", "A 7397-2024")</f>
        <v/>
      </c>
      <c r="U523">
        <f>HYPERLINK("https://klasma.github.io/Logging_0380/knärot/A 7397-2024 karta knärot.png", "A 7397-2024")</f>
        <v/>
      </c>
      <c r="V523">
        <f>HYPERLINK("https://klasma.github.io/Logging_0380/klagomål/A 7397-2024 FSC-klagomål.docx", "A 7397-2024")</f>
        <v/>
      </c>
      <c r="W523">
        <f>HYPERLINK("https://klasma.github.io/Logging_0380/klagomålsmail/A 7397-2024 FSC-klagomål mail.docx", "A 7397-2024")</f>
        <v/>
      </c>
      <c r="X523">
        <f>HYPERLINK("https://klasma.github.io/Logging_0380/tillsyn/A 7397-2024 tillsynsbegäran.docx", "A 7397-2024")</f>
        <v/>
      </c>
      <c r="Y523">
        <f>HYPERLINK("https://klasma.github.io/Logging_0380/tillsynsmail/A 7397-2024 tillsynsbegäran mail.docx", "A 7397-2024")</f>
        <v/>
      </c>
    </row>
    <row r="524" ht="15" customHeight="1">
      <c r="A524" t="inlineStr">
        <is>
          <t>A 7395-2024</t>
        </is>
      </c>
      <c r="B524" s="1" t="n">
        <v>45345</v>
      </c>
      <c r="C524" s="1" t="n">
        <v>45346</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34674-2018</t>
        </is>
      </c>
      <c r="B525" s="1" t="n">
        <v>43320</v>
      </c>
      <c r="C525" s="1" t="n">
        <v>45346</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45346</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45346</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45346</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45346</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45346</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45346</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45346</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45346</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45346</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45346</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45346</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45346</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45346</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45346</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45346</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45346</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45346</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45346</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45346</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45346</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45346</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45346</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45346</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45346</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45346</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45346</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45346</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45346</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45346</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45346</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45346</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45346</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45346</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45346</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45346</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45346</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45346</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45346</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45346</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45346</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45346</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45346</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45346</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45346</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45346</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45346</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45346</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45346</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45346</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45346</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45346</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45346</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45346</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45346</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45346</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45346</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45346</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45346</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45346</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45346</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45346</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45346</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45346</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45346</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45346</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45346</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45346</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45346</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45346</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45346</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45346</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45346</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45346</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45346</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45346</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45346</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45346</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45346</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45346</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45346</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45346</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45346</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45346</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45346</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45346</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45346</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45346</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45346</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45346</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45346</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45346</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45346</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45346</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45346</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45346</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45346</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45346</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45346</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45346</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45346</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45346</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45346</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45346</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45346</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45346</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45346</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45346</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45346</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45346</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45346</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45346</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45346</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45346</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45346</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45346</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45346</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45346</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45346</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45346</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45346</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45346</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45346</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45346</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45346</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45346</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45346</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45346</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45346</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45346</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45346</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45346</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45346</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45346</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45346</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45346</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45346</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45346</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45346</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45346</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45346</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45346</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45346</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45346</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45346</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45346</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45346</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45346</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45346</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45346</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45346</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45346</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45346</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45346</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45346</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45346</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45346</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45346</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45346</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45346</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45346</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45346</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45346</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45346</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45346</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45346</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45346</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45346</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45346</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45346</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45346</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45346</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45346</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45346</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45346</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45346</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45346</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45346</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45346</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45346</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45346</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45346</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45346</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45346</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45346</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45346</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45346</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45346</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45346</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45346</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45346</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45346</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45346</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45346</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45346</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45346</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45346</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45346</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45346</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45346</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45346</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45346</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45346</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45346</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45346</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45346</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45346</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45346</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45346</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45346</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45346</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45346</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45346</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45346</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45346</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45346</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45346</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45346</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45346</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45346</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45346</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45346</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45346</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45346</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45346</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45346</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45346</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45346</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45346</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45346</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45346</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45346</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45346</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45346</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45346</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45346</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45346</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45346</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45346</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45346</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45346</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45346</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45346</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45346</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45346</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45346</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45346</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45346</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45346</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45346</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45346</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45346</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45346</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45346</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45346</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45346</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45346</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45346</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45346</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45346</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45346</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45346</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45346</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45346</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45346</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45346</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45346</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45346</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45346</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45346</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45346</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45346</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45346</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45346</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45346</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45346</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45346</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45346</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45346</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45346</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45346</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45346</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45346</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45346</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45346</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45346</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45346</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45346</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45346</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45346</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45346</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45346</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45346</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45346</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45346</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45346</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45346</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45346</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45346</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45346</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45346</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45346</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45346</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45346</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45346</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45346</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45346</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45346</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45346</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45346</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45346</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45346</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45346</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45346</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45346</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45346</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45346</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45346</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45346</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45346</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45346</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45346</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45346</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45346</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45346</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45346</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45346</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45346</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45346</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45346</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45346</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45346</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45346</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45346</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45346</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45346</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45346</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45346</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45346</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45346</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45346</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45346</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45346</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45346</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45346</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45346</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45346</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45346</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45346</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45346</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45346</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45346</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45346</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45346</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45346</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45346</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45346</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45346</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45346</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45346</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45346</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45346</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45346</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45346</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45346</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45346</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45346</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45346</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45346</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45346</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45346</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45346</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45346</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45346</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45346</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45346</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45346</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45346</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45346</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45346</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45346</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45346</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45346</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45346</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45346</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45346</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45346</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45346</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45346</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45346</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45346</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45346</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45346</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45346</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45346</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45346</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45346</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45346</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45346</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45346</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45346</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45346</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45346</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45346</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45346</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45346</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45346</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45346</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45346</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45346</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45346</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45346</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45346</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45346</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45346</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45346</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45346</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45346</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45346</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45346</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45346</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45346</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45346</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45346</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45346</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45346</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45346</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45346</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45346</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45346</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45346</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45346</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45346</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45346</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45346</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45346</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45346</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45346</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45346</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45346</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45346</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45346</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45346</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45346</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45346</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45346</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45346</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45346</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45346</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45346</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45346</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45346</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45346</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45346</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45346</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45346</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45346</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45346</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45346</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45346</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45346</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45346</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45346</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45346</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45346</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45346</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45346</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45346</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45346</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45346</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45346</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45346</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45346</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45346</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45346</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45346</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45346</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45346</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45346</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45346</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45346</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45346</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45346</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45346</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45346</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45346</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45346</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45346</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45346</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45346</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45346</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45346</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45346</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45346</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45346</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45346</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45346</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45346</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45346</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45346</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45346</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45346</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45346</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45346</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45346</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45346</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45346</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45346</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45346</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45346</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45346</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45346</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45346</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45346</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45346</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45346</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45346</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45346</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45346</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45346</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45346</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45346</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45346</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45346</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45346</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45346</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45346</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45346</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45346</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45346</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45346</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45346</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45346</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45346</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45346</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45346</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45346</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45346</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45346</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45346</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45346</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45346</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45346</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45346</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45346</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45346</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45346</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45346</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45346</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45346</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45346</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45346</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45346</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45346</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45346</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45346</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45346</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45346</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45346</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45346</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45346</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45346</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45346</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45346</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45346</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45346</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45346</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45346</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45346</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45346</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45346</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45346</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45346</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45346</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45346</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45346</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45346</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45346</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45346</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45346</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45346</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45346</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45346</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45346</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45346</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45346</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45346</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45346</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45346</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45346</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45346</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45346</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45346</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45346</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45346</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45346</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45346</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45346</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45346</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45346</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45346</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45346</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45346</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45346</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45346</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45346</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45346</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45346</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45346</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45346</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45346</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45346</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45346</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45346</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45346</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45346</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45346</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45346</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45346</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45346</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45346</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45346</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45346</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45346</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45346</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45346</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45346</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45346</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45346</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45346</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45346</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45346</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45346</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45346</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45346</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45346</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45346</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45346</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45346</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45346</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45346</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45346</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45346</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45346</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45346</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45346</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45346</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45346</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45346</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45346</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45346</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45346</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45346</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45346</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45346</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45346</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45346</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45346</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45346</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45346</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45346</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45346</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45346</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45346</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45346</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45346</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45346</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45346</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45346</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45346</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45346</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45346</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45346</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45346</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45346</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45346</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45346</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45346</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45346</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45346</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45346</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45346</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45346</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45346</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45346</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45346</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45346</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45346</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45346</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45346</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45346</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45346</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45346</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45346</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45346</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45346</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45346</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45346</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45346</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45346</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45346</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45346</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45346</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45346</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45346</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45346</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45346</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45346</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45346</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45346</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45346</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45346</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45346</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45346</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45346</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45346</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45346</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45346</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45346</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45346</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45346</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45346</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45346</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45346</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45346</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45346</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45346</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45346</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45346</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45346</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45346</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45346</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45346</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45346</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45346</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45346</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45346</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45346</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45346</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45346</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45346</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45346</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45346</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45346</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45346</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45346</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45346</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45346</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45346</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45346</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45346</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45346</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45346</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45346</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45346</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45346</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45346</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45346</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45346</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45346</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45346</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45346</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45346</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45346</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45346</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45346</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45346</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45346</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45346</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45346</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45346</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45346</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45346</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45346</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45346</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45346</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45346</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45346</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45346</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45346</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45346</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45346</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45346</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45346</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45346</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45346</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45346</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45346</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45346</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45346</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45346</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45346</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45346</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45346</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45346</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45346</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45346</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45346</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45346</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45346</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45346</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45346</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45346</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45346</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45346</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45346</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45346</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45346</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45346</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45346</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45346</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45346</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45346</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45346</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45346</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45346</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45346</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45346</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45346</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45346</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45346</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45346</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45346</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45346</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45346</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45346</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45346</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45346</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45346</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45346</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45346</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45346</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45346</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45346</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45346</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45346</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45346</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45346</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45346</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45346</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45346</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45346</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45346</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45346</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45346</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45346</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45346</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45346</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45346</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45346</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45346</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45346</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45346</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45346</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45346</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45346</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45346</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45346</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45346</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45346</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45346</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45346</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45346</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45346</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45346</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45346</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45346</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45346</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45346</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45346</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45346</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45346</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45346</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45346</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45346</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45346</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45346</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45346</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45346</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45346</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45346</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45346</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45346</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45346</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45346</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45346</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45346</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45346</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45346</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45346</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45346</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45346</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45346</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45346</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45346</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45346</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45346</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45346</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45346</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45346</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45346</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45346</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45346</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45346</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45346</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45346</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45346</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45346</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45346</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45346</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45346</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45346</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45346</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45346</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45346</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45346</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45346</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45346</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45346</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45346</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45346</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45346</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45346</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45346</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45346</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45346</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45346</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45346</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45346</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45346</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45346</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45346</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45346</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45346</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45346</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45346</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45346</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45346</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45346</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45346</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45346</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45346</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45346</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45346</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45346</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45346</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45346</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45346</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45346</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45346</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45346</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45346</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45346</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45346</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45346</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45346</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45346</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45346</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45346</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45346</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45346</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45346</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45346</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45346</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45346</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45346</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45346</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45346</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45346</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45346</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45346</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45346</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45346</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45346</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45346</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45346</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45346</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45346</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45346</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45346</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45346</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45346</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45346</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45346</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45346</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45346</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45346</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45346</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45346</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45346</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45346</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45346</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45346</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45346</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45346</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45346</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45346</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45346</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45346</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45346</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45346</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45346</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45346</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45346</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45346</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45346</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45346</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45346</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45346</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45346</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45346</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45346</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45346</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45346</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45346</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45346</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45346</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45346</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45346</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45346</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45346</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45346</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45346</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45346</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45346</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45346</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45346</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45346</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45346</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45346</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45346</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45346</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45346</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45346</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45346</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45346</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45346</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45346</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45346</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45346</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45346</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45346</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45346</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45346</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45346</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45346</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45346</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45346</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45346</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45346</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45346</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45346</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45346</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45346</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45346</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45346</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45346</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45346</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45346</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45346</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45346</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45346</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45346</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45346</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45346</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45346</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45346</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45346</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45346</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45346</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45346</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45346</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45346</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45346</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45346</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45346</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45346</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45346</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45346</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45346</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45346</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45346</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45346</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45346</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45346</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45346</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45346</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45346</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45346</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45346</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45346</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45346</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45346</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45346</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45346</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45346</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45346</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45346</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45346</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45346</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45346</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45346</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45346</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45346</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45346</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45346</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45346</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45346</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45346</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45346</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45346</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45346</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45346</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45346</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45346</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45346</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45346</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45346</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45346</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45346</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45346</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45346</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45346</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45346</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45346</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45346</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45346</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45346</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45346</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45346</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45346</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45346</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45346</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45346</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45346</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45346</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45346</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45346</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45346</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45346</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45346</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45346</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45346</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45346</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45346</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45346</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45346</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45346</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45346</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45346</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45346</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45346</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45346</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45346</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45346</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45346</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45346</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45346</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45346</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45346</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45346</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45346</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45346</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45346</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45346</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45346</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45346</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45346</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45346</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45346</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45346</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45346</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45346</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45346</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45346</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45346</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45346</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45346</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45346</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45346</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45346</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45346</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45346</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45346</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45346</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45346</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45346</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45346</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45346</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45346</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45346</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45346</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45346</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45346</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45346</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45346</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45346</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45346</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45346</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45346</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45346</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45346</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45346</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45346</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45346</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45346</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45346</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45346</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45346</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45346</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45346</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45346</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45346</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45346</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45346</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45346</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45346</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45346</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45346</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45346</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45346</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45346</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45346</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45346</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45346</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45346</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45346</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45346</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45346</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45346</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45346</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45346</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45346</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45346</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45346</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45346</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45346</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45346</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45346</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45346</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45346</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45346</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45346</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45346</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45346</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45346</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45346</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45346</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45346</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45346</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45346</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45346</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45346</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45346</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45346</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45346</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45346</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45346</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45346</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45346</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45346</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45346</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45346</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45346</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45346</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45346</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45346</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45346</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45346</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45346</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45346</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45346</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45346</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45346</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45346</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45346</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45346</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45346</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45346</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45346</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45346</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45346</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45346</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45346</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45346</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45346</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45346</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45346</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45346</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45346</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45346</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45346</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45346</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45346</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45346</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45346</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45346</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45346</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45346</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45346</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45346</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45346</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45346</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45346</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45346</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45346</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45346</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45346</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45346</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45346</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45346</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45346</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45346</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45346</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45346</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45346</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45346</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45346</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45346</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45346</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45346</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45346</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45346</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45346</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45346</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45346</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45346</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45346</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45346</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45346</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45346</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45346</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45346</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45346</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45346</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45346</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45346</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45346</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45346</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45346</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45346</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45346</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45346</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45346</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45346</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45346</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45346</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45346</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45346</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45346</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45346</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45346</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45346</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45346</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45346</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45346</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45346</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45346</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45346</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45346</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45346</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45346</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45346</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45346</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45346</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45346</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45346</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45346</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45346</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45346</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45346</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45346</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45346</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45346</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45346</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45346</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45346</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45346</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45346</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45346</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45346</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45346</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45346</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45346</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45346</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45346</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45346</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45346</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45346</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45346</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45346</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45346</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45346</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45346</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45346</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45346</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45346</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45346</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45346</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45346</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45346</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45346</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45346</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45346</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45346</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45346</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45346</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45346</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45346</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45346</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45346</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45346</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45346</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45346</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45346</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45346</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45346</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45346</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45346</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45346</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45346</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45346</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45346</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45346</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45346</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45346</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45346</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45346</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45346</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45346</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45346</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45346</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45346</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45346</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45346</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45346</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45346</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45346</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45346</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45346</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45346</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45346</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45346</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45346</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45346</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45346</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45346</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45346</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45346</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45346</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45346</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45346</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45346</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45346</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45346</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45346</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45346</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45346</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45346</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45346</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45346</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45346</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45346</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45346</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45346</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45346</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45346</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45346</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45346</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45346</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45346</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45346</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45346</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45346</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45346</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45346</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45346</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45346</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45346</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45346</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45346</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45346</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45346</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45346</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45346</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45346</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45346</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45346</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45346</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45346</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45346</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45346</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45346</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45346</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45346</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45346</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45346</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45346</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45346</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45346</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45346</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45346</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45346</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45346</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45346</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45346</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45346</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45346</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45346</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45346</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45346</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45346</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45346</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45346</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45346</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45346</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45346</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45346</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45346</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45346</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45346</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45346</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45346</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45346</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45346</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45346</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45346</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45346</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45346</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45346</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45346</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45346</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45346</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45346</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45346</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45346</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45346</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45346</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45346</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45346</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45346</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45346</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45346</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45346</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45346</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45346</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45346</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45346</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45346</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45346</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45346</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45346</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45346</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45346</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45346</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45346</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45346</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45346</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45346</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45346</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45346</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45346</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45346</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45346</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45346</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45346</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45346</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45346</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45346</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45346</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45346</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45346</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45346</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45346</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45346</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45346</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45346</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45346</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45346</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45346</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45346</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45346</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45346</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45346</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45346</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45346</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45346</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45346</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45346</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45346</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45346</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45346</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45346</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45346</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45346</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45346</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45346</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45346</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45346</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45346</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45346</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45346</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45346</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45346</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45346</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45346</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45346</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45346</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45346</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45346</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45346</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45346</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45346</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45346</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45346</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45346</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45346</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45346</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45346</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45346</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45346</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45346</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45346</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45346</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45346</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45346</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45346</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45346</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45346</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45346</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45346</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45346</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45346</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45346</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45346</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45346</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45346</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45346</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45346</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45346</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45346</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45346</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45346</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45346</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45346</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45346</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45346</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45346</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45346</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45346</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45346</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45346</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45346</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45346</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45346</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45346</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45346</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45346</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45346</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45346</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45346</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45346</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45346</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45346</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45346</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45346</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45346</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45346</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45346</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45346</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45346</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45346</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45346</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45346</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45346</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45346</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45346</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45346</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45346</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45346</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45346</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45346</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45346</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45346</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45346</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45346</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45346</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45346</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45346</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45346</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45346</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45346</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45346</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45346</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45346</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45346</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45346</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45346</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45346</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45346</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45346</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45346</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45346</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45346</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45346</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45346</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45346</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45346</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45346</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45346</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45346</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45346</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45346</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45346</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45346</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45346</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45346</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45346</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45346</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45346</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45346</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45346</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45346</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45346</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45346</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45346</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45346</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45346</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45346</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45346</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45346</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45346</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45346</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45346</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45346</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45346</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45346</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45346</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45346</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45346</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45346</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45346</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45346</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45346</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45346</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45346</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45346</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45346</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45346</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45346</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45346</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45346</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45346</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45346</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45346</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45346</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45346</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45346</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45346</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45346</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45346</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45346</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45346</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45346</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45346</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45346</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45346</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45346</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45346</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45346</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45346</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45346</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45346</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45346</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45346</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45346</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45346</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45346</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45346</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45346</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45346</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45346</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45346</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45346</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45346</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45346</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45346</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45346</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45346</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45346</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45346</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45346</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45346</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45346</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45346</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45346</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45346</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45346</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45346</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45346</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45346</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45346</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45346</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45346</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45346</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45346</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45346</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45346</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45346</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45346</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45346</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45346</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45346</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45346</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45346</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45346</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45346</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45346</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45346</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45346</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45346</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45346</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45346</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45346</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45346</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45346</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45346</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45346</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45346</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45346</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45346</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45346</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45346</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45346</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45346</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45346</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45346</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45346</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45346</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45346</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45346</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45346</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45346</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45346</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45346</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45346</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45346</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45346</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45346</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45346</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45346</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45346</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45346</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45346</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45346</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45346</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45346</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45346</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45346</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45346</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45346</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45346</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45346</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45346</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45346</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45346</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45346</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45346</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45346</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45346</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45346</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45346</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45346</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45346</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45346</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45346</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45346</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45346</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45346</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45346</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45346</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45346</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45346</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45346</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45346</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45346</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45346</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45346</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45346</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45346</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45346</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45346</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45346</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45346</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45346</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45346</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45346</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45346</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45346</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45346</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45346</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45346</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45346</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45346</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45346</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45346</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45346</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45346</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45346</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45346</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45346</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45346</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45346</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45346</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45346</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45346</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45346</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45346</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45346</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45346</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45346</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45346</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45346</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45346</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45346</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45346</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45346</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45346</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45346</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45346</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45346</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45346</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45346</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45346</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45346</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45346</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45346</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45346</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45346</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45346</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45346</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45346</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45346</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45346</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45346</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45346</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45346</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45346</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45346</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45346</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45346</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45346</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45346</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45346</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45346</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45346</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45346</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45346</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45346</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45346</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45346</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45346</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45346</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45346</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45346</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45346</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45346</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45346</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45346</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45346</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45346</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45346</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45346</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45346</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45346</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45346</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45346</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45346</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45346</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45346</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45346</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45346</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45346</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45346</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45346</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45346</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45346</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45346</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45346</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45346</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45346</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45346</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45346</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45346</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45346</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45346</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45346</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45346</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45346</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45346</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45346</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45346</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45346</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45346</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45346</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45346</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45346</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45346</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45346</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45346</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45346</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45346</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45346</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45346</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45346</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45346</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45346</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45346</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45346</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45346</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45346</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45346</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45346</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45346</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45346</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45346</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45346</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45346</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45346</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45346</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45346</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45346</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45346</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45346</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45346</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45346</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45346</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45346</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45346</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45346</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45346</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45346</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45346</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45346</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45346</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45346</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45346</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45346</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45346</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45346</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45346</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45346</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45346</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45346</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45346</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45346</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45346</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45346</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45346</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45346</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45346</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45346</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45346</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45346</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45346</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45346</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45346</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45346</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45346</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45346</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45346</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45346</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45346</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45346</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45346</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45346</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45346</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45346</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45346</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45346</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45346</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45346</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45346</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45346</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45346</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45346</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45346</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45346</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45346</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45346</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45346</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45346</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45346</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45346</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45346</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45346</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45346</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45346</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45346</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45346</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45346</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45346</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45346</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45346</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45346</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45346</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45346</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45346</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45346</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45346</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45346</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45346</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45346</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45346</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45346</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45346</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45346</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45346</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45346</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45346</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45346</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45346</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45346</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45346</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45346</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45346</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45346</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45346</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45346</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45346</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45346</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45346</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45346</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45346</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45346</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45346</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45346</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45346</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45346</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45346</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45346</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45346</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45346</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45346</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45346</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45346</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45346</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45346</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45346</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45346</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45346</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45346</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45346</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45346</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45346</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45346</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45346</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45346</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45346</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45346</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45346</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45346</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45346</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45346</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45346</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45346</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45346</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45346</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45346</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45346</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45346</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45346</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45346</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45346</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45346</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45346</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45346</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45346</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45346</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45346</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45346</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45346</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45346</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45346</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45346</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45346</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45346</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45346</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45346</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45346</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45346</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45346</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45346</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45346</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45346</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45346</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45346</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45346</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45346</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45346</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45346</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45346</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45346</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45346</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45346</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45346</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45346</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45346</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45346</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45346</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45346</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45346</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45346</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45346</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45346</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45346</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45346</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45346</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45346</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45346</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45346</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45346</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45346</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45346</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45346</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45346</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45346</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45346</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45346</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45346</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45346</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45346</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45346</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45346</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45346</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45346</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45346</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45346</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45346</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45346</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45346</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45346</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45346</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45346</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45346</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45346</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45346</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45346</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45346</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45346</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45346</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45346</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45346</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45346</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45346</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45346</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45346</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45346</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45346</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45346</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45346</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45346</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45346</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45346</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45346</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45346</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45346</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45346</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45346</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45346</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45346</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45346</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45346</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45346</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45346</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45346</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45346</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45346</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45346</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45346</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45346</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45346</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45346</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45346</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45346</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45346</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45346</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45346</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45346</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45346</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45346</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45346</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45346</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45346</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45346</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45346</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45346</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45346</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45346</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45346</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45346</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45346</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45346</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45346</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45346</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45346</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45346</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45346</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45346</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45346</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45346</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45346</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45346</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45346</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45346</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45346</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45346</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45346</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45346</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45346</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45346</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45346</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45346</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45346</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45346</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45346</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45346</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45346</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45346</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45346</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45346</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45346</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45346</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45346</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45346</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45346</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45346</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45346</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45346</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45346</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45346</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45346</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45346</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45346</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45346</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45346</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45346</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45346</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45346</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45346</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45346</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45346</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45346</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45346</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45346</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45346</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45346</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45346</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45346</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45346</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45346</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45346</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45346</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45346</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45346</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45346</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45346</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45346</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45346</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45346</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45346</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45346</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45346</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45346</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45346</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45346</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45346</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45346</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45346</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45346</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45346</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45346</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45346</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45346</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45346</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45346</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45346</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45346</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45346</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45346</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45346</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45346</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45346</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45346</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45346</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45346</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45346</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45346</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45346</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45346</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45346</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45346</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45346</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45346</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45346</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45346</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45346</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45346</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45346</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45346</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45346</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45346</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45346</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45346</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45346</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45346</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45346</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45346</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45346</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45346</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45346</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45346</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45346</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45346</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45346</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45346</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45346</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45346</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45346</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45346</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45346</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45346</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45346</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45346</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45346</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45346</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45346</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45346</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45346</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45346</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45346</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45346</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45346</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45346</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45346</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45346</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45346</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45346</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45346</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45346</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45346</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45346</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45346</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45346</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45346</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45346</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45346</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45346</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45346</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45346</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45346</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45346</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45346</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45346</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45346</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45346</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45346</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45346</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45346</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45346</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45346</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45346</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45346</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45346</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45346</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45346</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45346</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45346</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45346</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45346</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45346</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45346</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45346</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45346</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45346</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45346</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45346</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45346</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45346</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45346</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45346</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45346</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45346</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45346</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45346</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45346</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45346</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45346</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45346</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45346</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45346</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45346</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45346</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45346</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45346</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45346</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45346</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45346</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45346</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45346</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45346</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45346</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45346</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45346</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45346</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45346</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45346</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45346</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45346</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45346</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45346</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45346</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45346</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45346</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45346</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45346</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45346</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45346</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45346</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45346</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45346</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45346</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45346</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45346</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45346</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45346</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45346</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45346</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45346</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45346</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45346</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45346</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45346</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45346</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45346</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45346</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45346</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45346</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45346</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45346</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45346</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45346</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45346</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45346</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45346</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45346</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45346</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45346</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45346</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45346</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45346</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45346</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45346</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45346</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45346</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45346</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45346</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45346</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45346</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45346</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45346</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45346</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45346</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45346</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45346</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45346</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45346</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45346</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45346</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45346</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45346</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45346</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45346</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45346</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45346</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45346</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45346</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45346</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45346</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45346</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45346</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45346</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45346</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45346</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45346</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45346</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45346</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45346</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45346</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45346</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45346</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45346</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45346</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45346</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45346</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45346</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45346</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45346</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45346</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45346</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45346</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45346</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45346</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45346</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45346</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45346</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45346</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45346</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45346</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45346</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45346</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45346</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45346</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45346</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45346</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45346</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45346</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45346</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45346</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45346</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45346</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45346</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45346</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45346</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45346</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45346</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45346</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45346</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45346</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45346</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45346</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45346</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45346</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45346</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45346</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45346</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45346</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45346</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45346</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45346</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45346</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45346</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45346</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45346</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45346</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45346</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45346</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45346</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45346</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45346</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45346</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45346</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45346</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45346</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45346</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45346</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45346</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45346</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45346</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45346</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45346</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45346</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45346</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45346</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45346</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45346</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45346</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45346</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45346</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45346</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45346</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45346</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45346</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45346</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45346</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45346</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45346</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45346</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45346</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45346</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45346</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45346</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45346</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45346</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45346</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45346</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45346</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45346</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45346</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45346</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45346</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45346</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45346</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45346</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45346</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45346</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45346</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45346</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45346</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45346</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45346</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45346</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45346</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45346</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45346</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45346</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45346</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45346</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45346</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45346</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45346</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45346</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45346</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45346</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45346</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45346</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45346</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45346</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45346</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45346</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45346</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45346</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45346</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45346</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45346</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45346</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45346</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45346</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45346</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45346</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45346</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45346</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45346</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45346</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45346</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45346</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45346</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45346</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45346</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45346</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45346</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45346</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45346</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45346</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45346</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45346</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45346</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45346</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45346</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45346</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45346</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45346</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45346</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45346</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45346</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45346</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45346</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45346</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45346</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45346</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45346</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45346</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45346</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45346</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45346</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45346</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45346</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45346</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45346</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45346</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45346</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45346</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45346</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45346</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45346</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45346</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45346</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45346</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45346</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45346</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45346</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45346</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45346</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45346</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45346</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45346</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45346</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45346</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45346</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45346</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45346</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45346</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45346</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45346</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45346</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45346</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45346</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45346</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45346</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45346</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45346</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45346</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45346</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45346</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45346</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45346</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45346</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45346</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45346</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45346</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45346</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45346</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45346</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45346</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45346</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45346</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45346</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45346</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45346</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45346</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45346</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45346</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45346</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45346</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45346</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45346</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45346</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45346</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45346</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45346</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45346</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45346</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45346</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45346</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45346</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45346</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45346</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45346</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45346</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45346</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45346</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45346</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45346</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45346</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45346</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45346</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45346</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45346</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45346</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45346</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45346</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45346</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45346</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45346</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45346</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45346</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45346</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45346</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45346</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45346</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45346</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45346</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45346</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45346</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45346</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45346</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45346</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45346</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45346</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45346</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45346</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45346</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45346</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45346</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45346</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45346</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45346</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45346</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45346</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45346</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45346</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45346</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45346</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45346</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45346</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45346</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45346</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45346</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45346</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45346</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45346</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45346</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45346</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45346</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45346</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45346</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45346</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45346</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45346</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45346</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45346</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45346</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45346</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45346</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45346</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45346</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45346</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45346</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45346</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45346</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45346</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45346</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45346</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45346</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45346</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45346</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45346</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45346</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45346</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45346</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45346</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45346</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45346</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45346</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45346</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45346</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45346</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45346</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45346</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45346</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45346</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45346</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45346</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45346</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45346</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45346</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45346</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45346</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45346</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45346</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45346</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45346</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45346</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45346</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45346</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45346</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45346</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45346</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45346</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45346</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45346</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45346</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45346</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45346</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45346</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45346</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45346</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45346</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45346</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45346</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45346</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45346</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45346</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45346</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45346</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45346</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45346</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45346</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45346</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45346</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45346</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45346</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45346</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45346</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45346</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45346</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45346</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45346</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45346</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45346</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45346</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45346</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45346</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45346</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45346</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45346</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45346</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45346</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45346</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45346</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45346</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45346</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45346</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45346</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45346</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45346</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45346</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45346</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45346</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45346</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45346</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45346</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45346</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45346</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45346</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45346</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45346</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45346</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45346</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45346</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45346</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45346</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45346</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45346</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45346</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45346</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45346</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45346</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45346</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45346</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45346</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45346</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45346</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45346</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45346</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45346</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45346</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45346</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45346</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45346</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45346</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45346</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45346</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45346</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45346</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45346</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45346</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45346</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45346</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45346</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45346</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45346</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45346</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45346</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45346</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45346</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45346</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45346</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45346</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45346</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45346</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45346</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45346</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45346</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45346</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45346</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45346</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45346</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45346</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45346</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45346</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45346</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45346</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45346</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45346</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45346</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45346</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45346</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45346</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45346</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45346</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45346</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45346</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45346</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45346</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45346</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45346</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45346</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45346</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45346</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45346</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45346</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45346</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45346</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45346</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45346</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45346</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45346</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45346</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45346</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45346</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45346</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45346</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45346</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45346</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45346</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45346</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45346</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45346</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45346</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45346</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45346</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45346</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45346</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45346</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45346</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45346</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45346</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45346</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45346</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45346</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45346</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45346</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45346</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45346</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45346</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45346</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45346</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45346</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45346</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45346</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45346</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45346</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45346</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45346</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45346</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45346</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45346</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45346</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45346</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45346</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45346</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45346</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45346</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45346</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45346</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45346</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45346</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45346</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45346</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45346</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45346</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45346</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45346</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45346</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45346</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45346</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45346</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45346</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45346</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45346</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45346</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45346</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45346</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45346</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45346</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45346</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45346</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45346</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45346</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45346</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45346</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45346</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45346</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45346</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45346</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45346</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45346</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45346</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45346</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45346</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45346</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45346</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45346</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45346</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45346</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45346</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45346</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45346</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45346</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45346</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45346</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45346</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45346</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45346</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45346</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45346</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45346</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45346</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45346</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45346</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45346</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45346</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45346</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45346</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45346</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45346</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45346</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45346</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45346</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45346</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45346</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45346</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45346</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45346</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45346</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45346</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45346</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45346</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45346</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45346</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45346</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45346</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45346</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45346</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45346</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45346</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45346</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45346</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45346</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45346</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45346</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45346</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45346</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45346</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45346</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45346</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45346</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45346</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45346</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45346</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45346</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45346</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45346</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45346</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45346</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45346</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45346</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45346</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45346</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45346</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45346</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45346</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45346</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45346</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45346</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45346</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45346</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45346</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45346</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45346</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45346</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45346</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45346</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45346</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45346</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45346</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45346</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45346</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45346</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45346</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45346</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45346</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45346</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45346</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45346</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45346</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45346</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45346</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45346</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45346</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45346</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45346</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45346</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45346</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45346</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45346</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45346</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45346</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45346</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45346</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45346</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45346</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45346</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45346</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45346</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45346</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45346</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45346</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45346</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45346</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45346</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45346</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45346</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45346</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45346</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45346</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45346</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45346</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45346</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45346</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45346</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45346</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45346</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45346</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45346</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45346</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45346</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45346</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45346</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45346</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45346</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45346</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45346</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45346</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45346</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45346</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45346</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45346</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45346</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45346</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45346</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45346</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45346</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45346</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45346</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45346</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45346</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45346</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45346</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45346</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45346</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45346</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45346</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45346</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45346</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45346</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45346</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45346</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45346</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45346</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45346</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45346</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45346</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45346</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45346</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45346</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45346</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45346</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45346</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45346</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45346</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45346</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45346</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45346</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45346</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45346</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45346</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45346</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45346</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45346</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45346</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45346</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45346</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45346</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45346</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45346</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45346</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45346</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45346</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45346</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45346</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45346</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45346</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45346</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45346</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45346</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45346</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45346</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45346</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45346</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45346</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45346</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45346</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45346</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45346</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45346</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45346</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45346</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45346</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45346</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45346</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45346</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45346</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45346</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45346</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45346</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45346</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45346</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45346</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45346</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45346</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45346</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45346</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45346</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45346</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45346</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45346</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45346</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45346</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45346</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45346</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45346</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45346</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45346</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45346</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45346</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45346</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45346</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45346</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45346</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45346</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45346</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45346</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45346</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45346</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45346</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45346</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45346</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45346</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45346</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45346</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45346</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45346</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45346</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45346</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45346</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45346</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45346</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45346</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45346</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45346</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45346</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45346</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45346</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45346</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45346</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45346</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45346</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45346</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45346</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45346</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45346</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45346</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45346</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45346</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45346</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45346</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45346</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45346</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45346</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45346</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45346</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45346</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45346</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45346</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45346</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45346</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45346</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45346</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45346</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45346</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45346</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45346</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45346</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45346</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45346</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45346</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45346</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45346</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45346</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45346</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45346</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45346</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45346</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45346</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45346</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45346</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45346</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45346</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45346</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45346</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45346</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45346</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45346</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45346</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45346</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45346</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45346</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45346</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45346</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45346</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45346</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45346</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45346</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45346</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45346</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45346</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45346</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45346</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45346</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45346</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45346</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45346</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45346</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45346</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45346</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45346</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45346</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45346</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45346</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45346</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45346</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45346</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45346</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45346</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45346</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45346</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45346</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45346</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45346</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45346</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45346</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45346</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45346</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45346</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45346</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45346</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45346</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45346</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45346</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45346</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45346</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45346</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45346</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45346</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45346</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45346</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45346</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45346</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45346</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45346</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45346</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45346</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45346</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45346</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45346</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45346</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45346</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45346</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45346</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45346</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45346</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45346</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45346</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45346</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45346</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45346</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45346</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45346</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45346</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45346</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45346</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45346</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45346</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45346</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45346</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45346</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45346</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45346</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45346</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45346</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45346</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45346</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45346</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45346</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45346</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45346</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45346</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45346</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45346</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45346</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45346</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45346</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45346</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45346</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45346</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45346</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45346</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45346</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45346</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45346</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45346</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45346</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45346</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45346</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45346</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45346</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45346</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45346</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45346</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45346</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45346</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45346</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45346</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45346</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45346</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45346</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45346</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45346</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45346</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45346</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45346</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45346</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45346</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45346</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45346</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45346</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45346</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45346</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45346</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45346</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45346</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45346</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45346</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45346</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45346</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45346</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45346</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45346</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45346</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45346</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45346</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45346</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45346</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45346</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45346</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45346</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45346</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45346</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45346</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45346</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45346</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45346</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45346</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45346</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45346</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45346</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45346</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45346</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45346</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45346</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45346</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45346</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45346</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45346</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45346</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45346</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45346</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45346</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45346</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45346</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45346</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45346</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45346</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45346</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45346</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45346</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45346</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45346</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45346</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45346</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45346</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45346</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45346</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45346</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45346</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45346</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45346</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45346</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45346</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45346</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45346</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45346</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45346</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45346</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45346</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45346</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45346</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45346</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45346</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45346</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45346</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45346</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45346</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45346</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45346</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45346</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45346</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45346</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45346</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45346</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45346</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45346</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45346</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45346</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45346</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45346</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45346</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45346</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45346</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45346</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45346</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45346</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45346</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45346</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45346</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45346</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45346</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45346</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45346</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45346</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45346</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45346</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45346</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45346</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45346</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45346</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45346</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45346</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45346</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45346</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45346</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45346</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45346</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45346</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45346</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45346</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45346</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45346</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45346</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45346</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45346</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45346</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45346</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45346</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45346</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45346</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45346</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45346</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45346</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45346</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45346</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45346</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45346</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45346</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45346</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45346</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45346</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45346</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45346</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45346</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45346</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45346</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45346</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45346</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45346</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45346</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45346</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45346</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45346</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45346</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45346</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45346</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45346</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45346</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45346</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45346</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45346</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45346</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45346</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45346</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45346</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45346</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45346</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45346</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45346</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45346</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45346</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45346</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45346</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45346</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45346</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45346</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45346</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45346</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45346</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45346</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45346</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45346</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45346</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45346</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45346</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45346</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45346</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45346</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45346</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45346</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45346</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45346</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45346</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45346</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45346</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45346</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45346</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45346</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45346</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45346</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45346</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45346</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45346</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45346</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45346</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45346</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45346</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45346</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45346</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45346</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45346</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45346</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45346</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45346</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45346</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45346</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45346</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45346</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45346</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45346</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45346</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45346</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45346</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45346</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45346</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45346</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45346</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45346</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45346</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45346</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45346</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45346</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45346</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45346</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45346</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45346</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45346</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45346</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45346</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45346</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45346</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45346</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45346</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45346</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45346</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45346</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45346</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45346</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45346</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45346</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45346</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45346</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45346</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45346</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45346</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45346</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45346</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45346</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45346</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45346</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45346</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45346</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45346</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45346</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45346</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45346</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45346</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45346</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45346</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45346</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45346</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45346</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45346</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45346</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45346</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45346</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45346</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45346</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45346</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45346</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45346</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45346</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45346</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45346</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45346</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45346</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45346</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45346</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45346</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45346</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45346</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45346</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45346</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45346</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45346</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45346</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45346</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45346</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45346</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45346</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45346</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45346</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45346</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45346</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45346</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45346</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45346</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45346</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45346</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45346</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45346</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45346</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45346</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45346</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45346</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45346</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45346</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45346</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45346</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45346</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45346</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45346</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45346</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45346</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45346</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45346</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45346</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45346</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45346</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45346</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45346</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45346</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45346</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45346</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45346</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45346</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45346</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45346</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45346</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45346</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45346</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45346</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45346</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45346</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45346</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45346</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45346</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45346</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45346</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45346</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45346</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45346</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45346</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45346</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45346</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45346</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45346</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45346</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45346</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45346</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45346</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45346</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45346</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45346</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45346</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45346</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45346</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45346</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45346</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45346</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45346</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45346</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45346</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45346</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45346</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45346</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45346</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45346</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45346</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45346</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45346</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45346</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45346</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45346</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45346</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45346</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45346</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45346</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45346</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45346</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45346</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45346</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45346</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45346</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45346</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45346</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45346</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45346</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45346</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45346</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45346</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45346</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45346</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45346</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45346</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45346</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45346</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45346</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45346</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45346</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45346</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45346</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45346</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45346</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45346</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45346</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45346</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45346</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45346</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45346</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45346</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45346</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45346</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45346</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45346</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45346</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45346</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45346</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45346</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45346</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45346</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45346</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45346</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45346</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45346</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45346</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45346</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45346</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45346</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45346</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45346</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45346</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45346</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45346</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45346</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45346</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45346</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45346</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45346</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45346</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45346</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45346</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45346</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45346</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45346</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45346</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45346</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45346</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45346</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45346</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45346</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45346</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45346</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45346</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45346</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45346</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45346</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45346</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45346</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45346</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45346</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45346</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45346</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45346</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45346</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45346</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45346</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45346</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45346</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45346</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45346</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45346</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45346</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45346</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45346</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45346</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45346</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45346</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45346</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45346</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45346</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45346</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45346</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45346</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45346</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45346</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45346</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45346</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45346</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45346</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45346</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45346</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45346</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45346</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45346</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45346</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45346</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45346</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45346</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45346</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45346</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45346</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45346</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45346</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45346</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45346</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45346</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45346</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45346</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45346</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45346</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45346</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45346</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45346</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45346</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45346</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45346</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45346</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45346</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45346</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45346</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45346</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45346</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45346</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45346</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45346</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45346</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45346</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45346</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45346</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45346</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45346</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45346</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45346</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45346</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45346</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45346</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45346</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45346</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45346</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45346</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45346</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45346</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45346</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45346</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45346</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45346</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45346</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45346</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45346</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45346</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45346</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45346</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45346</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45346</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45346</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45346</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45346</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45346</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45346</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45346</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45346</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45346</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45346</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45346</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45346</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45346</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45346</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45346</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45346</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45346</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45346</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45346</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45346</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45346</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45346</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45346</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45346</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45346</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45346</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45346</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45346</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45346</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45346</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45346</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45346</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45346</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45346</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45346</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45346</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45346</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45346</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45346</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45346</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45346</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45346</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45346</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45346</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45346</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45346</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45346</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45346</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45346</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45346</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45346</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45346</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45346</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45346</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45346</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45346</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45346</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45346</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45346</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45346</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45346</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45346</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45346</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45346</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45346</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45346</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45346</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45346</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45346</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45346</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45346</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45346</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45346</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45346</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45346</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45346</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45346</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45346</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45346</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45346</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45346</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45346</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45346</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45346</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45346</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45346</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45346</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45346</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45346</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45346</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45346</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45346</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45346</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45346</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45346</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45346</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45346</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45346</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45346</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45346</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45346</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45346</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45346</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45346</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45346</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45346</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45346</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45346</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45346</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45346</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45346</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45346</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45346</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45346</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45346</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45346</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45346</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45346</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45346</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45346</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45346</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45346</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45346</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45346</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45346</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45346</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45346</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45346</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45346</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45346</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45346</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45346</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45346</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45346</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45346</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45346</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45346</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45346</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45346</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45346</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45346</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45346</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45346</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45346</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45346</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45346</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45346</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45346</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45346</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45346</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45346</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45346</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45346</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45346</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45346</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45346</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45346</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45346</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45346</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45346</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45346</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45346</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45346</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45346</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45346</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45346</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45346</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45346</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45346</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45346</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45346</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45346</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45346</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45346</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45346</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45346</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45346</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45346</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45346</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45346</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45346</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45346</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45346</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45346</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45346</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45346</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45346</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45346</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45346</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45346</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45346</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45346</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45346</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45346</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45346</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45346</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45346</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45346</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45346</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45346</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45346</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45346</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45346</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45346</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45346</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45346</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45346</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45346</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45346</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45346</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45346</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45346</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45346</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45346</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45346</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45346</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45346</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45346</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45346</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45346</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45346</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45346</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45346</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45346</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45346</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45346</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45346</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45346</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45346</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45346</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45346</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45346</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45346</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45346</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45346</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45346</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45346</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45346</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45346</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45346</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45346</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45346</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45346</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45346</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45346</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45346</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45346</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45346</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45346</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45346</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45346</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45346</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45346</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45346</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45346</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45346</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45346</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45346</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45346</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45346</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45346</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45346</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45346</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45346</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45346</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45346</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45346</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45346</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45346</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45346</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45346</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45346</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45346</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45346</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45346</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45346</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45346</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45346</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45346</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45346</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45346</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45346</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45346</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45346</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45346</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45346</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45346</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45346</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45346</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45346</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45346</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45346</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45346</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45346</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45346</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45346</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45346</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45346</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45346</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45346</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45346</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45346</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45346</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45346</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45346</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45346</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45346</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45346</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45346</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45346</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45346</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45346</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45346</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45346</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45346</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45346</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45346</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45346</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45346</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45346</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45346</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45346</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45346</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45346</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45346</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45346</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45346</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45346</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45346</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45346</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45346</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45346</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45346</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45346</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45346</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45346</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45346</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45346</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45346</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45346</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45346</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45346</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45346</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45346</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45346</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45346</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45346</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45346</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45346</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45346</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45346</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45346</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45346</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45346</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45346</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45346</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45346</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45346</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45346</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45346</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45346</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45346</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45346</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45346</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45346</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45346</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45346</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45346</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45346</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45346</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45346</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45346</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45346</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45346</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45346</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45346</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45346</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45346</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45346</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45346</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45346</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45346</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45346</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45346</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45346</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45346</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45346</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45346</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45346</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45346</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45346</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45346</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45346</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45346</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45346</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45346</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45346</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45346</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45346</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45346</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45346</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45346</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45346</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45346</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45346</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45346</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45346</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45346</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45346</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45346</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45346</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45346</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45346</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45346</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45346</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45346</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45346</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45346</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45346</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45346</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45346</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45346</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45346</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45346</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45346</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45346</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45346</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45346</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45346</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45346</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45346</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45346</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45346</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45346</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45346</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45346</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45346</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45346</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45346</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45346</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45346</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45346</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45346</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45346</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45346</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45346</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45346</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45346</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45346</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45346</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45346</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45346</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45346</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45346</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45346</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45346</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45346</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45346</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45346</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45346</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45346</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45346</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45346</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45346</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45346</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45346</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45346</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45346</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45346</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45346</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45346</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45346</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45346</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45346</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45346</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45346</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45346</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45346</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45346</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45346</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45346</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45346</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45346</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45346</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45346</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45346</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45346</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45346</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45346</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45346</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45346</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45346</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45346</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45346</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45346</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45346</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45346</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45346</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45346</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45346</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3261-2024</t>
        </is>
      </c>
      <c r="B5227" s="1" t="n">
        <v>45317</v>
      </c>
      <c r="C5227" s="1" t="n">
        <v>45346</v>
      </c>
      <c r="D5227" t="inlineStr">
        <is>
          <t>UPPSALA LÄN</t>
        </is>
      </c>
      <c r="E5227" t="inlineStr">
        <is>
          <t>UPPSALA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3368-2024</t>
        </is>
      </c>
      <c r="B5228" s="1" t="n">
        <v>45317</v>
      </c>
      <c r="C5228" s="1" t="n">
        <v>45346</v>
      </c>
      <c r="D5228" t="inlineStr">
        <is>
          <t>UPPSALA LÄN</t>
        </is>
      </c>
      <c r="E5228" t="inlineStr">
        <is>
          <t>HEBY</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3376-2024</t>
        </is>
      </c>
      <c r="B5229" s="1" t="n">
        <v>45317</v>
      </c>
      <c r="C5229" s="1" t="n">
        <v>45346</v>
      </c>
      <c r="D5229" t="inlineStr">
        <is>
          <t>UPPSALA LÄN</t>
        </is>
      </c>
      <c r="E5229" t="inlineStr">
        <is>
          <t>HEBY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3260-2024</t>
        </is>
      </c>
      <c r="B5230" s="1" t="n">
        <v>45317</v>
      </c>
      <c r="C5230" s="1" t="n">
        <v>45346</v>
      </c>
      <c r="D5230" t="inlineStr">
        <is>
          <t>UPPSALA LÄN</t>
        </is>
      </c>
      <c r="E5230" t="inlineStr">
        <is>
          <t>UPPSALA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3355-2024</t>
        </is>
      </c>
      <c r="B5231" s="1" t="n">
        <v>45317</v>
      </c>
      <c r="C5231" s="1" t="n">
        <v>45346</v>
      </c>
      <c r="D5231" t="inlineStr">
        <is>
          <t>UPPSALA LÄN</t>
        </is>
      </c>
      <c r="E5231" t="inlineStr">
        <is>
          <t>HEBY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3371-2024</t>
        </is>
      </c>
      <c r="B5232" s="1" t="n">
        <v>45317</v>
      </c>
      <c r="C5232" s="1" t="n">
        <v>45346</v>
      </c>
      <c r="D5232" t="inlineStr">
        <is>
          <t>UPPSALA LÄN</t>
        </is>
      </c>
      <c r="E5232" t="inlineStr">
        <is>
          <t>HEBY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3374-2024</t>
        </is>
      </c>
      <c r="B5233" s="1" t="n">
        <v>45317</v>
      </c>
      <c r="C5233" s="1" t="n">
        <v>45346</v>
      </c>
      <c r="D5233" t="inlineStr">
        <is>
          <t>UPPSALA LÄN</t>
        </is>
      </c>
      <c r="E5233" t="inlineStr">
        <is>
          <t>HEBY</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45346</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3468-2024</t>
        </is>
      </c>
      <c r="B5235" s="1" t="n">
        <v>45320</v>
      </c>
      <c r="C5235" s="1" t="n">
        <v>45346</v>
      </c>
      <c r="D5235" t="inlineStr">
        <is>
          <t>UPPSALA LÄN</t>
        </is>
      </c>
      <c r="E5235" t="inlineStr">
        <is>
          <t>HEBY</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3503-2024</t>
        </is>
      </c>
      <c r="B5236" s="1" t="n">
        <v>45320</v>
      </c>
      <c r="C5236" s="1" t="n">
        <v>45346</v>
      </c>
      <c r="D5236" t="inlineStr">
        <is>
          <t>UPPSALA LÄN</t>
        </is>
      </c>
      <c r="E5236" t="inlineStr">
        <is>
          <t>TIERP</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45346</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45346</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45346</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45346</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4040-2024</t>
        </is>
      </c>
      <c r="B5241" s="1" t="n">
        <v>45323</v>
      </c>
      <c r="C5241" s="1" t="n">
        <v>45346</v>
      </c>
      <c r="D5241" t="inlineStr">
        <is>
          <t>UPPSALA LÄN</t>
        </is>
      </c>
      <c r="E5241" t="inlineStr">
        <is>
          <t>HEBY</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4044-2024</t>
        </is>
      </c>
      <c r="B5242" s="1" t="n">
        <v>45323</v>
      </c>
      <c r="C5242" s="1" t="n">
        <v>45346</v>
      </c>
      <c r="D5242" t="inlineStr">
        <is>
          <t>UPPSALA LÄN</t>
        </is>
      </c>
      <c r="E5242" t="inlineStr">
        <is>
          <t>ENKÖPING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45346</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45346</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4412-2024</t>
        </is>
      </c>
      <c r="B5245" s="1" t="n">
        <v>45327</v>
      </c>
      <c r="C5245" s="1" t="n">
        <v>45346</v>
      </c>
      <c r="D5245" t="inlineStr">
        <is>
          <t>UPPSALA LÄN</t>
        </is>
      </c>
      <c r="E5245" t="inlineStr">
        <is>
          <t>UPPSALA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4425-2024</t>
        </is>
      </c>
      <c r="B5246" s="1" t="n">
        <v>45327</v>
      </c>
      <c r="C5246" s="1" t="n">
        <v>45346</v>
      </c>
      <c r="D5246" t="inlineStr">
        <is>
          <t>UPPSALA LÄN</t>
        </is>
      </c>
      <c r="E5246" t="inlineStr">
        <is>
          <t>UPPSALA</t>
        </is>
      </c>
      <c r="F5246" t="inlineStr">
        <is>
          <t>Allmännings- och besparingsskogar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45346</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4509-2024</t>
        </is>
      </c>
      <c r="B5248" s="1" t="n">
        <v>45327</v>
      </c>
      <c r="C5248" s="1" t="n">
        <v>45346</v>
      </c>
      <c r="D5248" t="inlineStr">
        <is>
          <t>UPPSALA LÄN</t>
        </is>
      </c>
      <c r="E5248" t="inlineStr">
        <is>
          <t>UPPSALA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4521-2024</t>
        </is>
      </c>
      <c r="B5249" s="1" t="n">
        <v>45327</v>
      </c>
      <c r="C5249" s="1" t="n">
        <v>45346</v>
      </c>
      <c r="D5249" t="inlineStr">
        <is>
          <t>UPPSALA LÄN</t>
        </is>
      </c>
      <c r="E5249" t="inlineStr">
        <is>
          <t>HÅBO</t>
        </is>
      </c>
      <c r="G5249" t="n">
        <v>17.4</v>
      </c>
      <c r="H5249" t="n">
        <v>0</v>
      </c>
      <c r="I5249" t="n">
        <v>0</v>
      </c>
      <c r="J5249" t="n">
        <v>0</v>
      </c>
      <c r="K5249" t="n">
        <v>0</v>
      </c>
      <c r="L5249" t="n">
        <v>0</v>
      </c>
      <c r="M5249" t="n">
        <v>0</v>
      </c>
      <c r="N5249" t="n">
        <v>0</v>
      </c>
      <c r="O5249" t="n">
        <v>0</v>
      </c>
      <c r="P5249" t="n">
        <v>0</v>
      </c>
      <c r="Q5249" t="n">
        <v>0</v>
      </c>
      <c r="R5249" s="2" t="inlineStr"/>
    </row>
    <row r="5250" ht="15" customHeight="1">
      <c r="A5250" t="inlineStr">
        <is>
          <t>A 4503-2024</t>
        </is>
      </c>
      <c r="B5250" s="1" t="n">
        <v>45327</v>
      </c>
      <c r="C5250" s="1" t="n">
        <v>45346</v>
      </c>
      <c r="D5250" t="inlineStr">
        <is>
          <t>UPPSALA LÄN</t>
        </is>
      </c>
      <c r="E5250" t="inlineStr">
        <is>
          <t>UPPSALA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4524-2024</t>
        </is>
      </c>
      <c r="B5251" s="1" t="n">
        <v>45327</v>
      </c>
      <c r="C5251" s="1" t="n">
        <v>45346</v>
      </c>
      <c r="D5251" t="inlineStr">
        <is>
          <t>UPPSALA LÄN</t>
        </is>
      </c>
      <c r="E5251" t="inlineStr">
        <is>
          <t>HÅBO</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45346</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4893-2024</t>
        </is>
      </c>
      <c r="B5253" s="1" t="n">
        <v>45329</v>
      </c>
      <c r="C5253" s="1" t="n">
        <v>45346</v>
      </c>
      <c r="D5253" t="inlineStr">
        <is>
          <t>UPPSALA LÄN</t>
        </is>
      </c>
      <c r="E5253" t="inlineStr">
        <is>
          <t>HEBY</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5042-2024</t>
        </is>
      </c>
      <c r="B5254" s="1" t="n">
        <v>45329</v>
      </c>
      <c r="C5254" s="1" t="n">
        <v>45346</v>
      </c>
      <c r="D5254" t="inlineStr">
        <is>
          <t>UPPSALA LÄN</t>
        </is>
      </c>
      <c r="E5254" t="inlineStr">
        <is>
          <t>ÖSTHAMMAR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4980-2024</t>
        </is>
      </c>
      <c r="B5255" s="1" t="n">
        <v>45329</v>
      </c>
      <c r="C5255" s="1" t="n">
        <v>45346</v>
      </c>
      <c r="D5255" t="inlineStr">
        <is>
          <t>UPPSALA LÄN</t>
        </is>
      </c>
      <c r="E5255" t="inlineStr">
        <is>
          <t>UPPSALA</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4984-2024</t>
        </is>
      </c>
      <c r="B5256" s="1" t="n">
        <v>45329</v>
      </c>
      <c r="C5256" s="1" t="n">
        <v>45346</v>
      </c>
      <c r="D5256" t="inlineStr">
        <is>
          <t>UPPSALA LÄN</t>
        </is>
      </c>
      <c r="E5256" t="inlineStr">
        <is>
          <t>ÖSTHAMMAR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5149-2024</t>
        </is>
      </c>
      <c r="B5257" s="1" t="n">
        <v>45330</v>
      </c>
      <c r="C5257" s="1" t="n">
        <v>45346</v>
      </c>
      <c r="D5257" t="inlineStr">
        <is>
          <t>UPPSALA LÄN</t>
        </is>
      </c>
      <c r="E5257" t="inlineStr">
        <is>
          <t>ÖSTHAMMAR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5161-2024</t>
        </is>
      </c>
      <c r="B5258" s="1" t="n">
        <v>45330</v>
      </c>
      <c r="C5258" s="1" t="n">
        <v>45346</v>
      </c>
      <c r="D5258" t="inlineStr">
        <is>
          <t>UPPSALA LÄN</t>
        </is>
      </c>
      <c r="E5258" t="inlineStr">
        <is>
          <t>ÖSTHAMMAR</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5212-2024</t>
        </is>
      </c>
      <c r="B5259" s="1" t="n">
        <v>45330</v>
      </c>
      <c r="C5259" s="1" t="n">
        <v>45346</v>
      </c>
      <c r="D5259" t="inlineStr">
        <is>
          <t>UPPSALA LÄN</t>
        </is>
      </c>
      <c r="E5259" t="inlineStr">
        <is>
          <t>HEBY</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5216-2024</t>
        </is>
      </c>
      <c r="B5260" s="1" t="n">
        <v>45330</v>
      </c>
      <c r="C5260" s="1" t="n">
        <v>45346</v>
      </c>
      <c r="D5260" t="inlineStr">
        <is>
          <t>UPPSALA LÄN</t>
        </is>
      </c>
      <c r="E5260" t="inlineStr">
        <is>
          <t>ÖSTHAMMAR</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5185-2024</t>
        </is>
      </c>
      <c r="B5261" s="1" t="n">
        <v>45330</v>
      </c>
      <c r="C5261" s="1" t="n">
        <v>45346</v>
      </c>
      <c r="D5261" t="inlineStr">
        <is>
          <t>UPPSALA LÄN</t>
        </is>
      </c>
      <c r="E5261" t="inlineStr">
        <is>
          <t>UPPSALA</t>
        </is>
      </c>
      <c r="F5261" t="inlineStr">
        <is>
          <t>Övriga Aktiebolag</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5211-2024</t>
        </is>
      </c>
      <c r="B5262" s="1" t="n">
        <v>45330</v>
      </c>
      <c r="C5262" s="1" t="n">
        <v>45346</v>
      </c>
      <c r="D5262" t="inlineStr">
        <is>
          <t>UPPSALA LÄN</t>
        </is>
      </c>
      <c r="E5262" t="inlineStr">
        <is>
          <t>ENKÖPING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5126-2024</t>
        </is>
      </c>
      <c r="B5263" s="1" t="n">
        <v>45330</v>
      </c>
      <c r="C5263" s="1" t="n">
        <v>45346</v>
      </c>
      <c r="D5263" t="inlineStr">
        <is>
          <t>UPPSALA LÄN</t>
        </is>
      </c>
      <c r="E5263" t="inlineStr">
        <is>
          <t>TIERP</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5198-2024</t>
        </is>
      </c>
      <c r="B5264" s="1" t="n">
        <v>45330</v>
      </c>
      <c r="C5264" s="1" t="n">
        <v>45346</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5223-2024</t>
        </is>
      </c>
      <c r="B5265" s="1" t="n">
        <v>45330</v>
      </c>
      <c r="C5265" s="1" t="n">
        <v>45346</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5340-2024</t>
        </is>
      </c>
      <c r="B5266" s="1" t="n">
        <v>45331</v>
      </c>
      <c r="C5266" s="1" t="n">
        <v>45346</v>
      </c>
      <c r="D5266" t="inlineStr">
        <is>
          <t>UPPSALA LÄN</t>
        </is>
      </c>
      <c r="E5266" t="inlineStr">
        <is>
          <t>HEBY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5390-2024</t>
        </is>
      </c>
      <c r="B5267" s="1" t="n">
        <v>45331</v>
      </c>
      <c r="C5267" s="1" t="n">
        <v>45346</v>
      </c>
      <c r="D5267" t="inlineStr">
        <is>
          <t>UPPSALA LÄN</t>
        </is>
      </c>
      <c r="E5267" t="inlineStr">
        <is>
          <t>HEBY</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5391-2024</t>
        </is>
      </c>
      <c r="B5268" s="1" t="n">
        <v>45331</v>
      </c>
      <c r="C5268" s="1" t="n">
        <v>45346</v>
      </c>
      <c r="D5268" t="inlineStr">
        <is>
          <t>UPPSALA LÄN</t>
        </is>
      </c>
      <c r="E5268" t="inlineStr">
        <is>
          <t>HEBY</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45346</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5521-2024</t>
        </is>
      </c>
      <c r="B5270" s="1" t="n">
        <v>45334</v>
      </c>
      <c r="C5270" s="1" t="n">
        <v>45346</v>
      </c>
      <c r="D5270" t="inlineStr">
        <is>
          <t>UPPSALA LÄN</t>
        </is>
      </c>
      <c r="E5270" t="inlineStr">
        <is>
          <t>ENKÖPING</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5539-2024</t>
        </is>
      </c>
      <c r="B5271" s="1" t="n">
        <v>45334</v>
      </c>
      <c r="C5271" s="1" t="n">
        <v>45346</v>
      </c>
      <c r="D5271" t="inlineStr">
        <is>
          <t>UPPSALA LÄN</t>
        </is>
      </c>
      <c r="E5271" t="inlineStr">
        <is>
          <t>HEBY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5538-2024</t>
        </is>
      </c>
      <c r="B5272" s="1" t="n">
        <v>45334</v>
      </c>
      <c r="C5272" s="1" t="n">
        <v>45346</v>
      </c>
      <c r="D5272" t="inlineStr">
        <is>
          <t>UPPSALA LÄN</t>
        </is>
      </c>
      <c r="E5272" t="inlineStr">
        <is>
          <t>HEBY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5537-2024</t>
        </is>
      </c>
      <c r="B5273" s="1" t="n">
        <v>45334</v>
      </c>
      <c r="C5273" s="1" t="n">
        <v>45346</v>
      </c>
      <c r="D5273" t="inlineStr">
        <is>
          <t>UPPSALA LÄN</t>
        </is>
      </c>
      <c r="E5273" t="inlineStr">
        <is>
          <t>HEBY</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5848-2024</t>
        </is>
      </c>
      <c r="B5274" s="1" t="n">
        <v>45335</v>
      </c>
      <c r="C5274" s="1" t="n">
        <v>45346</v>
      </c>
      <c r="D5274" t="inlineStr">
        <is>
          <t>UPPSALA LÄN</t>
        </is>
      </c>
      <c r="E5274" t="inlineStr">
        <is>
          <t>UPPSALA</t>
        </is>
      </c>
      <c r="F5274" t="inlineStr">
        <is>
          <t>Kyrkan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5860-2024</t>
        </is>
      </c>
      <c r="B5275" s="1" t="n">
        <v>45335</v>
      </c>
      <c r="C5275" s="1" t="n">
        <v>45346</v>
      </c>
      <c r="D5275" t="inlineStr">
        <is>
          <t>UPPSALA LÄN</t>
        </is>
      </c>
      <c r="E5275" t="inlineStr">
        <is>
          <t>ÖSTHAMMAR</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5876-2024</t>
        </is>
      </c>
      <c r="B5276" s="1" t="n">
        <v>45335</v>
      </c>
      <c r="C5276" s="1" t="n">
        <v>45346</v>
      </c>
      <c r="D5276" t="inlineStr">
        <is>
          <t>UPPSALA LÄN</t>
        </is>
      </c>
      <c r="E5276" t="inlineStr">
        <is>
          <t>UPPSALA</t>
        </is>
      </c>
      <c r="F5276" t="inlineStr">
        <is>
          <t>Kyrkan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5896-2024</t>
        </is>
      </c>
      <c r="B5277" s="1" t="n">
        <v>45335</v>
      </c>
      <c r="C5277" s="1" t="n">
        <v>45346</v>
      </c>
      <c r="D5277" t="inlineStr">
        <is>
          <t>UPPSALA LÄN</t>
        </is>
      </c>
      <c r="E5277" t="inlineStr">
        <is>
          <t>UPPSALA</t>
        </is>
      </c>
      <c r="F5277" t="inlineStr">
        <is>
          <t>Allmännings- och besparingsskogar</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5851-2024</t>
        </is>
      </c>
      <c r="B5278" s="1" t="n">
        <v>45335</v>
      </c>
      <c r="C5278" s="1" t="n">
        <v>45346</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5899-2024</t>
        </is>
      </c>
      <c r="B5279" s="1" t="n">
        <v>45335</v>
      </c>
      <c r="C5279" s="1" t="n">
        <v>45346</v>
      </c>
      <c r="D5279" t="inlineStr">
        <is>
          <t>UPPSALA LÄN</t>
        </is>
      </c>
      <c r="E5279" t="inlineStr">
        <is>
          <t>UPPSALA</t>
        </is>
      </c>
      <c r="F5279" t="inlineStr">
        <is>
          <t>Allmännings- och besparingsskogar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45346</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5975-2024</t>
        </is>
      </c>
      <c r="B5281" s="1" t="n">
        <v>45336</v>
      </c>
      <c r="C5281" s="1" t="n">
        <v>45346</v>
      </c>
      <c r="D5281" t="inlineStr">
        <is>
          <t>UPPSALA LÄN</t>
        </is>
      </c>
      <c r="E5281" t="inlineStr">
        <is>
          <t>UPPSALA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5972-2024</t>
        </is>
      </c>
      <c r="B5282" s="1" t="n">
        <v>45336</v>
      </c>
      <c r="C5282" s="1" t="n">
        <v>45346</v>
      </c>
      <c r="D5282" t="inlineStr">
        <is>
          <t>UPPSALA LÄN</t>
        </is>
      </c>
      <c r="E5282" t="inlineStr">
        <is>
          <t>UPPSALA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6024-2024</t>
        </is>
      </c>
      <c r="B5283" s="1" t="n">
        <v>45336</v>
      </c>
      <c r="C5283" s="1" t="n">
        <v>45346</v>
      </c>
      <c r="D5283" t="inlineStr">
        <is>
          <t>UPPSALA LÄN</t>
        </is>
      </c>
      <c r="E5283" t="inlineStr">
        <is>
          <t>UPPSALA</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6044-2024</t>
        </is>
      </c>
      <c r="B5284" s="1" t="n">
        <v>45336</v>
      </c>
      <c r="C5284" s="1" t="n">
        <v>45346</v>
      </c>
      <c r="D5284" t="inlineStr">
        <is>
          <t>UPPSALA LÄN</t>
        </is>
      </c>
      <c r="E5284" t="inlineStr">
        <is>
          <t>UPPSALA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6121-2024</t>
        </is>
      </c>
      <c r="B5285" s="1" t="n">
        <v>45337</v>
      </c>
      <c r="C5285" s="1" t="n">
        <v>45346</v>
      </c>
      <c r="D5285" t="inlineStr">
        <is>
          <t>UPPSALA LÄN</t>
        </is>
      </c>
      <c r="E5285" t="inlineStr">
        <is>
          <t>ÖSTHAMMAR</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6098-2024</t>
        </is>
      </c>
      <c r="B5286" s="1" t="n">
        <v>45337</v>
      </c>
      <c r="C5286" s="1" t="n">
        <v>45346</v>
      </c>
      <c r="D5286" t="inlineStr">
        <is>
          <t>UPPSALA LÄN</t>
        </is>
      </c>
      <c r="E5286" t="inlineStr">
        <is>
          <t>UPPSALA</t>
        </is>
      </c>
      <c r="F5286" t="inlineStr">
        <is>
          <t>Övriga Aktiebolag</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6102-2024</t>
        </is>
      </c>
      <c r="B5287" s="1" t="n">
        <v>45337</v>
      </c>
      <c r="C5287" s="1" t="n">
        <v>45346</v>
      </c>
      <c r="D5287" t="inlineStr">
        <is>
          <t>UPPSALA LÄN</t>
        </is>
      </c>
      <c r="E5287" t="inlineStr">
        <is>
          <t>ÖSTHAMMAR</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6106-2024</t>
        </is>
      </c>
      <c r="B5288" s="1" t="n">
        <v>45337</v>
      </c>
      <c r="C5288" s="1" t="n">
        <v>45346</v>
      </c>
      <c r="D5288" t="inlineStr">
        <is>
          <t>UPPSALA LÄN</t>
        </is>
      </c>
      <c r="E5288" t="inlineStr">
        <is>
          <t>ÖSTHAMMAR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6144-2024</t>
        </is>
      </c>
      <c r="B5289" s="1" t="n">
        <v>45337</v>
      </c>
      <c r="C5289" s="1" t="n">
        <v>45346</v>
      </c>
      <c r="D5289" t="inlineStr">
        <is>
          <t>UPPSALA LÄN</t>
        </is>
      </c>
      <c r="E5289" t="inlineStr">
        <is>
          <t>ENKÖPING</t>
        </is>
      </c>
      <c r="G5289" t="n">
        <v>13.8</v>
      </c>
      <c r="H5289" t="n">
        <v>0</v>
      </c>
      <c r="I5289" t="n">
        <v>0</v>
      </c>
      <c r="J5289" t="n">
        <v>0</v>
      </c>
      <c r="K5289" t="n">
        <v>0</v>
      </c>
      <c r="L5289" t="n">
        <v>0</v>
      </c>
      <c r="M5289" t="n">
        <v>0</v>
      </c>
      <c r="N5289" t="n">
        <v>0</v>
      </c>
      <c r="O5289" t="n">
        <v>0</v>
      </c>
      <c r="P5289" t="n">
        <v>0</v>
      </c>
      <c r="Q5289" t="n">
        <v>0</v>
      </c>
      <c r="R5289" s="2" t="inlineStr"/>
    </row>
    <row r="5290" ht="15" customHeight="1">
      <c r="A5290" t="inlineStr">
        <is>
          <t>A 6120-2024</t>
        </is>
      </c>
      <c r="B5290" s="1" t="n">
        <v>45337</v>
      </c>
      <c r="C5290" s="1" t="n">
        <v>45346</v>
      </c>
      <c r="D5290" t="inlineStr">
        <is>
          <t>UPPSALA LÄN</t>
        </is>
      </c>
      <c r="E5290" t="inlineStr">
        <is>
          <t>ÖSTHAMMAR</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6143-2024</t>
        </is>
      </c>
      <c r="B5291" s="1" t="n">
        <v>45337</v>
      </c>
      <c r="C5291" s="1" t="n">
        <v>45346</v>
      </c>
      <c r="D5291" t="inlineStr">
        <is>
          <t>UPPSALA LÄN</t>
        </is>
      </c>
      <c r="E5291" t="inlineStr">
        <is>
          <t>ÖSTHAMMAR</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6199-2024</t>
        </is>
      </c>
      <c r="B5292" s="1" t="n">
        <v>45337</v>
      </c>
      <c r="C5292" s="1" t="n">
        <v>45346</v>
      </c>
      <c r="D5292" t="inlineStr">
        <is>
          <t>UPPSALA LÄN</t>
        </is>
      </c>
      <c r="E5292" t="inlineStr">
        <is>
          <t>UPPSALA</t>
        </is>
      </c>
      <c r="F5292" t="inlineStr">
        <is>
          <t>Kyrkan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6211-2024</t>
        </is>
      </c>
      <c r="B5293" s="1" t="n">
        <v>45337</v>
      </c>
      <c r="C5293" s="1" t="n">
        <v>45346</v>
      </c>
      <c r="D5293" t="inlineStr">
        <is>
          <t>UPPSALA LÄN</t>
        </is>
      </c>
      <c r="E5293" t="inlineStr">
        <is>
          <t>UPPSALA</t>
        </is>
      </c>
      <c r="G5293" t="n">
        <v>14.8</v>
      </c>
      <c r="H5293" t="n">
        <v>0</v>
      </c>
      <c r="I5293" t="n">
        <v>0</v>
      </c>
      <c r="J5293" t="n">
        <v>0</v>
      </c>
      <c r="K5293" t="n">
        <v>0</v>
      </c>
      <c r="L5293" t="n">
        <v>0</v>
      </c>
      <c r="M5293" t="n">
        <v>0</v>
      </c>
      <c r="N5293" t="n">
        <v>0</v>
      </c>
      <c r="O5293" t="n">
        <v>0</v>
      </c>
      <c r="P5293" t="n">
        <v>0</v>
      </c>
      <c r="Q5293" t="n">
        <v>0</v>
      </c>
      <c r="R5293" s="2" t="inlineStr"/>
    </row>
    <row r="5294" ht="15" customHeight="1">
      <c r="A5294" t="inlineStr">
        <is>
          <t>A 6227-2024</t>
        </is>
      </c>
      <c r="B5294" s="1" t="n">
        <v>45337</v>
      </c>
      <c r="C5294" s="1" t="n">
        <v>45346</v>
      </c>
      <c r="D5294" t="inlineStr">
        <is>
          <t>UPPSALA LÄN</t>
        </is>
      </c>
      <c r="E5294" t="inlineStr">
        <is>
          <t>KNIVSTA</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6247-2024</t>
        </is>
      </c>
      <c r="B5295" s="1" t="n">
        <v>45337</v>
      </c>
      <c r="C5295" s="1" t="n">
        <v>45346</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6226-2024</t>
        </is>
      </c>
      <c r="B5296" s="1" t="n">
        <v>45337</v>
      </c>
      <c r="C5296" s="1" t="n">
        <v>45346</v>
      </c>
      <c r="D5296" t="inlineStr">
        <is>
          <t>UPPSALA LÄN</t>
        </is>
      </c>
      <c r="E5296" t="inlineStr">
        <is>
          <t>HEBY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6234-2024</t>
        </is>
      </c>
      <c r="B5297" s="1" t="n">
        <v>45337</v>
      </c>
      <c r="C5297" s="1" t="n">
        <v>45346</v>
      </c>
      <c r="D5297" t="inlineStr">
        <is>
          <t>UPPSALA LÄN</t>
        </is>
      </c>
      <c r="E5297" t="inlineStr">
        <is>
          <t>KNIVSTA</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6395-2024</t>
        </is>
      </c>
      <c r="B5298" s="1" t="n">
        <v>45338</v>
      </c>
      <c r="C5298" s="1" t="n">
        <v>45346</v>
      </c>
      <c r="D5298" t="inlineStr">
        <is>
          <t>UPPSALA LÄN</t>
        </is>
      </c>
      <c r="E5298" t="inlineStr">
        <is>
          <t>TIERP</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6385-2024</t>
        </is>
      </c>
      <c r="B5299" s="1" t="n">
        <v>45338</v>
      </c>
      <c r="C5299" s="1" t="n">
        <v>45346</v>
      </c>
      <c r="D5299" t="inlineStr">
        <is>
          <t>UPPSALA LÄN</t>
        </is>
      </c>
      <c r="E5299" t="inlineStr">
        <is>
          <t>TIERP</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6363-2024</t>
        </is>
      </c>
      <c r="B5300" s="1" t="n">
        <v>45338</v>
      </c>
      <c r="C5300" s="1" t="n">
        <v>45346</v>
      </c>
      <c r="D5300" t="inlineStr">
        <is>
          <t>UPPSALA LÄN</t>
        </is>
      </c>
      <c r="E5300" t="inlineStr">
        <is>
          <t>UPPSALA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6418-2024</t>
        </is>
      </c>
      <c r="B5301" s="1" t="n">
        <v>45338</v>
      </c>
      <c r="C5301" s="1" t="n">
        <v>45346</v>
      </c>
      <c r="D5301" t="inlineStr">
        <is>
          <t>UPPSALA LÄN</t>
        </is>
      </c>
      <c r="E5301" t="inlineStr">
        <is>
          <t>ÖSTHAMMAR</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6503-2024</t>
        </is>
      </c>
      <c r="B5302" s="1" t="n">
        <v>45339</v>
      </c>
      <c r="C5302" s="1" t="n">
        <v>45346</v>
      </c>
      <c r="D5302" t="inlineStr">
        <is>
          <t>UPPSALA LÄN</t>
        </is>
      </c>
      <c r="E5302" t="inlineStr">
        <is>
          <t>UPPSALA</t>
        </is>
      </c>
      <c r="F5302" t="inlineStr">
        <is>
          <t>Bergvik skog öst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6507-2024</t>
        </is>
      </c>
      <c r="B5303" s="1" t="n">
        <v>45339</v>
      </c>
      <c r="C5303" s="1" t="n">
        <v>45346</v>
      </c>
      <c r="D5303" t="inlineStr">
        <is>
          <t>UPPSALA LÄN</t>
        </is>
      </c>
      <c r="E5303" t="inlineStr">
        <is>
          <t>UPPSALA</t>
        </is>
      </c>
      <c r="F5303" t="inlineStr">
        <is>
          <t>Bergvik skog öst AB</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6497-2024</t>
        </is>
      </c>
      <c r="B5304" s="1" t="n">
        <v>45339</v>
      </c>
      <c r="C5304" s="1" t="n">
        <v>45346</v>
      </c>
      <c r="D5304" t="inlineStr">
        <is>
          <t>UPPSALA LÄN</t>
        </is>
      </c>
      <c r="E5304" t="inlineStr">
        <is>
          <t>HEBY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6501-2024</t>
        </is>
      </c>
      <c r="B5305" s="1" t="n">
        <v>45339</v>
      </c>
      <c r="C5305" s="1" t="n">
        <v>45346</v>
      </c>
      <c r="D5305" t="inlineStr">
        <is>
          <t>UPPSALA LÄN</t>
        </is>
      </c>
      <c r="E5305" t="inlineStr">
        <is>
          <t>UPPSALA</t>
        </is>
      </c>
      <c r="F5305" t="inlineStr">
        <is>
          <t>Bergvik skog öst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6505-2024</t>
        </is>
      </c>
      <c r="B5306" s="1" t="n">
        <v>45339</v>
      </c>
      <c r="C5306" s="1" t="n">
        <v>45346</v>
      </c>
      <c r="D5306" t="inlineStr">
        <is>
          <t>UPPSALA LÄN</t>
        </is>
      </c>
      <c r="E5306" t="inlineStr">
        <is>
          <t>UPPSALA</t>
        </is>
      </c>
      <c r="F5306" t="inlineStr">
        <is>
          <t>Bergvik skog öst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6506-2024</t>
        </is>
      </c>
      <c r="B5307" s="1" t="n">
        <v>45339</v>
      </c>
      <c r="C5307" s="1" t="n">
        <v>45346</v>
      </c>
      <c r="D5307" t="inlineStr">
        <is>
          <t>UPPSALA LÄN</t>
        </is>
      </c>
      <c r="E5307" t="inlineStr">
        <is>
          <t>UPPSALA</t>
        </is>
      </c>
      <c r="F5307" t="inlineStr">
        <is>
          <t>Bergvik skog öst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6500-2024</t>
        </is>
      </c>
      <c r="B5308" s="1" t="n">
        <v>45339</v>
      </c>
      <c r="C5308" s="1" t="n">
        <v>45346</v>
      </c>
      <c r="D5308" t="inlineStr">
        <is>
          <t>UPPSALA LÄN</t>
        </is>
      </c>
      <c r="E5308" t="inlineStr">
        <is>
          <t>UPPSALA</t>
        </is>
      </c>
      <c r="F5308" t="inlineStr">
        <is>
          <t>Bergvik skog öst AB</t>
        </is>
      </c>
      <c r="G5308" t="n">
        <v>23.7</v>
      </c>
      <c r="H5308" t="n">
        <v>0</v>
      </c>
      <c r="I5308" t="n">
        <v>0</v>
      </c>
      <c r="J5308" t="n">
        <v>0</v>
      </c>
      <c r="K5308" t="n">
        <v>0</v>
      </c>
      <c r="L5308" t="n">
        <v>0</v>
      </c>
      <c r="M5308" t="n">
        <v>0</v>
      </c>
      <c r="N5308" t="n">
        <v>0</v>
      </c>
      <c r="O5308" t="n">
        <v>0</v>
      </c>
      <c r="P5308" t="n">
        <v>0</v>
      </c>
      <c r="Q5308" t="n">
        <v>0</v>
      </c>
      <c r="R5308" s="2" t="inlineStr"/>
    </row>
    <row r="5309" ht="15" customHeight="1">
      <c r="A5309" t="inlineStr">
        <is>
          <t>A 6504-2024</t>
        </is>
      </c>
      <c r="B5309" s="1" t="n">
        <v>45339</v>
      </c>
      <c r="C5309" s="1" t="n">
        <v>45346</v>
      </c>
      <c r="D5309" t="inlineStr">
        <is>
          <t>UPPSALA LÄN</t>
        </is>
      </c>
      <c r="E5309" t="inlineStr">
        <is>
          <t>UPPSALA</t>
        </is>
      </c>
      <c r="F5309" t="inlineStr">
        <is>
          <t>Bergvik skog öst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6656-2024</t>
        </is>
      </c>
      <c r="B5310" s="1" t="n">
        <v>45341</v>
      </c>
      <c r="C5310" s="1" t="n">
        <v>45346</v>
      </c>
      <c r="D5310" t="inlineStr">
        <is>
          <t>UPPSALA LÄN</t>
        </is>
      </c>
      <c r="E5310" t="inlineStr">
        <is>
          <t>ÖSTHAMMAR</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6554-2024</t>
        </is>
      </c>
      <c r="B5311" s="1" t="n">
        <v>45341</v>
      </c>
      <c r="C5311" s="1" t="n">
        <v>45346</v>
      </c>
      <c r="D5311" t="inlineStr">
        <is>
          <t>UPPSALA LÄN</t>
        </is>
      </c>
      <c r="E5311" t="inlineStr">
        <is>
          <t>HEBY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6678-2024</t>
        </is>
      </c>
      <c r="B5312" s="1" t="n">
        <v>45341</v>
      </c>
      <c r="C5312" s="1" t="n">
        <v>45346</v>
      </c>
      <c r="D5312" t="inlineStr">
        <is>
          <t>UPPSALA LÄN</t>
        </is>
      </c>
      <c r="E5312" t="inlineStr">
        <is>
          <t>UPPSALA</t>
        </is>
      </c>
      <c r="F5312" t="inlineStr">
        <is>
          <t>Bergvik skog öst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6547-2024</t>
        </is>
      </c>
      <c r="B5313" s="1" t="n">
        <v>45341</v>
      </c>
      <c r="C5313" s="1" t="n">
        <v>45346</v>
      </c>
      <c r="D5313" t="inlineStr">
        <is>
          <t>UPPSALA LÄN</t>
        </is>
      </c>
      <c r="E5313" t="inlineStr">
        <is>
          <t>HEBY</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6555-2024</t>
        </is>
      </c>
      <c r="B5314" s="1" t="n">
        <v>45341</v>
      </c>
      <c r="C5314" s="1" t="n">
        <v>45346</v>
      </c>
      <c r="D5314" t="inlineStr">
        <is>
          <t>UPPSALA LÄN</t>
        </is>
      </c>
      <c r="E5314" t="inlineStr">
        <is>
          <t>HEBY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6628-2024</t>
        </is>
      </c>
      <c r="B5315" s="1" t="n">
        <v>45341</v>
      </c>
      <c r="C5315" s="1" t="n">
        <v>45346</v>
      </c>
      <c r="D5315" t="inlineStr">
        <is>
          <t>UPPSALA LÄN</t>
        </is>
      </c>
      <c r="E5315" t="inlineStr">
        <is>
          <t>UPPSALA</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6650-2024</t>
        </is>
      </c>
      <c r="B5316" s="1" t="n">
        <v>45341</v>
      </c>
      <c r="C5316" s="1" t="n">
        <v>45346</v>
      </c>
      <c r="D5316" t="inlineStr">
        <is>
          <t>UPPSALA LÄN</t>
        </is>
      </c>
      <c r="E5316" t="inlineStr">
        <is>
          <t>UPPSALA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6679-2024</t>
        </is>
      </c>
      <c r="B5317" s="1" t="n">
        <v>45341</v>
      </c>
      <c r="C5317" s="1" t="n">
        <v>45346</v>
      </c>
      <c r="D5317" t="inlineStr">
        <is>
          <t>UPPSALA LÄN</t>
        </is>
      </c>
      <c r="E5317" t="inlineStr">
        <is>
          <t>UPPSALA</t>
        </is>
      </c>
      <c r="F5317" t="inlineStr">
        <is>
          <t>Bergvik skog öst AB</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6676-2024</t>
        </is>
      </c>
      <c r="B5318" s="1" t="n">
        <v>45341</v>
      </c>
      <c r="C5318" s="1" t="n">
        <v>45346</v>
      </c>
      <c r="D5318" t="inlineStr">
        <is>
          <t>UPPSALA LÄN</t>
        </is>
      </c>
      <c r="E5318" t="inlineStr">
        <is>
          <t>UPPSALA</t>
        </is>
      </c>
      <c r="F5318" t="inlineStr">
        <is>
          <t>Bergvik skog öst AB</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6630-2024</t>
        </is>
      </c>
      <c r="B5319" s="1" t="n">
        <v>45341</v>
      </c>
      <c r="C5319" s="1" t="n">
        <v>45346</v>
      </c>
      <c r="D5319" t="inlineStr">
        <is>
          <t>UPPSALA LÄN</t>
        </is>
      </c>
      <c r="E5319" t="inlineStr">
        <is>
          <t>UPPSALA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6661-2024</t>
        </is>
      </c>
      <c r="B5320" s="1" t="n">
        <v>45341</v>
      </c>
      <c r="C5320" s="1" t="n">
        <v>45346</v>
      </c>
      <c r="D5320" t="inlineStr">
        <is>
          <t>UPPSALA LÄN</t>
        </is>
      </c>
      <c r="E5320" t="inlineStr">
        <is>
          <t>ÖSTHAMMAR</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6677-2024</t>
        </is>
      </c>
      <c r="B5321" s="1" t="n">
        <v>45341</v>
      </c>
      <c r="C5321" s="1" t="n">
        <v>45346</v>
      </c>
      <c r="D5321" t="inlineStr">
        <is>
          <t>UPPSALA LÄN</t>
        </is>
      </c>
      <c r="E5321" t="inlineStr">
        <is>
          <t>UPPSALA</t>
        </is>
      </c>
      <c r="F5321" t="inlineStr">
        <is>
          <t>Bergvik skog öst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6885-2024</t>
        </is>
      </c>
      <c r="B5322" s="1" t="n">
        <v>45342</v>
      </c>
      <c r="C5322" s="1" t="n">
        <v>45346</v>
      </c>
      <c r="D5322" t="inlineStr">
        <is>
          <t>UPPSALA LÄN</t>
        </is>
      </c>
      <c r="E5322" t="inlineStr">
        <is>
          <t>HEBY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6882-2024</t>
        </is>
      </c>
      <c r="B5323" s="1" t="n">
        <v>45342</v>
      </c>
      <c r="C5323" s="1" t="n">
        <v>45346</v>
      </c>
      <c r="D5323" t="inlineStr">
        <is>
          <t>UPPSALA LÄN</t>
        </is>
      </c>
      <c r="E5323" t="inlineStr">
        <is>
          <t>HEBY</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7048-2024</t>
        </is>
      </c>
      <c r="B5324" s="1" t="n">
        <v>45343</v>
      </c>
      <c r="C5324" s="1" t="n">
        <v>45346</v>
      </c>
      <c r="D5324" t="inlineStr">
        <is>
          <t>UPPSALA LÄN</t>
        </is>
      </c>
      <c r="E5324" t="inlineStr">
        <is>
          <t>TIERP</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6966-2024</t>
        </is>
      </c>
      <c r="B5325" s="1" t="n">
        <v>45343</v>
      </c>
      <c r="C5325" s="1" t="n">
        <v>45346</v>
      </c>
      <c r="D5325" t="inlineStr">
        <is>
          <t>UPPSALA LÄN</t>
        </is>
      </c>
      <c r="E5325" t="inlineStr">
        <is>
          <t>UPPSALA</t>
        </is>
      </c>
      <c r="F5325" t="inlineStr">
        <is>
          <t>Holmen skog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7065-2024</t>
        </is>
      </c>
      <c r="B5326" s="1" t="n">
        <v>45343</v>
      </c>
      <c r="C5326" s="1" t="n">
        <v>45346</v>
      </c>
      <c r="D5326" t="inlineStr">
        <is>
          <t>UPPSALA LÄN</t>
        </is>
      </c>
      <c r="E5326" t="inlineStr">
        <is>
          <t>TIERP</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7084-2024</t>
        </is>
      </c>
      <c r="B5327" s="1" t="n">
        <v>45343</v>
      </c>
      <c r="C5327" s="1" t="n">
        <v>45346</v>
      </c>
      <c r="D5327" t="inlineStr">
        <is>
          <t>UPPSALA LÄN</t>
        </is>
      </c>
      <c r="E5327" t="inlineStr">
        <is>
          <t>HEBY</t>
        </is>
      </c>
      <c r="F5327" t="inlineStr">
        <is>
          <t>Kyrkan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7088-2024</t>
        </is>
      </c>
      <c r="B5328" s="1" t="n">
        <v>45343</v>
      </c>
      <c r="C5328" s="1" t="n">
        <v>45346</v>
      </c>
      <c r="D5328" t="inlineStr">
        <is>
          <t>UPPSALA LÄN</t>
        </is>
      </c>
      <c r="E5328" t="inlineStr">
        <is>
          <t>HEBY</t>
        </is>
      </c>
      <c r="F5328" t="inlineStr">
        <is>
          <t>Kyrkan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7158-2024</t>
        </is>
      </c>
      <c r="B5329" s="1" t="n">
        <v>45344</v>
      </c>
      <c r="C5329" s="1" t="n">
        <v>45346</v>
      </c>
      <c r="D5329" t="inlineStr">
        <is>
          <t>UPPSALA LÄN</t>
        </is>
      </c>
      <c r="E5329" t="inlineStr">
        <is>
          <t>UPPSALA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7166-2024</t>
        </is>
      </c>
      <c r="B5330" s="1" t="n">
        <v>45344</v>
      </c>
      <c r="C5330" s="1" t="n">
        <v>45346</v>
      </c>
      <c r="D5330" t="inlineStr">
        <is>
          <t>UPPSALA LÄN</t>
        </is>
      </c>
      <c r="E5330" t="inlineStr">
        <is>
          <t>HEBY</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7275-2024</t>
        </is>
      </c>
      <c r="B5331" s="1" t="n">
        <v>45344</v>
      </c>
      <c r="C5331" s="1" t="n">
        <v>45346</v>
      </c>
      <c r="D5331" t="inlineStr">
        <is>
          <t>UPPSALA LÄN</t>
        </is>
      </c>
      <c r="E5331" t="inlineStr">
        <is>
          <t>UPPSALA</t>
        </is>
      </c>
      <c r="F5331" t="inlineStr">
        <is>
          <t>Bergvik skog öst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7175-2024</t>
        </is>
      </c>
      <c r="B5332" s="1" t="n">
        <v>45344</v>
      </c>
      <c r="C5332" s="1" t="n">
        <v>45346</v>
      </c>
      <c r="D5332" t="inlineStr">
        <is>
          <t>UPPSALA LÄN</t>
        </is>
      </c>
      <c r="E5332" t="inlineStr">
        <is>
          <t>UPPSALA</t>
        </is>
      </c>
      <c r="F5332" t="inlineStr">
        <is>
          <t>Kyrkan</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7127-2024</t>
        </is>
      </c>
      <c r="B5333" s="1" t="n">
        <v>45344</v>
      </c>
      <c r="C5333" s="1" t="n">
        <v>45346</v>
      </c>
      <c r="D5333" t="inlineStr">
        <is>
          <t>UPPSALA LÄN</t>
        </is>
      </c>
      <c r="E5333" t="inlineStr">
        <is>
          <t>TIERP</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7169-2024</t>
        </is>
      </c>
      <c r="B5334" s="1" t="n">
        <v>45344</v>
      </c>
      <c r="C5334" s="1" t="n">
        <v>45346</v>
      </c>
      <c r="D5334" t="inlineStr">
        <is>
          <t>UPPSALA LÄN</t>
        </is>
      </c>
      <c r="E5334" t="inlineStr">
        <is>
          <t>HEBY</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7173-2024</t>
        </is>
      </c>
      <c r="B5335" s="1" t="n">
        <v>45344</v>
      </c>
      <c r="C5335" s="1" t="n">
        <v>45346</v>
      </c>
      <c r="D5335" t="inlineStr">
        <is>
          <t>UPPSALA LÄN</t>
        </is>
      </c>
      <c r="E5335" t="inlineStr">
        <is>
          <t>HEBY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7160-2024</t>
        </is>
      </c>
      <c r="B5336" s="1" t="n">
        <v>45344</v>
      </c>
      <c r="C5336" s="1" t="n">
        <v>45346</v>
      </c>
      <c r="D5336" t="inlineStr">
        <is>
          <t>UPPSALA LÄN</t>
        </is>
      </c>
      <c r="E5336" t="inlineStr">
        <is>
          <t>HEBY</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7226-2024</t>
        </is>
      </c>
      <c r="B5337" s="1" t="n">
        <v>45344</v>
      </c>
      <c r="C5337" s="1" t="n">
        <v>45346</v>
      </c>
      <c r="D5337" t="inlineStr">
        <is>
          <t>UPPSALA LÄN</t>
        </is>
      </c>
      <c r="E5337" t="inlineStr">
        <is>
          <t>UPPSALA</t>
        </is>
      </c>
      <c r="F5337" t="inlineStr">
        <is>
          <t>Kyrkan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7276-2024</t>
        </is>
      </c>
      <c r="B5338" s="1" t="n">
        <v>45344</v>
      </c>
      <c r="C5338" s="1" t="n">
        <v>45346</v>
      </c>
      <c r="D5338" t="inlineStr">
        <is>
          <t>UPPSALA LÄN</t>
        </is>
      </c>
      <c r="E5338" t="inlineStr">
        <is>
          <t>UPPSALA</t>
        </is>
      </c>
      <c r="F5338" t="inlineStr">
        <is>
          <t>Bergvik skog öst AB</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7253-2024</t>
        </is>
      </c>
      <c r="B5339" s="1" t="n">
        <v>45344</v>
      </c>
      <c r="C5339" s="1" t="n">
        <v>45346</v>
      </c>
      <c r="D5339" t="inlineStr">
        <is>
          <t>UPPSALA LÄN</t>
        </is>
      </c>
      <c r="E5339" t="inlineStr">
        <is>
          <t>UPPSALA</t>
        </is>
      </c>
      <c r="F5339" t="inlineStr">
        <is>
          <t>Kyrkan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7274-2024</t>
        </is>
      </c>
      <c r="B5340" s="1" t="n">
        <v>45344</v>
      </c>
      <c r="C5340" s="1" t="n">
        <v>45346</v>
      </c>
      <c r="D5340" t="inlineStr">
        <is>
          <t>UPPSALA LÄN</t>
        </is>
      </c>
      <c r="E5340" t="inlineStr">
        <is>
          <t>UPPSALA</t>
        </is>
      </c>
      <c r="F5340" t="inlineStr">
        <is>
          <t>Bergvik skog öst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7278-2024</t>
        </is>
      </c>
      <c r="B5341" s="1" t="n">
        <v>45344</v>
      </c>
      <c r="C5341" s="1" t="n">
        <v>45346</v>
      </c>
      <c r="D5341" t="inlineStr">
        <is>
          <t>UPPSALA LÄN</t>
        </is>
      </c>
      <c r="E5341" t="inlineStr">
        <is>
          <t>UPPSALA</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7388-2024</t>
        </is>
      </c>
      <c r="B5342" s="1" t="n">
        <v>45345</v>
      </c>
      <c r="C5342" s="1" t="n">
        <v>45346</v>
      </c>
      <c r="D5342" t="inlineStr">
        <is>
          <t>UPPSALA LÄN</t>
        </is>
      </c>
      <c r="E5342" t="inlineStr">
        <is>
          <t>UPPSALA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7400-2024</t>
        </is>
      </c>
      <c r="B5343" s="1" t="n">
        <v>45345</v>
      </c>
      <c r="C5343" s="1" t="n">
        <v>45346</v>
      </c>
      <c r="D5343" t="inlineStr">
        <is>
          <t>UPPSALA LÄN</t>
        </is>
      </c>
      <c r="E5343" t="inlineStr">
        <is>
          <t>UPPSALA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7389-2024</t>
        </is>
      </c>
      <c r="B5344" s="1" t="n">
        <v>45345</v>
      </c>
      <c r="C5344" s="1" t="n">
        <v>45346</v>
      </c>
      <c r="D5344" t="inlineStr">
        <is>
          <t>UPPSALA LÄN</t>
        </is>
      </c>
      <c r="E5344" t="inlineStr">
        <is>
          <t>UPPSALA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7390-2024</t>
        </is>
      </c>
      <c r="B5345" s="1" t="n">
        <v>45345</v>
      </c>
      <c r="C5345" s="1" t="n">
        <v>45346</v>
      </c>
      <c r="D5345" t="inlineStr">
        <is>
          <t>UPPSALA LÄN</t>
        </is>
      </c>
      <c r="E5345" t="inlineStr">
        <is>
          <t>UPPSALA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7403-2024</t>
        </is>
      </c>
      <c r="B5346" s="1" t="n">
        <v>45345</v>
      </c>
      <c r="C5346" s="1" t="n">
        <v>45346</v>
      </c>
      <c r="D5346" t="inlineStr">
        <is>
          <t>UPPSALA LÄN</t>
        </is>
      </c>
      <c r="E5346" t="inlineStr">
        <is>
          <t>UPPSALA</t>
        </is>
      </c>
      <c r="G5346" t="n">
        <v>2.3</v>
      </c>
      <c r="H5346" t="n">
        <v>0</v>
      </c>
      <c r="I5346" t="n">
        <v>0</v>
      </c>
      <c r="J5346" t="n">
        <v>0</v>
      </c>
      <c r="K5346" t="n">
        <v>0</v>
      </c>
      <c r="L5346" t="n">
        <v>0</v>
      </c>
      <c r="M5346" t="n">
        <v>0</v>
      </c>
      <c r="N5346" t="n">
        <v>0</v>
      </c>
      <c r="O5346" t="n">
        <v>0</v>
      </c>
      <c r="P5346" t="n">
        <v>0</v>
      </c>
      <c r="Q5346" t="n">
        <v>0</v>
      </c>
      <c r="R5346" s="2" t="inlineStr"/>
    </row>
    <row r="5347">
      <c r="A5347" t="inlineStr">
        <is>
          <t>A 7407-2024</t>
        </is>
      </c>
      <c r="B5347" s="1" t="n">
        <v>45345</v>
      </c>
      <c r="C5347" s="1" t="n">
        <v>45346</v>
      </c>
      <c r="D5347" t="inlineStr">
        <is>
          <t>UPPSALA LÄN</t>
        </is>
      </c>
      <c r="E5347" t="inlineStr">
        <is>
          <t>UPPSALA</t>
        </is>
      </c>
      <c r="G5347" t="n">
        <v>1.4</v>
      </c>
      <c r="H5347" t="n">
        <v>0</v>
      </c>
      <c r="I5347" t="n">
        <v>0</v>
      </c>
      <c r="J5347" t="n">
        <v>0</v>
      </c>
      <c r="K5347" t="n">
        <v>0</v>
      </c>
      <c r="L5347" t="n">
        <v>0</v>
      </c>
      <c r="M5347" t="n">
        <v>0</v>
      </c>
      <c r="N5347" t="n">
        <v>0</v>
      </c>
      <c r="O5347" t="n">
        <v>0</v>
      </c>
      <c r="P5347" t="n">
        <v>0</v>
      </c>
      <c r="Q5347" t="n">
        <v>0</v>
      </c>
      <c r="R5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2024-02-24T12:30:38Z</dcterms:created>
  <dcterms:modified xmlns:dcterms="http://purl.org/dc/terms/" xmlns:xsi="http://www.w3.org/2001/XMLSchema-instance" xsi:type="dcterms:W3CDTF">2024-02-24T12:30:43Z</dcterms:modified>
</cp:coreProperties>
</file>