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45792</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45792</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45792</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45792</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45792</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45792</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45792</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45792</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45792</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45792</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45792</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45792</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45792</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45792</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45792</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45792</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45792</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45792</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45792</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45792</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45792</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45792</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45792</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45792</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45792</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45792</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45792</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45792</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45792</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45792</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45792</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45792</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45792</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45792</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45792</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45792</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45792</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45792</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45792</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45792</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45792</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45792</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45792</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45792</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45792</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45792</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45792</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45792</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45792</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45792</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45792</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45792</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45792</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45792</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45792</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45792</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45792</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45792</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45792</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45792</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45792</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45792</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45792</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45792</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45792</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45792</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45792</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45792</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45792</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45792</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45792</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45792</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45792</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45792</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45792</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45792</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45792</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45792</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45792</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45792</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45792</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45792</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45792</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45792</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45792</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45792</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45792</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45792</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45792</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45792</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45792</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45792</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45792</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45792</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45792</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45792</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45792</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45792</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45792</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45792</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45792</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45792</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45792</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45792</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45792</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45792</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45792</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45792</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45792</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45792</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45792</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45792</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45792</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45792</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45792</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45792</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45792</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45792</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45792</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45792</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45792</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45792</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45792</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45792</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45792</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45792</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45792</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45792</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45792</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45792</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45792</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45792</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45792</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45792</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45792</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45792</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45792</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45792</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45792</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45792</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45792</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45792</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45792</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45792</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45792</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45792</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45792</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45792</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45792</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45792</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45792</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45792</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45792</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45792</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45792</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45792</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45792</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45792</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45792</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45792</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45792</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45792</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45792</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45792</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45792</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45792</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45792</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45792</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45792</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45792</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45792</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45792</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45792</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45792</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45792</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45792</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45792</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45792</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45792</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45792</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45792</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45792</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45792</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45792</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45792</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45792</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45792</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45792</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45792</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45792</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45792</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45792</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45792</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45792</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45792</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45792</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45792</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45792</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45792</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45792</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45792</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45792</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45792</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45792</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45792</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45792</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45792</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45792</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45792</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45792</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45792</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45792</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45792</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45792</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45792</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45792</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45792</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45792</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45792</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45792</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45792</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45792</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45792</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45792</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45792</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45792</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45792</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45792</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45792</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45792</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45792</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45792</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45792</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45792</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45792</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45792</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73005-2021</t>
        </is>
      </c>
      <c r="B258" s="1" t="n">
        <v>44550</v>
      </c>
      <c r="C258" s="1" t="n">
        <v>45792</v>
      </c>
      <c r="D258" t="inlineStr">
        <is>
          <t>UPPSALA LÄN</t>
        </is>
      </c>
      <c r="E258" t="inlineStr">
        <is>
          <t>TIERP</t>
        </is>
      </c>
      <c r="F258" t="inlineStr">
        <is>
          <t>Bergvik skog väst AB</t>
        </is>
      </c>
      <c r="G258" t="n">
        <v>5.7</v>
      </c>
      <c r="H258" t="n">
        <v>0</v>
      </c>
      <c r="I258" t="n">
        <v>2</v>
      </c>
      <c r="J258" t="n">
        <v>1</v>
      </c>
      <c r="K258" t="n">
        <v>0</v>
      </c>
      <c r="L258" t="n">
        <v>0</v>
      </c>
      <c r="M258" t="n">
        <v>0</v>
      </c>
      <c r="N258" t="n">
        <v>0</v>
      </c>
      <c r="O258" t="n">
        <v>1</v>
      </c>
      <c r="P258" t="n">
        <v>0</v>
      </c>
      <c r="Q258" t="n">
        <v>3</v>
      </c>
      <c r="R258" s="2" t="inlineStr">
        <is>
          <t>Ekticka
Dvärghäxört
Jättesvampmal</t>
        </is>
      </c>
      <c r="S258">
        <f>HYPERLINK("https://klasma.github.io/Logging_0360/artfynd/A 73005-2021 artfynd.xlsx", "A 73005-2021")</f>
        <v/>
      </c>
      <c r="T258">
        <f>HYPERLINK("https://klasma.github.io/Logging_0360/kartor/A 73005-2021 karta.png", "A 73005-2021")</f>
        <v/>
      </c>
      <c r="V258">
        <f>HYPERLINK("https://klasma.github.io/Logging_0360/klagomål/A 73005-2021 FSC-klagomål.docx", "A 73005-2021")</f>
        <v/>
      </c>
      <c r="W258">
        <f>HYPERLINK("https://klasma.github.io/Logging_0360/klagomålsmail/A 73005-2021 FSC-klagomål mail.docx", "A 73005-2021")</f>
        <v/>
      </c>
      <c r="X258">
        <f>HYPERLINK("https://klasma.github.io/Logging_0360/tillsyn/A 73005-2021 tillsynsbegäran.docx", "A 73005-2021")</f>
        <v/>
      </c>
      <c r="Y258">
        <f>HYPERLINK("https://klasma.github.io/Logging_0360/tillsynsmail/A 73005-2021 tillsynsbegäran mail.docx", "A 73005-2021")</f>
        <v/>
      </c>
    </row>
    <row r="259" ht="15" customHeight="1">
      <c r="A259" t="inlineStr">
        <is>
          <t>A 73325-2021</t>
        </is>
      </c>
      <c r="B259" s="1" t="n">
        <v>44551</v>
      </c>
      <c r="C259" s="1" t="n">
        <v>45792</v>
      </c>
      <c r="D259" t="inlineStr">
        <is>
          <t>UPPSALA LÄN</t>
        </is>
      </c>
      <c r="E259" t="inlineStr">
        <is>
          <t>TIERP</t>
        </is>
      </c>
      <c r="G259" t="n">
        <v>3.7</v>
      </c>
      <c r="H259" t="n">
        <v>0</v>
      </c>
      <c r="I259" t="n">
        <v>1</v>
      </c>
      <c r="J259" t="n">
        <v>1</v>
      </c>
      <c r="K259" t="n">
        <v>1</v>
      </c>
      <c r="L259" t="n">
        <v>0</v>
      </c>
      <c r="M259" t="n">
        <v>0</v>
      </c>
      <c r="N259" t="n">
        <v>0</v>
      </c>
      <c r="O259" t="n">
        <v>2</v>
      </c>
      <c r="P259" t="n">
        <v>1</v>
      </c>
      <c r="Q259" t="n">
        <v>3</v>
      </c>
      <c r="R259" s="2" t="inlineStr">
        <is>
          <t>Taggfingersvamp
Äggspindling
Rödgul trumpetsvamp</t>
        </is>
      </c>
      <c r="S259">
        <f>HYPERLINK("https://klasma.github.io/Logging_0360/artfynd/A 73325-2021 artfynd.xlsx", "A 73325-2021")</f>
        <v/>
      </c>
      <c r="T259">
        <f>HYPERLINK("https://klasma.github.io/Logging_0360/kartor/A 73325-2021 karta.png", "A 73325-2021")</f>
        <v/>
      </c>
      <c r="V259">
        <f>HYPERLINK("https://klasma.github.io/Logging_0360/klagomål/A 73325-2021 FSC-klagomål.docx", "A 73325-2021")</f>
        <v/>
      </c>
      <c r="W259">
        <f>HYPERLINK("https://klasma.github.io/Logging_0360/klagomålsmail/A 73325-2021 FSC-klagomål mail.docx", "A 73325-2021")</f>
        <v/>
      </c>
      <c r="X259">
        <f>HYPERLINK("https://klasma.github.io/Logging_0360/tillsyn/A 73325-2021 tillsynsbegäran.docx", "A 73325-2021")</f>
        <v/>
      </c>
      <c r="Y259">
        <f>HYPERLINK("https://klasma.github.io/Logging_0360/tillsynsmail/A 73325-2021 tillsynsbegäran mail.docx", "A 73325-2021")</f>
        <v/>
      </c>
    </row>
    <row r="260" ht="15" customHeight="1">
      <c r="A260" t="inlineStr">
        <is>
          <t>A 2711-2022</t>
        </is>
      </c>
      <c r="B260" s="1" t="n">
        <v>44552</v>
      </c>
      <c r="C260" s="1" t="n">
        <v>45792</v>
      </c>
      <c r="D260" t="inlineStr">
        <is>
          <t>UPPSALA LÄN</t>
        </is>
      </c>
      <c r="E260" t="inlineStr">
        <is>
          <t>ENKÖPING</t>
        </is>
      </c>
      <c r="F260" t="inlineStr">
        <is>
          <t>Kommuner</t>
        </is>
      </c>
      <c r="G260" t="n">
        <v>2</v>
      </c>
      <c r="H260" t="n">
        <v>0</v>
      </c>
      <c r="I260" t="n">
        <v>2</v>
      </c>
      <c r="J260" t="n">
        <v>0</v>
      </c>
      <c r="K260" t="n">
        <v>1</v>
      </c>
      <c r="L260" t="n">
        <v>0</v>
      </c>
      <c r="M260" t="n">
        <v>0</v>
      </c>
      <c r="N260" t="n">
        <v>0</v>
      </c>
      <c r="O260" t="n">
        <v>1</v>
      </c>
      <c r="P260" t="n">
        <v>1</v>
      </c>
      <c r="Q260" t="n">
        <v>3</v>
      </c>
      <c r="R260" s="2" t="inlineStr">
        <is>
          <t>Grangråticka
Skarp dropptaggsvamp
Strimspindling</t>
        </is>
      </c>
      <c r="S260">
        <f>HYPERLINK("https://klasma.github.io/Logging_0381/artfynd/A 2711-2022 artfynd.xlsx", "A 2711-2022")</f>
        <v/>
      </c>
      <c r="T260">
        <f>HYPERLINK("https://klasma.github.io/Logging_0381/kartor/A 2711-2022 karta.png", "A 2711-2022")</f>
        <v/>
      </c>
      <c r="V260">
        <f>HYPERLINK("https://klasma.github.io/Logging_0381/klagomål/A 2711-2022 FSC-klagomål.docx", "A 2711-2022")</f>
        <v/>
      </c>
      <c r="W260">
        <f>HYPERLINK("https://klasma.github.io/Logging_0381/klagomålsmail/A 2711-2022 FSC-klagomål mail.docx", "A 2711-2022")</f>
        <v/>
      </c>
      <c r="X260">
        <f>HYPERLINK("https://klasma.github.io/Logging_0381/tillsyn/A 2711-2022 tillsynsbegäran.docx", "A 2711-2022")</f>
        <v/>
      </c>
      <c r="Y260">
        <f>HYPERLINK("https://klasma.github.io/Logging_0381/tillsynsmail/A 2711-2022 tillsynsbegäran mail.docx", "A 2711-2022")</f>
        <v/>
      </c>
    </row>
    <row r="261" ht="15" customHeight="1">
      <c r="A261" t="inlineStr">
        <is>
          <t>A 73903-2021</t>
        </is>
      </c>
      <c r="B261" s="1" t="n">
        <v>44552</v>
      </c>
      <c r="C261" s="1" t="n">
        <v>45792</v>
      </c>
      <c r="D261" t="inlineStr">
        <is>
          <t>UPPSALA LÄN</t>
        </is>
      </c>
      <c r="E261" t="inlineStr">
        <is>
          <t>ENKÖPING</t>
        </is>
      </c>
      <c r="F261" t="inlineStr">
        <is>
          <t>Kommuner</t>
        </is>
      </c>
      <c r="G261" t="n">
        <v>3.1</v>
      </c>
      <c r="H261" t="n">
        <v>0</v>
      </c>
      <c r="I261" t="n">
        <v>0</v>
      </c>
      <c r="J261" t="n">
        <v>2</v>
      </c>
      <c r="K261" t="n">
        <v>1</v>
      </c>
      <c r="L261" t="n">
        <v>0</v>
      </c>
      <c r="M261" t="n">
        <v>0</v>
      </c>
      <c r="N261" t="n">
        <v>0</v>
      </c>
      <c r="O261" t="n">
        <v>3</v>
      </c>
      <c r="P261" t="n">
        <v>1</v>
      </c>
      <c r="Q261" t="n">
        <v>3</v>
      </c>
      <c r="R261" s="2" t="inlineStr">
        <is>
          <t>Rynkskinn
Orange taggsvamp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1396-2022</t>
        </is>
      </c>
      <c r="B262" s="1" t="n">
        <v>44573</v>
      </c>
      <c r="C262" s="1" t="n">
        <v>45792</v>
      </c>
      <c r="D262" t="inlineStr">
        <is>
          <t>UPPSALA LÄN</t>
        </is>
      </c>
      <c r="E262" t="inlineStr">
        <is>
          <t>HEBY</t>
        </is>
      </c>
      <c r="F262" t="inlineStr">
        <is>
          <t>Allmännings- och besparingsskogar</t>
        </is>
      </c>
      <c r="G262" t="n">
        <v>2</v>
      </c>
      <c r="H262" t="n">
        <v>3</v>
      </c>
      <c r="I262" t="n">
        <v>0</v>
      </c>
      <c r="J262" t="n">
        <v>0</v>
      </c>
      <c r="K262" t="n">
        <v>0</v>
      </c>
      <c r="L262" t="n">
        <v>0</v>
      </c>
      <c r="M262" t="n">
        <v>0</v>
      </c>
      <c r="N262" t="n">
        <v>0</v>
      </c>
      <c r="O262" t="n">
        <v>0</v>
      </c>
      <c r="P262" t="n">
        <v>0</v>
      </c>
      <c r="Q262" t="n">
        <v>3</v>
      </c>
      <c r="R262" s="2" t="inlineStr">
        <is>
          <t>Åkergroda
Vanlig groda
Vanlig padda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14313-2022</t>
        </is>
      </c>
      <c r="B263" s="1" t="n">
        <v>44652</v>
      </c>
      <c r="C263" s="1" t="n">
        <v>45792</v>
      </c>
      <c r="D263" t="inlineStr">
        <is>
          <t>UPPSALA LÄN</t>
        </is>
      </c>
      <c r="E263" t="inlineStr">
        <is>
          <t>UPPSALA</t>
        </is>
      </c>
      <c r="F263" t="inlineStr">
        <is>
          <t>Holmen skog AB</t>
        </is>
      </c>
      <c r="G263" t="n">
        <v>1.7</v>
      </c>
      <c r="H263" t="n">
        <v>2</v>
      </c>
      <c r="I263" t="n">
        <v>1</v>
      </c>
      <c r="J263" t="n">
        <v>0</v>
      </c>
      <c r="K263" t="n">
        <v>0</v>
      </c>
      <c r="L263" t="n">
        <v>0</v>
      </c>
      <c r="M263" t="n">
        <v>0</v>
      </c>
      <c r="N263" t="n">
        <v>0</v>
      </c>
      <c r="O263" t="n">
        <v>0</v>
      </c>
      <c r="P263" t="n">
        <v>0</v>
      </c>
      <c r="Q263" t="n">
        <v>3</v>
      </c>
      <c r="R263" s="2" t="inlineStr">
        <is>
          <t>Vätteros
Blåsippa
Gullviva</t>
        </is>
      </c>
      <c r="S263">
        <f>HYPERLINK("https://klasma.github.io/Logging_0380/artfynd/A 14313-2022 artfynd.xlsx", "A 14313-2022")</f>
        <v/>
      </c>
      <c r="T263">
        <f>HYPERLINK("https://klasma.github.io/Logging_0380/kartor/A 14313-2022 karta.png", "A 14313-2022")</f>
        <v/>
      </c>
      <c r="V263">
        <f>HYPERLINK("https://klasma.github.io/Logging_0380/klagomål/A 14313-2022 FSC-klagomål.docx", "A 14313-2022")</f>
        <v/>
      </c>
      <c r="W263">
        <f>HYPERLINK("https://klasma.github.io/Logging_0380/klagomålsmail/A 14313-2022 FSC-klagomål mail.docx", "A 14313-2022")</f>
        <v/>
      </c>
      <c r="X263">
        <f>HYPERLINK("https://klasma.github.io/Logging_0380/tillsyn/A 14313-2022 tillsynsbegäran.docx", "A 14313-2022")</f>
        <v/>
      </c>
      <c r="Y263">
        <f>HYPERLINK("https://klasma.github.io/Logging_0380/tillsynsmail/A 14313-2022 tillsynsbegäran mail.docx", "A 14313-2022")</f>
        <v/>
      </c>
    </row>
    <row r="264" ht="15" customHeight="1">
      <c r="A264" t="inlineStr">
        <is>
          <t>A 15592-2022</t>
        </is>
      </c>
      <c r="B264" s="1" t="n">
        <v>44662</v>
      </c>
      <c r="C264" s="1" t="n">
        <v>45792</v>
      </c>
      <c r="D264" t="inlineStr">
        <is>
          <t>UPPSALA LÄN</t>
        </is>
      </c>
      <c r="E264" t="inlineStr">
        <is>
          <t>TIERP</t>
        </is>
      </c>
      <c r="F264" t="inlineStr">
        <is>
          <t>Bergvik skog väst AB</t>
        </is>
      </c>
      <c r="G264" t="n">
        <v>1.7</v>
      </c>
      <c r="H264" t="n">
        <v>2</v>
      </c>
      <c r="I264" t="n">
        <v>2</v>
      </c>
      <c r="J264" t="n">
        <v>0</v>
      </c>
      <c r="K264" t="n">
        <v>0</v>
      </c>
      <c r="L264" t="n">
        <v>0</v>
      </c>
      <c r="M264" t="n">
        <v>0</v>
      </c>
      <c r="N264" t="n">
        <v>0</v>
      </c>
      <c r="O264" t="n">
        <v>0</v>
      </c>
      <c r="P264" t="n">
        <v>0</v>
      </c>
      <c r="Q264" t="n">
        <v>3</v>
      </c>
      <c r="R264" s="2" t="inlineStr">
        <is>
          <t>Skogsknipprot
Tibast
Blåsippa</t>
        </is>
      </c>
      <c r="S264">
        <f>HYPERLINK("https://klasma.github.io/Logging_0360/artfynd/A 15592-2022 artfynd.xlsx", "A 15592-2022")</f>
        <v/>
      </c>
      <c r="T264">
        <f>HYPERLINK("https://klasma.github.io/Logging_0360/kartor/A 15592-2022 karta.png", "A 15592-2022")</f>
        <v/>
      </c>
      <c r="V264">
        <f>HYPERLINK("https://klasma.github.io/Logging_0360/klagomål/A 15592-2022 FSC-klagomål.docx", "A 15592-2022")</f>
        <v/>
      </c>
      <c r="W264">
        <f>HYPERLINK("https://klasma.github.io/Logging_0360/klagomålsmail/A 15592-2022 FSC-klagomål mail.docx", "A 15592-2022")</f>
        <v/>
      </c>
      <c r="X264">
        <f>HYPERLINK("https://klasma.github.io/Logging_0360/tillsyn/A 15592-2022 tillsynsbegäran.docx", "A 15592-2022")</f>
        <v/>
      </c>
      <c r="Y264">
        <f>HYPERLINK("https://klasma.github.io/Logging_0360/tillsynsmail/A 15592-2022 tillsynsbegäran mail.docx", "A 15592-2022")</f>
        <v/>
      </c>
    </row>
    <row r="265" ht="15" customHeight="1">
      <c r="A265" t="inlineStr">
        <is>
          <t>A 18079-2022</t>
        </is>
      </c>
      <c r="B265" s="1" t="n">
        <v>44684</v>
      </c>
      <c r="C265" s="1" t="n">
        <v>45792</v>
      </c>
      <c r="D265" t="inlineStr">
        <is>
          <t>UPPSALA LÄN</t>
        </is>
      </c>
      <c r="E265" t="inlineStr">
        <is>
          <t>UPPSALA</t>
        </is>
      </c>
      <c r="G265" t="n">
        <v>2</v>
      </c>
      <c r="H265" t="n">
        <v>0</v>
      </c>
      <c r="I265" t="n">
        <v>2</v>
      </c>
      <c r="J265" t="n">
        <v>0</v>
      </c>
      <c r="K265" t="n">
        <v>1</v>
      </c>
      <c r="L265" t="n">
        <v>0</v>
      </c>
      <c r="M265" t="n">
        <v>0</v>
      </c>
      <c r="N265" t="n">
        <v>0</v>
      </c>
      <c r="O265" t="n">
        <v>1</v>
      </c>
      <c r="P265" t="n">
        <v>1</v>
      </c>
      <c r="Q265" t="n">
        <v>3</v>
      </c>
      <c r="R265" s="2" t="inlineStr">
        <is>
          <t>Aspfjädermossa
Dvärgtufs
Skinnlav</t>
        </is>
      </c>
      <c r="S265">
        <f>HYPERLINK("https://klasma.github.io/Logging_0380/artfynd/A 18079-2022 artfynd.xlsx", "A 18079-2022")</f>
        <v/>
      </c>
      <c r="T265">
        <f>HYPERLINK("https://klasma.github.io/Logging_0380/kartor/A 18079-2022 karta.png", "A 18079-2022")</f>
        <v/>
      </c>
      <c r="V265">
        <f>HYPERLINK("https://klasma.github.io/Logging_0380/klagomål/A 18079-2022 FSC-klagomål.docx", "A 18079-2022")</f>
        <v/>
      </c>
      <c r="W265">
        <f>HYPERLINK("https://klasma.github.io/Logging_0380/klagomålsmail/A 18079-2022 FSC-klagomål mail.docx", "A 18079-2022")</f>
        <v/>
      </c>
      <c r="X265">
        <f>HYPERLINK("https://klasma.github.io/Logging_0380/tillsyn/A 18079-2022 tillsynsbegäran.docx", "A 18079-2022")</f>
        <v/>
      </c>
      <c r="Y265">
        <f>HYPERLINK("https://klasma.github.io/Logging_0380/tillsynsmail/A 18079-2022 tillsynsbegäran mail.docx", "A 18079-2022")</f>
        <v/>
      </c>
    </row>
    <row r="266" ht="15" customHeight="1">
      <c r="A266" t="inlineStr">
        <is>
          <t>A 19373-2022</t>
        </is>
      </c>
      <c r="B266" s="1" t="n">
        <v>44692</v>
      </c>
      <c r="C266" s="1" t="n">
        <v>45792</v>
      </c>
      <c r="D266" t="inlineStr">
        <is>
          <t>UPPSALA LÄN</t>
        </is>
      </c>
      <c r="E266" t="inlineStr">
        <is>
          <t>UPPSALA</t>
        </is>
      </c>
      <c r="F266" t="inlineStr">
        <is>
          <t>Bergvik skog öst AB</t>
        </is>
      </c>
      <c r="G266" t="n">
        <v>12.2</v>
      </c>
      <c r="H266" t="n">
        <v>1</v>
      </c>
      <c r="I266" t="n">
        <v>1</v>
      </c>
      <c r="J266" t="n">
        <v>0</v>
      </c>
      <c r="K266" t="n">
        <v>0</v>
      </c>
      <c r="L266" t="n">
        <v>1</v>
      </c>
      <c r="M266" t="n">
        <v>0</v>
      </c>
      <c r="N266" t="n">
        <v>0</v>
      </c>
      <c r="O266" t="n">
        <v>1</v>
      </c>
      <c r="P266" t="n">
        <v>1</v>
      </c>
      <c r="Q266" t="n">
        <v>3</v>
      </c>
      <c r="R266" s="2" t="inlineStr">
        <is>
          <t>Ask
Sårläka
Blåsippa</t>
        </is>
      </c>
      <c r="S266">
        <f>HYPERLINK("https://klasma.github.io/Logging_0380/artfynd/A 19373-2022 artfynd.xlsx", "A 19373-2022")</f>
        <v/>
      </c>
      <c r="T266">
        <f>HYPERLINK("https://klasma.github.io/Logging_0380/kartor/A 19373-2022 karta.png", "A 19373-2022")</f>
        <v/>
      </c>
      <c r="V266">
        <f>HYPERLINK("https://klasma.github.io/Logging_0380/klagomål/A 19373-2022 FSC-klagomål.docx", "A 19373-2022")</f>
        <v/>
      </c>
      <c r="W266">
        <f>HYPERLINK("https://klasma.github.io/Logging_0380/klagomålsmail/A 19373-2022 FSC-klagomål mail.docx", "A 19373-2022")</f>
        <v/>
      </c>
      <c r="X266">
        <f>HYPERLINK("https://klasma.github.io/Logging_0380/tillsyn/A 19373-2022 tillsynsbegäran.docx", "A 19373-2022")</f>
        <v/>
      </c>
      <c r="Y266">
        <f>HYPERLINK("https://klasma.github.io/Logging_0380/tillsynsmail/A 19373-2022 tillsynsbegäran mail.docx", "A 19373-2022")</f>
        <v/>
      </c>
    </row>
    <row r="267" ht="15" customHeight="1">
      <c r="A267" t="inlineStr">
        <is>
          <t>A 19960-2022</t>
        </is>
      </c>
      <c r="B267" s="1" t="n">
        <v>44697</v>
      </c>
      <c r="C267" s="1" t="n">
        <v>45792</v>
      </c>
      <c r="D267" t="inlineStr">
        <is>
          <t>UPPSALA LÄN</t>
        </is>
      </c>
      <c r="E267" t="inlineStr">
        <is>
          <t>ENKÖPING</t>
        </is>
      </c>
      <c r="G267" t="n">
        <v>3.7</v>
      </c>
      <c r="H267" t="n">
        <v>1</v>
      </c>
      <c r="I267" t="n">
        <v>0</v>
      </c>
      <c r="J267" t="n">
        <v>2</v>
      </c>
      <c r="K267" t="n">
        <v>0</v>
      </c>
      <c r="L267" t="n">
        <v>0</v>
      </c>
      <c r="M267" t="n">
        <v>0</v>
      </c>
      <c r="N267" t="n">
        <v>0</v>
      </c>
      <c r="O267" t="n">
        <v>2</v>
      </c>
      <c r="P267" t="n">
        <v>0</v>
      </c>
      <c r="Q267" t="n">
        <v>3</v>
      </c>
      <c r="R267" s="2" t="inlineStr">
        <is>
          <t>Ullticka
Vedtrappmossa
Blåsippa</t>
        </is>
      </c>
      <c r="S267">
        <f>HYPERLINK("https://klasma.github.io/Logging_0381/artfynd/A 19960-2022 artfynd.xlsx", "A 19960-2022")</f>
        <v/>
      </c>
      <c r="T267">
        <f>HYPERLINK("https://klasma.github.io/Logging_0381/kartor/A 19960-2022 karta.png", "A 19960-2022")</f>
        <v/>
      </c>
      <c r="V267">
        <f>HYPERLINK("https://klasma.github.io/Logging_0381/klagomål/A 19960-2022 FSC-klagomål.docx", "A 19960-2022")</f>
        <v/>
      </c>
      <c r="W267">
        <f>HYPERLINK("https://klasma.github.io/Logging_0381/klagomålsmail/A 19960-2022 FSC-klagomål mail.docx", "A 19960-2022")</f>
        <v/>
      </c>
      <c r="X267">
        <f>HYPERLINK("https://klasma.github.io/Logging_0381/tillsyn/A 19960-2022 tillsynsbegäran.docx", "A 19960-2022")</f>
        <v/>
      </c>
      <c r="Y267">
        <f>HYPERLINK("https://klasma.github.io/Logging_0381/tillsynsmail/A 19960-2022 tillsynsbegäran mail.docx", "A 19960-2022")</f>
        <v/>
      </c>
    </row>
    <row r="268" ht="15" customHeight="1">
      <c r="A268" t="inlineStr">
        <is>
          <t>A 26557-2022</t>
        </is>
      </c>
      <c r="B268" s="1" t="n">
        <v>44739</v>
      </c>
      <c r="C268" s="1" t="n">
        <v>45792</v>
      </c>
      <c r="D268" t="inlineStr">
        <is>
          <t>UPPSALA LÄN</t>
        </is>
      </c>
      <c r="E268" t="inlineStr">
        <is>
          <t>ÖSTHAMMAR</t>
        </is>
      </c>
      <c r="F268" t="inlineStr">
        <is>
          <t>Övriga statliga verk och myndigheter</t>
        </is>
      </c>
      <c r="G268" t="n">
        <v>1.7</v>
      </c>
      <c r="H268" t="n">
        <v>3</v>
      </c>
      <c r="I268" t="n">
        <v>0</v>
      </c>
      <c r="J268" t="n">
        <v>3</v>
      </c>
      <c r="K268" t="n">
        <v>0</v>
      </c>
      <c r="L268" t="n">
        <v>0</v>
      </c>
      <c r="M268" t="n">
        <v>0</v>
      </c>
      <c r="N268" t="n">
        <v>0</v>
      </c>
      <c r="O268" t="n">
        <v>3</v>
      </c>
      <c r="P268" t="n">
        <v>0</v>
      </c>
      <c r="Q268" t="n">
        <v>3</v>
      </c>
      <c r="R268" s="2" t="inlineStr">
        <is>
          <t>Järpe
Mindre hackspett
Spillkråka</t>
        </is>
      </c>
      <c r="S268">
        <f>HYPERLINK("https://klasma.github.io/Logging_0382/artfynd/A 26557-2022 artfynd.xlsx", "A 26557-2022")</f>
        <v/>
      </c>
      <c r="T268">
        <f>HYPERLINK("https://klasma.github.io/Logging_0382/kartor/A 26557-2022 karta.png", "A 26557-2022")</f>
        <v/>
      </c>
      <c r="V268">
        <f>HYPERLINK("https://klasma.github.io/Logging_0382/klagomål/A 26557-2022 FSC-klagomål.docx", "A 26557-2022")</f>
        <v/>
      </c>
      <c r="W268">
        <f>HYPERLINK("https://klasma.github.io/Logging_0382/klagomålsmail/A 26557-2022 FSC-klagomål mail.docx", "A 26557-2022")</f>
        <v/>
      </c>
      <c r="X268">
        <f>HYPERLINK("https://klasma.github.io/Logging_0382/tillsyn/A 26557-2022 tillsynsbegäran.docx", "A 26557-2022")</f>
        <v/>
      </c>
      <c r="Y268">
        <f>HYPERLINK("https://klasma.github.io/Logging_0382/tillsynsmail/A 26557-2022 tillsynsbegäran mail.docx", "A 26557-2022")</f>
        <v/>
      </c>
      <c r="Z268">
        <f>HYPERLINK("https://klasma.github.io/Logging_0382/fåglar/A 26557-2022 prioriterade fågelarter.docx", "A 26557-2022")</f>
        <v/>
      </c>
    </row>
    <row r="269" ht="15" customHeight="1">
      <c r="A269" t="inlineStr">
        <is>
          <t>A 34147-2022</t>
        </is>
      </c>
      <c r="B269" s="1" t="n">
        <v>44791</v>
      </c>
      <c r="C269" s="1" t="n">
        <v>45792</v>
      </c>
      <c r="D269" t="inlineStr">
        <is>
          <t>UPPSALA LÄN</t>
        </is>
      </c>
      <c r="E269" t="inlineStr">
        <is>
          <t>UPPSALA</t>
        </is>
      </c>
      <c r="G269" t="n">
        <v>1.9</v>
      </c>
      <c r="H269" t="n">
        <v>0</v>
      </c>
      <c r="I269" t="n">
        <v>2</v>
      </c>
      <c r="J269" t="n">
        <v>1</v>
      </c>
      <c r="K269" t="n">
        <v>0</v>
      </c>
      <c r="L269" t="n">
        <v>0</v>
      </c>
      <c r="M269" t="n">
        <v>0</v>
      </c>
      <c r="N269" t="n">
        <v>0</v>
      </c>
      <c r="O269" t="n">
        <v>1</v>
      </c>
      <c r="P269" t="n">
        <v>0</v>
      </c>
      <c r="Q269" t="n">
        <v>3</v>
      </c>
      <c r="R269" s="2" t="inlineStr">
        <is>
          <t>Granticka
Kamjordstjärna
Stor aspticka</t>
        </is>
      </c>
      <c r="S269">
        <f>HYPERLINK("https://klasma.github.io/Logging_0380/artfynd/A 34147-2022 artfynd.xlsx", "A 34147-2022")</f>
        <v/>
      </c>
      <c r="T269">
        <f>HYPERLINK("https://klasma.github.io/Logging_0380/kartor/A 34147-2022 karta.png", "A 34147-2022")</f>
        <v/>
      </c>
      <c r="V269">
        <f>HYPERLINK("https://klasma.github.io/Logging_0380/klagomål/A 34147-2022 FSC-klagomål.docx", "A 34147-2022")</f>
        <v/>
      </c>
      <c r="W269">
        <f>HYPERLINK("https://klasma.github.io/Logging_0380/klagomålsmail/A 34147-2022 FSC-klagomål mail.docx", "A 34147-2022")</f>
        <v/>
      </c>
      <c r="X269">
        <f>HYPERLINK("https://klasma.github.io/Logging_0380/tillsyn/A 34147-2022 tillsynsbegäran.docx", "A 34147-2022")</f>
        <v/>
      </c>
      <c r="Y269">
        <f>HYPERLINK("https://klasma.github.io/Logging_0380/tillsynsmail/A 34147-2022 tillsynsbegäran mail.docx", "A 34147-2022")</f>
        <v/>
      </c>
    </row>
    <row r="270" ht="15" customHeight="1">
      <c r="A270" t="inlineStr">
        <is>
          <t>A 36471-2022</t>
        </is>
      </c>
      <c r="B270" s="1" t="n">
        <v>44804</v>
      </c>
      <c r="C270" s="1" t="n">
        <v>45792</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52951-2022</t>
        </is>
      </c>
      <c r="B271" s="1" t="n">
        <v>44875</v>
      </c>
      <c r="C271" s="1" t="n">
        <v>45792</v>
      </c>
      <c r="D271" t="inlineStr">
        <is>
          <t>UPPSALA LÄN</t>
        </is>
      </c>
      <c r="E271" t="inlineStr">
        <is>
          <t>TIERP</t>
        </is>
      </c>
      <c r="F271" t="inlineStr">
        <is>
          <t>Bergvik skog öst AB</t>
        </is>
      </c>
      <c r="G271" t="n">
        <v>13.5</v>
      </c>
      <c r="H271" t="n">
        <v>0</v>
      </c>
      <c r="I271" t="n">
        <v>3</v>
      </c>
      <c r="J271" t="n">
        <v>0</v>
      </c>
      <c r="K271" t="n">
        <v>0</v>
      </c>
      <c r="L271" t="n">
        <v>0</v>
      </c>
      <c r="M271" t="n">
        <v>0</v>
      </c>
      <c r="N271" t="n">
        <v>0</v>
      </c>
      <c r="O271" t="n">
        <v>0</v>
      </c>
      <c r="P271" t="n">
        <v>0</v>
      </c>
      <c r="Q271" t="n">
        <v>3</v>
      </c>
      <c r="R271" s="2" t="inlineStr">
        <is>
          <t>Myskmadra
Rödgul trumpetsvamp
Sårläka</t>
        </is>
      </c>
      <c r="S271">
        <f>HYPERLINK("https://klasma.github.io/Logging_0360/artfynd/A 52951-2022 artfynd.xlsx", "A 52951-2022")</f>
        <v/>
      </c>
      <c r="T271">
        <f>HYPERLINK("https://klasma.github.io/Logging_0360/kartor/A 52951-2022 karta.png", "A 52951-2022")</f>
        <v/>
      </c>
      <c r="V271">
        <f>HYPERLINK("https://klasma.github.io/Logging_0360/klagomål/A 52951-2022 FSC-klagomål.docx", "A 52951-2022")</f>
        <v/>
      </c>
      <c r="W271">
        <f>HYPERLINK("https://klasma.github.io/Logging_0360/klagomålsmail/A 52951-2022 FSC-klagomål mail.docx", "A 52951-2022")</f>
        <v/>
      </c>
      <c r="X271">
        <f>HYPERLINK("https://klasma.github.io/Logging_0360/tillsyn/A 52951-2022 tillsynsbegäran.docx", "A 52951-2022")</f>
        <v/>
      </c>
      <c r="Y271">
        <f>HYPERLINK("https://klasma.github.io/Logging_0360/tillsynsmail/A 52951-2022 tillsynsbegäran mail.docx", "A 52951-2022")</f>
        <v/>
      </c>
    </row>
    <row r="272" ht="15" customHeight="1">
      <c r="A272" t="inlineStr">
        <is>
          <t>A 4586-2023</t>
        </is>
      </c>
      <c r="B272" s="1" t="n">
        <v>44956</v>
      </c>
      <c r="C272" s="1" t="n">
        <v>45792</v>
      </c>
      <c r="D272" t="inlineStr">
        <is>
          <t>UPPSALA LÄN</t>
        </is>
      </c>
      <c r="E272" t="inlineStr">
        <is>
          <t>UPPSALA</t>
        </is>
      </c>
      <c r="G272" t="n">
        <v>12.2</v>
      </c>
      <c r="H272" t="n">
        <v>1</v>
      </c>
      <c r="I272" t="n">
        <v>2</v>
      </c>
      <c r="J272" t="n">
        <v>0</v>
      </c>
      <c r="K272" t="n">
        <v>0</v>
      </c>
      <c r="L272" t="n">
        <v>0</v>
      </c>
      <c r="M272" t="n">
        <v>0</v>
      </c>
      <c r="N272" t="n">
        <v>0</v>
      </c>
      <c r="O272" t="n">
        <v>0</v>
      </c>
      <c r="P272" t="n">
        <v>0</v>
      </c>
      <c r="Q272" t="n">
        <v>3</v>
      </c>
      <c r="R272" s="2" t="inlineStr">
        <is>
          <t>Barkticka
Vedticka
Vanlig padda</t>
        </is>
      </c>
      <c r="S272">
        <f>HYPERLINK("https://klasma.github.io/Logging_0380/artfynd/A 4586-2023 artfynd.xlsx", "A 4586-2023")</f>
        <v/>
      </c>
      <c r="T272">
        <f>HYPERLINK("https://klasma.github.io/Logging_0380/kartor/A 4586-2023 karta.png", "A 4586-2023")</f>
        <v/>
      </c>
      <c r="V272">
        <f>HYPERLINK("https://klasma.github.io/Logging_0380/klagomål/A 4586-2023 FSC-klagomål.docx", "A 4586-2023")</f>
        <v/>
      </c>
      <c r="W272">
        <f>HYPERLINK("https://klasma.github.io/Logging_0380/klagomålsmail/A 4586-2023 FSC-klagomål mail.docx", "A 4586-2023")</f>
        <v/>
      </c>
      <c r="X272">
        <f>HYPERLINK("https://klasma.github.io/Logging_0380/tillsyn/A 4586-2023 tillsynsbegäran.docx", "A 4586-2023")</f>
        <v/>
      </c>
      <c r="Y272">
        <f>HYPERLINK("https://klasma.github.io/Logging_0380/tillsynsmail/A 4586-2023 tillsynsbegäran mail.docx", "A 4586-2023")</f>
        <v/>
      </c>
    </row>
    <row r="273" ht="15" customHeight="1">
      <c r="A273" t="inlineStr">
        <is>
          <t>A 7366-2023</t>
        </is>
      </c>
      <c r="B273" s="1" t="n">
        <v>44966</v>
      </c>
      <c r="C273" s="1" t="n">
        <v>45792</v>
      </c>
      <c r="D273" t="inlineStr">
        <is>
          <t>UPPSALA LÄN</t>
        </is>
      </c>
      <c r="E273" t="inlineStr">
        <is>
          <t>TIERP</t>
        </is>
      </c>
      <c r="G273" t="n">
        <v>10.3</v>
      </c>
      <c r="H273" t="n">
        <v>2</v>
      </c>
      <c r="I273" t="n">
        <v>1</v>
      </c>
      <c r="J273" t="n">
        <v>0</v>
      </c>
      <c r="K273" t="n">
        <v>1</v>
      </c>
      <c r="L273" t="n">
        <v>0</v>
      </c>
      <c r="M273" t="n">
        <v>0</v>
      </c>
      <c r="N273" t="n">
        <v>0</v>
      </c>
      <c r="O273" t="n">
        <v>1</v>
      </c>
      <c r="P273" t="n">
        <v>1</v>
      </c>
      <c r="Q273" t="n">
        <v>3</v>
      </c>
      <c r="R273" s="2" t="inlineStr">
        <is>
          <t>Knärot
Grönpyrola
Revlummer</t>
        </is>
      </c>
      <c r="S273">
        <f>HYPERLINK("https://klasma.github.io/Logging_0360/artfynd/A 7366-2023 artfynd.xlsx", "A 7366-2023")</f>
        <v/>
      </c>
      <c r="T273">
        <f>HYPERLINK("https://klasma.github.io/Logging_0360/kartor/A 7366-2023 karta.png", "A 7366-2023")</f>
        <v/>
      </c>
      <c r="U273">
        <f>HYPERLINK("https://klasma.github.io/Logging_0360/knärot/A 7366-2023 karta knärot.png", "A 7366-2023")</f>
        <v/>
      </c>
      <c r="V273">
        <f>HYPERLINK("https://klasma.github.io/Logging_0360/klagomål/A 7366-2023 FSC-klagomål.docx", "A 7366-2023")</f>
        <v/>
      </c>
      <c r="W273">
        <f>HYPERLINK("https://klasma.github.io/Logging_0360/klagomålsmail/A 7366-2023 FSC-klagomål mail.docx", "A 7366-2023")</f>
        <v/>
      </c>
      <c r="X273">
        <f>HYPERLINK("https://klasma.github.io/Logging_0360/tillsyn/A 7366-2023 tillsynsbegäran.docx", "A 7366-2023")</f>
        <v/>
      </c>
      <c r="Y273">
        <f>HYPERLINK("https://klasma.github.io/Logging_0360/tillsynsmail/A 7366-2023 tillsynsbegäran mail.docx", "A 7366-2023")</f>
        <v/>
      </c>
    </row>
    <row r="274" ht="15" customHeight="1">
      <c r="A274" t="inlineStr">
        <is>
          <t>A 6832-2023</t>
        </is>
      </c>
      <c r="B274" s="1" t="n">
        <v>44967</v>
      </c>
      <c r="C274" s="1" t="n">
        <v>45792</v>
      </c>
      <c r="D274" t="inlineStr">
        <is>
          <t>UPPSALA LÄN</t>
        </is>
      </c>
      <c r="E274" t="inlineStr">
        <is>
          <t>ÄLVKARLEBY</t>
        </is>
      </c>
      <c r="F274" t="inlineStr">
        <is>
          <t>Bergvik skog väst AB</t>
        </is>
      </c>
      <c r="G274" t="n">
        <v>8.9</v>
      </c>
      <c r="H274" t="n">
        <v>1</v>
      </c>
      <c r="I274" t="n">
        <v>0</v>
      </c>
      <c r="J274" t="n">
        <v>1</v>
      </c>
      <c r="K274" t="n">
        <v>2</v>
      </c>
      <c r="L274" t="n">
        <v>0</v>
      </c>
      <c r="M274" t="n">
        <v>0</v>
      </c>
      <c r="N274" t="n">
        <v>0</v>
      </c>
      <c r="O274" t="n">
        <v>3</v>
      </c>
      <c r="P274" t="n">
        <v>2</v>
      </c>
      <c r="Q274" t="n">
        <v>3</v>
      </c>
      <c r="R274" s="2" t="inlineStr">
        <is>
          <t>Grangråticka
Koppartaggsvamp
Grönsångare</t>
        </is>
      </c>
      <c r="S274">
        <f>HYPERLINK("https://klasma.github.io/Logging_0319/artfynd/A 6832-2023 artfynd.xlsx", "A 6832-2023")</f>
        <v/>
      </c>
      <c r="T274">
        <f>HYPERLINK("https://klasma.github.io/Logging_0319/kartor/A 6832-2023 karta.png", "A 6832-2023")</f>
        <v/>
      </c>
      <c r="V274">
        <f>HYPERLINK("https://klasma.github.io/Logging_0319/klagomål/A 6832-2023 FSC-klagomål.docx", "A 6832-2023")</f>
        <v/>
      </c>
      <c r="W274">
        <f>HYPERLINK("https://klasma.github.io/Logging_0319/klagomålsmail/A 6832-2023 FSC-klagomål mail.docx", "A 6832-2023")</f>
        <v/>
      </c>
      <c r="X274">
        <f>HYPERLINK("https://klasma.github.io/Logging_0319/tillsyn/A 6832-2023 tillsynsbegäran.docx", "A 6832-2023")</f>
        <v/>
      </c>
      <c r="Y274">
        <f>HYPERLINK("https://klasma.github.io/Logging_0319/tillsynsmail/A 6832-2023 tillsynsbegäran mail.docx", "A 6832-2023")</f>
        <v/>
      </c>
      <c r="Z274">
        <f>HYPERLINK("https://klasma.github.io/Logging_0319/fåglar/A 6832-2023 prioriterade fågelarter.docx", "A 6832-2023")</f>
        <v/>
      </c>
    </row>
    <row r="275" ht="15" customHeight="1">
      <c r="A275" t="inlineStr">
        <is>
          <t>A 7309-2023</t>
        </is>
      </c>
      <c r="B275" s="1" t="n">
        <v>44970</v>
      </c>
      <c r="C275" s="1" t="n">
        <v>45792</v>
      </c>
      <c r="D275" t="inlineStr">
        <is>
          <t>UPPSALA LÄN</t>
        </is>
      </c>
      <c r="E275" t="inlineStr">
        <is>
          <t>TIERP</t>
        </is>
      </c>
      <c r="F275" t="inlineStr">
        <is>
          <t>Bergvik skog öst AB</t>
        </is>
      </c>
      <c r="G275" t="n">
        <v>13.7</v>
      </c>
      <c r="H275" t="n">
        <v>3</v>
      </c>
      <c r="I275" t="n">
        <v>1</v>
      </c>
      <c r="J275" t="n">
        <v>0</v>
      </c>
      <c r="K275" t="n">
        <v>0</v>
      </c>
      <c r="L275" t="n">
        <v>0</v>
      </c>
      <c r="M275" t="n">
        <v>0</v>
      </c>
      <c r="N275" t="n">
        <v>0</v>
      </c>
      <c r="O275" t="n">
        <v>0</v>
      </c>
      <c r="P275" t="n">
        <v>0</v>
      </c>
      <c r="Q275" t="n">
        <v>3</v>
      </c>
      <c r="R275" s="2" t="inlineStr">
        <is>
          <t>Skogsknipprot
Blåsippa
Revlummer</t>
        </is>
      </c>
      <c r="S275">
        <f>HYPERLINK("https://klasma.github.io/Logging_0360/artfynd/A 7309-2023 artfynd.xlsx", "A 7309-2023")</f>
        <v/>
      </c>
      <c r="T275">
        <f>HYPERLINK("https://klasma.github.io/Logging_0360/kartor/A 7309-2023 karta.png", "A 7309-2023")</f>
        <v/>
      </c>
      <c r="V275">
        <f>HYPERLINK("https://klasma.github.io/Logging_0360/klagomål/A 7309-2023 FSC-klagomål.docx", "A 7309-2023")</f>
        <v/>
      </c>
      <c r="W275">
        <f>HYPERLINK("https://klasma.github.io/Logging_0360/klagomålsmail/A 7309-2023 FSC-klagomål mail.docx", "A 7309-2023")</f>
        <v/>
      </c>
      <c r="X275">
        <f>HYPERLINK("https://klasma.github.io/Logging_0360/tillsyn/A 7309-2023 tillsynsbegäran.docx", "A 7309-2023")</f>
        <v/>
      </c>
      <c r="Y275">
        <f>HYPERLINK("https://klasma.github.io/Logging_0360/tillsynsmail/A 7309-2023 tillsynsbegäran mail.docx", "A 7309-2023")</f>
        <v/>
      </c>
    </row>
    <row r="276" ht="15" customHeight="1">
      <c r="A276" t="inlineStr">
        <is>
          <t>A 7752-2023</t>
        </is>
      </c>
      <c r="B276" s="1" t="n">
        <v>44973</v>
      </c>
      <c r="C276" s="1" t="n">
        <v>45792</v>
      </c>
      <c r="D276" t="inlineStr">
        <is>
          <t>UPPSALA LÄN</t>
        </is>
      </c>
      <c r="E276" t="inlineStr">
        <is>
          <t>UPPSALA</t>
        </is>
      </c>
      <c r="F276" t="inlineStr">
        <is>
          <t>Sveaskog</t>
        </is>
      </c>
      <c r="G276" t="n">
        <v>0.6</v>
      </c>
      <c r="H276" t="n">
        <v>1</v>
      </c>
      <c r="I276" t="n">
        <v>2</v>
      </c>
      <c r="J276" t="n">
        <v>0</v>
      </c>
      <c r="K276" t="n">
        <v>0</v>
      </c>
      <c r="L276" t="n">
        <v>0</v>
      </c>
      <c r="M276" t="n">
        <v>0</v>
      </c>
      <c r="N276" t="n">
        <v>0</v>
      </c>
      <c r="O276" t="n">
        <v>0</v>
      </c>
      <c r="P276" t="n">
        <v>0</v>
      </c>
      <c r="Q276" t="n">
        <v>3</v>
      </c>
      <c r="R276" s="2" t="inlineStr">
        <is>
          <t>Fjällig taggsvamp s.str.
Skogshakmossa
Blåsippa</t>
        </is>
      </c>
      <c r="S276">
        <f>HYPERLINK("https://klasma.github.io/Logging_0380/artfynd/A 7752-2023 artfynd.xlsx", "A 7752-2023")</f>
        <v/>
      </c>
      <c r="T276">
        <f>HYPERLINK("https://klasma.github.io/Logging_0380/kartor/A 7752-2023 karta.png", "A 7752-2023")</f>
        <v/>
      </c>
      <c r="V276">
        <f>HYPERLINK("https://klasma.github.io/Logging_0380/klagomål/A 7752-2023 FSC-klagomål.docx", "A 7752-2023")</f>
        <v/>
      </c>
      <c r="W276">
        <f>HYPERLINK("https://klasma.github.io/Logging_0380/klagomålsmail/A 7752-2023 FSC-klagomål mail.docx", "A 7752-2023")</f>
        <v/>
      </c>
      <c r="X276">
        <f>HYPERLINK("https://klasma.github.io/Logging_0380/tillsyn/A 7752-2023 tillsynsbegäran.docx", "A 7752-2023")</f>
        <v/>
      </c>
      <c r="Y276">
        <f>HYPERLINK("https://klasma.github.io/Logging_0380/tillsynsmail/A 7752-2023 tillsynsbegäran mail.docx", "A 7752-2023")</f>
        <v/>
      </c>
    </row>
    <row r="277" ht="15" customHeight="1">
      <c r="A277" t="inlineStr">
        <is>
          <t>A 9706-2023</t>
        </is>
      </c>
      <c r="B277" s="1" t="n">
        <v>44984</v>
      </c>
      <c r="C277" s="1" t="n">
        <v>45792</v>
      </c>
      <c r="D277" t="inlineStr">
        <is>
          <t>UPPSALA LÄN</t>
        </is>
      </c>
      <c r="E277" t="inlineStr">
        <is>
          <t>TIERP</t>
        </is>
      </c>
      <c r="F277" t="inlineStr">
        <is>
          <t>Bergvik skog öst AB</t>
        </is>
      </c>
      <c r="G277" t="n">
        <v>12.2</v>
      </c>
      <c r="H277" t="n">
        <v>1</v>
      </c>
      <c r="I277" t="n">
        <v>2</v>
      </c>
      <c r="J277" t="n">
        <v>1</v>
      </c>
      <c r="K277" t="n">
        <v>0</v>
      </c>
      <c r="L277" t="n">
        <v>0</v>
      </c>
      <c r="M277" t="n">
        <v>0</v>
      </c>
      <c r="N277" t="n">
        <v>0</v>
      </c>
      <c r="O277" t="n">
        <v>1</v>
      </c>
      <c r="P277" t="n">
        <v>0</v>
      </c>
      <c r="Q277" t="n">
        <v>3</v>
      </c>
      <c r="R277" s="2" t="inlineStr">
        <is>
          <t>Klasefibbla
Rödgul trumpetsvamp
Skogsknipprot</t>
        </is>
      </c>
      <c r="S277">
        <f>HYPERLINK("https://klasma.github.io/Logging_0360/artfynd/A 9706-2023 artfynd.xlsx", "A 9706-2023")</f>
        <v/>
      </c>
      <c r="T277">
        <f>HYPERLINK("https://klasma.github.io/Logging_0360/kartor/A 9706-2023 karta.png", "A 9706-2023")</f>
        <v/>
      </c>
      <c r="V277">
        <f>HYPERLINK("https://klasma.github.io/Logging_0360/klagomål/A 9706-2023 FSC-klagomål.docx", "A 9706-2023")</f>
        <v/>
      </c>
      <c r="W277">
        <f>HYPERLINK("https://klasma.github.io/Logging_0360/klagomålsmail/A 9706-2023 FSC-klagomål mail.docx", "A 9706-2023")</f>
        <v/>
      </c>
      <c r="X277">
        <f>HYPERLINK("https://klasma.github.io/Logging_0360/tillsyn/A 9706-2023 tillsynsbegäran.docx", "A 9706-2023")</f>
        <v/>
      </c>
      <c r="Y277">
        <f>HYPERLINK("https://klasma.github.io/Logging_0360/tillsynsmail/A 9706-2023 tillsynsbegäran mail.docx", "A 9706-2023")</f>
        <v/>
      </c>
    </row>
    <row r="278" ht="15" customHeight="1">
      <c r="A278" t="inlineStr">
        <is>
          <t>A 9683-2023</t>
        </is>
      </c>
      <c r="B278" s="1" t="n">
        <v>44984</v>
      </c>
      <c r="C278" s="1" t="n">
        <v>45792</v>
      </c>
      <c r="D278" t="inlineStr">
        <is>
          <t>UPPSALA LÄN</t>
        </is>
      </c>
      <c r="E278" t="inlineStr">
        <is>
          <t>ÖSTHAMMAR</t>
        </is>
      </c>
      <c r="G278" t="n">
        <v>4</v>
      </c>
      <c r="H278" t="n">
        <v>3</v>
      </c>
      <c r="I278" t="n">
        <v>1</v>
      </c>
      <c r="J278" t="n">
        <v>0</v>
      </c>
      <c r="K278" t="n">
        <v>0</v>
      </c>
      <c r="L278" t="n">
        <v>0</v>
      </c>
      <c r="M278" t="n">
        <v>0</v>
      </c>
      <c r="N278" t="n">
        <v>0</v>
      </c>
      <c r="O278" t="n">
        <v>0</v>
      </c>
      <c r="P278" t="n">
        <v>0</v>
      </c>
      <c r="Q278" t="n">
        <v>3</v>
      </c>
      <c r="R278" s="2" t="inlineStr">
        <is>
          <t>Tvåblad
Blåsippa
Gullviva</t>
        </is>
      </c>
      <c r="S278">
        <f>HYPERLINK("https://klasma.github.io/Logging_0382/artfynd/A 9683-2023 artfynd.xlsx", "A 9683-2023")</f>
        <v/>
      </c>
      <c r="T278">
        <f>HYPERLINK("https://klasma.github.io/Logging_0382/kartor/A 9683-2023 karta.png", "A 9683-2023")</f>
        <v/>
      </c>
      <c r="V278">
        <f>HYPERLINK("https://klasma.github.io/Logging_0382/klagomål/A 9683-2023 FSC-klagomål.docx", "A 9683-2023")</f>
        <v/>
      </c>
      <c r="W278">
        <f>HYPERLINK("https://klasma.github.io/Logging_0382/klagomålsmail/A 9683-2023 FSC-klagomål mail.docx", "A 9683-2023")</f>
        <v/>
      </c>
      <c r="X278">
        <f>HYPERLINK("https://klasma.github.io/Logging_0382/tillsyn/A 9683-2023 tillsynsbegäran.docx", "A 9683-2023")</f>
        <v/>
      </c>
      <c r="Y278">
        <f>HYPERLINK("https://klasma.github.io/Logging_0382/tillsynsmail/A 9683-2023 tillsynsbegäran mail.docx", "A 9683-2023")</f>
        <v/>
      </c>
    </row>
    <row r="279" ht="15" customHeight="1">
      <c r="A279" t="inlineStr">
        <is>
          <t>A 12485-2023</t>
        </is>
      </c>
      <c r="B279" s="1" t="n">
        <v>44998</v>
      </c>
      <c r="C279" s="1" t="n">
        <v>45792</v>
      </c>
      <c r="D279" t="inlineStr">
        <is>
          <t>UPPSALA LÄN</t>
        </is>
      </c>
      <c r="E279" t="inlineStr">
        <is>
          <t>ÖSTHAMMAR</t>
        </is>
      </c>
      <c r="G279" t="n">
        <v>4.3</v>
      </c>
      <c r="H279" t="n">
        <v>0</v>
      </c>
      <c r="I279" t="n">
        <v>0</v>
      </c>
      <c r="J279" t="n">
        <v>3</v>
      </c>
      <c r="K279" t="n">
        <v>0</v>
      </c>
      <c r="L279" t="n">
        <v>0</v>
      </c>
      <c r="M279" t="n">
        <v>0</v>
      </c>
      <c r="N279" t="n">
        <v>0</v>
      </c>
      <c r="O279" t="n">
        <v>3</v>
      </c>
      <c r="P279" t="n">
        <v>0</v>
      </c>
      <c r="Q279" t="n">
        <v>3</v>
      </c>
      <c r="R279" s="2" t="inlineStr">
        <is>
          <t>Backklöver
Slåtterfibbla
Solvända</t>
        </is>
      </c>
      <c r="S279">
        <f>HYPERLINK("https://klasma.github.io/Logging_0382/artfynd/A 12485-2023 artfynd.xlsx", "A 12485-2023")</f>
        <v/>
      </c>
      <c r="T279">
        <f>HYPERLINK("https://klasma.github.io/Logging_0382/kartor/A 12485-2023 karta.png", "A 12485-2023")</f>
        <v/>
      </c>
      <c r="V279">
        <f>HYPERLINK("https://klasma.github.io/Logging_0382/klagomål/A 12485-2023 FSC-klagomål.docx", "A 12485-2023")</f>
        <v/>
      </c>
      <c r="W279">
        <f>HYPERLINK("https://klasma.github.io/Logging_0382/klagomålsmail/A 12485-2023 FSC-klagomål mail.docx", "A 12485-2023")</f>
        <v/>
      </c>
      <c r="X279">
        <f>HYPERLINK("https://klasma.github.io/Logging_0382/tillsyn/A 12485-2023 tillsynsbegäran.docx", "A 12485-2023")</f>
        <v/>
      </c>
      <c r="Y279">
        <f>HYPERLINK("https://klasma.github.io/Logging_0382/tillsynsmail/A 12485-2023 tillsynsbegäran mail.docx", "A 12485-2023")</f>
        <v/>
      </c>
    </row>
    <row r="280" ht="15" customHeight="1">
      <c r="A280" t="inlineStr">
        <is>
          <t>A 13120-2023</t>
        </is>
      </c>
      <c r="B280" s="1" t="n">
        <v>45002</v>
      </c>
      <c r="C280" s="1" t="n">
        <v>45792</v>
      </c>
      <c r="D280" t="inlineStr">
        <is>
          <t>UPPSALA LÄN</t>
        </is>
      </c>
      <c r="E280" t="inlineStr">
        <is>
          <t>ÖSTHAMMAR</t>
        </is>
      </c>
      <c r="G280" t="n">
        <v>5.8</v>
      </c>
      <c r="H280" t="n">
        <v>0</v>
      </c>
      <c r="I280" t="n">
        <v>3</v>
      </c>
      <c r="J280" t="n">
        <v>0</v>
      </c>
      <c r="K280" t="n">
        <v>0</v>
      </c>
      <c r="L280" t="n">
        <v>0</v>
      </c>
      <c r="M280" t="n">
        <v>0</v>
      </c>
      <c r="N280" t="n">
        <v>0</v>
      </c>
      <c r="O280" t="n">
        <v>0</v>
      </c>
      <c r="P280" t="n">
        <v>0</v>
      </c>
      <c r="Q280" t="n">
        <v>3</v>
      </c>
      <c r="R280" s="2" t="inlineStr">
        <is>
          <t>Anisspindling
Olivspindling
Rödgul trumpetsvamp</t>
        </is>
      </c>
      <c r="S280">
        <f>HYPERLINK("https://klasma.github.io/Logging_0382/artfynd/A 13120-2023 artfynd.xlsx", "A 13120-2023")</f>
        <v/>
      </c>
      <c r="T280">
        <f>HYPERLINK("https://klasma.github.io/Logging_0382/kartor/A 13120-2023 karta.png", "A 13120-2023")</f>
        <v/>
      </c>
      <c r="V280">
        <f>HYPERLINK("https://klasma.github.io/Logging_0382/klagomål/A 13120-2023 FSC-klagomål.docx", "A 13120-2023")</f>
        <v/>
      </c>
      <c r="W280">
        <f>HYPERLINK("https://klasma.github.io/Logging_0382/klagomålsmail/A 13120-2023 FSC-klagomål mail.docx", "A 13120-2023")</f>
        <v/>
      </c>
      <c r="X280">
        <f>HYPERLINK("https://klasma.github.io/Logging_0382/tillsyn/A 13120-2023 tillsynsbegäran.docx", "A 13120-2023")</f>
        <v/>
      </c>
      <c r="Y280">
        <f>HYPERLINK("https://klasma.github.io/Logging_0382/tillsynsmail/A 13120-2023 tillsynsbegäran mail.docx", "A 13120-2023")</f>
        <v/>
      </c>
    </row>
    <row r="281" ht="15" customHeight="1">
      <c r="A281" t="inlineStr">
        <is>
          <t>A 15179-2023</t>
        </is>
      </c>
      <c r="B281" s="1" t="n">
        <v>45016</v>
      </c>
      <c r="C281" s="1" t="n">
        <v>45792</v>
      </c>
      <c r="D281" t="inlineStr">
        <is>
          <t>UPPSALA LÄN</t>
        </is>
      </c>
      <c r="E281" t="inlineStr">
        <is>
          <t>ÖSTHAMMAR</t>
        </is>
      </c>
      <c r="G281" t="n">
        <v>6.1</v>
      </c>
      <c r="H281" t="n">
        <v>1</v>
      </c>
      <c r="I281" t="n">
        <v>3</v>
      </c>
      <c r="J281" t="n">
        <v>0</v>
      </c>
      <c r="K281" t="n">
        <v>0</v>
      </c>
      <c r="L281" t="n">
        <v>0</v>
      </c>
      <c r="M281" t="n">
        <v>0</v>
      </c>
      <c r="N281" t="n">
        <v>0</v>
      </c>
      <c r="O281" t="n">
        <v>0</v>
      </c>
      <c r="P281" t="n">
        <v>0</v>
      </c>
      <c r="Q281" t="n">
        <v>3</v>
      </c>
      <c r="R281" s="2" t="inlineStr">
        <is>
          <t>Skogsknipprot
Tibast
Vårärt</t>
        </is>
      </c>
      <c r="S281">
        <f>HYPERLINK("https://klasma.github.io/Logging_0382/artfynd/A 15179-2023 artfynd.xlsx", "A 15179-2023")</f>
        <v/>
      </c>
      <c r="T281">
        <f>HYPERLINK("https://klasma.github.io/Logging_0382/kartor/A 15179-2023 karta.png", "A 15179-2023")</f>
        <v/>
      </c>
      <c r="V281">
        <f>HYPERLINK("https://klasma.github.io/Logging_0382/klagomål/A 15179-2023 FSC-klagomål.docx", "A 15179-2023")</f>
        <v/>
      </c>
      <c r="W281">
        <f>HYPERLINK("https://klasma.github.io/Logging_0382/klagomålsmail/A 15179-2023 FSC-klagomål mail.docx", "A 15179-2023")</f>
        <v/>
      </c>
      <c r="X281">
        <f>HYPERLINK("https://klasma.github.io/Logging_0382/tillsyn/A 15179-2023 tillsynsbegäran.docx", "A 15179-2023")</f>
        <v/>
      </c>
      <c r="Y281">
        <f>HYPERLINK("https://klasma.github.io/Logging_0382/tillsynsmail/A 15179-2023 tillsynsbegäran mail.docx", "A 15179-2023")</f>
        <v/>
      </c>
    </row>
    <row r="282" ht="15" customHeight="1">
      <c r="A282" t="inlineStr">
        <is>
          <t>A 19884-2023</t>
        </is>
      </c>
      <c r="B282" s="1" t="n">
        <v>45054</v>
      </c>
      <c r="C282" s="1" t="n">
        <v>45792</v>
      </c>
      <c r="D282" t="inlineStr">
        <is>
          <t>UPPSALA LÄN</t>
        </is>
      </c>
      <c r="E282" t="inlineStr">
        <is>
          <t>ÖSTHAMMAR</t>
        </is>
      </c>
      <c r="G282" t="n">
        <v>2.5</v>
      </c>
      <c r="H282" t="n">
        <v>3</v>
      </c>
      <c r="I282" t="n">
        <v>0</v>
      </c>
      <c r="J282" t="n">
        <v>2</v>
      </c>
      <c r="K282" t="n">
        <v>0</v>
      </c>
      <c r="L282" t="n">
        <v>1</v>
      </c>
      <c r="M282" t="n">
        <v>0</v>
      </c>
      <c r="N282" t="n">
        <v>0</v>
      </c>
      <c r="O282" t="n">
        <v>3</v>
      </c>
      <c r="P282" t="n">
        <v>1</v>
      </c>
      <c r="Q282" t="n">
        <v>3</v>
      </c>
      <c r="R282" s="2" t="inlineStr">
        <is>
          <t>Grönfink
Grönsångare
Rödvingetrast</t>
        </is>
      </c>
      <c r="S282">
        <f>HYPERLINK("https://klasma.github.io/Logging_0382/artfynd/A 19884-2023 artfynd.xlsx", "A 19884-2023")</f>
        <v/>
      </c>
      <c r="T282">
        <f>HYPERLINK("https://klasma.github.io/Logging_0382/kartor/A 19884-2023 karta.png", "A 19884-2023")</f>
        <v/>
      </c>
      <c r="V282">
        <f>HYPERLINK("https://klasma.github.io/Logging_0382/klagomål/A 19884-2023 FSC-klagomål.docx", "A 19884-2023")</f>
        <v/>
      </c>
      <c r="W282">
        <f>HYPERLINK("https://klasma.github.io/Logging_0382/klagomålsmail/A 19884-2023 FSC-klagomål mail.docx", "A 19884-2023")</f>
        <v/>
      </c>
      <c r="X282">
        <f>HYPERLINK("https://klasma.github.io/Logging_0382/tillsyn/A 19884-2023 tillsynsbegäran.docx", "A 19884-2023")</f>
        <v/>
      </c>
      <c r="Y282">
        <f>HYPERLINK("https://klasma.github.io/Logging_0382/tillsynsmail/A 19884-2023 tillsynsbegäran mail.docx", "A 19884-2023")</f>
        <v/>
      </c>
      <c r="Z282">
        <f>HYPERLINK("https://klasma.github.io/Logging_0382/fåglar/A 19884-2023 prioriterade fågelarter.docx", "A 19884-2023")</f>
        <v/>
      </c>
    </row>
    <row r="283" ht="15" customHeight="1">
      <c r="A283" t="inlineStr">
        <is>
          <t>A 20115-2023</t>
        </is>
      </c>
      <c r="B283" s="1" t="n">
        <v>45055</v>
      </c>
      <c r="C283" s="1" t="n">
        <v>45792</v>
      </c>
      <c r="D283" t="inlineStr">
        <is>
          <t>UPPSALA LÄN</t>
        </is>
      </c>
      <c r="E283" t="inlineStr">
        <is>
          <t>ÖSTHAMMAR</t>
        </is>
      </c>
      <c r="G283" t="n">
        <v>13.4</v>
      </c>
      <c r="H283" t="n">
        <v>0</v>
      </c>
      <c r="I283" t="n">
        <v>0</v>
      </c>
      <c r="J283" t="n">
        <v>3</v>
      </c>
      <c r="K283" t="n">
        <v>0</v>
      </c>
      <c r="L283" t="n">
        <v>0</v>
      </c>
      <c r="M283" t="n">
        <v>0</v>
      </c>
      <c r="N283" t="n">
        <v>0</v>
      </c>
      <c r="O283" t="n">
        <v>3</v>
      </c>
      <c r="P283" t="n">
        <v>0</v>
      </c>
      <c r="Q283" t="n">
        <v>3</v>
      </c>
      <c r="R283" s="2" t="inlineStr">
        <is>
          <t>Grantaggsvamp
Leopardsköldbagge
Orange taggsvamp</t>
        </is>
      </c>
      <c r="S283">
        <f>HYPERLINK("https://klasma.github.io/Logging_0382/artfynd/A 20115-2023 artfynd.xlsx", "A 20115-2023")</f>
        <v/>
      </c>
      <c r="T283">
        <f>HYPERLINK("https://klasma.github.io/Logging_0382/kartor/A 20115-2023 karta.png", "A 20115-2023")</f>
        <v/>
      </c>
      <c r="U283">
        <f>HYPERLINK("https://klasma.github.io/Logging_0382/knärot/A 20115-2023 karta knärot.png", "A 20115-2023")</f>
        <v/>
      </c>
      <c r="V283">
        <f>HYPERLINK("https://klasma.github.io/Logging_0382/klagomål/A 20115-2023 FSC-klagomål.docx", "A 20115-2023")</f>
        <v/>
      </c>
      <c r="W283">
        <f>HYPERLINK("https://klasma.github.io/Logging_0382/klagomålsmail/A 20115-2023 FSC-klagomål mail.docx", "A 20115-2023")</f>
        <v/>
      </c>
      <c r="X283">
        <f>HYPERLINK("https://klasma.github.io/Logging_0382/tillsyn/A 20115-2023 tillsynsbegäran.docx", "A 20115-2023")</f>
        <v/>
      </c>
      <c r="Y283">
        <f>HYPERLINK("https://klasma.github.io/Logging_0382/tillsynsmail/A 20115-2023 tillsynsbegäran mail.docx", "A 20115-2023")</f>
        <v/>
      </c>
    </row>
    <row r="284" ht="15" customHeight="1">
      <c r="A284" t="inlineStr">
        <is>
          <t>A 25724-2023</t>
        </is>
      </c>
      <c r="B284" s="1" t="n">
        <v>45090</v>
      </c>
      <c r="C284" s="1" t="n">
        <v>45792</v>
      </c>
      <c r="D284" t="inlineStr">
        <is>
          <t>UPPSALA LÄN</t>
        </is>
      </c>
      <c r="E284" t="inlineStr">
        <is>
          <t>ÄLVKARLEBY</t>
        </is>
      </c>
      <c r="F284" t="inlineStr">
        <is>
          <t>Bergvik skog väst AB</t>
        </is>
      </c>
      <c r="G284" t="n">
        <v>18.6</v>
      </c>
      <c r="H284" t="n">
        <v>1</v>
      </c>
      <c r="I284" t="n">
        <v>2</v>
      </c>
      <c r="J284" t="n">
        <v>0</v>
      </c>
      <c r="K284" t="n">
        <v>1</v>
      </c>
      <c r="L284" t="n">
        <v>0</v>
      </c>
      <c r="M284" t="n">
        <v>0</v>
      </c>
      <c r="N284" t="n">
        <v>0</v>
      </c>
      <c r="O284" t="n">
        <v>1</v>
      </c>
      <c r="P284" t="n">
        <v>1</v>
      </c>
      <c r="Q284" t="n">
        <v>3</v>
      </c>
      <c r="R284" s="2" t="inlineStr">
        <is>
          <t>Väddnätfjäril
Anisspindling
Tibast</t>
        </is>
      </c>
      <c r="S284">
        <f>HYPERLINK("https://klasma.github.io/Logging_0319/artfynd/A 25724-2023 artfynd.xlsx", "A 25724-2023")</f>
        <v/>
      </c>
      <c r="T284">
        <f>HYPERLINK("https://klasma.github.io/Logging_0319/kartor/A 25724-2023 karta.png", "A 25724-2023")</f>
        <v/>
      </c>
      <c r="V284">
        <f>HYPERLINK("https://klasma.github.io/Logging_0319/klagomål/A 25724-2023 FSC-klagomål.docx", "A 25724-2023")</f>
        <v/>
      </c>
      <c r="W284">
        <f>HYPERLINK("https://klasma.github.io/Logging_0319/klagomålsmail/A 25724-2023 FSC-klagomål mail.docx", "A 25724-2023")</f>
        <v/>
      </c>
      <c r="X284">
        <f>HYPERLINK("https://klasma.github.io/Logging_0319/tillsyn/A 25724-2023 tillsynsbegäran.docx", "A 25724-2023")</f>
        <v/>
      </c>
      <c r="Y284">
        <f>HYPERLINK("https://klasma.github.io/Logging_0319/tillsynsmail/A 25724-2023 tillsynsbegäran mail.docx", "A 25724-2023")</f>
        <v/>
      </c>
    </row>
    <row r="285" ht="15" customHeight="1">
      <c r="A285" t="inlineStr">
        <is>
          <t>A 25943-2023</t>
        </is>
      </c>
      <c r="B285" s="1" t="n">
        <v>45090</v>
      </c>
      <c r="C285" s="1" t="n">
        <v>45792</v>
      </c>
      <c r="D285" t="inlineStr">
        <is>
          <t>UPPSALA LÄN</t>
        </is>
      </c>
      <c r="E285" t="inlineStr">
        <is>
          <t>UPPSALA</t>
        </is>
      </c>
      <c r="F285" t="inlineStr">
        <is>
          <t>Holmen skog AB</t>
        </is>
      </c>
      <c r="G285" t="n">
        <v>2.7</v>
      </c>
      <c r="H285" t="n">
        <v>1</v>
      </c>
      <c r="I285" t="n">
        <v>1</v>
      </c>
      <c r="J285" t="n">
        <v>2</v>
      </c>
      <c r="K285" t="n">
        <v>0</v>
      </c>
      <c r="L285" t="n">
        <v>0</v>
      </c>
      <c r="M285" t="n">
        <v>0</v>
      </c>
      <c r="N285" t="n">
        <v>0</v>
      </c>
      <c r="O285" t="n">
        <v>2</v>
      </c>
      <c r="P285" t="n">
        <v>0</v>
      </c>
      <c r="Q285" t="n">
        <v>3</v>
      </c>
      <c r="R285" s="2" t="inlineStr">
        <is>
          <t>Mindre hackspett
Vedtrappmossa
Vedticka</t>
        </is>
      </c>
      <c r="S285">
        <f>HYPERLINK("https://klasma.github.io/Logging_0380/artfynd/A 25943-2023 artfynd.xlsx", "A 25943-2023")</f>
        <v/>
      </c>
      <c r="T285">
        <f>HYPERLINK("https://klasma.github.io/Logging_0380/kartor/A 25943-2023 karta.png", "A 25943-2023")</f>
        <v/>
      </c>
      <c r="V285">
        <f>HYPERLINK("https://klasma.github.io/Logging_0380/klagomål/A 25943-2023 FSC-klagomål.docx", "A 25943-2023")</f>
        <v/>
      </c>
      <c r="W285">
        <f>HYPERLINK("https://klasma.github.io/Logging_0380/klagomålsmail/A 25943-2023 FSC-klagomål mail.docx", "A 25943-2023")</f>
        <v/>
      </c>
      <c r="X285">
        <f>HYPERLINK("https://klasma.github.io/Logging_0380/tillsyn/A 25943-2023 tillsynsbegäran.docx", "A 25943-2023")</f>
        <v/>
      </c>
      <c r="Y285">
        <f>HYPERLINK("https://klasma.github.io/Logging_0380/tillsynsmail/A 25943-2023 tillsynsbegäran mail.docx", "A 25943-2023")</f>
        <v/>
      </c>
      <c r="Z285">
        <f>HYPERLINK("https://klasma.github.io/Logging_0380/fåglar/A 25943-2023 prioriterade fågelarter.docx", "A 25943-2023")</f>
        <v/>
      </c>
    </row>
    <row r="286" ht="15" customHeight="1">
      <c r="A286" t="inlineStr">
        <is>
          <t>A 31552-2023</t>
        </is>
      </c>
      <c r="B286" s="1" t="n">
        <v>45104</v>
      </c>
      <c r="C286" s="1" t="n">
        <v>45792</v>
      </c>
      <c r="D286" t="inlineStr">
        <is>
          <t>UPPSALA LÄN</t>
        </is>
      </c>
      <c r="E286" t="inlineStr">
        <is>
          <t>ENKÖPING</t>
        </is>
      </c>
      <c r="G286" t="n">
        <v>2.6</v>
      </c>
      <c r="H286" t="n">
        <v>1</v>
      </c>
      <c r="I286" t="n">
        <v>1</v>
      </c>
      <c r="J286" t="n">
        <v>1</v>
      </c>
      <c r="K286" t="n">
        <v>1</v>
      </c>
      <c r="L286" t="n">
        <v>0</v>
      </c>
      <c r="M286" t="n">
        <v>0</v>
      </c>
      <c r="N286" t="n">
        <v>0</v>
      </c>
      <c r="O286" t="n">
        <v>2</v>
      </c>
      <c r="P286" t="n">
        <v>1</v>
      </c>
      <c r="Q286" t="n">
        <v>3</v>
      </c>
      <c r="R286" s="2" t="inlineStr">
        <is>
          <t>Bombmurkla
Fyrflikig jordstjärna
Grönpyrola</t>
        </is>
      </c>
      <c r="S286">
        <f>HYPERLINK("https://klasma.github.io/Logging_0381/artfynd/A 31552-2023 artfynd.xlsx", "A 31552-2023")</f>
        <v/>
      </c>
      <c r="T286">
        <f>HYPERLINK("https://klasma.github.io/Logging_0381/kartor/A 31552-2023 karta.png", "A 31552-2023")</f>
        <v/>
      </c>
      <c r="V286">
        <f>HYPERLINK("https://klasma.github.io/Logging_0381/klagomål/A 31552-2023 FSC-klagomål.docx", "A 31552-2023")</f>
        <v/>
      </c>
      <c r="W286">
        <f>HYPERLINK("https://klasma.github.io/Logging_0381/klagomålsmail/A 31552-2023 FSC-klagomål mail.docx", "A 31552-2023")</f>
        <v/>
      </c>
      <c r="X286">
        <f>HYPERLINK("https://klasma.github.io/Logging_0381/tillsyn/A 31552-2023 tillsynsbegäran.docx", "A 31552-2023")</f>
        <v/>
      </c>
      <c r="Y286">
        <f>HYPERLINK("https://klasma.github.io/Logging_0381/tillsynsmail/A 31552-2023 tillsynsbegäran mail.docx", "A 31552-2023")</f>
        <v/>
      </c>
    </row>
    <row r="287" ht="15" customHeight="1">
      <c r="A287" t="inlineStr">
        <is>
          <t>A 32759-2023</t>
        </is>
      </c>
      <c r="B287" s="1" t="n">
        <v>45123</v>
      </c>
      <c r="C287" s="1" t="n">
        <v>45792</v>
      </c>
      <c r="D287" t="inlineStr">
        <is>
          <t>UPPSALA LÄN</t>
        </is>
      </c>
      <c r="E287" t="inlineStr">
        <is>
          <t>HEBY</t>
        </is>
      </c>
      <c r="G287" t="n">
        <v>23.9</v>
      </c>
      <c r="H287" t="n">
        <v>2</v>
      </c>
      <c r="I287" t="n">
        <v>2</v>
      </c>
      <c r="J287" t="n">
        <v>0</v>
      </c>
      <c r="K287" t="n">
        <v>1</v>
      </c>
      <c r="L287" t="n">
        <v>0</v>
      </c>
      <c r="M287" t="n">
        <v>0</v>
      </c>
      <c r="N287" t="n">
        <v>0</v>
      </c>
      <c r="O287" t="n">
        <v>1</v>
      </c>
      <c r="P287" t="n">
        <v>1</v>
      </c>
      <c r="Q287" t="n">
        <v>3</v>
      </c>
      <c r="R287" s="2" t="inlineStr">
        <is>
          <t>Knärot
Grön sköldmossa
Vedticka</t>
        </is>
      </c>
      <c r="S287">
        <f>HYPERLINK("https://klasma.github.io/Logging_0331/artfynd/A 32759-2023 artfynd.xlsx", "A 32759-2023")</f>
        <v/>
      </c>
      <c r="T287">
        <f>HYPERLINK("https://klasma.github.io/Logging_0331/kartor/A 32759-2023 karta.png", "A 32759-2023")</f>
        <v/>
      </c>
      <c r="U287">
        <f>HYPERLINK("https://klasma.github.io/Logging_0331/knärot/A 32759-2023 karta knärot.png", "A 32759-2023")</f>
        <v/>
      </c>
      <c r="V287">
        <f>HYPERLINK("https://klasma.github.io/Logging_0331/klagomål/A 32759-2023 FSC-klagomål.docx", "A 32759-2023")</f>
        <v/>
      </c>
      <c r="W287">
        <f>HYPERLINK("https://klasma.github.io/Logging_0331/klagomålsmail/A 32759-2023 FSC-klagomål mail.docx", "A 32759-2023")</f>
        <v/>
      </c>
      <c r="X287">
        <f>HYPERLINK("https://klasma.github.io/Logging_0331/tillsyn/A 32759-2023 tillsynsbegäran.docx", "A 32759-2023")</f>
        <v/>
      </c>
      <c r="Y287">
        <f>HYPERLINK("https://klasma.github.io/Logging_0331/tillsynsmail/A 32759-2023 tillsynsbegäran mail.docx", "A 32759-2023")</f>
        <v/>
      </c>
    </row>
    <row r="288" ht="15" customHeight="1">
      <c r="A288" t="inlineStr">
        <is>
          <t>A 36531-2023</t>
        </is>
      </c>
      <c r="B288" s="1" t="n">
        <v>45153</v>
      </c>
      <c r="C288" s="1" t="n">
        <v>45792</v>
      </c>
      <c r="D288" t="inlineStr">
        <is>
          <t>UPPSALA LÄN</t>
        </is>
      </c>
      <c r="E288" t="inlineStr">
        <is>
          <t>HEBY</t>
        </is>
      </c>
      <c r="G288" t="n">
        <v>4.8</v>
      </c>
      <c r="H288" t="n">
        <v>0</v>
      </c>
      <c r="I288" t="n">
        <v>0</v>
      </c>
      <c r="J288" t="n">
        <v>2</v>
      </c>
      <c r="K288" t="n">
        <v>1</v>
      </c>
      <c r="L288" t="n">
        <v>0</v>
      </c>
      <c r="M288" t="n">
        <v>0</v>
      </c>
      <c r="N288" t="n">
        <v>0</v>
      </c>
      <c r="O288" t="n">
        <v>3</v>
      </c>
      <c r="P288" t="n">
        <v>1</v>
      </c>
      <c r="Q288" t="n">
        <v>3</v>
      </c>
      <c r="R288" s="2" t="inlineStr">
        <is>
          <t>Lammticka
Motaggsvamp
Skrovlig taggsvamp</t>
        </is>
      </c>
      <c r="S288">
        <f>HYPERLINK("https://klasma.github.io/Logging_0331/artfynd/A 36531-2023 artfynd.xlsx", "A 36531-2023")</f>
        <v/>
      </c>
      <c r="T288">
        <f>HYPERLINK("https://klasma.github.io/Logging_0331/kartor/A 36531-2023 karta.png", "A 36531-2023")</f>
        <v/>
      </c>
      <c r="V288">
        <f>HYPERLINK("https://klasma.github.io/Logging_0331/klagomål/A 36531-2023 FSC-klagomål.docx", "A 36531-2023")</f>
        <v/>
      </c>
      <c r="W288">
        <f>HYPERLINK("https://klasma.github.io/Logging_0331/klagomålsmail/A 36531-2023 FSC-klagomål mail.docx", "A 36531-2023")</f>
        <v/>
      </c>
      <c r="X288">
        <f>HYPERLINK("https://klasma.github.io/Logging_0331/tillsyn/A 36531-2023 tillsynsbegäran.docx", "A 36531-2023")</f>
        <v/>
      </c>
      <c r="Y288">
        <f>HYPERLINK("https://klasma.github.io/Logging_0331/tillsynsmail/A 36531-2023 tillsynsbegäran mail.docx", "A 36531-2023")</f>
        <v/>
      </c>
    </row>
    <row r="289" ht="15" customHeight="1">
      <c r="A289" t="inlineStr">
        <is>
          <t>A 37417-2023</t>
        </is>
      </c>
      <c r="B289" s="1" t="n">
        <v>45155</v>
      </c>
      <c r="C289" s="1" t="n">
        <v>45792</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39917-2023</t>
        </is>
      </c>
      <c r="B290" s="1" t="n">
        <v>45166</v>
      </c>
      <c r="C290" s="1" t="n">
        <v>45792</v>
      </c>
      <c r="D290" t="inlineStr">
        <is>
          <t>UPPSALA LÄN</t>
        </is>
      </c>
      <c r="E290" t="inlineStr">
        <is>
          <t>HÅBO</t>
        </is>
      </c>
      <c r="G290" t="n">
        <v>3.6</v>
      </c>
      <c r="H290" t="n">
        <v>0</v>
      </c>
      <c r="I290" t="n">
        <v>2</v>
      </c>
      <c r="J290" t="n">
        <v>1</v>
      </c>
      <c r="K290" t="n">
        <v>0</v>
      </c>
      <c r="L290" t="n">
        <v>0</v>
      </c>
      <c r="M290" t="n">
        <v>0</v>
      </c>
      <c r="N290" t="n">
        <v>0</v>
      </c>
      <c r="O290" t="n">
        <v>1</v>
      </c>
      <c r="P290" t="n">
        <v>0</v>
      </c>
      <c r="Q290" t="n">
        <v>3</v>
      </c>
      <c r="R290" s="2" t="inlineStr">
        <is>
          <t>Oxtungssvamp
Kryddspindling
Strimspindling</t>
        </is>
      </c>
      <c r="S290">
        <f>HYPERLINK("https://klasma.github.io/Logging_0305/artfynd/A 39917-2023 artfynd.xlsx", "A 39917-2023")</f>
        <v/>
      </c>
      <c r="T290">
        <f>HYPERLINK("https://klasma.github.io/Logging_0305/kartor/A 39917-2023 karta.png", "A 39917-2023")</f>
        <v/>
      </c>
      <c r="V290">
        <f>HYPERLINK("https://klasma.github.io/Logging_0305/klagomål/A 39917-2023 FSC-klagomål.docx", "A 39917-2023")</f>
        <v/>
      </c>
      <c r="W290">
        <f>HYPERLINK("https://klasma.github.io/Logging_0305/klagomålsmail/A 39917-2023 FSC-klagomål mail.docx", "A 39917-2023")</f>
        <v/>
      </c>
      <c r="X290">
        <f>HYPERLINK("https://klasma.github.io/Logging_0305/tillsyn/A 39917-2023 tillsynsbegäran.docx", "A 39917-2023")</f>
        <v/>
      </c>
      <c r="Y290">
        <f>HYPERLINK("https://klasma.github.io/Logging_0305/tillsynsmail/A 39917-2023 tillsynsbegäran mail.docx", "A 39917-2023")</f>
        <v/>
      </c>
    </row>
    <row r="291" ht="15" customHeight="1">
      <c r="A291" t="inlineStr">
        <is>
          <t>A 40637-2023</t>
        </is>
      </c>
      <c r="B291" s="1" t="n">
        <v>45170</v>
      </c>
      <c r="C291" s="1" t="n">
        <v>45792</v>
      </c>
      <c r="D291" t="inlineStr">
        <is>
          <t>UPPSALA LÄN</t>
        </is>
      </c>
      <c r="E291" t="inlineStr">
        <is>
          <t>HEBY</t>
        </is>
      </c>
      <c r="F291" t="inlineStr">
        <is>
          <t>Övriga Aktiebolag</t>
        </is>
      </c>
      <c r="G291" t="n">
        <v>3.4</v>
      </c>
      <c r="H291" t="n">
        <v>0</v>
      </c>
      <c r="I291" t="n">
        <v>1</v>
      </c>
      <c r="J291" t="n">
        <v>2</v>
      </c>
      <c r="K291" t="n">
        <v>0</v>
      </c>
      <c r="L291" t="n">
        <v>0</v>
      </c>
      <c r="M291" t="n">
        <v>0</v>
      </c>
      <c r="N291" t="n">
        <v>0</v>
      </c>
      <c r="O291" t="n">
        <v>2</v>
      </c>
      <c r="P291" t="n">
        <v>0</v>
      </c>
      <c r="Q291" t="n">
        <v>3</v>
      </c>
      <c r="R291" s="2" t="inlineStr">
        <is>
          <t>Garnlav
Tallticka
Vedticka</t>
        </is>
      </c>
      <c r="S291">
        <f>HYPERLINK("https://klasma.github.io/Logging_0331/artfynd/A 40637-2023 artfynd.xlsx", "A 40637-2023")</f>
        <v/>
      </c>
      <c r="T291">
        <f>HYPERLINK("https://klasma.github.io/Logging_0331/kartor/A 40637-2023 karta.png", "A 40637-2023")</f>
        <v/>
      </c>
      <c r="V291">
        <f>HYPERLINK("https://klasma.github.io/Logging_0331/klagomål/A 40637-2023 FSC-klagomål.docx", "A 40637-2023")</f>
        <v/>
      </c>
      <c r="W291">
        <f>HYPERLINK("https://klasma.github.io/Logging_0331/klagomålsmail/A 40637-2023 FSC-klagomål mail.docx", "A 40637-2023")</f>
        <v/>
      </c>
      <c r="X291">
        <f>HYPERLINK("https://klasma.github.io/Logging_0331/tillsyn/A 40637-2023 tillsynsbegäran.docx", "A 40637-2023")</f>
        <v/>
      </c>
      <c r="Y291">
        <f>HYPERLINK("https://klasma.github.io/Logging_0331/tillsynsmail/A 40637-2023 tillsynsbegäran mail.docx", "A 40637-2023")</f>
        <v/>
      </c>
    </row>
    <row r="292" ht="15" customHeight="1">
      <c r="A292" t="inlineStr">
        <is>
          <t>A 43942-2023</t>
        </is>
      </c>
      <c r="B292" s="1" t="n">
        <v>45187</v>
      </c>
      <c r="C292" s="1" t="n">
        <v>45792</v>
      </c>
      <c r="D292" t="inlineStr">
        <is>
          <t>UPPSALA LÄN</t>
        </is>
      </c>
      <c r="E292" t="inlineStr">
        <is>
          <t>UPPSALA</t>
        </is>
      </c>
      <c r="F292" t="inlineStr">
        <is>
          <t>Allmännings- och besparingsskogar</t>
        </is>
      </c>
      <c r="G292" t="n">
        <v>31.6</v>
      </c>
      <c r="H292" t="n">
        <v>3</v>
      </c>
      <c r="I292" t="n">
        <v>1</v>
      </c>
      <c r="J292" t="n">
        <v>1</v>
      </c>
      <c r="K292" t="n">
        <v>0</v>
      </c>
      <c r="L292" t="n">
        <v>0</v>
      </c>
      <c r="M292" t="n">
        <v>1</v>
      </c>
      <c r="N292" t="n">
        <v>0</v>
      </c>
      <c r="O292" t="n">
        <v>2</v>
      </c>
      <c r="P292" t="n">
        <v>1</v>
      </c>
      <c r="Q292" t="n">
        <v>3</v>
      </c>
      <c r="R292" s="2" t="inlineStr">
        <is>
          <t>Vedtrådmossa
Slaguggla
Grön sköldmossa</t>
        </is>
      </c>
      <c r="S292">
        <f>HYPERLINK("https://klasma.github.io/Logging_0380/artfynd/A 43942-2023 artfynd.xlsx", "A 43942-2023")</f>
        <v/>
      </c>
      <c r="T292">
        <f>HYPERLINK("https://klasma.github.io/Logging_0380/kartor/A 43942-2023 karta.png", "A 43942-2023")</f>
        <v/>
      </c>
      <c r="V292">
        <f>HYPERLINK("https://klasma.github.io/Logging_0380/klagomål/A 43942-2023 FSC-klagomål.docx", "A 43942-2023")</f>
        <v/>
      </c>
      <c r="W292">
        <f>HYPERLINK("https://klasma.github.io/Logging_0380/klagomålsmail/A 43942-2023 FSC-klagomål mail.docx", "A 43942-2023")</f>
        <v/>
      </c>
      <c r="X292">
        <f>HYPERLINK("https://klasma.github.io/Logging_0380/tillsyn/A 43942-2023 tillsynsbegäran.docx", "A 43942-2023")</f>
        <v/>
      </c>
      <c r="Y292">
        <f>HYPERLINK("https://klasma.github.io/Logging_0380/tillsynsmail/A 43942-2023 tillsynsbegäran mail.docx", "A 43942-2023")</f>
        <v/>
      </c>
      <c r="Z292">
        <f>HYPERLINK("https://klasma.github.io/Logging_0380/fåglar/A 43942-2023 prioriterade fågelarter.docx", "A 43942-2023")</f>
        <v/>
      </c>
    </row>
    <row r="293" ht="15" customHeight="1">
      <c r="A293" t="inlineStr">
        <is>
          <t>A 46204-2023</t>
        </is>
      </c>
      <c r="B293" s="1" t="n">
        <v>45190</v>
      </c>
      <c r="C293" s="1" t="n">
        <v>45792</v>
      </c>
      <c r="D293" t="inlineStr">
        <is>
          <t>UPPSALA LÄN</t>
        </is>
      </c>
      <c r="E293" t="inlineStr">
        <is>
          <t>ÖSTHAMMAR</t>
        </is>
      </c>
      <c r="F293" t="inlineStr">
        <is>
          <t>Övriga statliga verk och myndigheter</t>
        </is>
      </c>
      <c r="G293" t="n">
        <v>3.5</v>
      </c>
      <c r="H293" t="n">
        <v>3</v>
      </c>
      <c r="I293" t="n">
        <v>0</v>
      </c>
      <c r="J293" t="n">
        <v>3</v>
      </c>
      <c r="K293" t="n">
        <v>0</v>
      </c>
      <c r="L293" t="n">
        <v>0</v>
      </c>
      <c r="M293" t="n">
        <v>0</v>
      </c>
      <c r="N293" t="n">
        <v>0</v>
      </c>
      <c r="O293" t="n">
        <v>3</v>
      </c>
      <c r="P293" t="n">
        <v>0</v>
      </c>
      <c r="Q293" t="n">
        <v>3</v>
      </c>
      <c r="R293" s="2" t="inlineStr">
        <is>
          <t>Grönsångare
Gulsparv
Ärtsångare</t>
        </is>
      </c>
      <c r="S293">
        <f>HYPERLINK("https://klasma.github.io/Logging_0382/artfynd/A 46204-2023 artfynd.xlsx", "A 46204-2023")</f>
        <v/>
      </c>
      <c r="T293">
        <f>HYPERLINK("https://klasma.github.io/Logging_0382/kartor/A 46204-2023 karta.png", "A 46204-2023")</f>
        <v/>
      </c>
      <c r="V293">
        <f>HYPERLINK("https://klasma.github.io/Logging_0382/klagomål/A 46204-2023 FSC-klagomål.docx", "A 46204-2023")</f>
        <v/>
      </c>
      <c r="W293">
        <f>HYPERLINK("https://klasma.github.io/Logging_0382/klagomålsmail/A 46204-2023 FSC-klagomål mail.docx", "A 46204-2023")</f>
        <v/>
      </c>
      <c r="X293">
        <f>HYPERLINK("https://klasma.github.io/Logging_0382/tillsyn/A 46204-2023 tillsynsbegäran.docx", "A 46204-2023")</f>
        <v/>
      </c>
      <c r="Y293">
        <f>HYPERLINK("https://klasma.github.io/Logging_0382/tillsynsmail/A 46204-2023 tillsynsbegäran mail.docx", "A 46204-2023")</f>
        <v/>
      </c>
      <c r="Z293">
        <f>HYPERLINK("https://klasma.github.io/Logging_0382/fåglar/A 46204-2023 prioriterade fågelarter.docx", "A 46204-2023")</f>
        <v/>
      </c>
    </row>
    <row r="294" ht="15" customHeight="1">
      <c r="A294" t="inlineStr">
        <is>
          <t>A 45895-2023</t>
        </is>
      </c>
      <c r="B294" s="1" t="n">
        <v>45195</v>
      </c>
      <c r="C294" s="1" t="n">
        <v>45792</v>
      </c>
      <c r="D294" t="inlineStr">
        <is>
          <t>UPPSALA LÄN</t>
        </is>
      </c>
      <c r="E294" t="inlineStr">
        <is>
          <t>ÄLVKARLEBY</t>
        </is>
      </c>
      <c r="G294" t="n">
        <v>6.7</v>
      </c>
      <c r="H294" t="n">
        <v>0</v>
      </c>
      <c r="I294" t="n">
        <v>2</v>
      </c>
      <c r="J294" t="n">
        <v>1</v>
      </c>
      <c r="K294" t="n">
        <v>0</v>
      </c>
      <c r="L294" t="n">
        <v>0</v>
      </c>
      <c r="M294" t="n">
        <v>0</v>
      </c>
      <c r="N294" t="n">
        <v>0</v>
      </c>
      <c r="O294" t="n">
        <v>1</v>
      </c>
      <c r="P294" t="n">
        <v>0</v>
      </c>
      <c r="Q294" t="n">
        <v>3</v>
      </c>
      <c r="R294" s="2" t="inlineStr">
        <is>
          <t>Flattoppad klubbsvamp
Sårläka
Trådfräken</t>
        </is>
      </c>
      <c r="S294">
        <f>HYPERLINK("https://klasma.github.io/Logging_0319/artfynd/A 45895-2023 artfynd.xlsx", "A 45895-2023")</f>
        <v/>
      </c>
      <c r="T294">
        <f>HYPERLINK("https://klasma.github.io/Logging_0319/kartor/A 45895-2023 karta.png", "A 45895-2023")</f>
        <v/>
      </c>
      <c r="V294">
        <f>HYPERLINK("https://klasma.github.io/Logging_0319/klagomål/A 45895-2023 FSC-klagomål.docx", "A 45895-2023")</f>
        <v/>
      </c>
      <c r="W294">
        <f>HYPERLINK("https://klasma.github.io/Logging_0319/klagomålsmail/A 45895-2023 FSC-klagomål mail.docx", "A 45895-2023")</f>
        <v/>
      </c>
      <c r="X294">
        <f>HYPERLINK("https://klasma.github.io/Logging_0319/tillsyn/A 45895-2023 tillsynsbegäran.docx", "A 45895-2023")</f>
        <v/>
      </c>
      <c r="Y294">
        <f>HYPERLINK("https://klasma.github.io/Logging_0319/tillsynsmail/A 45895-2023 tillsynsbegäran mail.docx", "A 45895-2023")</f>
        <v/>
      </c>
    </row>
    <row r="295" ht="15" customHeight="1">
      <c r="A295" t="inlineStr">
        <is>
          <t>A 49990-2023</t>
        </is>
      </c>
      <c r="B295" s="1" t="n">
        <v>45215</v>
      </c>
      <c r="C295" s="1" t="n">
        <v>45792</v>
      </c>
      <c r="D295" t="inlineStr">
        <is>
          <t>UPPSALA LÄN</t>
        </is>
      </c>
      <c r="E295" t="inlineStr">
        <is>
          <t>UPPSALA</t>
        </is>
      </c>
      <c r="G295" t="n">
        <v>2</v>
      </c>
      <c r="H295" t="n">
        <v>3</v>
      </c>
      <c r="I295" t="n">
        <v>0</v>
      </c>
      <c r="J295" t="n">
        <v>1</v>
      </c>
      <c r="K295" t="n">
        <v>0</v>
      </c>
      <c r="L295" t="n">
        <v>0</v>
      </c>
      <c r="M295" t="n">
        <v>0</v>
      </c>
      <c r="N295" t="n">
        <v>0</v>
      </c>
      <c r="O295" t="n">
        <v>1</v>
      </c>
      <c r="P295" t="n">
        <v>0</v>
      </c>
      <c r="Q295" t="n">
        <v>3</v>
      </c>
      <c r="R295" s="2" t="inlineStr">
        <is>
          <t>Nordfladdermus
Järnsparv
Större brunfladdermus</t>
        </is>
      </c>
      <c r="S295">
        <f>HYPERLINK("https://klasma.github.io/Logging_0380/artfynd/A 49990-2023 artfynd.xlsx", "A 49990-2023")</f>
        <v/>
      </c>
      <c r="T295">
        <f>HYPERLINK("https://klasma.github.io/Logging_0380/kartor/A 49990-2023 karta.png", "A 49990-2023")</f>
        <v/>
      </c>
      <c r="V295">
        <f>HYPERLINK("https://klasma.github.io/Logging_0380/klagomål/A 49990-2023 FSC-klagomål.docx", "A 49990-2023")</f>
        <v/>
      </c>
      <c r="W295">
        <f>HYPERLINK("https://klasma.github.io/Logging_0380/klagomålsmail/A 49990-2023 FSC-klagomål mail.docx", "A 49990-2023")</f>
        <v/>
      </c>
      <c r="X295">
        <f>HYPERLINK("https://klasma.github.io/Logging_0380/tillsyn/A 49990-2023 tillsynsbegäran.docx", "A 49990-2023")</f>
        <v/>
      </c>
      <c r="Y295">
        <f>HYPERLINK("https://klasma.github.io/Logging_0380/tillsynsmail/A 49990-2023 tillsynsbegäran mail.docx", "A 49990-2023")</f>
        <v/>
      </c>
      <c r="Z295">
        <f>HYPERLINK("https://klasma.github.io/Logging_0380/fåglar/A 49990-2023 prioriterade fågelarter.docx", "A 49990-2023")</f>
        <v/>
      </c>
    </row>
    <row r="296" ht="15" customHeight="1">
      <c r="A296" t="inlineStr">
        <is>
          <t>A 51733-2023</t>
        </is>
      </c>
      <c r="B296" s="1" t="n">
        <v>45222</v>
      </c>
      <c r="C296" s="1" t="n">
        <v>45792</v>
      </c>
      <c r="D296" t="inlineStr">
        <is>
          <t>UPPSALA LÄN</t>
        </is>
      </c>
      <c r="E296" t="inlineStr">
        <is>
          <t>HEBY</t>
        </is>
      </c>
      <c r="F296" t="inlineStr">
        <is>
          <t>Allmännings- och besparingsskogar</t>
        </is>
      </c>
      <c r="G296" t="n">
        <v>17.7</v>
      </c>
      <c r="H296" t="n">
        <v>3</v>
      </c>
      <c r="I296" t="n">
        <v>0</v>
      </c>
      <c r="J296" t="n">
        <v>0</v>
      </c>
      <c r="K296" t="n">
        <v>1</v>
      </c>
      <c r="L296" t="n">
        <v>0</v>
      </c>
      <c r="M296" t="n">
        <v>0</v>
      </c>
      <c r="N296" t="n">
        <v>0</v>
      </c>
      <c r="O296" t="n">
        <v>1</v>
      </c>
      <c r="P296" t="n">
        <v>1</v>
      </c>
      <c r="Q296" t="n">
        <v>3</v>
      </c>
      <c r="R296" s="2" t="inlineStr">
        <is>
          <t>Knärot
Blåsippa
Revlummer</t>
        </is>
      </c>
      <c r="S296">
        <f>HYPERLINK("https://klasma.github.io/Logging_0331/artfynd/A 51733-2023 artfynd.xlsx", "A 51733-2023")</f>
        <v/>
      </c>
      <c r="T296">
        <f>HYPERLINK("https://klasma.github.io/Logging_0331/kartor/A 51733-2023 karta.png", "A 51733-2023")</f>
        <v/>
      </c>
      <c r="U296">
        <f>HYPERLINK("https://klasma.github.io/Logging_0331/knärot/A 51733-2023 karta knärot.png", "A 51733-2023")</f>
        <v/>
      </c>
      <c r="V296">
        <f>HYPERLINK("https://klasma.github.io/Logging_0331/klagomål/A 51733-2023 FSC-klagomål.docx", "A 51733-2023")</f>
        <v/>
      </c>
      <c r="W296">
        <f>HYPERLINK("https://klasma.github.io/Logging_0331/klagomålsmail/A 51733-2023 FSC-klagomål mail.docx", "A 51733-2023")</f>
        <v/>
      </c>
      <c r="X296">
        <f>HYPERLINK("https://klasma.github.io/Logging_0331/tillsyn/A 51733-2023 tillsynsbegäran.docx", "A 51733-2023")</f>
        <v/>
      </c>
      <c r="Y296">
        <f>HYPERLINK("https://klasma.github.io/Logging_0331/tillsynsmail/A 51733-2023 tillsynsbegäran mail.docx", "A 51733-2023")</f>
        <v/>
      </c>
    </row>
    <row r="297" ht="15" customHeight="1">
      <c r="A297" t="inlineStr">
        <is>
          <t>A 53731-2023</t>
        </is>
      </c>
      <c r="B297" s="1" t="n">
        <v>45230</v>
      </c>
      <c r="C297" s="1" t="n">
        <v>45792</v>
      </c>
      <c r="D297" t="inlineStr">
        <is>
          <t>UPPSALA LÄN</t>
        </is>
      </c>
      <c r="E297" t="inlineStr">
        <is>
          <t>ÖSTHAMMAR</t>
        </is>
      </c>
      <c r="G297" t="n">
        <v>3.2</v>
      </c>
      <c r="H297" t="n">
        <v>0</v>
      </c>
      <c r="I297" t="n">
        <v>1</v>
      </c>
      <c r="J297" t="n">
        <v>1</v>
      </c>
      <c r="K297" t="n">
        <v>1</v>
      </c>
      <c r="L297" t="n">
        <v>0</v>
      </c>
      <c r="M297" t="n">
        <v>0</v>
      </c>
      <c r="N297" t="n">
        <v>0</v>
      </c>
      <c r="O297" t="n">
        <v>2</v>
      </c>
      <c r="P297" t="n">
        <v>1</v>
      </c>
      <c r="Q297" t="n">
        <v>3</v>
      </c>
      <c r="R297" s="2" t="inlineStr">
        <is>
          <t>Taggfingersvamp
Äggspindling
Sårläka</t>
        </is>
      </c>
      <c r="S297">
        <f>HYPERLINK("https://klasma.github.io/Logging_0382/artfynd/A 53731-2023 artfynd.xlsx", "A 53731-2023")</f>
        <v/>
      </c>
      <c r="T297">
        <f>HYPERLINK("https://klasma.github.io/Logging_0382/kartor/A 53731-2023 karta.png", "A 53731-2023")</f>
        <v/>
      </c>
      <c r="V297">
        <f>HYPERLINK("https://klasma.github.io/Logging_0382/klagomål/A 53731-2023 FSC-klagomål.docx", "A 53731-2023")</f>
        <v/>
      </c>
      <c r="W297">
        <f>HYPERLINK("https://klasma.github.io/Logging_0382/klagomålsmail/A 53731-2023 FSC-klagomål mail.docx", "A 53731-2023")</f>
        <v/>
      </c>
      <c r="X297">
        <f>HYPERLINK("https://klasma.github.io/Logging_0382/tillsyn/A 53731-2023 tillsynsbegäran.docx", "A 53731-2023")</f>
        <v/>
      </c>
      <c r="Y297">
        <f>HYPERLINK("https://klasma.github.io/Logging_0382/tillsynsmail/A 53731-2023 tillsynsbegäran mail.docx", "A 53731-2023")</f>
        <v/>
      </c>
    </row>
    <row r="298" ht="15" customHeight="1">
      <c r="A298" t="inlineStr">
        <is>
          <t>A 55535-2023</t>
        </is>
      </c>
      <c r="B298" s="1" t="n">
        <v>45238</v>
      </c>
      <c r="C298" s="1" t="n">
        <v>45792</v>
      </c>
      <c r="D298" t="inlineStr">
        <is>
          <t>UPPSALA LÄN</t>
        </is>
      </c>
      <c r="E298" t="inlineStr">
        <is>
          <t>KNIVSTA</t>
        </is>
      </c>
      <c r="G298" t="n">
        <v>5.7</v>
      </c>
      <c r="H298" t="n">
        <v>1</v>
      </c>
      <c r="I298" t="n">
        <v>1</v>
      </c>
      <c r="J298" t="n">
        <v>1</v>
      </c>
      <c r="K298" t="n">
        <v>0</v>
      </c>
      <c r="L298" t="n">
        <v>0</v>
      </c>
      <c r="M298" t="n">
        <v>0</v>
      </c>
      <c r="N298" t="n">
        <v>0</v>
      </c>
      <c r="O298" t="n">
        <v>1</v>
      </c>
      <c r="P298" t="n">
        <v>0</v>
      </c>
      <c r="Q298" t="n">
        <v>3</v>
      </c>
      <c r="R298" s="2" t="inlineStr">
        <is>
          <t>Fyrflikig jordstjärna
Svavelriska
Blåsippa</t>
        </is>
      </c>
      <c r="S298">
        <f>HYPERLINK("https://klasma.github.io/Logging_0330/artfynd/A 55535-2023 artfynd.xlsx", "A 55535-2023")</f>
        <v/>
      </c>
      <c r="T298">
        <f>HYPERLINK("https://klasma.github.io/Logging_0330/kartor/A 55535-2023 karta.png", "A 55535-2023")</f>
        <v/>
      </c>
      <c r="V298">
        <f>HYPERLINK("https://klasma.github.io/Logging_0330/klagomål/A 55535-2023 FSC-klagomål.docx", "A 55535-2023")</f>
        <v/>
      </c>
      <c r="W298">
        <f>HYPERLINK("https://klasma.github.io/Logging_0330/klagomålsmail/A 55535-2023 FSC-klagomål mail.docx", "A 55535-2023")</f>
        <v/>
      </c>
      <c r="X298">
        <f>HYPERLINK("https://klasma.github.io/Logging_0330/tillsyn/A 55535-2023 tillsynsbegäran.docx", "A 55535-2023")</f>
        <v/>
      </c>
      <c r="Y298">
        <f>HYPERLINK("https://klasma.github.io/Logging_0330/tillsynsmail/A 55535-2023 tillsynsbegäran mail.docx", "A 55535-2023")</f>
        <v/>
      </c>
    </row>
    <row r="299" ht="15" customHeight="1">
      <c r="A299" t="inlineStr">
        <is>
          <t>A 57633-2023</t>
        </is>
      </c>
      <c r="B299" s="1" t="n">
        <v>45246</v>
      </c>
      <c r="C299" s="1" t="n">
        <v>45792</v>
      </c>
      <c r="D299" t="inlineStr">
        <is>
          <t>UPPSALA LÄN</t>
        </is>
      </c>
      <c r="E299" t="inlineStr">
        <is>
          <t>ÖSTHAMMAR</t>
        </is>
      </c>
      <c r="F299" t="inlineStr">
        <is>
          <t>Bergvik skog öst AB</t>
        </is>
      </c>
      <c r="G299" t="n">
        <v>1</v>
      </c>
      <c r="H299" t="n">
        <v>1</v>
      </c>
      <c r="I299" t="n">
        <v>3</v>
      </c>
      <c r="J299" t="n">
        <v>0</v>
      </c>
      <c r="K299" t="n">
        <v>0</v>
      </c>
      <c r="L299" t="n">
        <v>0</v>
      </c>
      <c r="M299" t="n">
        <v>0</v>
      </c>
      <c r="N299" t="n">
        <v>0</v>
      </c>
      <c r="O299" t="n">
        <v>0</v>
      </c>
      <c r="P299" t="n">
        <v>0</v>
      </c>
      <c r="Q299" t="n">
        <v>3</v>
      </c>
      <c r="R299" s="2" t="inlineStr">
        <is>
          <t>Skogsknipprot
Svart trolldruva
Svavelriska</t>
        </is>
      </c>
      <c r="S299">
        <f>HYPERLINK("https://klasma.github.io/Logging_0382/artfynd/A 57633-2023 artfynd.xlsx", "A 57633-2023")</f>
        <v/>
      </c>
      <c r="T299">
        <f>HYPERLINK("https://klasma.github.io/Logging_0382/kartor/A 57633-2023 karta.png", "A 57633-2023")</f>
        <v/>
      </c>
      <c r="V299">
        <f>HYPERLINK("https://klasma.github.io/Logging_0382/klagomål/A 57633-2023 FSC-klagomål.docx", "A 57633-2023")</f>
        <v/>
      </c>
      <c r="W299">
        <f>HYPERLINK("https://klasma.github.io/Logging_0382/klagomålsmail/A 57633-2023 FSC-klagomål mail.docx", "A 57633-2023")</f>
        <v/>
      </c>
      <c r="X299">
        <f>HYPERLINK("https://klasma.github.io/Logging_0382/tillsyn/A 57633-2023 tillsynsbegäran.docx", "A 57633-2023")</f>
        <v/>
      </c>
      <c r="Y299">
        <f>HYPERLINK("https://klasma.github.io/Logging_0382/tillsynsmail/A 57633-2023 tillsynsbegäran mail.docx", "A 57633-2023")</f>
        <v/>
      </c>
    </row>
    <row r="300" ht="15" customHeight="1">
      <c r="A300" t="inlineStr">
        <is>
          <t>A 57636-2023</t>
        </is>
      </c>
      <c r="B300" s="1" t="n">
        <v>45246</v>
      </c>
      <c r="C300" s="1" t="n">
        <v>45792</v>
      </c>
      <c r="D300" t="inlineStr">
        <is>
          <t>UPPSALA LÄN</t>
        </is>
      </c>
      <c r="E300" t="inlineStr">
        <is>
          <t>ÖSTHAMMAR</t>
        </is>
      </c>
      <c r="F300" t="inlineStr">
        <is>
          <t>Bergvik skog öst AB</t>
        </is>
      </c>
      <c r="G300" t="n">
        <v>9.800000000000001</v>
      </c>
      <c r="H300" t="n">
        <v>1</v>
      </c>
      <c r="I300" t="n">
        <v>3</v>
      </c>
      <c r="J300" t="n">
        <v>0</v>
      </c>
      <c r="K300" t="n">
        <v>0</v>
      </c>
      <c r="L300" t="n">
        <v>0</v>
      </c>
      <c r="M300" t="n">
        <v>0</v>
      </c>
      <c r="N300" t="n">
        <v>0</v>
      </c>
      <c r="O300" t="n">
        <v>0</v>
      </c>
      <c r="P300" t="n">
        <v>0</v>
      </c>
      <c r="Q300" t="n">
        <v>3</v>
      </c>
      <c r="R300" s="2" t="inlineStr">
        <is>
          <t>Skogsknipprot
Svavelriska
Tibast</t>
        </is>
      </c>
      <c r="S300">
        <f>HYPERLINK("https://klasma.github.io/Logging_0382/artfynd/A 57636-2023 artfynd.xlsx", "A 57636-2023")</f>
        <v/>
      </c>
      <c r="T300">
        <f>HYPERLINK("https://klasma.github.io/Logging_0382/kartor/A 57636-2023 karta.png", "A 57636-2023")</f>
        <v/>
      </c>
      <c r="V300">
        <f>HYPERLINK("https://klasma.github.io/Logging_0382/klagomål/A 57636-2023 FSC-klagomål.docx", "A 57636-2023")</f>
        <v/>
      </c>
      <c r="W300">
        <f>HYPERLINK("https://klasma.github.io/Logging_0382/klagomålsmail/A 57636-2023 FSC-klagomål mail.docx", "A 57636-2023")</f>
        <v/>
      </c>
      <c r="X300">
        <f>HYPERLINK("https://klasma.github.io/Logging_0382/tillsyn/A 57636-2023 tillsynsbegäran.docx", "A 57636-2023")</f>
        <v/>
      </c>
      <c r="Y300">
        <f>HYPERLINK("https://klasma.github.io/Logging_0382/tillsynsmail/A 57636-2023 tillsynsbegäran mail.docx", "A 57636-2023")</f>
        <v/>
      </c>
    </row>
    <row r="301" ht="15" customHeight="1">
      <c r="A301" t="inlineStr">
        <is>
          <t>A 9715-2024</t>
        </is>
      </c>
      <c r="B301" s="1" t="n">
        <v>45362</v>
      </c>
      <c r="C301" s="1" t="n">
        <v>45792</v>
      </c>
      <c r="D301" t="inlineStr">
        <is>
          <t>UPPSALA LÄN</t>
        </is>
      </c>
      <c r="E301" t="inlineStr">
        <is>
          <t>ÖSTHAMMAR</t>
        </is>
      </c>
      <c r="G301" t="n">
        <v>4.7</v>
      </c>
      <c r="H301" t="n">
        <v>2</v>
      </c>
      <c r="I301" t="n">
        <v>2</v>
      </c>
      <c r="J301" t="n">
        <v>0</v>
      </c>
      <c r="K301" t="n">
        <v>1</v>
      </c>
      <c r="L301" t="n">
        <v>0</v>
      </c>
      <c r="M301" t="n">
        <v>0</v>
      </c>
      <c r="N301" t="n">
        <v>0</v>
      </c>
      <c r="O301" t="n">
        <v>1</v>
      </c>
      <c r="P301" t="n">
        <v>1</v>
      </c>
      <c r="Q301" t="n">
        <v>3</v>
      </c>
      <c r="R301" s="2" t="inlineStr">
        <is>
          <t>Knärot
Skogsknipprot
Vedticka</t>
        </is>
      </c>
      <c r="S301">
        <f>HYPERLINK("https://klasma.github.io/Logging_0382/artfynd/A 9715-2024 artfynd.xlsx", "A 9715-2024")</f>
        <v/>
      </c>
      <c r="T301">
        <f>HYPERLINK("https://klasma.github.io/Logging_0382/kartor/A 9715-2024 karta.png", "A 9715-2024")</f>
        <v/>
      </c>
      <c r="U301">
        <f>HYPERLINK("https://klasma.github.io/Logging_0382/knärot/A 9715-2024 karta knärot.png", "A 9715-2024")</f>
        <v/>
      </c>
      <c r="V301">
        <f>HYPERLINK("https://klasma.github.io/Logging_0382/klagomål/A 9715-2024 FSC-klagomål.docx", "A 9715-2024")</f>
        <v/>
      </c>
      <c r="W301">
        <f>HYPERLINK("https://klasma.github.io/Logging_0382/klagomålsmail/A 9715-2024 FSC-klagomål mail.docx", "A 9715-2024")</f>
        <v/>
      </c>
      <c r="X301">
        <f>HYPERLINK("https://klasma.github.io/Logging_0382/tillsyn/A 9715-2024 tillsynsbegäran.docx", "A 9715-2024")</f>
        <v/>
      </c>
      <c r="Y301">
        <f>HYPERLINK("https://klasma.github.io/Logging_0382/tillsynsmail/A 9715-2024 tillsynsbegäran mail.docx", "A 9715-2024")</f>
        <v/>
      </c>
    </row>
    <row r="302" ht="15" customHeight="1">
      <c r="A302" t="inlineStr">
        <is>
          <t>A 17004-2024</t>
        </is>
      </c>
      <c r="B302" s="1" t="n">
        <v>45412</v>
      </c>
      <c r="C302" s="1" t="n">
        <v>45792</v>
      </c>
      <c r="D302" t="inlineStr">
        <is>
          <t>UPPSALA LÄN</t>
        </is>
      </c>
      <c r="E302" t="inlineStr">
        <is>
          <t>ÖSTHAMMAR</t>
        </is>
      </c>
      <c r="F302" t="inlineStr">
        <is>
          <t>Bergvik skog öst AB</t>
        </is>
      </c>
      <c r="G302" t="n">
        <v>24.4</v>
      </c>
      <c r="H302" t="n">
        <v>0</v>
      </c>
      <c r="I302" t="n">
        <v>2</v>
      </c>
      <c r="J302" t="n">
        <v>0</v>
      </c>
      <c r="K302" t="n">
        <v>0</v>
      </c>
      <c r="L302" t="n">
        <v>0</v>
      </c>
      <c r="M302" t="n">
        <v>1</v>
      </c>
      <c r="N302" t="n">
        <v>0</v>
      </c>
      <c r="O302" t="n">
        <v>1</v>
      </c>
      <c r="P302" t="n">
        <v>1</v>
      </c>
      <c r="Q302" t="n">
        <v>3</v>
      </c>
      <c r="R302" s="2" t="inlineStr">
        <is>
          <t>Skogsalm
Myskmadra
Underviol</t>
        </is>
      </c>
      <c r="S302">
        <f>HYPERLINK("https://klasma.github.io/Logging_0382/artfynd/A 17004-2024 artfynd.xlsx", "A 17004-2024")</f>
        <v/>
      </c>
      <c r="T302">
        <f>HYPERLINK("https://klasma.github.io/Logging_0382/kartor/A 17004-2024 karta.png", "A 17004-2024")</f>
        <v/>
      </c>
      <c r="V302">
        <f>HYPERLINK("https://klasma.github.io/Logging_0382/klagomål/A 17004-2024 FSC-klagomål.docx", "A 17004-2024")</f>
        <v/>
      </c>
      <c r="W302">
        <f>HYPERLINK("https://klasma.github.io/Logging_0382/klagomålsmail/A 17004-2024 FSC-klagomål mail.docx", "A 17004-2024")</f>
        <v/>
      </c>
      <c r="X302">
        <f>HYPERLINK("https://klasma.github.io/Logging_0382/tillsyn/A 17004-2024 tillsynsbegäran.docx", "A 17004-2024")</f>
        <v/>
      </c>
      <c r="Y302">
        <f>HYPERLINK("https://klasma.github.io/Logging_0382/tillsynsmail/A 17004-2024 tillsynsbegäran mail.docx", "A 17004-2024")</f>
        <v/>
      </c>
    </row>
    <row r="303" ht="15" customHeight="1">
      <c r="A303" t="inlineStr">
        <is>
          <t>A 22185-2024</t>
        </is>
      </c>
      <c r="B303" s="1" t="n">
        <v>45446</v>
      </c>
      <c r="C303" s="1" t="n">
        <v>45792</v>
      </c>
      <c r="D303" t="inlineStr">
        <is>
          <t>UPPSALA LÄN</t>
        </is>
      </c>
      <c r="E303" t="inlineStr">
        <is>
          <t>HEBY</t>
        </is>
      </c>
      <c r="F303" t="inlineStr">
        <is>
          <t>Bergvik skog väst AB</t>
        </is>
      </c>
      <c r="G303" t="n">
        <v>17.3</v>
      </c>
      <c r="H303" t="n">
        <v>0</v>
      </c>
      <c r="I303" t="n">
        <v>2</v>
      </c>
      <c r="J303" t="n">
        <v>0</v>
      </c>
      <c r="K303" t="n">
        <v>1</v>
      </c>
      <c r="L303" t="n">
        <v>0</v>
      </c>
      <c r="M303" t="n">
        <v>0</v>
      </c>
      <c r="N303" t="n">
        <v>0</v>
      </c>
      <c r="O303" t="n">
        <v>1</v>
      </c>
      <c r="P303" t="n">
        <v>1</v>
      </c>
      <c r="Q303" t="n">
        <v>3</v>
      </c>
      <c r="R303" s="2" t="inlineStr">
        <is>
          <t>Aspsplintbock
Aspvedgnagare
Myskbock</t>
        </is>
      </c>
      <c r="S303">
        <f>HYPERLINK("https://klasma.github.io/Logging_0331/artfynd/A 22185-2024 artfynd.xlsx", "A 22185-2024")</f>
        <v/>
      </c>
      <c r="T303">
        <f>HYPERLINK("https://klasma.github.io/Logging_0331/kartor/A 22185-2024 karta.png", "A 22185-2024")</f>
        <v/>
      </c>
      <c r="V303">
        <f>HYPERLINK("https://klasma.github.io/Logging_0331/klagomål/A 22185-2024 FSC-klagomål.docx", "A 22185-2024")</f>
        <v/>
      </c>
      <c r="W303">
        <f>HYPERLINK("https://klasma.github.io/Logging_0331/klagomålsmail/A 22185-2024 FSC-klagomål mail.docx", "A 22185-2024")</f>
        <v/>
      </c>
      <c r="X303">
        <f>HYPERLINK("https://klasma.github.io/Logging_0331/tillsyn/A 22185-2024 tillsynsbegäran.docx", "A 22185-2024")</f>
        <v/>
      </c>
      <c r="Y303">
        <f>HYPERLINK("https://klasma.github.io/Logging_0331/tillsynsmail/A 22185-2024 tillsynsbegäran mail.docx", "A 22185-2024")</f>
        <v/>
      </c>
    </row>
    <row r="304" ht="15" customHeight="1">
      <c r="A304" t="inlineStr">
        <is>
          <t>A 29322-2024</t>
        </is>
      </c>
      <c r="B304" s="1" t="n">
        <v>45483</v>
      </c>
      <c r="C304" s="1" t="n">
        <v>45792</v>
      </c>
      <c r="D304" t="inlineStr">
        <is>
          <t>UPPSALA LÄN</t>
        </is>
      </c>
      <c r="E304" t="inlineStr">
        <is>
          <t>ÖSTHAMMAR</t>
        </is>
      </c>
      <c r="G304" t="n">
        <v>11.9</v>
      </c>
      <c r="H304" t="n">
        <v>0</v>
      </c>
      <c r="I304" t="n">
        <v>2</v>
      </c>
      <c r="J304" t="n">
        <v>1</v>
      </c>
      <c r="K304" t="n">
        <v>0</v>
      </c>
      <c r="L304" t="n">
        <v>0</v>
      </c>
      <c r="M304" t="n">
        <v>0</v>
      </c>
      <c r="N304" t="n">
        <v>0</v>
      </c>
      <c r="O304" t="n">
        <v>1</v>
      </c>
      <c r="P304" t="n">
        <v>0</v>
      </c>
      <c r="Q304" t="n">
        <v>3</v>
      </c>
      <c r="R304" s="2" t="inlineStr">
        <is>
          <t>Äggspindling
Anisspindling
Guldkremla</t>
        </is>
      </c>
      <c r="S304">
        <f>HYPERLINK("https://klasma.github.io/Logging_0382/artfynd/A 29322-2024 artfynd.xlsx", "A 29322-2024")</f>
        <v/>
      </c>
      <c r="T304">
        <f>HYPERLINK("https://klasma.github.io/Logging_0382/kartor/A 29322-2024 karta.png", "A 29322-2024")</f>
        <v/>
      </c>
      <c r="V304">
        <f>HYPERLINK("https://klasma.github.io/Logging_0382/klagomål/A 29322-2024 FSC-klagomål.docx", "A 29322-2024")</f>
        <v/>
      </c>
      <c r="W304">
        <f>HYPERLINK("https://klasma.github.io/Logging_0382/klagomålsmail/A 29322-2024 FSC-klagomål mail.docx", "A 29322-2024")</f>
        <v/>
      </c>
      <c r="X304">
        <f>HYPERLINK("https://klasma.github.io/Logging_0382/tillsyn/A 29322-2024 tillsynsbegäran.docx", "A 29322-2024")</f>
        <v/>
      </c>
      <c r="Y304">
        <f>HYPERLINK("https://klasma.github.io/Logging_0382/tillsynsmail/A 29322-2024 tillsynsbegäran mail.docx", "A 29322-2024")</f>
        <v/>
      </c>
    </row>
    <row r="305" ht="15" customHeight="1">
      <c r="A305" t="inlineStr">
        <is>
          <t>A 31174-2024</t>
        </is>
      </c>
      <c r="B305" s="1" t="n">
        <v>45503</v>
      </c>
      <c r="C305" s="1" t="n">
        <v>45792</v>
      </c>
      <c r="D305" t="inlineStr">
        <is>
          <t>UPPSALA LÄN</t>
        </is>
      </c>
      <c r="E305" t="inlineStr">
        <is>
          <t>HEBY</t>
        </is>
      </c>
      <c r="G305" t="n">
        <v>4.5</v>
      </c>
      <c r="H305" t="n">
        <v>1</v>
      </c>
      <c r="I305" t="n">
        <v>0</v>
      </c>
      <c r="J305" t="n">
        <v>1</v>
      </c>
      <c r="K305" t="n">
        <v>1</v>
      </c>
      <c r="L305" t="n">
        <v>0</v>
      </c>
      <c r="M305" t="n">
        <v>0</v>
      </c>
      <c r="N305" t="n">
        <v>0</v>
      </c>
      <c r="O305" t="n">
        <v>2</v>
      </c>
      <c r="P305" t="n">
        <v>1</v>
      </c>
      <c r="Q305" t="n">
        <v>3</v>
      </c>
      <c r="R305" s="2" t="inlineStr">
        <is>
          <t>Lammticka
Motaggsvamp
Vanlig snok</t>
        </is>
      </c>
      <c r="S305">
        <f>HYPERLINK("https://klasma.github.io/Logging_0331/artfynd/A 31174-2024 artfynd.xlsx", "A 31174-2024")</f>
        <v/>
      </c>
      <c r="T305">
        <f>HYPERLINK("https://klasma.github.io/Logging_0331/kartor/A 31174-2024 karta.png", "A 31174-2024")</f>
        <v/>
      </c>
      <c r="V305">
        <f>HYPERLINK("https://klasma.github.io/Logging_0331/klagomål/A 31174-2024 FSC-klagomål.docx", "A 31174-2024")</f>
        <v/>
      </c>
      <c r="W305">
        <f>HYPERLINK("https://klasma.github.io/Logging_0331/klagomålsmail/A 31174-2024 FSC-klagomål mail.docx", "A 31174-2024")</f>
        <v/>
      </c>
      <c r="X305">
        <f>HYPERLINK("https://klasma.github.io/Logging_0331/tillsyn/A 31174-2024 tillsynsbegäran.docx", "A 31174-2024")</f>
        <v/>
      </c>
      <c r="Y305">
        <f>HYPERLINK("https://klasma.github.io/Logging_0331/tillsynsmail/A 31174-2024 tillsynsbegäran mail.docx", "A 31174-2024")</f>
        <v/>
      </c>
    </row>
    <row r="306" ht="15" customHeight="1">
      <c r="A306" t="inlineStr">
        <is>
          <t>A 31758-2024</t>
        </is>
      </c>
      <c r="B306" s="1" t="n">
        <v>45509</v>
      </c>
      <c r="C306" s="1" t="n">
        <v>45792</v>
      </c>
      <c r="D306" t="inlineStr">
        <is>
          <t>UPPSALA LÄN</t>
        </is>
      </c>
      <c r="E306" t="inlineStr">
        <is>
          <t>HEBY</t>
        </is>
      </c>
      <c r="G306" t="n">
        <v>5</v>
      </c>
      <c r="H306" t="n">
        <v>0</v>
      </c>
      <c r="I306" t="n">
        <v>0</v>
      </c>
      <c r="J306" t="n">
        <v>2</v>
      </c>
      <c r="K306" t="n">
        <v>1</v>
      </c>
      <c r="L306" t="n">
        <v>0</v>
      </c>
      <c r="M306" t="n">
        <v>0</v>
      </c>
      <c r="N306" t="n">
        <v>0</v>
      </c>
      <c r="O306" t="n">
        <v>3</v>
      </c>
      <c r="P306" t="n">
        <v>1</v>
      </c>
      <c r="Q306" t="n">
        <v>3</v>
      </c>
      <c r="R306" s="2" t="inlineStr">
        <is>
          <t>Lammticka
Druvfingersvamp
Motaggsvamp</t>
        </is>
      </c>
      <c r="S306">
        <f>HYPERLINK("https://klasma.github.io/Logging_0331/artfynd/A 31758-2024 artfynd.xlsx", "A 31758-2024")</f>
        <v/>
      </c>
      <c r="T306">
        <f>HYPERLINK("https://klasma.github.io/Logging_0331/kartor/A 31758-2024 karta.png", "A 31758-2024")</f>
        <v/>
      </c>
      <c r="V306">
        <f>HYPERLINK("https://klasma.github.io/Logging_0331/klagomål/A 31758-2024 FSC-klagomål.docx", "A 31758-2024")</f>
        <v/>
      </c>
      <c r="W306">
        <f>HYPERLINK("https://klasma.github.io/Logging_0331/klagomålsmail/A 31758-2024 FSC-klagomål mail.docx", "A 31758-2024")</f>
        <v/>
      </c>
      <c r="X306">
        <f>HYPERLINK("https://klasma.github.io/Logging_0331/tillsyn/A 31758-2024 tillsynsbegäran.docx", "A 31758-2024")</f>
        <v/>
      </c>
      <c r="Y306">
        <f>HYPERLINK("https://klasma.github.io/Logging_0331/tillsynsmail/A 31758-2024 tillsynsbegäran mail.docx", "A 31758-2024")</f>
        <v/>
      </c>
    </row>
    <row r="307" ht="15" customHeight="1">
      <c r="A307" t="inlineStr">
        <is>
          <t>A 33803-2024</t>
        </is>
      </c>
      <c r="B307" s="1" t="n">
        <v>45520</v>
      </c>
      <c r="C307" s="1" t="n">
        <v>45792</v>
      </c>
      <c r="D307" t="inlineStr">
        <is>
          <t>UPPSALA LÄN</t>
        </is>
      </c>
      <c r="E307" t="inlineStr">
        <is>
          <t>ÄLVKARLEBY</t>
        </is>
      </c>
      <c r="F307" t="inlineStr">
        <is>
          <t>Bergvik skog väst AB</t>
        </is>
      </c>
      <c r="G307" t="n">
        <v>1.6</v>
      </c>
      <c r="H307" t="n">
        <v>0</v>
      </c>
      <c r="I307" t="n">
        <v>3</v>
      </c>
      <c r="J307" t="n">
        <v>0</v>
      </c>
      <c r="K307" t="n">
        <v>0</v>
      </c>
      <c r="L307" t="n">
        <v>0</v>
      </c>
      <c r="M307" t="n">
        <v>0</v>
      </c>
      <c r="N307" t="n">
        <v>0</v>
      </c>
      <c r="O307" t="n">
        <v>0</v>
      </c>
      <c r="P307" t="n">
        <v>0</v>
      </c>
      <c r="Q307" t="n">
        <v>3</v>
      </c>
      <c r="R307" s="2" t="inlineStr">
        <is>
          <t>Bronshjon
Thomsons trägnagare
Tibast</t>
        </is>
      </c>
      <c r="S307">
        <f>HYPERLINK("https://klasma.github.io/Logging_0319/artfynd/A 33803-2024 artfynd.xlsx", "A 33803-2024")</f>
        <v/>
      </c>
      <c r="T307">
        <f>HYPERLINK("https://klasma.github.io/Logging_0319/kartor/A 33803-2024 karta.png", "A 33803-2024")</f>
        <v/>
      </c>
      <c r="V307">
        <f>HYPERLINK("https://klasma.github.io/Logging_0319/klagomål/A 33803-2024 FSC-klagomål.docx", "A 33803-2024")</f>
        <v/>
      </c>
      <c r="W307">
        <f>HYPERLINK("https://klasma.github.io/Logging_0319/klagomålsmail/A 33803-2024 FSC-klagomål mail.docx", "A 33803-2024")</f>
        <v/>
      </c>
      <c r="X307">
        <f>HYPERLINK("https://klasma.github.io/Logging_0319/tillsyn/A 33803-2024 tillsynsbegäran.docx", "A 33803-2024")</f>
        <v/>
      </c>
      <c r="Y307">
        <f>HYPERLINK("https://klasma.github.io/Logging_0319/tillsynsmail/A 33803-2024 tillsynsbegäran mail.docx", "A 33803-2024")</f>
        <v/>
      </c>
    </row>
    <row r="308" ht="15" customHeight="1">
      <c r="A308" t="inlineStr">
        <is>
          <t>A 34798-2024</t>
        </is>
      </c>
      <c r="B308" s="1" t="n">
        <v>45526</v>
      </c>
      <c r="C308" s="1" t="n">
        <v>45792</v>
      </c>
      <c r="D308" t="inlineStr">
        <is>
          <t>UPPSALA LÄN</t>
        </is>
      </c>
      <c r="E308" t="inlineStr">
        <is>
          <t>ÄLVKARLEBY</t>
        </is>
      </c>
      <c r="F308" t="inlineStr">
        <is>
          <t>Bergvik skog väst AB</t>
        </is>
      </c>
      <c r="G308" t="n">
        <v>13.8</v>
      </c>
      <c r="H308" t="n">
        <v>0</v>
      </c>
      <c r="I308" t="n">
        <v>3</v>
      </c>
      <c r="J308" t="n">
        <v>0</v>
      </c>
      <c r="K308" t="n">
        <v>0</v>
      </c>
      <c r="L308" t="n">
        <v>0</v>
      </c>
      <c r="M308" t="n">
        <v>0</v>
      </c>
      <c r="N308" t="n">
        <v>0</v>
      </c>
      <c r="O308" t="n">
        <v>0</v>
      </c>
      <c r="P308" t="n">
        <v>0</v>
      </c>
      <c r="Q308" t="n">
        <v>3</v>
      </c>
      <c r="R308" s="2" t="inlineStr">
        <is>
          <t>Rödgul trumpetsvamp
Tibast
Vätteros</t>
        </is>
      </c>
      <c r="S308">
        <f>HYPERLINK("https://klasma.github.io/Logging_0319/artfynd/A 34798-2024 artfynd.xlsx", "A 34798-2024")</f>
        <v/>
      </c>
      <c r="T308">
        <f>HYPERLINK("https://klasma.github.io/Logging_0319/kartor/A 34798-2024 karta.png", "A 34798-2024")</f>
        <v/>
      </c>
      <c r="V308">
        <f>HYPERLINK("https://klasma.github.io/Logging_0319/klagomål/A 34798-2024 FSC-klagomål.docx", "A 34798-2024")</f>
        <v/>
      </c>
      <c r="W308">
        <f>HYPERLINK("https://klasma.github.io/Logging_0319/klagomålsmail/A 34798-2024 FSC-klagomål mail.docx", "A 34798-2024")</f>
        <v/>
      </c>
      <c r="X308">
        <f>HYPERLINK("https://klasma.github.io/Logging_0319/tillsyn/A 34798-2024 tillsynsbegäran.docx", "A 34798-2024")</f>
        <v/>
      </c>
      <c r="Y308">
        <f>HYPERLINK("https://klasma.github.io/Logging_0319/tillsynsmail/A 34798-2024 tillsynsbegäran mail.docx", "A 34798-2024")</f>
        <v/>
      </c>
    </row>
    <row r="309" ht="15" customHeight="1">
      <c r="A309" t="inlineStr">
        <is>
          <t>A 39228-2024</t>
        </is>
      </c>
      <c r="B309" s="1" t="n">
        <v>45550</v>
      </c>
      <c r="C309" s="1" t="n">
        <v>45792</v>
      </c>
      <c r="D309" t="inlineStr">
        <is>
          <t>UPPSALA LÄN</t>
        </is>
      </c>
      <c r="E309" t="inlineStr">
        <is>
          <t>UPPSALA</t>
        </is>
      </c>
      <c r="G309" t="n">
        <v>2</v>
      </c>
      <c r="H309" t="n">
        <v>2</v>
      </c>
      <c r="I309" t="n">
        <v>1</v>
      </c>
      <c r="J309" t="n">
        <v>0</v>
      </c>
      <c r="K309" t="n">
        <v>0</v>
      </c>
      <c r="L309" t="n">
        <v>0</v>
      </c>
      <c r="M309" t="n">
        <v>0</v>
      </c>
      <c r="N309" t="n">
        <v>0</v>
      </c>
      <c r="O309" t="n">
        <v>0</v>
      </c>
      <c r="P309" t="n">
        <v>0</v>
      </c>
      <c r="Q309" t="n">
        <v>3</v>
      </c>
      <c r="R309" s="2" t="inlineStr">
        <is>
          <t>Sotlav
Fläcknycklar
Blåsippa</t>
        </is>
      </c>
      <c r="S309">
        <f>HYPERLINK("https://klasma.github.io/Logging_0380/artfynd/A 39228-2024 artfynd.xlsx", "A 39228-2024")</f>
        <v/>
      </c>
      <c r="T309">
        <f>HYPERLINK("https://klasma.github.io/Logging_0380/kartor/A 39228-2024 karta.png", "A 39228-2024")</f>
        <v/>
      </c>
      <c r="V309">
        <f>HYPERLINK("https://klasma.github.io/Logging_0380/klagomål/A 39228-2024 FSC-klagomål.docx", "A 39228-2024")</f>
        <v/>
      </c>
      <c r="W309">
        <f>HYPERLINK("https://klasma.github.io/Logging_0380/klagomålsmail/A 39228-2024 FSC-klagomål mail.docx", "A 39228-2024")</f>
        <v/>
      </c>
      <c r="X309">
        <f>HYPERLINK("https://klasma.github.io/Logging_0380/tillsyn/A 39228-2024 tillsynsbegäran.docx", "A 39228-2024")</f>
        <v/>
      </c>
      <c r="Y309">
        <f>HYPERLINK("https://klasma.github.io/Logging_0380/tillsynsmail/A 39228-2024 tillsynsbegäran mail.docx", "A 39228-2024")</f>
        <v/>
      </c>
    </row>
    <row r="310" ht="15" customHeight="1">
      <c r="A310" t="inlineStr">
        <is>
          <t>A 41443-2024</t>
        </is>
      </c>
      <c r="B310" s="1" t="n">
        <v>45560</v>
      </c>
      <c r="C310" s="1" t="n">
        <v>45792</v>
      </c>
      <c r="D310" t="inlineStr">
        <is>
          <t>UPPSALA LÄN</t>
        </is>
      </c>
      <c r="E310" t="inlineStr">
        <is>
          <t>ÖSTHAMMAR</t>
        </is>
      </c>
      <c r="F310" t="inlineStr">
        <is>
          <t>Bergvik skog väst AB</t>
        </is>
      </c>
      <c r="G310" t="n">
        <v>10.7</v>
      </c>
      <c r="H310" t="n">
        <v>2</v>
      </c>
      <c r="I310" t="n">
        <v>1</v>
      </c>
      <c r="J310" t="n">
        <v>1</v>
      </c>
      <c r="K310" t="n">
        <v>0</v>
      </c>
      <c r="L310" t="n">
        <v>0</v>
      </c>
      <c r="M310" t="n">
        <v>0</v>
      </c>
      <c r="N310" t="n">
        <v>0</v>
      </c>
      <c r="O310" t="n">
        <v>1</v>
      </c>
      <c r="P310" t="n">
        <v>0</v>
      </c>
      <c r="Q310" t="n">
        <v>3</v>
      </c>
      <c r="R310" s="2" t="inlineStr">
        <is>
          <t>Spillkråka
Brandticka
Blåsippa</t>
        </is>
      </c>
      <c r="S310">
        <f>HYPERLINK("https://klasma.github.io/Logging_0382/artfynd/A 41443-2024 artfynd.xlsx", "A 41443-2024")</f>
        <v/>
      </c>
      <c r="T310">
        <f>HYPERLINK("https://klasma.github.io/Logging_0382/kartor/A 41443-2024 karta.png", "A 41443-2024")</f>
        <v/>
      </c>
      <c r="V310">
        <f>HYPERLINK("https://klasma.github.io/Logging_0382/klagomål/A 41443-2024 FSC-klagomål.docx", "A 41443-2024")</f>
        <v/>
      </c>
      <c r="W310">
        <f>HYPERLINK("https://klasma.github.io/Logging_0382/klagomålsmail/A 41443-2024 FSC-klagomål mail.docx", "A 41443-2024")</f>
        <v/>
      </c>
      <c r="X310">
        <f>HYPERLINK("https://klasma.github.io/Logging_0382/tillsyn/A 41443-2024 tillsynsbegäran.docx", "A 41443-2024")</f>
        <v/>
      </c>
      <c r="Y310">
        <f>HYPERLINK("https://klasma.github.io/Logging_0382/tillsynsmail/A 41443-2024 tillsynsbegäran mail.docx", "A 41443-2024")</f>
        <v/>
      </c>
      <c r="Z310">
        <f>HYPERLINK("https://klasma.github.io/Logging_0382/fåglar/A 41443-2024 prioriterade fågelarter.docx", "A 41443-2024")</f>
        <v/>
      </c>
    </row>
    <row r="311" ht="15" customHeight="1">
      <c r="A311" t="inlineStr">
        <is>
          <t>A 46735-2024</t>
        </is>
      </c>
      <c r="B311" s="1" t="n">
        <v>45583</v>
      </c>
      <c r="C311" s="1" t="n">
        <v>45792</v>
      </c>
      <c r="D311" t="inlineStr">
        <is>
          <t>UPPSALA LÄN</t>
        </is>
      </c>
      <c r="E311" t="inlineStr">
        <is>
          <t>UPPSALA</t>
        </is>
      </c>
      <c r="F311" t="inlineStr">
        <is>
          <t>Sveaskog</t>
        </is>
      </c>
      <c r="G311" t="n">
        <v>2.3</v>
      </c>
      <c r="H311" t="n">
        <v>1</v>
      </c>
      <c r="I311" t="n">
        <v>1</v>
      </c>
      <c r="J311" t="n">
        <v>1</v>
      </c>
      <c r="K311" t="n">
        <v>1</v>
      </c>
      <c r="L311" t="n">
        <v>0</v>
      </c>
      <c r="M311" t="n">
        <v>0</v>
      </c>
      <c r="N311" t="n">
        <v>0</v>
      </c>
      <c r="O311" t="n">
        <v>2</v>
      </c>
      <c r="P311" t="n">
        <v>1</v>
      </c>
      <c r="Q311" t="n">
        <v>3</v>
      </c>
      <c r="R311" s="2" t="inlineStr">
        <is>
          <t>Knärot
Vedtrappmossa
Mörk husmossa</t>
        </is>
      </c>
      <c r="S311">
        <f>HYPERLINK("https://klasma.github.io/Logging_0380/artfynd/A 46735-2024 artfynd.xlsx", "A 46735-2024")</f>
        <v/>
      </c>
      <c r="T311">
        <f>HYPERLINK("https://klasma.github.io/Logging_0380/kartor/A 46735-2024 karta.png", "A 46735-2024")</f>
        <v/>
      </c>
      <c r="U311">
        <f>HYPERLINK("https://klasma.github.io/Logging_0380/knärot/A 46735-2024 karta knärot.png", "A 46735-2024")</f>
        <v/>
      </c>
      <c r="V311">
        <f>HYPERLINK("https://klasma.github.io/Logging_0380/klagomål/A 46735-2024 FSC-klagomål.docx", "A 46735-2024")</f>
        <v/>
      </c>
      <c r="W311">
        <f>HYPERLINK("https://klasma.github.io/Logging_0380/klagomålsmail/A 46735-2024 FSC-klagomål mail.docx", "A 46735-2024")</f>
        <v/>
      </c>
      <c r="X311">
        <f>HYPERLINK("https://klasma.github.io/Logging_0380/tillsyn/A 46735-2024 tillsynsbegäran.docx", "A 46735-2024")</f>
        <v/>
      </c>
      <c r="Y311">
        <f>HYPERLINK("https://klasma.github.io/Logging_0380/tillsynsmail/A 46735-2024 tillsynsbegäran mail.docx", "A 46735-2024")</f>
        <v/>
      </c>
    </row>
    <row r="312" ht="15" customHeight="1">
      <c r="A312" t="inlineStr">
        <is>
          <t>A 47653-2024</t>
        </is>
      </c>
      <c r="B312" s="1" t="n">
        <v>45588</v>
      </c>
      <c r="C312" s="1" t="n">
        <v>45792</v>
      </c>
      <c r="D312" t="inlineStr">
        <is>
          <t>UPPSALA LÄN</t>
        </is>
      </c>
      <c r="E312" t="inlineStr">
        <is>
          <t>HÅBO</t>
        </is>
      </c>
      <c r="G312" t="n">
        <v>3</v>
      </c>
      <c r="H312" t="n">
        <v>2</v>
      </c>
      <c r="I312" t="n">
        <v>1</v>
      </c>
      <c r="J312" t="n">
        <v>1</v>
      </c>
      <c r="K312" t="n">
        <v>0</v>
      </c>
      <c r="L312" t="n">
        <v>0</v>
      </c>
      <c r="M312" t="n">
        <v>0</v>
      </c>
      <c r="N312" t="n">
        <v>0</v>
      </c>
      <c r="O312" t="n">
        <v>1</v>
      </c>
      <c r="P312" t="n">
        <v>0</v>
      </c>
      <c r="Q312" t="n">
        <v>3</v>
      </c>
      <c r="R312" s="2" t="inlineStr">
        <is>
          <t>Backklöver
Nästrot
Blåsippa</t>
        </is>
      </c>
      <c r="S312">
        <f>HYPERLINK("https://klasma.github.io/Logging_0305/artfynd/A 47653-2024 artfynd.xlsx", "A 47653-2024")</f>
        <v/>
      </c>
      <c r="T312">
        <f>HYPERLINK("https://klasma.github.io/Logging_0305/kartor/A 47653-2024 karta.png", "A 47653-2024")</f>
        <v/>
      </c>
      <c r="V312">
        <f>HYPERLINK("https://klasma.github.io/Logging_0305/klagomål/A 47653-2024 FSC-klagomål.docx", "A 47653-2024")</f>
        <v/>
      </c>
      <c r="W312">
        <f>HYPERLINK("https://klasma.github.io/Logging_0305/klagomålsmail/A 47653-2024 FSC-klagomål mail.docx", "A 47653-2024")</f>
        <v/>
      </c>
      <c r="X312">
        <f>HYPERLINK("https://klasma.github.io/Logging_0305/tillsyn/A 47653-2024 tillsynsbegäran.docx", "A 47653-2024")</f>
        <v/>
      </c>
      <c r="Y312">
        <f>HYPERLINK("https://klasma.github.io/Logging_0305/tillsynsmail/A 47653-2024 tillsynsbegäran mail.docx", "A 47653-2024")</f>
        <v/>
      </c>
    </row>
    <row r="313" ht="15" customHeight="1">
      <c r="A313" t="inlineStr">
        <is>
          <t>A 50466-2024</t>
        </is>
      </c>
      <c r="B313" s="1" t="n">
        <v>45601</v>
      </c>
      <c r="C313" s="1" t="n">
        <v>45792</v>
      </c>
      <c r="D313" t="inlineStr">
        <is>
          <t>UPPSALA LÄN</t>
        </is>
      </c>
      <c r="E313" t="inlineStr">
        <is>
          <t>HEBY</t>
        </is>
      </c>
      <c r="G313" t="n">
        <v>2.4</v>
      </c>
      <c r="H313" t="n">
        <v>3</v>
      </c>
      <c r="I313" t="n">
        <v>0</v>
      </c>
      <c r="J313" t="n">
        <v>0</v>
      </c>
      <c r="K313" t="n">
        <v>2</v>
      </c>
      <c r="L313" t="n">
        <v>0</v>
      </c>
      <c r="M313" t="n">
        <v>0</v>
      </c>
      <c r="N313" t="n">
        <v>0</v>
      </c>
      <c r="O313" t="n">
        <v>2</v>
      </c>
      <c r="P313" t="n">
        <v>2</v>
      </c>
      <c r="Q313" t="n">
        <v>3</v>
      </c>
      <c r="R313" s="2" t="inlineStr">
        <is>
          <t>Knärot
Väddnätfjäril
Tjäder</t>
        </is>
      </c>
      <c r="S313">
        <f>HYPERLINK("https://klasma.github.io/Logging_0331/artfynd/A 50466-2024 artfynd.xlsx", "A 50466-2024")</f>
        <v/>
      </c>
      <c r="T313">
        <f>HYPERLINK("https://klasma.github.io/Logging_0331/kartor/A 50466-2024 karta.png", "A 50466-2024")</f>
        <v/>
      </c>
      <c r="U313">
        <f>HYPERLINK("https://klasma.github.io/Logging_0331/knärot/A 50466-2024 karta knärot.png", "A 50466-2024")</f>
        <v/>
      </c>
      <c r="V313">
        <f>HYPERLINK("https://klasma.github.io/Logging_0331/klagomål/A 50466-2024 FSC-klagomål.docx", "A 50466-2024")</f>
        <v/>
      </c>
      <c r="W313">
        <f>HYPERLINK("https://klasma.github.io/Logging_0331/klagomålsmail/A 50466-2024 FSC-klagomål mail.docx", "A 50466-2024")</f>
        <v/>
      </c>
      <c r="X313">
        <f>HYPERLINK("https://klasma.github.io/Logging_0331/tillsyn/A 50466-2024 tillsynsbegäran.docx", "A 50466-2024")</f>
        <v/>
      </c>
      <c r="Y313">
        <f>HYPERLINK("https://klasma.github.io/Logging_0331/tillsynsmail/A 50466-2024 tillsynsbegäran mail.docx", "A 50466-2024")</f>
        <v/>
      </c>
      <c r="Z313">
        <f>HYPERLINK("https://klasma.github.io/Logging_0331/fåglar/A 50466-2024 prioriterade fågelarter.docx", "A 50466-2024")</f>
        <v/>
      </c>
    </row>
    <row r="314" ht="15" customHeight="1">
      <c r="A314" t="inlineStr">
        <is>
          <t>A 55186-2024</t>
        </is>
      </c>
      <c r="B314" s="1" t="n">
        <v>45621</v>
      </c>
      <c r="C314" s="1" t="n">
        <v>45792</v>
      </c>
      <c r="D314" t="inlineStr">
        <is>
          <t>UPPSALA LÄN</t>
        </is>
      </c>
      <c r="E314" t="inlineStr">
        <is>
          <t>ÖSTHAMMAR</t>
        </is>
      </c>
      <c r="G314" t="n">
        <v>1.8</v>
      </c>
      <c r="H314" t="n">
        <v>0</v>
      </c>
      <c r="I314" t="n">
        <v>2</v>
      </c>
      <c r="J314" t="n">
        <v>1</v>
      </c>
      <c r="K314" t="n">
        <v>0</v>
      </c>
      <c r="L314" t="n">
        <v>0</v>
      </c>
      <c r="M314" t="n">
        <v>0</v>
      </c>
      <c r="N314" t="n">
        <v>0</v>
      </c>
      <c r="O314" t="n">
        <v>1</v>
      </c>
      <c r="P314" t="n">
        <v>0</v>
      </c>
      <c r="Q314" t="n">
        <v>3</v>
      </c>
      <c r="R314" s="2" t="inlineStr">
        <is>
          <t>Äggspindling
Anisspindling
Granbarkgnagare</t>
        </is>
      </c>
      <c r="S314">
        <f>HYPERLINK("https://klasma.github.io/Logging_0382/artfynd/A 55186-2024 artfynd.xlsx", "A 55186-2024")</f>
        <v/>
      </c>
      <c r="T314">
        <f>HYPERLINK("https://klasma.github.io/Logging_0382/kartor/A 55186-2024 karta.png", "A 55186-2024")</f>
        <v/>
      </c>
      <c r="V314">
        <f>HYPERLINK("https://klasma.github.io/Logging_0382/klagomål/A 55186-2024 FSC-klagomål.docx", "A 55186-2024")</f>
        <v/>
      </c>
      <c r="W314">
        <f>HYPERLINK("https://klasma.github.io/Logging_0382/klagomålsmail/A 55186-2024 FSC-klagomål mail.docx", "A 55186-2024")</f>
        <v/>
      </c>
      <c r="X314">
        <f>HYPERLINK("https://klasma.github.io/Logging_0382/tillsyn/A 55186-2024 tillsynsbegäran.docx", "A 55186-2024")</f>
        <v/>
      </c>
      <c r="Y314">
        <f>HYPERLINK("https://klasma.github.io/Logging_0382/tillsynsmail/A 55186-2024 tillsynsbegäran mail.docx", "A 55186-2024")</f>
        <v/>
      </c>
    </row>
    <row r="315" ht="15" customHeight="1">
      <c r="A315" t="inlineStr">
        <is>
          <t>A 55547-2024</t>
        </is>
      </c>
      <c r="B315" s="1" t="n">
        <v>45622</v>
      </c>
      <c r="C315" s="1" t="n">
        <v>45792</v>
      </c>
      <c r="D315" t="inlineStr">
        <is>
          <t>UPPSALA LÄN</t>
        </is>
      </c>
      <c r="E315" t="inlineStr">
        <is>
          <t>ÄLVKARLEBY</t>
        </is>
      </c>
      <c r="F315" t="inlineStr">
        <is>
          <t>Bergvik skog väst AB</t>
        </is>
      </c>
      <c r="G315" t="n">
        <v>0.9</v>
      </c>
      <c r="H315" t="n">
        <v>2</v>
      </c>
      <c r="I315" t="n">
        <v>1</v>
      </c>
      <c r="J315" t="n">
        <v>0</v>
      </c>
      <c r="K315" t="n">
        <v>1</v>
      </c>
      <c r="L315" t="n">
        <v>0</v>
      </c>
      <c r="M315" t="n">
        <v>0</v>
      </c>
      <c r="N315" t="n">
        <v>0</v>
      </c>
      <c r="O315" t="n">
        <v>1</v>
      </c>
      <c r="P315" t="n">
        <v>1</v>
      </c>
      <c r="Q315" t="n">
        <v>3</v>
      </c>
      <c r="R315" s="2" t="inlineStr">
        <is>
          <t>Knärot
Vedticka
Sparvuggla</t>
        </is>
      </c>
      <c r="S315">
        <f>HYPERLINK("https://klasma.github.io/Logging_0319/artfynd/A 55547-2024 artfynd.xlsx", "A 55547-2024")</f>
        <v/>
      </c>
      <c r="T315">
        <f>HYPERLINK("https://klasma.github.io/Logging_0319/kartor/A 55547-2024 karta.png", "A 55547-2024")</f>
        <v/>
      </c>
      <c r="U315">
        <f>HYPERLINK("https://klasma.github.io/Logging_0319/knärot/A 55547-2024 karta knärot.png", "A 55547-2024")</f>
        <v/>
      </c>
      <c r="V315">
        <f>HYPERLINK("https://klasma.github.io/Logging_0319/klagomål/A 55547-2024 FSC-klagomål.docx", "A 55547-2024")</f>
        <v/>
      </c>
      <c r="W315">
        <f>HYPERLINK("https://klasma.github.io/Logging_0319/klagomålsmail/A 55547-2024 FSC-klagomål mail.docx", "A 55547-2024")</f>
        <v/>
      </c>
      <c r="X315">
        <f>HYPERLINK("https://klasma.github.io/Logging_0319/tillsyn/A 55547-2024 tillsynsbegäran.docx", "A 55547-2024")</f>
        <v/>
      </c>
      <c r="Y315">
        <f>HYPERLINK("https://klasma.github.io/Logging_0319/tillsynsmail/A 55547-2024 tillsynsbegäran mail.docx", "A 55547-2024")</f>
        <v/>
      </c>
      <c r="Z315">
        <f>HYPERLINK("https://klasma.github.io/Logging_0319/fåglar/A 55547-2024 prioriterade fågelarter.docx", "A 55547-2024")</f>
        <v/>
      </c>
    </row>
    <row r="316" ht="15" customHeight="1">
      <c r="A316" t="inlineStr">
        <is>
          <t>A 55555-2024</t>
        </is>
      </c>
      <c r="B316" s="1" t="n">
        <v>45622</v>
      </c>
      <c r="C316" s="1" t="n">
        <v>45792</v>
      </c>
      <c r="D316" t="inlineStr">
        <is>
          <t>UPPSALA LÄN</t>
        </is>
      </c>
      <c r="E316" t="inlineStr">
        <is>
          <t>ÄLVKARLEBY</t>
        </is>
      </c>
      <c r="F316" t="inlineStr">
        <is>
          <t>Bergvik skog väst AB</t>
        </is>
      </c>
      <c r="G316" t="n">
        <v>0.7</v>
      </c>
      <c r="H316" t="n">
        <v>1</v>
      </c>
      <c r="I316" t="n">
        <v>0</v>
      </c>
      <c r="J316" t="n">
        <v>1</v>
      </c>
      <c r="K316" t="n">
        <v>1</v>
      </c>
      <c r="L316" t="n">
        <v>1</v>
      </c>
      <c r="M316" t="n">
        <v>0</v>
      </c>
      <c r="N316" t="n">
        <v>0</v>
      </c>
      <c r="O316" t="n">
        <v>3</v>
      </c>
      <c r="P316" t="n">
        <v>2</v>
      </c>
      <c r="Q316" t="n">
        <v>3</v>
      </c>
      <c r="R316" s="2" t="inlineStr">
        <is>
          <t>Skeletocutis jelicii
Knärot
Vedtrappmossa</t>
        </is>
      </c>
      <c r="S316">
        <f>HYPERLINK("https://klasma.github.io/Logging_0319/artfynd/A 55555-2024 artfynd.xlsx", "A 55555-2024")</f>
        <v/>
      </c>
      <c r="T316">
        <f>HYPERLINK("https://klasma.github.io/Logging_0319/kartor/A 55555-2024 karta.png", "A 55555-2024")</f>
        <v/>
      </c>
      <c r="U316">
        <f>HYPERLINK("https://klasma.github.io/Logging_0319/knärot/A 55555-2024 karta knärot.png", "A 55555-2024")</f>
        <v/>
      </c>
      <c r="V316">
        <f>HYPERLINK("https://klasma.github.io/Logging_0319/klagomål/A 55555-2024 FSC-klagomål.docx", "A 55555-2024")</f>
        <v/>
      </c>
      <c r="W316">
        <f>HYPERLINK("https://klasma.github.io/Logging_0319/klagomålsmail/A 55555-2024 FSC-klagomål mail.docx", "A 55555-2024")</f>
        <v/>
      </c>
      <c r="X316">
        <f>HYPERLINK("https://klasma.github.io/Logging_0319/tillsyn/A 55555-2024 tillsynsbegäran.docx", "A 55555-2024")</f>
        <v/>
      </c>
      <c r="Y316">
        <f>HYPERLINK("https://klasma.github.io/Logging_0319/tillsynsmail/A 55555-2024 tillsynsbegäran mail.docx", "A 55555-2024")</f>
        <v/>
      </c>
    </row>
    <row r="317" ht="15" customHeight="1">
      <c r="A317" t="inlineStr">
        <is>
          <t>A 3932-2025</t>
        </is>
      </c>
      <c r="B317" s="1" t="n">
        <v>45684</v>
      </c>
      <c r="C317" s="1" t="n">
        <v>45792</v>
      </c>
      <c r="D317" t="inlineStr">
        <is>
          <t>UPPSALA LÄN</t>
        </is>
      </c>
      <c r="E317" t="inlineStr">
        <is>
          <t>UPPSALA</t>
        </is>
      </c>
      <c r="G317" t="n">
        <v>8.9</v>
      </c>
      <c r="H317" t="n">
        <v>1</v>
      </c>
      <c r="I317" t="n">
        <v>1</v>
      </c>
      <c r="J317" t="n">
        <v>1</v>
      </c>
      <c r="K317" t="n">
        <v>0</v>
      </c>
      <c r="L317" t="n">
        <v>0</v>
      </c>
      <c r="M317" t="n">
        <v>0</v>
      </c>
      <c r="N317" t="n">
        <v>0</v>
      </c>
      <c r="O317" t="n">
        <v>1</v>
      </c>
      <c r="P317" t="n">
        <v>0</v>
      </c>
      <c r="Q317" t="n">
        <v>3</v>
      </c>
      <c r="R317" s="2" t="inlineStr">
        <is>
          <t>Vedtrappmossa
Rostfläck
Revlummer</t>
        </is>
      </c>
      <c r="S317">
        <f>HYPERLINK("https://klasma.github.io/Logging_0380/artfynd/A 3932-2025 artfynd.xlsx", "A 3932-2025")</f>
        <v/>
      </c>
      <c r="T317">
        <f>HYPERLINK("https://klasma.github.io/Logging_0380/kartor/A 3932-2025 karta.png", "A 3932-2025")</f>
        <v/>
      </c>
      <c r="U317">
        <f>HYPERLINK("https://klasma.github.io/Logging_0380/knärot/A 3932-2025 karta knärot.png", "A 3932-2025")</f>
        <v/>
      </c>
      <c r="V317">
        <f>HYPERLINK("https://klasma.github.io/Logging_0380/klagomål/A 3932-2025 FSC-klagomål.docx", "A 3932-2025")</f>
        <v/>
      </c>
      <c r="W317">
        <f>HYPERLINK("https://klasma.github.io/Logging_0380/klagomålsmail/A 3932-2025 FSC-klagomål mail.docx", "A 3932-2025")</f>
        <v/>
      </c>
      <c r="X317">
        <f>HYPERLINK("https://klasma.github.io/Logging_0380/tillsyn/A 3932-2025 tillsynsbegäran.docx", "A 3932-2025")</f>
        <v/>
      </c>
      <c r="Y317">
        <f>HYPERLINK("https://klasma.github.io/Logging_0380/tillsynsmail/A 3932-2025 tillsynsbegäran mail.docx", "A 3932-2025")</f>
        <v/>
      </c>
    </row>
    <row r="318" ht="15" customHeight="1">
      <c r="A318" t="inlineStr">
        <is>
          <t>A 4610-2025</t>
        </is>
      </c>
      <c r="B318" s="1" t="n">
        <v>45687</v>
      </c>
      <c r="C318" s="1" t="n">
        <v>45792</v>
      </c>
      <c r="D318" t="inlineStr">
        <is>
          <t>UPPSALA LÄN</t>
        </is>
      </c>
      <c r="E318" t="inlineStr">
        <is>
          <t>HEBY</t>
        </is>
      </c>
      <c r="G318" t="n">
        <v>25.1</v>
      </c>
      <c r="H318" t="n">
        <v>0</v>
      </c>
      <c r="I318" t="n">
        <v>2</v>
      </c>
      <c r="J318" t="n">
        <v>1</v>
      </c>
      <c r="K318" t="n">
        <v>0</v>
      </c>
      <c r="L318" t="n">
        <v>0</v>
      </c>
      <c r="M318" t="n">
        <v>0</v>
      </c>
      <c r="N318" t="n">
        <v>0</v>
      </c>
      <c r="O318" t="n">
        <v>1</v>
      </c>
      <c r="P318" t="n">
        <v>0</v>
      </c>
      <c r="Q318" t="n">
        <v>3</v>
      </c>
      <c r="R318" s="2" t="inlineStr">
        <is>
          <t>Större flatbagge
Granbräken
Jättesvampmal</t>
        </is>
      </c>
      <c r="S318">
        <f>HYPERLINK("https://klasma.github.io/Logging_0331/artfynd/A 4610-2025 artfynd.xlsx", "A 4610-2025")</f>
        <v/>
      </c>
      <c r="T318">
        <f>HYPERLINK("https://klasma.github.io/Logging_0331/kartor/A 4610-2025 karta.png", "A 4610-2025")</f>
        <v/>
      </c>
      <c r="V318">
        <f>HYPERLINK("https://klasma.github.io/Logging_0331/klagomål/A 4610-2025 FSC-klagomål.docx", "A 4610-2025")</f>
        <v/>
      </c>
      <c r="W318">
        <f>HYPERLINK("https://klasma.github.io/Logging_0331/klagomålsmail/A 4610-2025 FSC-klagomål mail.docx", "A 4610-2025")</f>
        <v/>
      </c>
      <c r="X318">
        <f>HYPERLINK("https://klasma.github.io/Logging_0331/tillsyn/A 4610-2025 tillsynsbegäran.docx", "A 4610-2025")</f>
        <v/>
      </c>
      <c r="Y318">
        <f>HYPERLINK("https://klasma.github.io/Logging_0331/tillsynsmail/A 4610-2025 tillsynsbegäran mail.docx", "A 4610-2025")</f>
        <v/>
      </c>
    </row>
    <row r="319" ht="15" customHeight="1">
      <c r="A319" t="inlineStr">
        <is>
          <t>A 7399-2025</t>
        </is>
      </c>
      <c r="B319" s="1" t="n">
        <v>45702</v>
      </c>
      <c r="C319" s="1" t="n">
        <v>45792</v>
      </c>
      <c r="D319" t="inlineStr">
        <is>
          <t>UPPSALA LÄN</t>
        </is>
      </c>
      <c r="E319" t="inlineStr">
        <is>
          <t>ENKÖPING</t>
        </is>
      </c>
      <c r="G319" t="n">
        <v>5.9</v>
      </c>
      <c r="H319" t="n">
        <v>0</v>
      </c>
      <c r="I319" t="n">
        <v>3</v>
      </c>
      <c r="J319" t="n">
        <v>0</v>
      </c>
      <c r="K319" t="n">
        <v>0</v>
      </c>
      <c r="L319" t="n">
        <v>0</v>
      </c>
      <c r="M319" t="n">
        <v>0</v>
      </c>
      <c r="N319" t="n">
        <v>0</v>
      </c>
      <c r="O319" t="n">
        <v>0</v>
      </c>
      <c r="P319" t="n">
        <v>0</v>
      </c>
      <c r="Q319" t="n">
        <v>3</v>
      </c>
      <c r="R319" s="2" t="inlineStr">
        <is>
          <t>Dvärgkällmossa
Guldlockmossa
Trädporella</t>
        </is>
      </c>
      <c r="S319">
        <f>HYPERLINK("https://klasma.github.io/Logging_0381/artfynd/A 7399-2025 artfynd.xlsx", "A 7399-2025")</f>
        <v/>
      </c>
      <c r="T319">
        <f>HYPERLINK("https://klasma.github.io/Logging_0381/kartor/A 7399-2025 karta.png", "A 7399-2025")</f>
        <v/>
      </c>
      <c r="V319">
        <f>HYPERLINK("https://klasma.github.io/Logging_0381/klagomål/A 7399-2025 FSC-klagomål.docx", "A 7399-2025")</f>
        <v/>
      </c>
      <c r="W319">
        <f>HYPERLINK("https://klasma.github.io/Logging_0381/klagomålsmail/A 7399-2025 FSC-klagomål mail.docx", "A 7399-2025")</f>
        <v/>
      </c>
      <c r="X319">
        <f>HYPERLINK("https://klasma.github.io/Logging_0381/tillsyn/A 7399-2025 tillsynsbegäran.docx", "A 7399-2025")</f>
        <v/>
      </c>
      <c r="Y319">
        <f>HYPERLINK("https://klasma.github.io/Logging_0381/tillsynsmail/A 7399-2025 tillsynsbegäran mail.docx", "A 7399-2025")</f>
        <v/>
      </c>
    </row>
    <row r="320" ht="15" customHeight="1">
      <c r="A320" t="inlineStr">
        <is>
          <t>A 8224-2025</t>
        </is>
      </c>
      <c r="B320" s="1" t="n">
        <v>45708</v>
      </c>
      <c r="C320" s="1" t="n">
        <v>45792</v>
      </c>
      <c r="D320" t="inlineStr">
        <is>
          <t>UPPSALA LÄN</t>
        </is>
      </c>
      <c r="E320" t="inlineStr">
        <is>
          <t>TIERP</t>
        </is>
      </c>
      <c r="F320" t="inlineStr">
        <is>
          <t>Bergvik skog öst AB</t>
        </is>
      </c>
      <c r="G320" t="n">
        <v>2.1</v>
      </c>
      <c r="H320" t="n">
        <v>2</v>
      </c>
      <c r="I320" t="n">
        <v>1</v>
      </c>
      <c r="J320" t="n">
        <v>0</v>
      </c>
      <c r="K320" t="n">
        <v>1</v>
      </c>
      <c r="L320" t="n">
        <v>0</v>
      </c>
      <c r="M320" t="n">
        <v>0</v>
      </c>
      <c r="N320" t="n">
        <v>0</v>
      </c>
      <c r="O320" t="n">
        <v>1</v>
      </c>
      <c r="P320" t="n">
        <v>1</v>
      </c>
      <c r="Q320" t="n">
        <v>3</v>
      </c>
      <c r="R320" s="2" t="inlineStr">
        <is>
          <t>Stor låsbräken
Sårläka
Blåsippa</t>
        </is>
      </c>
      <c r="S320">
        <f>HYPERLINK("https://klasma.github.io/Logging_0360/artfynd/A 8224-2025 artfynd.xlsx", "A 8224-2025")</f>
        <v/>
      </c>
      <c r="T320">
        <f>HYPERLINK("https://klasma.github.io/Logging_0360/kartor/A 8224-2025 karta.png", "A 8224-2025")</f>
        <v/>
      </c>
      <c r="V320">
        <f>HYPERLINK("https://klasma.github.io/Logging_0360/klagomål/A 8224-2025 FSC-klagomål.docx", "A 8224-2025")</f>
        <v/>
      </c>
      <c r="W320">
        <f>HYPERLINK("https://klasma.github.io/Logging_0360/klagomålsmail/A 8224-2025 FSC-klagomål mail.docx", "A 8224-2025")</f>
        <v/>
      </c>
      <c r="X320">
        <f>HYPERLINK("https://klasma.github.io/Logging_0360/tillsyn/A 8224-2025 tillsynsbegäran.docx", "A 8224-2025")</f>
        <v/>
      </c>
      <c r="Y320">
        <f>HYPERLINK("https://klasma.github.io/Logging_0360/tillsynsmail/A 8224-2025 tillsynsbegäran mail.docx", "A 8224-2025")</f>
        <v/>
      </c>
    </row>
    <row r="321" ht="15" customHeight="1">
      <c r="A321" t="inlineStr">
        <is>
          <t>A 10846-2025</t>
        </is>
      </c>
      <c r="B321" s="1" t="n">
        <v>45722</v>
      </c>
      <c r="C321" s="1" t="n">
        <v>45792</v>
      </c>
      <c r="D321" t="inlineStr">
        <is>
          <t>UPPSALA LÄN</t>
        </is>
      </c>
      <c r="E321" t="inlineStr">
        <is>
          <t>TIERP</t>
        </is>
      </c>
      <c r="F321" t="inlineStr">
        <is>
          <t>Bergvik skog öst AB</t>
        </is>
      </c>
      <c r="G321" t="n">
        <v>1.8</v>
      </c>
      <c r="H321" t="n">
        <v>1</v>
      </c>
      <c r="I321" t="n">
        <v>2</v>
      </c>
      <c r="J321" t="n">
        <v>0</v>
      </c>
      <c r="K321" t="n">
        <v>0</v>
      </c>
      <c r="L321" t="n">
        <v>0</v>
      </c>
      <c r="M321" t="n">
        <v>0</v>
      </c>
      <c r="N321" t="n">
        <v>0</v>
      </c>
      <c r="O321" t="n">
        <v>0</v>
      </c>
      <c r="P321" t="n">
        <v>0</v>
      </c>
      <c r="Q321" t="n">
        <v>3</v>
      </c>
      <c r="R321" s="2" t="inlineStr">
        <is>
          <t>Rödgul trumpetsvamp
Tibast
Blåsippa</t>
        </is>
      </c>
      <c r="S321">
        <f>HYPERLINK("https://klasma.github.io/Logging_030360/artfynd/A 10846-2025 artfynd.xlsx", "A 10846-2025")</f>
        <v/>
      </c>
      <c r="T321">
        <f>HYPERLINK("https://klasma.github.io/Logging_030360/kartor/A 10846-2025 karta.png", "A 10846-2025")</f>
        <v/>
      </c>
      <c r="V321">
        <f>HYPERLINK("https://klasma.github.io/Logging_030360/klagomål/A 10846-2025 FSC-klagomål.docx", "A 10846-2025")</f>
        <v/>
      </c>
      <c r="W321">
        <f>HYPERLINK("https://klasma.github.io/Logging_030360/klagomålsmail/A 10846-2025 FSC-klagomål mail.docx", "A 10846-2025")</f>
        <v/>
      </c>
      <c r="X321">
        <f>HYPERLINK("https://klasma.github.io/Logging_030360/tillsyn/A 10846-2025 tillsynsbegäran.docx", "A 10846-2025")</f>
        <v/>
      </c>
      <c r="Y321">
        <f>HYPERLINK("https://klasma.github.io/Logging_030360/tillsynsmail/A 10846-2025 tillsynsbegäran mail.docx", "A 10846-2025")</f>
        <v/>
      </c>
    </row>
    <row r="322" ht="15" customHeight="1">
      <c r="A322" t="inlineStr">
        <is>
          <t>A 16146-2025</t>
        </is>
      </c>
      <c r="B322" s="1" t="n">
        <v>45750</v>
      </c>
      <c r="C322" s="1" t="n">
        <v>45792</v>
      </c>
      <c r="D322" t="inlineStr">
        <is>
          <t>UPPSALA LÄN</t>
        </is>
      </c>
      <c r="E322" t="inlineStr">
        <is>
          <t>ÖSTHAMMAR</t>
        </is>
      </c>
      <c r="F322" t="inlineStr">
        <is>
          <t>Övriga Aktiebolag</t>
        </is>
      </c>
      <c r="G322" t="n">
        <v>8.1</v>
      </c>
      <c r="H322" t="n">
        <v>0</v>
      </c>
      <c r="I322" t="n">
        <v>0</v>
      </c>
      <c r="J322" t="n">
        <v>3</v>
      </c>
      <c r="K322" t="n">
        <v>0</v>
      </c>
      <c r="L322" t="n">
        <v>0</v>
      </c>
      <c r="M322" t="n">
        <v>0</v>
      </c>
      <c r="N322" t="n">
        <v>0</v>
      </c>
      <c r="O322" t="n">
        <v>3</v>
      </c>
      <c r="P322" t="n">
        <v>0</v>
      </c>
      <c r="Q322" t="n">
        <v>3</v>
      </c>
      <c r="R322" s="2" t="inlineStr">
        <is>
          <t>Majviva
Silversmygare
Smalsprötad bastardsvärmare</t>
        </is>
      </c>
      <c r="S322">
        <f>HYPERLINK("https://klasma.github.io/Logging_030382/artfynd/A 16146-2025 artfynd.xlsx", "A 16146-2025")</f>
        <v/>
      </c>
      <c r="T322">
        <f>HYPERLINK("https://klasma.github.io/Logging_030382/kartor/A 16146-2025 karta.png", "A 16146-2025")</f>
        <v/>
      </c>
      <c r="V322">
        <f>HYPERLINK("https://klasma.github.io/Logging_030382/klagomål/A 16146-2025 FSC-klagomål.docx", "A 16146-2025")</f>
        <v/>
      </c>
      <c r="W322">
        <f>HYPERLINK("https://klasma.github.io/Logging_030382/klagomålsmail/A 16146-2025 FSC-klagomål mail.docx", "A 16146-2025")</f>
        <v/>
      </c>
      <c r="X322">
        <f>HYPERLINK("https://klasma.github.io/Logging_030382/tillsyn/A 16146-2025 tillsynsbegäran.docx", "A 16146-2025")</f>
        <v/>
      </c>
      <c r="Y322">
        <f>HYPERLINK("https://klasma.github.io/Logging_030382/tillsynsmail/A 16146-2025 tillsynsbegäran mail.docx", "A 16146-2025")</f>
        <v/>
      </c>
    </row>
    <row r="323" ht="15" customHeight="1">
      <c r="A323" t="inlineStr">
        <is>
          <t>A 20671-2019</t>
        </is>
      </c>
      <c r="B323" s="1" t="n">
        <v>43572</v>
      </c>
      <c r="C323" s="1" t="n">
        <v>45792</v>
      </c>
      <c r="D323" t="inlineStr">
        <is>
          <t>UPPSALA LÄN</t>
        </is>
      </c>
      <c r="E323" t="inlineStr">
        <is>
          <t>UPPSALA</t>
        </is>
      </c>
      <c r="G323" t="n">
        <v>14.8</v>
      </c>
      <c r="H323" t="n">
        <v>1</v>
      </c>
      <c r="I323" t="n">
        <v>0</v>
      </c>
      <c r="J323" t="n">
        <v>2</v>
      </c>
      <c r="K323" t="n">
        <v>0</v>
      </c>
      <c r="L323" t="n">
        <v>0</v>
      </c>
      <c r="M323" t="n">
        <v>0</v>
      </c>
      <c r="N323" t="n">
        <v>0</v>
      </c>
      <c r="O323" t="n">
        <v>2</v>
      </c>
      <c r="P323" t="n">
        <v>0</v>
      </c>
      <c r="Q323" t="n">
        <v>2</v>
      </c>
      <c r="R323" s="2" t="inlineStr">
        <is>
          <t>Gulsparv
Svartöra</t>
        </is>
      </c>
      <c r="S323">
        <f>HYPERLINK("https://klasma.github.io/Logging_0380/artfynd/A 20671-2019 artfynd.xlsx", "A 20671-2019")</f>
        <v/>
      </c>
      <c r="T323">
        <f>HYPERLINK("https://klasma.github.io/Logging_0380/kartor/A 20671-2019 karta.png", "A 20671-2019")</f>
        <v/>
      </c>
      <c r="V323">
        <f>HYPERLINK("https://klasma.github.io/Logging_0380/klagomål/A 20671-2019 FSC-klagomål.docx", "A 20671-2019")</f>
        <v/>
      </c>
      <c r="W323">
        <f>HYPERLINK("https://klasma.github.io/Logging_0380/klagomålsmail/A 20671-2019 FSC-klagomål mail.docx", "A 20671-2019")</f>
        <v/>
      </c>
      <c r="X323">
        <f>HYPERLINK("https://klasma.github.io/Logging_0380/tillsyn/A 20671-2019 tillsynsbegäran.docx", "A 20671-2019")</f>
        <v/>
      </c>
      <c r="Y323">
        <f>HYPERLINK("https://klasma.github.io/Logging_0380/tillsynsmail/A 20671-2019 tillsynsbegäran mail.docx", "A 20671-2019")</f>
        <v/>
      </c>
      <c r="Z323">
        <f>HYPERLINK("https://klasma.github.io/Logging_0380/fåglar/A 20671-2019 prioriterade fågelarter.docx", "A 20671-2019")</f>
        <v/>
      </c>
    </row>
    <row r="324" ht="15" customHeight="1">
      <c r="A324" t="inlineStr">
        <is>
          <t>A 25607-2019</t>
        </is>
      </c>
      <c r="B324" s="1" t="n">
        <v>43607</v>
      </c>
      <c r="C324" s="1" t="n">
        <v>45792</v>
      </c>
      <c r="D324" t="inlineStr">
        <is>
          <t>UPPSALA LÄN</t>
        </is>
      </c>
      <c r="E324" t="inlineStr">
        <is>
          <t>UPPSALA</t>
        </is>
      </c>
      <c r="G324" t="n">
        <v>1.1</v>
      </c>
      <c r="H324" t="n">
        <v>2</v>
      </c>
      <c r="I324" t="n">
        <v>0</v>
      </c>
      <c r="J324" t="n">
        <v>0</v>
      </c>
      <c r="K324" t="n">
        <v>0</v>
      </c>
      <c r="L324" t="n">
        <v>0</v>
      </c>
      <c r="M324" t="n">
        <v>0</v>
      </c>
      <c r="N324" t="n">
        <v>0</v>
      </c>
      <c r="O324" t="n">
        <v>0</v>
      </c>
      <c r="P324" t="n">
        <v>0</v>
      </c>
      <c r="Q324" t="n">
        <v>2</v>
      </c>
      <c r="R324" s="2" t="inlineStr">
        <is>
          <t>Större vattensalamander
Mindre vattensalamander</t>
        </is>
      </c>
      <c r="S324">
        <f>HYPERLINK("https://klasma.github.io/Logging_0380/artfynd/A 25607-2019 artfynd.xlsx", "A 25607-2019")</f>
        <v/>
      </c>
      <c r="T324">
        <f>HYPERLINK("https://klasma.github.io/Logging_0380/kartor/A 25607-2019 karta.png", "A 25607-2019")</f>
        <v/>
      </c>
      <c r="V324">
        <f>HYPERLINK("https://klasma.github.io/Logging_0380/klagomål/A 25607-2019 FSC-klagomål.docx", "A 25607-2019")</f>
        <v/>
      </c>
      <c r="W324">
        <f>HYPERLINK("https://klasma.github.io/Logging_0380/klagomålsmail/A 25607-2019 FSC-klagomål mail.docx", "A 25607-2019")</f>
        <v/>
      </c>
      <c r="X324">
        <f>HYPERLINK("https://klasma.github.io/Logging_0380/tillsyn/A 25607-2019 tillsynsbegäran.docx", "A 25607-2019")</f>
        <v/>
      </c>
      <c r="Y324">
        <f>HYPERLINK("https://klasma.github.io/Logging_0380/tillsynsmail/A 25607-2019 tillsynsbegäran mail.docx", "A 25607-2019")</f>
        <v/>
      </c>
    </row>
    <row r="325" ht="15" customHeight="1">
      <c r="A325" t="inlineStr">
        <is>
          <t>A 34066-2019</t>
        </is>
      </c>
      <c r="B325" s="1" t="n">
        <v>43654</v>
      </c>
      <c r="C325" s="1" t="n">
        <v>45792</v>
      </c>
      <c r="D325" t="inlineStr">
        <is>
          <t>UPPSALA LÄN</t>
        </is>
      </c>
      <c r="E325" t="inlineStr">
        <is>
          <t>UPPSALA</t>
        </is>
      </c>
      <c r="G325" t="n">
        <v>1.3</v>
      </c>
      <c r="H325" t="n">
        <v>0</v>
      </c>
      <c r="I325" t="n">
        <v>0</v>
      </c>
      <c r="J325" t="n">
        <v>2</v>
      </c>
      <c r="K325" t="n">
        <v>0</v>
      </c>
      <c r="L325" t="n">
        <v>0</v>
      </c>
      <c r="M325" t="n">
        <v>0</v>
      </c>
      <c r="N325" t="n">
        <v>0</v>
      </c>
      <c r="O325" t="n">
        <v>2</v>
      </c>
      <c r="P325" t="n">
        <v>0</v>
      </c>
      <c r="Q325" t="n">
        <v>2</v>
      </c>
      <c r="R325" s="2" t="inlineStr">
        <is>
          <t>Asppraktbagge
Grön aspvedbock</t>
        </is>
      </c>
      <c r="S325">
        <f>HYPERLINK("https://klasma.github.io/Logging_0380/artfynd/A 34066-2019 artfynd.xlsx", "A 34066-2019")</f>
        <v/>
      </c>
      <c r="T325">
        <f>HYPERLINK("https://klasma.github.io/Logging_0380/kartor/A 34066-2019 karta.png", "A 34066-2019")</f>
        <v/>
      </c>
      <c r="V325">
        <f>HYPERLINK("https://klasma.github.io/Logging_0380/klagomål/A 34066-2019 FSC-klagomål.docx", "A 34066-2019")</f>
        <v/>
      </c>
      <c r="W325">
        <f>HYPERLINK("https://klasma.github.io/Logging_0380/klagomålsmail/A 34066-2019 FSC-klagomål mail.docx", "A 34066-2019")</f>
        <v/>
      </c>
      <c r="X325">
        <f>HYPERLINK("https://klasma.github.io/Logging_0380/tillsyn/A 34066-2019 tillsynsbegäran.docx", "A 34066-2019")</f>
        <v/>
      </c>
      <c r="Y325">
        <f>HYPERLINK("https://klasma.github.io/Logging_0380/tillsynsmail/A 34066-2019 tillsynsbegäran mail.docx", "A 34066-2019")</f>
        <v/>
      </c>
    </row>
    <row r="326" ht="15" customHeight="1">
      <c r="A326" t="inlineStr">
        <is>
          <t>A 35563-2019</t>
        </is>
      </c>
      <c r="B326" s="1" t="n">
        <v>43664</v>
      </c>
      <c r="C326" s="1" t="n">
        <v>45792</v>
      </c>
      <c r="D326" t="inlineStr">
        <is>
          <t>UPPSALA LÄN</t>
        </is>
      </c>
      <c r="E326" t="inlineStr">
        <is>
          <t>TIERP</t>
        </is>
      </c>
      <c r="F326" t="inlineStr">
        <is>
          <t>Bergvik skog öst AB</t>
        </is>
      </c>
      <c r="G326" t="n">
        <v>4.6</v>
      </c>
      <c r="H326" t="n">
        <v>1</v>
      </c>
      <c r="I326" t="n">
        <v>2</v>
      </c>
      <c r="J326" t="n">
        <v>0</v>
      </c>
      <c r="K326" t="n">
        <v>0</v>
      </c>
      <c r="L326" t="n">
        <v>0</v>
      </c>
      <c r="M326" t="n">
        <v>0</v>
      </c>
      <c r="N326" t="n">
        <v>0</v>
      </c>
      <c r="O326" t="n">
        <v>0</v>
      </c>
      <c r="P326" t="n">
        <v>0</v>
      </c>
      <c r="Q326" t="n">
        <v>2</v>
      </c>
      <c r="R326" s="2" t="inlineStr">
        <is>
          <t>Nästrot
Tibast</t>
        </is>
      </c>
      <c r="S326">
        <f>HYPERLINK("https://klasma.github.io/Logging_0360/artfynd/A 35563-2019 artfynd.xlsx", "A 35563-2019")</f>
        <v/>
      </c>
      <c r="T326">
        <f>HYPERLINK("https://klasma.github.io/Logging_0360/kartor/A 35563-2019 karta.png", "A 35563-2019")</f>
        <v/>
      </c>
      <c r="V326">
        <f>HYPERLINK("https://klasma.github.io/Logging_0360/klagomål/A 35563-2019 FSC-klagomål.docx", "A 35563-2019")</f>
        <v/>
      </c>
      <c r="W326">
        <f>HYPERLINK("https://klasma.github.io/Logging_0360/klagomålsmail/A 35563-2019 FSC-klagomål mail.docx", "A 35563-2019")</f>
        <v/>
      </c>
      <c r="X326">
        <f>HYPERLINK("https://klasma.github.io/Logging_0360/tillsyn/A 35563-2019 tillsynsbegäran.docx", "A 35563-2019")</f>
        <v/>
      </c>
      <c r="Y326">
        <f>HYPERLINK("https://klasma.github.io/Logging_0360/tillsynsmail/A 35563-2019 tillsynsbegäran mail.docx", "A 35563-2019")</f>
        <v/>
      </c>
    </row>
    <row r="327" ht="15" customHeight="1">
      <c r="A327" t="inlineStr">
        <is>
          <t>A 52165-2019</t>
        </is>
      </c>
      <c r="B327" s="1" t="n">
        <v>43742</v>
      </c>
      <c r="C327" s="1" t="n">
        <v>45792</v>
      </c>
      <c r="D327" t="inlineStr">
        <is>
          <t>UPPSALA LÄN</t>
        </is>
      </c>
      <c r="E327" t="inlineStr">
        <is>
          <t>UPPSALA</t>
        </is>
      </c>
      <c r="F327" t="inlineStr">
        <is>
          <t>Allmännings- och besparingsskogar</t>
        </is>
      </c>
      <c r="G327" t="n">
        <v>28.7</v>
      </c>
      <c r="H327" t="n">
        <v>2</v>
      </c>
      <c r="I327" t="n">
        <v>2</v>
      </c>
      <c r="J327" t="n">
        <v>0</v>
      </c>
      <c r="K327" t="n">
        <v>0</v>
      </c>
      <c r="L327" t="n">
        <v>0</v>
      </c>
      <c r="M327" t="n">
        <v>0</v>
      </c>
      <c r="N327" t="n">
        <v>0</v>
      </c>
      <c r="O327" t="n">
        <v>0</v>
      </c>
      <c r="P327" t="n">
        <v>0</v>
      </c>
      <c r="Q327" t="n">
        <v>2</v>
      </c>
      <c r="R327" s="2" t="inlineStr">
        <is>
          <t>Korallrot
Spindelblomster</t>
        </is>
      </c>
      <c r="S327">
        <f>HYPERLINK("https://klasma.github.io/Logging_0380/artfynd/A 52165-2019 artfynd.xlsx", "A 52165-2019")</f>
        <v/>
      </c>
      <c r="T327">
        <f>HYPERLINK("https://klasma.github.io/Logging_0380/kartor/A 52165-2019 karta.png", "A 52165-2019")</f>
        <v/>
      </c>
      <c r="V327">
        <f>HYPERLINK("https://klasma.github.io/Logging_0380/klagomål/A 52165-2019 FSC-klagomål.docx", "A 52165-2019")</f>
        <v/>
      </c>
      <c r="W327">
        <f>HYPERLINK("https://klasma.github.io/Logging_0380/klagomålsmail/A 52165-2019 FSC-klagomål mail.docx", "A 52165-2019")</f>
        <v/>
      </c>
      <c r="X327">
        <f>HYPERLINK("https://klasma.github.io/Logging_0380/tillsyn/A 52165-2019 tillsynsbegäran.docx", "A 52165-2019")</f>
        <v/>
      </c>
      <c r="Y327">
        <f>HYPERLINK("https://klasma.github.io/Logging_0380/tillsynsmail/A 52165-2019 tillsynsbegäran mail.docx", "A 52165-2019")</f>
        <v/>
      </c>
    </row>
    <row r="328" ht="15" customHeight="1">
      <c r="A328" t="inlineStr">
        <is>
          <t>A 60083-2019</t>
        </is>
      </c>
      <c r="B328" s="1" t="n">
        <v>43777</v>
      </c>
      <c r="C328" s="1" t="n">
        <v>45792</v>
      </c>
      <c r="D328" t="inlineStr">
        <is>
          <t>UPPSALA LÄN</t>
        </is>
      </c>
      <c r="E328" t="inlineStr">
        <is>
          <t>TIERP</t>
        </is>
      </c>
      <c r="G328" t="n">
        <v>2.7</v>
      </c>
      <c r="H328" t="n">
        <v>0</v>
      </c>
      <c r="I328" t="n">
        <v>2</v>
      </c>
      <c r="J328" t="n">
        <v>0</v>
      </c>
      <c r="K328" t="n">
        <v>0</v>
      </c>
      <c r="L328" t="n">
        <v>0</v>
      </c>
      <c r="M328" t="n">
        <v>0</v>
      </c>
      <c r="N328" t="n">
        <v>0</v>
      </c>
      <c r="O328" t="n">
        <v>0</v>
      </c>
      <c r="P328" t="n">
        <v>0</v>
      </c>
      <c r="Q328" t="n">
        <v>2</v>
      </c>
      <c r="R328" s="2" t="inlineStr">
        <is>
          <t>Granbarkgnagare
Skarp dropptaggsvamp</t>
        </is>
      </c>
      <c r="S328">
        <f>HYPERLINK("https://klasma.github.io/Logging_0360/artfynd/A 60083-2019 artfynd.xlsx", "A 60083-2019")</f>
        <v/>
      </c>
      <c r="T328">
        <f>HYPERLINK("https://klasma.github.io/Logging_0360/kartor/A 60083-2019 karta.png", "A 60083-2019")</f>
        <v/>
      </c>
      <c r="V328">
        <f>HYPERLINK("https://klasma.github.io/Logging_0360/klagomål/A 60083-2019 FSC-klagomål.docx", "A 60083-2019")</f>
        <v/>
      </c>
      <c r="W328">
        <f>HYPERLINK("https://klasma.github.io/Logging_0360/klagomålsmail/A 60083-2019 FSC-klagomål mail.docx", "A 60083-2019")</f>
        <v/>
      </c>
      <c r="X328">
        <f>HYPERLINK("https://klasma.github.io/Logging_0360/tillsyn/A 60083-2019 tillsynsbegäran.docx", "A 60083-2019")</f>
        <v/>
      </c>
      <c r="Y328">
        <f>HYPERLINK("https://klasma.github.io/Logging_0360/tillsynsmail/A 60083-2019 tillsynsbegäran mail.docx", "A 60083-2019")</f>
        <v/>
      </c>
    </row>
    <row r="329" ht="15" customHeight="1">
      <c r="A329" t="inlineStr">
        <is>
          <t>A 2172-2020</t>
        </is>
      </c>
      <c r="B329" s="1" t="n">
        <v>43846</v>
      </c>
      <c r="C329" s="1" t="n">
        <v>45792</v>
      </c>
      <c r="D329" t="inlineStr">
        <is>
          <t>UPPSALA LÄN</t>
        </is>
      </c>
      <c r="E329" t="inlineStr">
        <is>
          <t>ÖSTHAMMAR</t>
        </is>
      </c>
      <c r="G329" t="n">
        <v>3.8</v>
      </c>
      <c r="H329" t="n">
        <v>0</v>
      </c>
      <c r="I329" t="n">
        <v>1</v>
      </c>
      <c r="J329" t="n">
        <v>1</v>
      </c>
      <c r="K329" t="n">
        <v>0</v>
      </c>
      <c r="L329" t="n">
        <v>0</v>
      </c>
      <c r="M329" t="n">
        <v>0</v>
      </c>
      <c r="N329" t="n">
        <v>0</v>
      </c>
      <c r="O329" t="n">
        <v>1</v>
      </c>
      <c r="P329" t="n">
        <v>0</v>
      </c>
      <c r="Q329" t="n">
        <v>2</v>
      </c>
      <c r="R329" s="2" t="inlineStr">
        <is>
          <t>Flattoppad klubbsvamp
Zontaggsvamp</t>
        </is>
      </c>
      <c r="S329">
        <f>HYPERLINK("https://klasma.github.io/Logging_0382/artfynd/A 2172-2020 artfynd.xlsx", "A 2172-2020")</f>
        <v/>
      </c>
      <c r="T329">
        <f>HYPERLINK("https://klasma.github.io/Logging_0382/kartor/A 2172-2020 karta.png", "A 2172-2020")</f>
        <v/>
      </c>
      <c r="V329">
        <f>HYPERLINK("https://klasma.github.io/Logging_0382/klagomål/A 2172-2020 FSC-klagomål.docx", "A 2172-2020")</f>
        <v/>
      </c>
      <c r="W329">
        <f>HYPERLINK("https://klasma.github.io/Logging_0382/klagomålsmail/A 2172-2020 FSC-klagomål mail.docx", "A 2172-2020")</f>
        <v/>
      </c>
      <c r="X329">
        <f>HYPERLINK("https://klasma.github.io/Logging_0382/tillsyn/A 2172-2020 tillsynsbegäran.docx", "A 2172-2020")</f>
        <v/>
      </c>
      <c r="Y329">
        <f>HYPERLINK("https://klasma.github.io/Logging_0382/tillsynsmail/A 2172-2020 tillsynsbegäran mail.docx", "A 2172-2020")</f>
        <v/>
      </c>
    </row>
    <row r="330" ht="15" customHeight="1">
      <c r="A330" t="inlineStr">
        <is>
          <t>A 9867-2020</t>
        </is>
      </c>
      <c r="B330" s="1" t="n">
        <v>43882</v>
      </c>
      <c r="C330" s="1" t="n">
        <v>45792</v>
      </c>
      <c r="D330" t="inlineStr">
        <is>
          <t>UPPSALA LÄN</t>
        </is>
      </c>
      <c r="E330" t="inlineStr">
        <is>
          <t>ÖSTHAMMAR</t>
        </is>
      </c>
      <c r="F330" t="inlineStr">
        <is>
          <t>Bergvik skog öst AB</t>
        </is>
      </c>
      <c r="G330" t="n">
        <v>11.1</v>
      </c>
      <c r="H330" t="n">
        <v>1</v>
      </c>
      <c r="I330" t="n">
        <v>1</v>
      </c>
      <c r="J330" t="n">
        <v>0</v>
      </c>
      <c r="K330" t="n">
        <v>0</v>
      </c>
      <c r="L330" t="n">
        <v>0</v>
      </c>
      <c r="M330" t="n">
        <v>0</v>
      </c>
      <c r="N330" t="n">
        <v>0</v>
      </c>
      <c r="O330" t="n">
        <v>0</v>
      </c>
      <c r="P330" t="n">
        <v>0</v>
      </c>
      <c r="Q330" t="n">
        <v>2</v>
      </c>
      <c r="R330" s="2" t="inlineStr">
        <is>
          <t>Gräsull
Revlummer</t>
        </is>
      </c>
      <c r="S330">
        <f>HYPERLINK("https://klasma.github.io/Logging_0382/artfynd/A 9867-2020 artfynd.xlsx", "A 9867-2020")</f>
        <v/>
      </c>
      <c r="T330">
        <f>HYPERLINK("https://klasma.github.io/Logging_0382/kartor/A 9867-2020 karta.png", "A 9867-2020")</f>
        <v/>
      </c>
      <c r="V330">
        <f>HYPERLINK("https://klasma.github.io/Logging_0382/klagomål/A 9867-2020 FSC-klagomål.docx", "A 9867-2020")</f>
        <v/>
      </c>
      <c r="W330">
        <f>HYPERLINK("https://klasma.github.io/Logging_0382/klagomålsmail/A 9867-2020 FSC-klagomål mail.docx", "A 9867-2020")</f>
        <v/>
      </c>
      <c r="X330">
        <f>HYPERLINK("https://klasma.github.io/Logging_0382/tillsyn/A 9867-2020 tillsynsbegäran.docx", "A 9867-2020")</f>
        <v/>
      </c>
      <c r="Y330">
        <f>HYPERLINK("https://klasma.github.io/Logging_0382/tillsynsmail/A 9867-2020 tillsynsbegäran mail.docx", "A 9867-2020")</f>
        <v/>
      </c>
    </row>
    <row r="331" ht="15" customHeight="1">
      <c r="A331" t="inlineStr">
        <is>
          <t>A 14181-2020</t>
        </is>
      </c>
      <c r="B331" s="1" t="n">
        <v>43907</v>
      </c>
      <c r="C331" s="1" t="n">
        <v>45792</v>
      </c>
      <c r="D331" t="inlineStr">
        <is>
          <t>UPPSALA LÄN</t>
        </is>
      </c>
      <c r="E331" t="inlineStr">
        <is>
          <t>ENKÖPING</t>
        </is>
      </c>
      <c r="F331" t="inlineStr">
        <is>
          <t>Kyrkan</t>
        </is>
      </c>
      <c r="G331" t="n">
        <v>2.5</v>
      </c>
      <c r="H331" t="n">
        <v>0</v>
      </c>
      <c r="I331" t="n">
        <v>1</v>
      </c>
      <c r="J331" t="n">
        <v>1</v>
      </c>
      <c r="K331" t="n">
        <v>0</v>
      </c>
      <c r="L331" t="n">
        <v>0</v>
      </c>
      <c r="M331" t="n">
        <v>0</v>
      </c>
      <c r="N331" t="n">
        <v>0</v>
      </c>
      <c r="O331" t="n">
        <v>1</v>
      </c>
      <c r="P331" t="n">
        <v>0</v>
      </c>
      <c r="Q331" t="n">
        <v>2</v>
      </c>
      <c r="R331" s="2" t="inlineStr">
        <is>
          <t>Flentimotej
Svart trolldruva</t>
        </is>
      </c>
      <c r="S331">
        <f>HYPERLINK("https://klasma.github.io/Logging_0381/artfynd/A 14181-2020 artfynd.xlsx", "A 14181-2020")</f>
        <v/>
      </c>
      <c r="T331">
        <f>HYPERLINK("https://klasma.github.io/Logging_0381/kartor/A 14181-2020 karta.png", "A 14181-2020")</f>
        <v/>
      </c>
      <c r="V331">
        <f>HYPERLINK("https://klasma.github.io/Logging_0381/klagomål/A 14181-2020 FSC-klagomål.docx", "A 14181-2020")</f>
        <v/>
      </c>
      <c r="W331">
        <f>HYPERLINK("https://klasma.github.io/Logging_0381/klagomålsmail/A 14181-2020 FSC-klagomål mail.docx", "A 14181-2020")</f>
        <v/>
      </c>
      <c r="X331">
        <f>HYPERLINK("https://klasma.github.io/Logging_0381/tillsyn/A 14181-2020 tillsynsbegäran.docx", "A 14181-2020")</f>
        <v/>
      </c>
      <c r="Y331">
        <f>HYPERLINK("https://klasma.github.io/Logging_0381/tillsynsmail/A 14181-2020 tillsynsbegäran mail.docx", "A 14181-2020")</f>
        <v/>
      </c>
    </row>
    <row r="332" ht="15" customHeight="1">
      <c r="A332" t="inlineStr">
        <is>
          <t>A 18468-2020</t>
        </is>
      </c>
      <c r="B332" s="1" t="n">
        <v>43929</v>
      </c>
      <c r="C332" s="1" t="n">
        <v>45792</v>
      </c>
      <c r="D332" t="inlineStr">
        <is>
          <t>UPPSALA LÄN</t>
        </is>
      </c>
      <c r="E332" t="inlineStr">
        <is>
          <t>UPPSALA</t>
        </is>
      </c>
      <c r="G332" t="n">
        <v>0.5</v>
      </c>
      <c r="H332" t="n">
        <v>1</v>
      </c>
      <c r="I332" t="n">
        <v>1</v>
      </c>
      <c r="J332" t="n">
        <v>0</v>
      </c>
      <c r="K332" t="n">
        <v>0</v>
      </c>
      <c r="L332" t="n">
        <v>0</v>
      </c>
      <c r="M332" t="n">
        <v>0</v>
      </c>
      <c r="N332" t="n">
        <v>0</v>
      </c>
      <c r="O332" t="n">
        <v>0</v>
      </c>
      <c r="P332" t="n">
        <v>0</v>
      </c>
      <c r="Q332" t="n">
        <v>2</v>
      </c>
      <c r="R332" s="2" t="inlineStr">
        <is>
          <t>Mindre märgborre
Gullviva</t>
        </is>
      </c>
      <c r="S332">
        <f>HYPERLINK("https://klasma.github.io/Logging_0380/artfynd/A 18468-2020 artfynd.xlsx", "A 18468-2020")</f>
        <v/>
      </c>
      <c r="T332">
        <f>HYPERLINK("https://klasma.github.io/Logging_0380/kartor/A 18468-2020 karta.png", "A 18468-2020")</f>
        <v/>
      </c>
      <c r="V332">
        <f>HYPERLINK("https://klasma.github.io/Logging_0380/klagomål/A 18468-2020 FSC-klagomål.docx", "A 18468-2020")</f>
        <v/>
      </c>
      <c r="W332">
        <f>HYPERLINK("https://klasma.github.io/Logging_0380/klagomålsmail/A 18468-2020 FSC-klagomål mail.docx", "A 18468-2020")</f>
        <v/>
      </c>
      <c r="X332">
        <f>HYPERLINK("https://klasma.github.io/Logging_0380/tillsyn/A 18468-2020 tillsynsbegäran.docx", "A 18468-2020")</f>
        <v/>
      </c>
      <c r="Y332">
        <f>HYPERLINK("https://klasma.github.io/Logging_0380/tillsynsmail/A 18468-2020 tillsynsbegäran mail.docx", "A 18468-2020")</f>
        <v/>
      </c>
    </row>
    <row r="333" ht="15" customHeight="1">
      <c r="A333" t="inlineStr">
        <is>
          <t>A 18788-2020</t>
        </is>
      </c>
      <c r="B333" s="1" t="n">
        <v>43931</v>
      </c>
      <c r="C333" s="1" t="n">
        <v>45792</v>
      </c>
      <c r="D333" t="inlineStr">
        <is>
          <t>UPPSALA LÄN</t>
        </is>
      </c>
      <c r="E333" t="inlineStr">
        <is>
          <t>TIERP</t>
        </is>
      </c>
      <c r="F333" t="inlineStr">
        <is>
          <t>Bergvik skog väst AB</t>
        </is>
      </c>
      <c r="G333" t="n">
        <v>2.4</v>
      </c>
      <c r="H333" t="n">
        <v>0</v>
      </c>
      <c r="I333" t="n">
        <v>0</v>
      </c>
      <c r="J333" t="n">
        <v>2</v>
      </c>
      <c r="K333" t="n">
        <v>0</v>
      </c>
      <c r="L333" t="n">
        <v>0</v>
      </c>
      <c r="M333" t="n">
        <v>0</v>
      </c>
      <c r="N333" t="n">
        <v>0</v>
      </c>
      <c r="O333" t="n">
        <v>2</v>
      </c>
      <c r="P333" t="n">
        <v>0</v>
      </c>
      <c r="Q333" t="n">
        <v>2</v>
      </c>
      <c r="R333" s="2" t="inlineStr">
        <is>
          <t>Gullklöver
Rödbrun blekspik</t>
        </is>
      </c>
      <c r="S333">
        <f>HYPERLINK("https://klasma.github.io/Logging_0360/artfynd/A 18788-2020 artfynd.xlsx", "A 18788-2020")</f>
        <v/>
      </c>
      <c r="T333">
        <f>HYPERLINK("https://klasma.github.io/Logging_0360/kartor/A 18788-2020 karta.png", "A 18788-2020")</f>
        <v/>
      </c>
      <c r="V333">
        <f>HYPERLINK("https://klasma.github.io/Logging_0360/klagomål/A 18788-2020 FSC-klagomål.docx", "A 18788-2020")</f>
        <v/>
      </c>
      <c r="W333">
        <f>HYPERLINK("https://klasma.github.io/Logging_0360/klagomålsmail/A 18788-2020 FSC-klagomål mail.docx", "A 18788-2020")</f>
        <v/>
      </c>
      <c r="X333">
        <f>HYPERLINK("https://klasma.github.io/Logging_0360/tillsyn/A 18788-2020 tillsynsbegäran.docx", "A 18788-2020")</f>
        <v/>
      </c>
      <c r="Y333">
        <f>HYPERLINK("https://klasma.github.io/Logging_0360/tillsynsmail/A 18788-2020 tillsynsbegäran mail.docx", "A 18788-2020")</f>
        <v/>
      </c>
    </row>
    <row r="334" ht="15" customHeight="1">
      <c r="A334" t="inlineStr">
        <is>
          <t>A 20778-2020</t>
        </is>
      </c>
      <c r="B334" s="1" t="n">
        <v>43949</v>
      </c>
      <c r="C334" s="1" t="n">
        <v>45792</v>
      </c>
      <c r="D334" t="inlineStr">
        <is>
          <t>UPPSALA LÄN</t>
        </is>
      </c>
      <c r="E334" t="inlineStr">
        <is>
          <t>KNIVSTA</t>
        </is>
      </c>
      <c r="G334" t="n">
        <v>2.9</v>
      </c>
      <c r="H334" t="n">
        <v>0</v>
      </c>
      <c r="I334" t="n">
        <v>1</v>
      </c>
      <c r="J334" t="n">
        <v>1</v>
      </c>
      <c r="K334" t="n">
        <v>0</v>
      </c>
      <c r="L334" t="n">
        <v>0</v>
      </c>
      <c r="M334" t="n">
        <v>0</v>
      </c>
      <c r="N334" t="n">
        <v>0</v>
      </c>
      <c r="O334" t="n">
        <v>1</v>
      </c>
      <c r="P334" t="n">
        <v>0</v>
      </c>
      <c r="Q334" t="n">
        <v>2</v>
      </c>
      <c r="R334" s="2" t="inlineStr">
        <is>
          <t>Gultoppig fingersvamp
Trådticka</t>
        </is>
      </c>
      <c r="S334">
        <f>HYPERLINK("https://klasma.github.io/Logging_0330/artfynd/A 20778-2020 artfynd.xlsx", "A 20778-2020")</f>
        <v/>
      </c>
      <c r="T334">
        <f>HYPERLINK("https://klasma.github.io/Logging_0330/kartor/A 20778-2020 karta.png", "A 20778-2020")</f>
        <v/>
      </c>
      <c r="V334">
        <f>HYPERLINK("https://klasma.github.io/Logging_0330/klagomål/A 20778-2020 FSC-klagomål.docx", "A 20778-2020")</f>
        <v/>
      </c>
      <c r="W334">
        <f>HYPERLINK("https://klasma.github.io/Logging_0330/klagomålsmail/A 20778-2020 FSC-klagomål mail.docx", "A 20778-2020")</f>
        <v/>
      </c>
      <c r="X334">
        <f>HYPERLINK("https://klasma.github.io/Logging_0330/tillsyn/A 20778-2020 tillsynsbegäran.docx", "A 20778-2020")</f>
        <v/>
      </c>
      <c r="Y334">
        <f>HYPERLINK("https://klasma.github.io/Logging_0330/tillsynsmail/A 20778-2020 tillsynsbegäran mail.docx", "A 20778-2020")</f>
        <v/>
      </c>
    </row>
    <row r="335" ht="15" customHeight="1">
      <c r="A335" t="inlineStr">
        <is>
          <t>A 24031-2020</t>
        </is>
      </c>
      <c r="B335" s="1" t="n">
        <v>43971</v>
      </c>
      <c r="C335" s="1" t="n">
        <v>45792</v>
      </c>
      <c r="D335" t="inlineStr">
        <is>
          <t>UPPSALA LÄN</t>
        </is>
      </c>
      <c r="E335" t="inlineStr">
        <is>
          <t>KNIVSTA</t>
        </is>
      </c>
      <c r="F335" t="inlineStr">
        <is>
          <t>Övriga statliga verk och myndigheter</t>
        </is>
      </c>
      <c r="G335" t="n">
        <v>2.4</v>
      </c>
      <c r="H335" t="n">
        <v>2</v>
      </c>
      <c r="I335" t="n">
        <v>0</v>
      </c>
      <c r="J335" t="n">
        <v>1</v>
      </c>
      <c r="K335" t="n">
        <v>0</v>
      </c>
      <c r="L335" t="n">
        <v>0</v>
      </c>
      <c r="M335" t="n">
        <v>0</v>
      </c>
      <c r="N335" t="n">
        <v>0</v>
      </c>
      <c r="O335" t="n">
        <v>1</v>
      </c>
      <c r="P335" t="n">
        <v>0</v>
      </c>
      <c r="Q335" t="n">
        <v>2</v>
      </c>
      <c r="R335" s="2" t="inlineStr">
        <is>
          <t>Grönsångare
Vanlig snok</t>
        </is>
      </c>
      <c r="S335">
        <f>HYPERLINK("https://klasma.github.io/Logging_0330/artfynd/A 24031-2020 artfynd.xlsx", "A 24031-2020")</f>
        <v/>
      </c>
      <c r="T335">
        <f>HYPERLINK("https://klasma.github.io/Logging_0330/kartor/A 24031-2020 karta.png", "A 24031-2020")</f>
        <v/>
      </c>
      <c r="V335">
        <f>HYPERLINK("https://klasma.github.io/Logging_0330/klagomål/A 24031-2020 FSC-klagomål.docx", "A 24031-2020")</f>
        <v/>
      </c>
      <c r="W335">
        <f>HYPERLINK("https://klasma.github.io/Logging_0330/klagomålsmail/A 24031-2020 FSC-klagomål mail.docx", "A 24031-2020")</f>
        <v/>
      </c>
      <c r="X335">
        <f>HYPERLINK("https://klasma.github.io/Logging_0330/tillsyn/A 24031-2020 tillsynsbegäran.docx", "A 24031-2020")</f>
        <v/>
      </c>
      <c r="Y335">
        <f>HYPERLINK("https://klasma.github.io/Logging_0330/tillsynsmail/A 24031-2020 tillsynsbegäran mail.docx", "A 24031-2020")</f>
        <v/>
      </c>
      <c r="Z335">
        <f>HYPERLINK("https://klasma.github.io/Logging_0330/fåglar/A 24031-2020 prioriterade fågelarter.docx", "A 24031-2020")</f>
        <v/>
      </c>
    </row>
    <row r="336" ht="15" customHeight="1">
      <c r="A336" t="inlineStr">
        <is>
          <t>A 29091-2020</t>
        </is>
      </c>
      <c r="B336" s="1" t="n">
        <v>44002</v>
      </c>
      <c r="C336" s="1" t="n">
        <v>45792</v>
      </c>
      <c r="D336" t="inlineStr">
        <is>
          <t>UPPSALA LÄN</t>
        </is>
      </c>
      <c r="E336" t="inlineStr">
        <is>
          <t>HEBY</t>
        </is>
      </c>
      <c r="G336" t="n">
        <v>2.6</v>
      </c>
      <c r="H336" t="n">
        <v>1</v>
      </c>
      <c r="I336" t="n">
        <v>1</v>
      </c>
      <c r="J336" t="n">
        <v>0</v>
      </c>
      <c r="K336" t="n">
        <v>1</v>
      </c>
      <c r="L336" t="n">
        <v>0</v>
      </c>
      <c r="M336" t="n">
        <v>0</v>
      </c>
      <c r="N336" t="n">
        <v>0</v>
      </c>
      <c r="O336" t="n">
        <v>1</v>
      </c>
      <c r="P336" t="n">
        <v>1</v>
      </c>
      <c r="Q336" t="n">
        <v>2</v>
      </c>
      <c r="R336" s="2" t="inlineStr">
        <is>
          <t>Knärot
Grönpyrola</t>
        </is>
      </c>
      <c r="S336">
        <f>HYPERLINK("https://klasma.github.io/Logging_0331/artfynd/A 29091-2020 artfynd.xlsx", "A 29091-2020")</f>
        <v/>
      </c>
      <c r="T336">
        <f>HYPERLINK("https://klasma.github.io/Logging_0331/kartor/A 29091-2020 karta.png", "A 29091-2020")</f>
        <v/>
      </c>
      <c r="U336">
        <f>HYPERLINK("https://klasma.github.io/Logging_0331/knärot/A 29091-2020 karta knärot.png", "A 29091-2020")</f>
        <v/>
      </c>
      <c r="V336">
        <f>HYPERLINK("https://klasma.github.io/Logging_0331/klagomål/A 29091-2020 FSC-klagomål.docx", "A 29091-2020")</f>
        <v/>
      </c>
      <c r="W336">
        <f>HYPERLINK("https://klasma.github.io/Logging_0331/klagomålsmail/A 29091-2020 FSC-klagomål mail.docx", "A 29091-2020")</f>
        <v/>
      </c>
      <c r="X336">
        <f>HYPERLINK("https://klasma.github.io/Logging_0331/tillsyn/A 29091-2020 tillsynsbegäran.docx", "A 29091-2020")</f>
        <v/>
      </c>
      <c r="Y336">
        <f>HYPERLINK("https://klasma.github.io/Logging_0331/tillsynsmail/A 29091-2020 tillsynsbegäran mail.docx", "A 29091-2020")</f>
        <v/>
      </c>
    </row>
    <row r="337" ht="15" customHeight="1">
      <c r="A337" t="inlineStr">
        <is>
          <t>A 36385-2020</t>
        </is>
      </c>
      <c r="B337" s="1" t="n">
        <v>44049</v>
      </c>
      <c r="C337" s="1" t="n">
        <v>45792</v>
      </c>
      <c r="D337" t="inlineStr">
        <is>
          <t>UPPSALA LÄN</t>
        </is>
      </c>
      <c r="E337" t="inlineStr">
        <is>
          <t>HEBY</t>
        </is>
      </c>
      <c r="F337" t="inlineStr">
        <is>
          <t>Bergvik skog väst AB</t>
        </is>
      </c>
      <c r="G337" t="n">
        <v>0.8</v>
      </c>
      <c r="H337" t="n">
        <v>1</v>
      </c>
      <c r="I337" t="n">
        <v>1</v>
      </c>
      <c r="J337" t="n">
        <v>0</v>
      </c>
      <c r="K337" t="n">
        <v>0</v>
      </c>
      <c r="L337" t="n">
        <v>0</v>
      </c>
      <c r="M337" t="n">
        <v>0</v>
      </c>
      <c r="N337" t="n">
        <v>0</v>
      </c>
      <c r="O337" t="n">
        <v>0</v>
      </c>
      <c r="P337" t="n">
        <v>0</v>
      </c>
      <c r="Q337" t="n">
        <v>2</v>
      </c>
      <c r="R337" s="2" t="inlineStr">
        <is>
          <t>Granbarkgnagare
Revlummer</t>
        </is>
      </c>
      <c r="S337">
        <f>HYPERLINK("https://klasma.github.io/Logging_0331/artfynd/A 36385-2020 artfynd.xlsx", "A 36385-2020")</f>
        <v/>
      </c>
      <c r="T337">
        <f>HYPERLINK("https://klasma.github.io/Logging_0331/kartor/A 36385-2020 karta.png", "A 36385-2020")</f>
        <v/>
      </c>
      <c r="V337">
        <f>HYPERLINK("https://klasma.github.io/Logging_0331/klagomål/A 36385-2020 FSC-klagomål.docx", "A 36385-2020")</f>
        <v/>
      </c>
      <c r="W337">
        <f>HYPERLINK("https://klasma.github.io/Logging_0331/klagomålsmail/A 36385-2020 FSC-klagomål mail.docx", "A 36385-2020")</f>
        <v/>
      </c>
      <c r="X337">
        <f>HYPERLINK("https://klasma.github.io/Logging_0331/tillsyn/A 36385-2020 tillsynsbegäran.docx", "A 36385-2020")</f>
        <v/>
      </c>
      <c r="Y337">
        <f>HYPERLINK("https://klasma.github.io/Logging_0331/tillsynsmail/A 36385-2020 tillsynsbegäran mail.docx", "A 36385-2020")</f>
        <v/>
      </c>
    </row>
    <row r="338" ht="15" customHeight="1">
      <c r="A338" t="inlineStr">
        <is>
          <t>A 37289-2020</t>
        </is>
      </c>
      <c r="B338" s="1" t="n">
        <v>44054</v>
      </c>
      <c r="C338" s="1" t="n">
        <v>45792</v>
      </c>
      <c r="D338" t="inlineStr">
        <is>
          <t>UPPSALA LÄN</t>
        </is>
      </c>
      <c r="E338" t="inlineStr">
        <is>
          <t>UPPSALA</t>
        </is>
      </c>
      <c r="F338" t="inlineStr">
        <is>
          <t>Allmännings- och besparingsskogar</t>
        </is>
      </c>
      <c r="G338" t="n">
        <v>13.5</v>
      </c>
      <c r="H338" t="n">
        <v>0</v>
      </c>
      <c r="I338" t="n">
        <v>1</v>
      </c>
      <c r="J338" t="n">
        <v>1</v>
      </c>
      <c r="K338" t="n">
        <v>0</v>
      </c>
      <c r="L338" t="n">
        <v>0</v>
      </c>
      <c r="M338" t="n">
        <v>0</v>
      </c>
      <c r="N338" t="n">
        <v>0</v>
      </c>
      <c r="O338" t="n">
        <v>1</v>
      </c>
      <c r="P338" t="n">
        <v>0</v>
      </c>
      <c r="Q338" t="n">
        <v>2</v>
      </c>
      <c r="R338" s="2" t="inlineStr">
        <is>
          <t>Vedtrappmossa
Granbarkgnagare</t>
        </is>
      </c>
      <c r="S338">
        <f>HYPERLINK("https://klasma.github.io/Logging_0380/artfynd/A 37289-2020 artfynd.xlsx", "A 37289-2020")</f>
        <v/>
      </c>
      <c r="T338">
        <f>HYPERLINK("https://klasma.github.io/Logging_0380/kartor/A 37289-2020 karta.png", "A 37289-2020")</f>
        <v/>
      </c>
      <c r="V338">
        <f>HYPERLINK("https://klasma.github.io/Logging_0380/klagomål/A 37289-2020 FSC-klagomål.docx", "A 37289-2020")</f>
        <v/>
      </c>
      <c r="W338">
        <f>HYPERLINK("https://klasma.github.io/Logging_0380/klagomålsmail/A 37289-2020 FSC-klagomål mail.docx", "A 37289-2020")</f>
        <v/>
      </c>
      <c r="X338">
        <f>HYPERLINK("https://klasma.github.io/Logging_0380/tillsyn/A 37289-2020 tillsynsbegäran.docx", "A 37289-2020")</f>
        <v/>
      </c>
      <c r="Y338">
        <f>HYPERLINK("https://klasma.github.io/Logging_0380/tillsynsmail/A 37289-2020 tillsynsbegäran mail.docx", "A 37289-2020")</f>
        <v/>
      </c>
    </row>
    <row r="339" ht="15" customHeight="1">
      <c r="A339" t="inlineStr">
        <is>
          <t>A 42520-2020</t>
        </is>
      </c>
      <c r="B339" s="1" t="n">
        <v>44077</v>
      </c>
      <c r="C339" s="1" t="n">
        <v>45792</v>
      </c>
      <c r="D339" t="inlineStr">
        <is>
          <t>UPPSALA LÄN</t>
        </is>
      </c>
      <c r="E339" t="inlineStr">
        <is>
          <t>ÖSTHAMMAR</t>
        </is>
      </c>
      <c r="G339" t="n">
        <v>2.8</v>
      </c>
      <c r="H339" t="n">
        <v>1</v>
      </c>
      <c r="I339" t="n">
        <v>2</v>
      </c>
      <c r="J339" t="n">
        <v>0</v>
      </c>
      <c r="K339" t="n">
        <v>0</v>
      </c>
      <c r="L339" t="n">
        <v>0</v>
      </c>
      <c r="M339" t="n">
        <v>0</v>
      </c>
      <c r="N339" t="n">
        <v>0</v>
      </c>
      <c r="O339" t="n">
        <v>0</v>
      </c>
      <c r="P339" t="n">
        <v>0</v>
      </c>
      <c r="Q339" t="n">
        <v>2</v>
      </c>
      <c r="R339" s="2" t="inlineStr">
        <is>
          <t>Hasselticka
Skogsknipprot</t>
        </is>
      </c>
      <c r="S339">
        <f>HYPERLINK("https://klasma.github.io/Logging_0382/artfynd/A 42520-2020 artfynd.xlsx", "A 42520-2020")</f>
        <v/>
      </c>
      <c r="T339">
        <f>HYPERLINK("https://klasma.github.io/Logging_0382/kartor/A 42520-2020 karta.png", "A 42520-2020")</f>
        <v/>
      </c>
      <c r="V339">
        <f>HYPERLINK("https://klasma.github.io/Logging_0382/klagomål/A 42520-2020 FSC-klagomål.docx", "A 42520-2020")</f>
        <v/>
      </c>
      <c r="W339">
        <f>HYPERLINK("https://klasma.github.io/Logging_0382/klagomålsmail/A 42520-2020 FSC-klagomål mail.docx", "A 42520-2020")</f>
        <v/>
      </c>
      <c r="X339">
        <f>HYPERLINK("https://klasma.github.io/Logging_0382/tillsyn/A 42520-2020 tillsynsbegäran.docx", "A 42520-2020")</f>
        <v/>
      </c>
      <c r="Y339">
        <f>HYPERLINK("https://klasma.github.io/Logging_0382/tillsynsmail/A 42520-2020 tillsynsbegäran mail.docx", "A 42520-2020")</f>
        <v/>
      </c>
    </row>
    <row r="340" ht="15" customHeight="1">
      <c r="A340" t="inlineStr">
        <is>
          <t>A 48100-2020</t>
        </is>
      </c>
      <c r="B340" s="1" t="n">
        <v>44101</v>
      </c>
      <c r="C340" s="1" t="n">
        <v>45792</v>
      </c>
      <c r="D340" t="inlineStr">
        <is>
          <t>UPPSALA LÄN</t>
        </is>
      </c>
      <c r="E340" t="inlineStr">
        <is>
          <t>UPPSALA</t>
        </is>
      </c>
      <c r="F340" t="inlineStr">
        <is>
          <t>Sveaskog</t>
        </is>
      </c>
      <c r="G340" t="n">
        <v>8.800000000000001</v>
      </c>
      <c r="H340" t="n">
        <v>1</v>
      </c>
      <c r="I340" t="n">
        <v>1</v>
      </c>
      <c r="J340" t="n">
        <v>0</v>
      </c>
      <c r="K340" t="n">
        <v>0</v>
      </c>
      <c r="L340" t="n">
        <v>0</v>
      </c>
      <c r="M340" t="n">
        <v>0</v>
      </c>
      <c r="N340" t="n">
        <v>0</v>
      </c>
      <c r="O340" t="n">
        <v>0</v>
      </c>
      <c r="P340" t="n">
        <v>0</v>
      </c>
      <c r="Q340" t="n">
        <v>2</v>
      </c>
      <c r="R340" s="2" t="inlineStr">
        <is>
          <t>Svavelriska
Blåsippa</t>
        </is>
      </c>
      <c r="S340">
        <f>HYPERLINK("https://klasma.github.io/Logging_0380/artfynd/A 48100-2020 artfynd.xlsx", "A 48100-2020")</f>
        <v/>
      </c>
      <c r="T340">
        <f>HYPERLINK("https://klasma.github.io/Logging_0380/kartor/A 48100-2020 karta.png", "A 48100-2020")</f>
        <v/>
      </c>
      <c r="V340">
        <f>HYPERLINK("https://klasma.github.io/Logging_0380/klagomål/A 48100-2020 FSC-klagomål.docx", "A 48100-2020")</f>
        <v/>
      </c>
      <c r="W340">
        <f>HYPERLINK("https://klasma.github.io/Logging_0380/klagomålsmail/A 48100-2020 FSC-klagomål mail.docx", "A 48100-2020")</f>
        <v/>
      </c>
      <c r="X340">
        <f>HYPERLINK("https://klasma.github.io/Logging_0380/tillsyn/A 48100-2020 tillsynsbegäran.docx", "A 48100-2020")</f>
        <v/>
      </c>
      <c r="Y340">
        <f>HYPERLINK("https://klasma.github.io/Logging_0380/tillsynsmail/A 48100-2020 tillsynsbegäran mail.docx", "A 48100-2020")</f>
        <v/>
      </c>
    </row>
    <row r="341" ht="15" customHeight="1">
      <c r="A341" t="inlineStr">
        <is>
          <t>A 50415-2020</t>
        </is>
      </c>
      <c r="B341" s="1" t="n">
        <v>44110</v>
      </c>
      <c r="C341" s="1" t="n">
        <v>45792</v>
      </c>
      <c r="D341" t="inlineStr">
        <is>
          <t>UPPSALA LÄN</t>
        </is>
      </c>
      <c r="E341" t="inlineStr">
        <is>
          <t>ÄLVKARLEBY</t>
        </is>
      </c>
      <c r="F341" t="inlineStr">
        <is>
          <t>Bergvik skog väst AB</t>
        </is>
      </c>
      <c r="G341" t="n">
        <v>2.9</v>
      </c>
      <c r="H341" t="n">
        <v>1</v>
      </c>
      <c r="I341" t="n">
        <v>0</v>
      </c>
      <c r="J341" t="n">
        <v>2</v>
      </c>
      <c r="K341" t="n">
        <v>0</v>
      </c>
      <c r="L341" t="n">
        <v>0</v>
      </c>
      <c r="M341" t="n">
        <v>0</v>
      </c>
      <c r="N341" t="n">
        <v>0</v>
      </c>
      <c r="O341" t="n">
        <v>2</v>
      </c>
      <c r="P341" t="n">
        <v>0</v>
      </c>
      <c r="Q341" t="n">
        <v>2</v>
      </c>
      <c r="R341" s="2" t="inlineStr">
        <is>
          <t>Grönsångare
Skogssvingel</t>
        </is>
      </c>
      <c r="S341">
        <f>HYPERLINK("https://klasma.github.io/Logging_0319/artfynd/A 50415-2020 artfynd.xlsx", "A 50415-2020")</f>
        <v/>
      </c>
      <c r="T341">
        <f>HYPERLINK("https://klasma.github.io/Logging_0319/kartor/A 50415-2020 karta.png", "A 50415-2020")</f>
        <v/>
      </c>
      <c r="V341">
        <f>HYPERLINK("https://klasma.github.io/Logging_0319/klagomål/A 50415-2020 FSC-klagomål.docx", "A 50415-2020")</f>
        <v/>
      </c>
      <c r="W341">
        <f>HYPERLINK("https://klasma.github.io/Logging_0319/klagomålsmail/A 50415-2020 FSC-klagomål mail.docx", "A 50415-2020")</f>
        <v/>
      </c>
      <c r="X341">
        <f>HYPERLINK("https://klasma.github.io/Logging_0319/tillsyn/A 50415-2020 tillsynsbegäran.docx", "A 50415-2020")</f>
        <v/>
      </c>
      <c r="Y341">
        <f>HYPERLINK("https://klasma.github.io/Logging_0319/tillsynsmail/A 50415-2020 tillsynsbegäran mail.docx", "A 50415-2020")</f>
        <v/>
      </c>
      <c r="Z341">
        <f>HYPERLINK("https://klasma.github.io/Logging_0319/fåglar/A 50415-2020 prioriterade fågelarter.docx", "A 50415-2020")</f>
        <v/>
      </c>
    </row>
    <row r="342" ht="15" customHeight="1">
      <c r="A342" t="inlineStr">
        <is>
          <t>A 53716-2020</t>
        </is>
      </c>
      <c r="B342" s="1" t="n">
        <v>44124</v>
      </c>
      <c r="C342" s="1" t="n">
        <v>45792</v>
      </c>
      <c r="D342" t="inlineStr">
        <is>
          <t>UPPSALA LÄN</t>
        </is>
      </c>
      <c r="E342" t="inlineStr">
        <is>
          <t>HÅBO</t>
        </is>
      </c>
      <c r="F342" t="inlineStr">
        <is>
          <t>Kommuner</t>
        </is>
      </c>
      <c r="G342" t="n">
        <v>16.7</v>
      </c>
      <c r="H342" t="n">
        <v>0</v>
      </c>
      <c r="I342" t="n">
        <v>1</v>
      </c>
      <c r="J342" t="n">
        <v>1</v>
      </c>
      <c r="K342" t="n">
        <v>0</v>
      </c>
      <c r="L342" t="n">
        <v>0</v>
      </c>
      <c r="M342" t="n">
        <v>0</v>
      </c>
      <c r="N342" t="n">
        <v>0</v>
      </c>
      <c r="O342" t="n">
        <v>1</v>
      </c>
      <c r="P342" t="n">
        <v>0</v>
      </c>
      <c r="Q342" t="n">
        <v>2</v>
      </c>
      <c r="R342" s="2" t="inlineStr">
        <is>
          <t>Ullticka
Blåmossa</t>
        </is>
      </c>
      <c r="S342">
        <f>HYPERLINK("https://klasma.github.io/Logging_0305/artfynd/A 53716-2020 artfynd.xlsx", "A 53716-2020")</f>
        <v/>
      </c>
      <c r="T342">
        <f>HYPERLINK("https://klasma.github.io/Logging_0305/kartor/A 53716-2020 karta.png", "A 53716-2020")</f>
        <v/>
      </c>
      <c r="V342">
        <f>HYPERLINK("https://klasma.github.io/Logging_0305/klagomål/A 53716-2020 FSC-klagomål.docx", "A 53716-2020")</f>
        <v/>
      </c>
      <c r="W342">
        <f>HYPERLINK("https://klasma.github.io/Logging_0305/klagomålsmail/A 53716-2020 FSC-klagomål mail.docx", "A 53716-2020")</f>
        <v/>
      </c>
      <c r="X342">
        <f>HYPERLINK("https://klasma.github.io/Logging_0305/tillsyn/A 53716-2020 tillsynsbegäran.docx", "A 53716-2020")</f>
        <v/>
      </c>
      <c r="Y342">
        <f>HYPERLINK("https://klasma.github.io/Logging_0305/tillsynsmail/A 53716-2020 tillsynsbegäran mail.docx", "A 53716-2020")</f>
        <v/>
      </c>
    </row>
    <row r="343" ht="15" customHeight="1">
      <c r="A343" t="inlineStr">
        <is>
          <t>A 59416-2020</t>
        </is>
      </c>
      <c r="B343" s="1" t="n">
        <v>44148</v>
      </c>
      <c r="C343" s="1" t="n">
        <v>45792</v>
      </c>
      <c r="D343" t="inlineStr">
        <is>
          <t>UPPSALA LÄN</t>
        </is>
      </c>
      <c r="E343" t="inlineStr">
        <is>
          <t>ÖSTHAMMAR</t>
        </is>
      </c>
      <c r="F343" t="inlineStr">
        <is>
          <t>Sveaskog</t>
        </is>
      </c>
      <c r="G343" t="n">
        <v>1.7</v>
      </c>
      <c r="H343" t="n">
        <v>2</v>
      </c>
      <c r="I343" t="n">
        <v>0</v>
      </c>
      <c r="J343" t="n">
        <v>1</v>
      </c>
      <c r="K343" t="n">
        <v>0</v>
      </c>
      <c r="L343" t="n">
        <v>1</v>
      </c>
      <c r="M343" t="n">
        <v>0</v>
      </c>
      <c r="N343" t="n">
        <v>0</v>
      </c>
      <c r="O343" t="n">
        <v>2</v>
      </c>
      <c r="P343" t="n">
        <v>1</v>
      </c>
      <c r="Q343" t="n">
        <v>2</v>
      </c>
      <c r="R343" s="2" t="inlineStr">
        <is>
          <t>Grönfink
Svartvit flugsnappare</t>
        </is>
      </c>
      <c r="S343">
        <f>HYPERLINK("https://klasma.github.io/Logging_0382/artfynd/A 59416-2020 artfynd.xlsx", "A 59416-2020")</f>
        <v/>
      </c>
      <c r="T343">
        <f>HYPERLINK("https://klasma.github.io/Logging_0382/kartor/A 59416-2020 karta.png", "A 59416-2020")</f>
        <v/>
      </c>
      <c r="V343">
        <f>HYPERLINK("https://klasma.github.io/Logging_0382/klagomål/A 59416-2020 FSC-klagomål.docx", "A 59416-2020")</f>
        <v/>
      </c>
      <c r="W343">
        <f>HYPERLINK("https://klasma.github.io/Logging_0382/klagomålsmail/A 59416-2020 FSC-klagomål mail.docx", "A 59416-2020")</f>
        <v/>
      </c>
      <c r="X343">
        <f>HYPERLINK("https://klasma.github.io/Logging_0382/tillsyn/A 59416-2020 tillsynsbegäran.docx", "A 59416-2020")</f>
        <v/>
      </c>
      <c r="Y343">
        <f>HYPERLINK("https://klasma.github.io/Logging_0382/tillsynsmail/A 59416-2020 tillsynsbegäran mail.docx", "A 59416-2020")</f>
        <v/>
      </c>
      <c r="Z343">
        <f>HYPERLINK("https://klasma.github.io/Logging_0382/fåglar/A 59416-2020 prioriterade fågelarter.docx", "A 59416-2020")</f>
        <v/>
      </c>
    </row>
    <row r="344" ht="15" customHeight="1">
      <c r="A344" t="inlineStr">
        <is>
          <t>A 6223-2021</t>
        </is>
      </c>
      <c r="B344" s="1" t="n">
        <v>44235</v>
      </c>
      <c r="C344" s="1" t="n">
        <v>45792</v>
      </c>
      <c r="D344" t="inlineStr">
        <is>
          <t>UPPSALA LÄN</t>
        </is>
      </c>
      <c r="E344" t="inlineStr">
        <is>
          <t>ÖSTHAMMAR</t>
        </is>
      </c>
      <c r="G344" t="n">
        <v>0.5</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6223-2021 artfynd.xlsx", "A 6223-2021")</f>
        <v/>
      </c>
      <c r="T344">
        <f>HYPERLINK("https://klasma.github.io/Logging_0382/kartor/A 6223-2021 karta.png", "A 6223-2021")</f>
        <v/>
      </c>
      <c r="V344">
        <f>HYPERLINK("https://klasma.github.io/Logging_0382/klagomål/A 6223-2021 FSC-klagomål.docx", "A 6223-2021")</f>
        <v/>
      </c>
      <c r="W344">
        <f>HYPERLINK("https://klasma.github.io/Logging_0382/klagomålsmail/A 6223-2021 FSC-klagomål mail.docx", "A 6223-2021")</f>
        <v/>
      </c>
      <c r="X344">
        <f>HYPERLINK("https://klasma.github.io/Logging_0382/tillsyn/A 6223-2021 tillsynsbegäran.docx", "A 6223-2021")</f>
        <v/>
      </c>
      <c r="Y344">
        <f>HYPERLINK("https://klasma.github.io/Logging_0382/tillsynsmail/A 6223-2021 tillsynsbegäran mail.docx", "A 6223-2021")</f>
        <v/>
      </c>
    </row>
    <row r="345" ht="15" customHeight="1">
      <c r="A345" t="inlineStr">
        <is>
          <t>A 22025-2021</t>
        </is>
      </c>
      <c r="B345" s="1" t="n">
        <v>44323</v>
      </c>
      <c r="C345" s="1" t="n">
        <v>45792</v>
      </c>
      <c r="D345" t="inlineStr">
        <is>
          <t>UPPSALA LÄN</t>
        </is>
      </c>
      <c r="E345" t="inlineStr">
        <is>
          <t>ÄLVKARLEBY</t>
        </is>
      </c>
      <c r="F345" t="inlineStr">
        <is>
          <t>Bergvik skog väst AB</t>
        </is>
      </c>
      <c r="G345" t="n">
        <v>15.8</v>
      </c>
      <c r="H345" t="n">
        <v>0</v>
      </c>
      <c r="I345" t="n">
        <v>0</v>
      </c>
      <c r="J345" t="n">
        <v>2</v>
      </c>
      <c r="K345" t="n">
        <v>0</v>
      </c>
      <c r="L345" t="n">
        <v>0</v>
      </c>
      <c r="M345" t="n">
        <v>0</v>
      </c>
      <c r="N345" t="n">
        <v>0</v>
      </c>
      <c r="O345" t="n">
        <v>2</v>
      </c>
      <c r="P345" t="n">
        <v>0</v>
      </c>
      <c r="Q345" t="n">
        <v>2</v>
      </c>
      <c r="R345" s="2" t="inlineStr">
        <is>
          <t>Ekticka
Rödbrun blekspik</t>
        </is>
      </c>
      <c r="S345">
        <f>HYPERLINK("https://klasma.github.io/Logging_0319/artfynd/A 22025-2021 artfynd.xlsx", "A 22025-2021")</f>
        <v/>
      </c>
      <c r="T345">
        <f>HYPERLINK("https://klasma.github.io/Logging_0319/kartor/A 22025-2021 karta.png", "A 22025-2021")</f>
        <v/>
      </c>
      <c r="V345">
        <f>HYPERLINK("https://klasma.github.io/Logging_0319/klagomål/A 22025-2021 FSC-klagomål.docx", "A 22025-2021")</f>
        <v/>
      </c>
      <c r="W345">
        <f>HYPERLINK("https://klasma.github.io/Logging_0319/klagomålsmail/A 22025-2021 FSC-klagomål mail.docx", "A 22025-2021")</f>
        <v/>
      </c>
      <c r="X345">
        <f>HYPERLINK("https://klasma.github.io/Logging_0319/tillsyn/A 22025-2021 tillsynsbegäran.docx", "A 22025-2021")</f>
        <v/>
      </c>
      <c r="Y345">
        <f>HYPERLINK("https://klasma.github.io/Logging_0319/tillsynsmail/A 22025-2021 tillsynsbegäran mail.docx", "A 22025-2021")</f>
        <v/>
      </c>
    </row>
    <row r="346" ht="15" customHeight="1">
      <c r="A346" t="inlineStr">
        <is>
          <t>A 31622-2021</t>
        </is>
      </c>
      <c r="B346" s="1" t="n">
        <v>44369</v>
      </c>
      <c r="C346" s="1" t="n">
        <v>45792</v>
      </c>
      <c r="D346" t="inlineStr">
        <is>
          <t>UPPSALA LÄN</t>
        </is>
      </c>
      <c r="E346" t="inlineStr">
        <is>
          <t>ÖSTHAMMAR</t>
        </is>
      </c>
      <c r="G346" t="n">
        <v>12.6</v>
      </c>
      <c r="H346" t="n">
        <v>2</v>
      </c>
      <c r="I346" t="n">
        <v>0</v>
      </c>
      <c r="J346" t="n">
        <v>1</v>
      </c>
      <c r="K346" t="n">
        <v>0</v>
      </c>
      <c r="L346" t="n">
        <v>0</v>
      </c>
      <c r="M346" t="n">
        <v>0</v>
      </c>
      <c r="N346" t="n">
        <v>0</v>
      </c>
      <c r="O346" t="n">
        <v>1</v>
      </c>
      <c r="P346" t="n">
        <v>0</v>
      </c>
      <c r="Q346" t="n">
        <v>2</v>
      </c>
      <c r="R346" s="2" t="inlineStr">
        <is>
          <t>Spillkråka
Mattlummer</t>
        </is>
      </c>
      <c r="S346">
        <f>HYPERLINK("https://klasma.github.io/Logging_0382/artfynd/A 31622-2021 artfynd.xlsx", "A 31622-2021")</f>
        <v/>
      </c>
      <c r="T346">
        <f>HYPERLINK("https://klasma.github.io/Logging_0382/kartor/A 31622-2021 karta.png", "A 31622-2021")</f>
        <v/>
      </c>
      <c r="V346">
        <f>HYPERLINK("https://klasma.github.io/Logging_0382/klagomål/A 31622-2021 FSC-klagomål.docx", "A 31622-2021")</f>
        <v/>
      </c>
      <c r="W346">
        <f>HYPERLINK("https://klasma.github.io/Logging_0382/klagomålsmail/A 31622-2021 FSC-klagomål mail.docx", "A 31622-2021")</f>
        <v/>
      </c>
      <c r="X346">
        <f>HYPERLINK("https://klasma.github.io/Logging_0382/tillsyn/A 31622-2021 tillsynsbegäran.docx", "A 31622-2021")</f>
        <v/>
      </c>
      <c r="Y346">
        <f>HYPERLINK("https://klasma.github.io/Logging_0382/tillsynsmail/A 31622-2021 tillsynsbegäran mail.docx", "A 31622-2021")</f>
        <v/>
      </c>
      <c r="Z346">
        <f>HYPERLINK("https://klasma.github.io/Logging_0382/fåglar/A 31622-2021 prioriterade fågelarter.docx", "A 31622-2021")</f>
        <v/>
      </c>
    </row>
    <row r="347" ht="15" customHeight="1">
      <c r="A347" t="inlineStr">
        <is>
          <t>A 34150-2021</t>
        </is>
      </c>
      <c r="B347" s="1" t="n">
        <v>44379</v>
      </c>
      <c r="C347" s="1" t="n">
        <v>45792</v>
      </c>
      <c r="D347" t="inlineStr">
        <is>
          <t>UPPSALA LÄN</t>
        </is>
      </c>
      <c r="E347" t="inlineStr">
        <is>
          <t>ENKÖPING</t>
        </is>
      </c>
      <c r="G347" t="n">
        <v>9.199999999999999</v>
      </c>
      <c r="H347" t="n">
        <v>0</v>
      </c>
      <c r="I347" t="n">
        <v>1</v>
      </c>
      <c r="J347" t="n">
        <v>1</v>
      </c>
      <c r="K347" t="n">
        <v>0</v>
      </c>
      <c r="L347" t="n">
        <v>0</v>
      </c>
      <c r="M347" t="n">
        <v>0</v>
      </c>
      <c r="N347" t="n">
        <v>0</v>
      </c>
      <c r="O347" t="n">
        <v>1</v>
      </c>
      <c r="P347" t="n">
        <v>0</v>
      </c>
      <c r="Q347" t="n">
        <v>2</v>
      </c>
      <c r="R347" s="2" t="inlineStr">
        <is>
          <t>Ullticka
Bronshjon</t>
        </is>
      </c>
      <c r="S347">
        <f>HYPERLINK("https://klasma.github.io/Logging_0381/artfynd/A 34150-2021 artfynd.xlsx", "A 34150-2021")</f>
        <v/>
      </c>
      <c r="T347">
        <f>HYPERLINK("https://klasma.github.io/Logging_0381/kartor/A 34150-2021 karta.png", "A 34150-2021")</f>
        <v/>
      </c>
      <c r="V347">
        <f>HYPERLINK("https://klasma.github.io/Logging_0381/klagomål/A 34150-2021 FSC-klagomål.docx", "A 34150-2021")</f>
        <v/>
      </c>
      <c r="W347">
        <f>HYPERLINK("https://klasma.github.io/Logging_0381/klagomålsmail/A 34150-2021 FSC-klagomål mail.docx", "A 34150-2021")</f>
        <v/>
      </c>
      <c r="X347">
        <f>HYPERLINK("https://klasma.github.io/Logging_0381/tillsyn/A 34150-2021 tillsynsbegäran.docx", "A 34150-2021")</f>
        <v/>
      </c>
      <c r="Y347">
        <f>HYPERLINK("https://klasma.github.io/Logging_0381/tillsynsmail/A 34150-2021 tillsynsbegäran mail.docx", "A 34150-2021")</f>
        <v/>
      </c>
    </row>
    <row r="348" ht="15" customHeight="1">
      <c r="A348" t="inlineStr">
        <is>
          <t>A 53324-2021</t>
        </is>
      </c>
      <c r="B348" s="1" t="n">
        <v>44468</v>
      </c>
      <c r="C348" s="1" t="n">
        <v>45792</v>
      </c>
      <c r="D348" t="inlineStr">
        <is>
          <t>UPPSALA LÄN</t>
        </is>
      </c>
      <c r="E348" t="inlineStr">
        <is>
          <t>TIERP</t>
        </is>
      </c>
      <c r="G348" t="n">
        <v>0.8</v>
      </c>
      <c r="H348" t="n">
        <v>0</v>
      </c>
      <c r="I348" t="n">
        <v>1</v>
      </c>
      <c r="J348" t="n">
        <v>1</v>
      </c>
      <c r="K348" t="n">
        <v>0</v>
      </c>
      <c r="L348" t="n">
        <v>0</v>
      </c>
      <c r="M348" t="n">
        <v>0</v>
      </c>
      <c r="N348" t="n">
        <v>0</v>
      </c>
      <c r="O348" t="n">
        <v>1</v>
      </c>
      <c r="P348" t="n">
        <v>0</v>
      </c>
      <c r="Q348" t="n">
        <v>2</v>
      </c>
      <c r="R348" s="2" t="inlineStr">
        <is>
          <t>Granticka
Stor aspticka</t>
        </is>
      </c>
      <c r="S348">
        <f>HYPERLINK("https://klasma.github.io/Logging_0360/artfynd/A 53324-2021 artfynd.xlsx", "A 53324-2021")</f>
        <v/>
      </c>
      <c r="T348">
        <f>HYPERLINK("https://klasma.github.io/Logging_0360/kartor/A 53324-2021 karta.png", "A 53324-2021")</f>
        <v/>
      </c>
      <c r="V348">
        <f>HYPERLINK("https://klasma.github.io/Logging_0360/klagomål/A 53324-2021 FSC-klagomål.docx", "A 53324-2021")</f>
        <v/>
      </c>
      <c r="W348">
        <f>HYPERLINK("https://klasma.github.io/Logging_0360/klagomålsmail/A 53324-2021 FSC-klagomål mail.docx", "A 53324-2021")</f>
        <v/>
      </c>
      <c r="X348">
        <f>HYPERLINK("https://klasma.github.io/Logging_0360/tillsyn/A 53324-2021 tillsynsbegäran.docx", "A 53324-2021")</f>
        <v/>
      </c>
      <c r="Y348">
        <f>HYPERLINK("https://klasma.github.io/Logging_0360/tillsynsmail/A 53324-2021 tillsynsbegäran mail.docx", "A 53324-2021")</f>
        <v/>
      </c>
    </row>
    <row r="349" ht="15" customHeight="1">
      <c r="A349" t="inlineStr">
        <is>
          <t>A 58906-2021</t>
        </is>
      </c>
      <c r="B349" s="1" t="n">
        <v>44489</v>
      </c>
      <c r="C349" s="1" t="n">
        <v>45792</v>
      </c>
      <c r="D349" t="inlineStr">
        <is>
          <t>UPPSALA LÄN</t>
        </is>
      </c>
      <c r="E349" t="inlineStr">
        <is>
          <t>UPPSALA</t>
        </is>
      </c>
      <c r="G349" t="n">
        <v>8.6</v>
      </c>
      <c r="H349" t="n">
        <v>1</v>
      </c>
      <c r="I349" t="n">
        <v>0</v>
      </c>
      <c r="J349" t="n">
        <v>1</v>
      </c>
      <c r="K349" t="n">
        <v>0</v>
      </c>
      <c r="L349" t="n">
        <v>0</v>
      </c>
      <c r="M349" t="n">
        <v>0</v>
      </c>
      <c r="N349" t="n">
        <v>0</v>
      </c>
      <c r="O349" t="n">
        <v>1</v>
      </c>
      <c r="P349" t="n">
        <v>0</v>
      </c>
      <c r="Q349" t="n">
        <v>2</v>
      </c>
      <c r="R349" s="2" t="inlineStr">
        <is>
          <t>Ullticka
Tjäder</t>
        </is>
      </c>
      <c r="S349">
        <f>HYPERLINK("https://klasma.github.io/Logging_0380/artfynd/A 58906-2021 artfynd.xlsx", "A 58906-2021")</f>
        <v/>
      </c>
      <c r="T349">
        <f>HYPERLINK("https://klasma.github.io/Logging_0380/kartor/A 58906-2021 karta.png", "A 58906-2021")</f>
        <v/>
      </c>
      <c r="V349">
        <f>HYPERLINK("https://klasma.github.io/Logging_0380/klagomål/A 58906-2021 FSC-klagomål.docx", "A 58906-2021")</f>
        <v/>
      </c>
      <c r="W349">
        <f>HYPERLINK("https://klasma.github.io/Logging_0380/klagomålsmail/A 58906-2021 FSC-klagomål mail.docx", "A 58906-2021")</f>
        <v/>
      </c>
      <c r="X349">
        <f>HYPERLINK("https://klasma.github.io/Logging_0380/tillsyn/A 58906-2021 tillsynsbegäran.docx", "A 58906-2021")</f>
        <v/>
      </c>
      <c r="Y349">
        <f>HYPERLINK("https://klasma.github.io/Logging_0380/tillsynsmail/A 58906-2021 tillsynsbegäran mail.docx", "A 58906-2021")</f>
        <v/>
      </c>
      <c r="Z349">
        <f>HYPERLINK("https://klasma.github.io/Logging_0380/fåglar/A 58906-2021 prioriterade fågelarter.docx", "A 58906-2021")</f>
        <v/>
      </c>
    </row>
    <row r="350" ht="15" customHeight="1">
      <c r="A350" t="inlineStr">
        <is>
          <t>A 60078-2021</t>
        </is>
      </c>
      <c r="B350" s="1" t="n">
        <v>44495</v>
      </c>
      <c r="C350" s="1" t="n">
        <v>45792</v>
      </c>
      <c r="D350" t="inlineStr">
        <is>
          <t>UPPSALA LÄN</t>
        </is>
      </c>
      <c r="E350" t="inlineStr">
        <is>
          <t>ÖSTHAMMAR</t>
        </is>
      </c>
      <c r="G350" t="n">
        <v>1.1</v>
      </c>
      <c r="H350" t="n">
        <v>0</v>
      </c>
      <c r="I350" t="n">
        <v>0</v>
      </c>
      <c r="J350" t="n">
        <v>1</v>
      </c>
      <c r="K350" t="n">
        <v>1</v>
      </c>
      <c r="L350" t="n">
        <v>0</v>
      </c>
      <c r="M350" t="n">
        <v>0</v>
      </c>
      <c r="N350" t="n">
        <v>0</v>
      </c>
      <c r="O350" t="n">
        <v>2</v>
      </c>
      <c r="P350" t="n">
        <v>1</v>
      </c>
      <c r="Q350" t="n">
        <v>2</v>
      </c>
      <c r="R350" s="2" t="inlineStr">
        <is>
          <t>Violgubbe
Blek fingersvamp</t>
        </is>
      </c>
      <c r="S350">
        <f>HYPERLINK("https://klasma.github.io/Logging_0382/artfynd/A 60078-2021 artfynd.xlsx", "A 60078-2021")</f>
        <v/>
      </c>
      <c r="T350">
        <f>HYPERLINK("https://klasma.github.io/Logging_0382/kartor/A 60078-2021 karta.png", "A 60078-2021")</f>
        <v/>
      </c>
      <c r="V350">
        <f>HYPERLINK("https://klasma.github.io/Logging_0382/klagomål/A 60078-2021 FSC-klagomål.docx", "A 60078-2021")</f>
        <v/>
      </c>
      <c r="W350">
        <f>HYPERLINK("https://klasma.github.io/Logging_0382/klagomålsmail/A 60078-2021 FSC-klagomål mail.docx", "A 60078-2021")</f>
        <v/>
      </c>
      <c r="X350">
        <f>HYPERLINK("https://klasma.github.io/Logging_0382/tillsyn/A 60078-2021 tillsynsbegäran.docx", "A 60078-2021")</f>
        <v/>
      </c>
      <c r="Y350">
        <f>HYPERLINK("https://klasma.github.io/Logging_0382/tillsynsmail/A 60078-2021 tillsynsbegäran mail.docx", "A 60078-2021")</f>
        <v/>
      </c>
    </row>
    <row r="351" ht="15" customHeight="1">
      <c r="A351" t="inlineStr">
        <is>
          <t>A 65165-2021</t>
        </is>
      </c>
      <c r="B351" s="1" t="n">
        <v>44515</v>
      </c>
      <c r="C351" s="1" t="n">
        <v>45792</v>
      </c>
      <c r="D351" t="inlineStr">
        <is>
          <t>UPPSALA LÄN</t>
        </is>
      </c>
      <c r="E351" t="inlineStr">
        <is>
          <t>ÖSTHAMMAR</t>
        </is>
      </c>
      <c r="F351" t="inlineStr">
        <is>
          <t>Sveaskog</t>
        </is>
      </c>
      <c r="G351" t="n">
        <v>2.8</v>
      </c>
      <c r="H351" t="n">
        <v>1</v>
      </c>
      <c r="I351" t="n">
        <v>0</v>
      </c>
      <c r="J351" t="n">
        <v>2</v>
      </c>
      <c r="K351" t="n">
        <v>0</v>
      </c>
      <c r="L351" t="n">
        <v>0</v>
      </c>
      <c r="M351" t="n">
        <v>0</v>
      </c>
      <c r="N351" t="n">
        <v>0</v>
      </c>
      <c r="O351" t="n">
        <v>2</v>
      </c>
      <c r="P351" t="n">
        <v>0</v>
      </c>
      <c r="Q351" t="n">
        <v>2</v>
      </c>
      <c r="R351" s="2" t="inlineStr">
        <is>
          <t>Spillkråka
Vedtrappmossa</t>
        </is>
      </c>
      <c r="S351">
        <f>HYPERLINK("https://klasma.github.io/Logging_0382/artfynd/A 65165-2021 artfynd.xlsx", "A 65165-2021")</f>
        <v/>
      </c>
      <c r="T351">
        <f>HYPERLINK("https://klasma.github.io/Logging_0382/kartor/A 65165-2021 karta.png", "A 65165-2021")</f>
        <v/>
      </c>
      <c r="U351">
        <f>HYPERLINK("https://klasma.github.io/Logging_0382/knärot/A 65165-2021 karta knärot.png", "A 65165-2021")</f>
        <v/>
      </c>
      <c r="V351">
        <f>HYPERLINK("https://klasma.github.io/Logging_0382/klagomål/A 65165-2021 FSC-klagomål.docx", "A 65165-2021")</f>
        <v/>
      </c>
      <c r="W351">
        <f>HYPERLINK("https://klasma.github.io/Logging_0382/klagomålsmail/A 65165-2021 FSC-klagomål mail.docx", "A 65165-2021")</f>
        <v/>
      </c>
      <c r="X351">
        <f>HYPERLINK("https://klasma.github.io/Logging_0382/tillsyn/A 65165-2021 tillsynsbegäran.docx", "A 65165-2021")</f>
        <v/>
      </c>
      <c r="Y351">
        <f>HYPERLINK("https://klasma.github.io/Logging_0382/tillsynsmail/A 65165-2021 tillsynsbegäran mail.docx", "A 65165-2021")</f>
        <v/>
      </c>
      <c r="Z351">
        <f>HYPERLINK("https://klasma.github.io/Logging_0382/fåglar/A 65165-2021 prioriterade fågelarter.docx", "A 65165-2021")</f>
        <v/>
      </c>
    </row>
    <row r="352" ht="15" customHeight="1">
      <c r="A352" t="inlineStr">
        <is>
          <t>A 67855-2021</t>
        </is>
      </c>
      <c r="B352" s="1" t="n">
        <v>44525</v>
      </c>
      <c r="C352" s="1" t="n">
        <v>45792</v>
      </c>
      <c r="D352" t="inlineStr">
        <is>
          <t>UPPSALA LÄN</t>
        </is>
      </c>
      <c r="E352" t="inlineStr">
        <is>
          <t>ÖSTHAMMAR</t>
        </is>
      </c>
      <c r="G352" t="n">
        <v>7.5</v>
      </c>
      <c r="H352" t="n">
        <v>0</v>
      </c>
      <c r="I352" t="n">
        <v>2</v>
      </c>
      <c r="J352" t="n">
        <v>0</v>
      </c>
      <c r="K352" t="n">
        <v>0</v>
      </c>
      <c r="L352" t="n">
        <v>0</v>
      </c>
      <c r="M352" t="n">
        <v>0</v>
      </c>
      <c r="N352" t="n">
        <v>0</v>
      </c>
      <c r="O352" t="n">
        <v>0</v>
      </c>
      <c r="P352" t="n">
        <v>0</v>
      </c>
      <c r="Q352" t="n">
        <v>2</v>
      </c>
      <c r="R352" s="2" t="inlineStr">
        <is>
          <t>Guldkremla
Kamjordstjärna</t>
        </is>
      </c>
      <c r="S352">
        <f>HYPERLINK("https://klasma.github.io/Logging_0382/artfynd/A 67855-2021 artfynd.xlsx", "A 67855-2021")</f>
        <v/>
      </c>
      <c r="T352">
        <f>HYPERLINK("https://klasma.github.io/Logging_0382/kartor/A 67855-2021 karta.png", "A 67855-2021")</f>
        <v/>
      </c>
      <c r="V352">
        <f>HYPERLINK("https://klasma.github.io/Logging_0382/klagomål/A 67855-2021 FSC-klagomål.docx", "A 67855-2021")</f>
        <v/>
      </c>
      <c r="W352">
        <f>HYPERLINK("https://klasma.github.io/Logging_0382/klagomålsmail/A 67855-2021 FSC-klagomål mail.docx", "A 67855-2021")</f>
        <v/>
      </c>
      <c r="X352">
        <f>HYPERLINK("https://klasma.github.io/Logging_0382/tillsyn/A 67855-2021 tillsynsbegäran.docx", "A 67855-2021")</f>
        <v/>
      </c>
      <c r="Y352">
        <f>HYPERLINK("https://klasma.github.io/Logging_0382/tillsynsmail/A 67855-2021 tillsynsbegäran mail.docx", "A 67855-2021")</f>
        <v/>
      </c>
    </row>
    <row r="353" ht="15" customHeight="1">
      <c r="A353" t="inlineStr">
        <is>
          <t>A 69241-2021</t>
        </is>
      </c>
      <c r="B353" s="1" t="n">
        <v>44529</v>
      </c>
      <c r="C353" s="1" t="n">
        <v>45792</v>
      </c>
      <c r="D353" t="inlineStr">
        <is>
          <t>UPPSALA LÄN</t>
        </is>
      </c>
      <c r="E353" t="inlineStr">
        <is>
          <t>ÖSTHAMMAR</t>
        </is>
      </c>
      <c r="G353" t="n">
        <v>0.7</v>
      </c>
      <c r="H353" t="n">
        <v>0</v>
      </c>
      <c r="I353" t="n">
        <v>1</v>
      </c>
      <c r="J353" t="n">
        <v>1</v>
      </c>
      <c r="K353" t="n">
        <v>0</v>
      </c>
      <c r="L353" t="n">
        <v>0</v>
      </c>
      <c r="M353" t="n">
        <v>0</v>
      </c>
      <c r="N353" t="n">
        <v>0</v>
      </c>
      <c r="O353" t="n">
        <v>1</v>
      </c>
      <c r="P353" t="n">
        <v>0</v>
      </c>
      <c r="Q353" t="n">
        <v>2</v>
      </c>
      <c r="R353" s="2" t="inlineStr">
        <is>
          <t>Harticka
Zontaggsvamp</t>
        </is>
      </c>
      <c r="S353">
        <f>HYPERLINK("https://klasma.github.io/Logging_0382/artfynd/A 69241-2021 artfynd.xlsx", "A 69241-2021")</f>
        <v/>
      </c>
      <c r="T353">
        <f>HYPERLINK("https://klasma.github.io/Logging_0382/kartor/A 69241-2021 karta.png", "A 69241-2021")</f>
        <v/>
      </c>
      <c r="V353">
        <f>HYPERLINK("https://klasma.github.io/Logging_0382/klagomål/A 69241-2021 FSC-klagomål.docx", "A 69241-2021")</f>
        <v/>
      </c>
      <c r="W353">
        <f>HYPERLINK("https://klasma.github.io/Logging_0382/klagomålsmail/A 69241-2021 FSC-klagomål mail.docx", "A 69241-2021")</f>
        <v/>
      </c>
      <c r="X353">
        <f>HYPERLINK("https://klasma.github.io/Logging_0382/tillsyn/A 69241-2021 tillsynsbegäran.docx", "A 69241-2021")</f>
        <v/>
      </c>
      <c r="Y353">
        <f>HYPERLINK("https://klasma.github.io/Logging_0382/tillsynsmail/A 69241-2021 tillsynsbegäran mail.docx", "A 69241-2021")</f>
        <v/>
      </c>
    </row>
    <row r="354" ht="15" customHeight="1">
      <c r="A354" t="inlineStr">
        <is>
          <t>A 70017-2021</t>
        </is>
      </c>
      <c r="B354" s="1" t="n">
        <v>44533</v>
      </c>
      <c r="C354" s="1" t="n">
        <v>45792</v>
      </c>
      <c r="D354" t="inlineStr">
        <is>
          <t>UPPSALA LÄN</t>
        </is>
      </c>
      <c r="E354" t="inlineStr">
        <is>
          <t>ÄLVKARLEBY</t>
        </is>
      </c>
      <c r="G354" t="n">
        <v>2.1</v>
      </c>
      <c r="H354" t="n">
        <v>2</v>
      </c>
      <c r="I354" t="n">
        <v>0</v>
      </c>
      <c r="J354" t="n">
        <v>0</v>
      </c>
      <c r="K354" t="n">
        <v>1</v>
      </c>
      <c r="L354" t="n">
        <v>0</v>
      </c>
      <c r="M354" t="n">
        <v>0</v>
      </c>
      <c r="N354" t="n">
        <v>0</v>
      </c>
      <c r="O354" t="n">
        <v>1</v>
      </c>
      <c r="P354" t="n">
        <v>1</v>
      </c>
      <c r="Q354" t="n">
        <v>2</v>
      </c>
      <c r="R354" s="2" t="inlineStr">
        <is>
          <t>Gölgroda
Trana</t>
        </is>
      </c>
      <c r="S354">
        <f>HYPERLINK("https://klasma.github.io/Logging_0319/artfynd/A 70017-2021 artfynd.xlsx", "A 70017-2021")</f>
        <v/>
      </c>
      <c r="T354">
        <f>HYPERLINK("https://klasma.github.io/Logging_0319/kartor/A 70017-2021 karta.png", "A 70017-2021")</f>
        <v/>
      </c>
      <c r="V354">
        <f>HYPERLINK("https://klasma.github.io/Logging_0319/klagomål/A 70017-2021 FSC-klagomål.docx", "A 70017-2021")</f>
        <v/>
      </c>
      <c r="W354">
        <f>HYPERLINK("https://klasma.github.io/Logging_0319/klagomålsmail/A 70017-2021 FSC-klagomål mail.docx", "A 70017-2021")</f>
        <v/>
      </c>
      <c r="X354">
        <f>HYPERLINK("https://klasma.github.io/Logging_0319/tillsyn/A 70017-2021 tillsynsbegäran.docx", "A 70017-2021")</f>
        <v/>
      </c>
      <c r="Y354">
        <f>HYPERLINK("https://klasma.github.io/Logging_0319/tillsynsmail/A 70017-2021 tillsynsbegäran mail.docx", "A 70017-2021")</f>
        <v/>
      </c>
      <c r="Z354">
        <f>HYPERLINK("https://klasma.github.io/Logging_0319/fåglar/A 70017-2021 prioriterade fågelarter.docx", "A 70017-2021")</f>
        <v/>
      </c>
    </row>
    <row r="355" ht="15" customHeight="1">
      <c r="A355" t="inlineStr">
        <is>
          <t>A 73981-2021</t>
        </is>
      </c>
      <c r="B355" s="1" t="n">
        <v>44555</v>
      </c>
      <c r="C355" s="1" t="n">
        <v>45792</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45792</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45792</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45792</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45792</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45792</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45792</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45792</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45792</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45792</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45792</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45792</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45792</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45792</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45792</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45792</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45792</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45792</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45792</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45792</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45792</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45792</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45792</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45792</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45792</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45792</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45792</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45792</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45792</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45792</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45792</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45792</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45792</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45792</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45792</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45792</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45792</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45792</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45792</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45792</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45792</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45792</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45792</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45792</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45792</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45792</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45792</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45792</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45792</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45792</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45792</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45792</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45792</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45792</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45792</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45792</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45792</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45792</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45792</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45792</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45792</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45792</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45792</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45792</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45792</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45792</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45792</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45792</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45792</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45792</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45792</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45792</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45792</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45792</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45792</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45792</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45792</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45792</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45792</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45792</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45792</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45792</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45792</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45792</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45792</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45792</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45792</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45792</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45792</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45792</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45792</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45792</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45792</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45792</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45792</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45792</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45792</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45792</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45792</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45792</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45792</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45792</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45792</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45792</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45792</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45792</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45792</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45792</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45792</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45792</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45792</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45792</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45792</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45792</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45792</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45792</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45792</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45792</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45792</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45792</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45792</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45792</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45792</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45792</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45792</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45792</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45792</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45792</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45792</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45792</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45792</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45792</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45792</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45792</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45792</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45792</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45792</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45792</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45792</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45792</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45792</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45792</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45792</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45792</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45792</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45792</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45792</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45792</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45792</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45792</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45792</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45792</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45792</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45792</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45792</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45792</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45792</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45792</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45792</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45792</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45792</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45792</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45792</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45792</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45792</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45792</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45792</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45792</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45792</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45792</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45792</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45792</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45792</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45792</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45792</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45792</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45792</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45792</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45792</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45792</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45792</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45792</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45792</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45792</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45792</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45792</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45792</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45792</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45792</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45792</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45792</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45792</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45792</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45792</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45792</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45792</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45792</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45792</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45792</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45792</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45792</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45792</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45792</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45792</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45792</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45792</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45792</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45792</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45792</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45792</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45792</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45792</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45792</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45792</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45792</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45792</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45792</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45792</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45792</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45792</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45792</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45792</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45792</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45792</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45792</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45792</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45792</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45792</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45792</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45792</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45792</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45792</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45792</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45792</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45792</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45792</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45792</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45792</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45792</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45792</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45792</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45792</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45792</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45792</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45792</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45792</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45792</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45792</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45792</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45792</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45792</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45792</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45792</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45792</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45792</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45792</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45792</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45792</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45792</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45792</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45792</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45792</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45792</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45792</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45792</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45792</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45792</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45792</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45792</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45792</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45792</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45792</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45792</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45792</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45792</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45792</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45792</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45792</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45792</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45792</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38151-2023</t>
        </is>
      </c>
      <c r="B635" s="1" t="n">
        <v>45160</v>
      </c>
      <c r="C635" s="1" t="n">
        <v>45792</v>
      </c>
      <c r="D635" t="inlineStr">
        <is>
          <t>UPPSALA LÄN</t>
        </is>
      </c>
      <c r="E635" t="inlineStr">
        <is>
          <t>TIERP</t>
        </is>
      </c>
      <c r="G635" t="n">
        <v>1.4</v>
      </c>
      <c r="H635" t="n">
        <v>1</v>
      </c>
      <c r="I635" t="n">
        <v>0</v>
      </c>
      <c r="J635" t="n">
        <v>0</v>
      </c>
      <c r="K635" t="n">
        <v>0</v>
      </c>
      <c r="L635" t="n">
        <v>1</v>
      </c>
      <c r="M635" t="n">
        <v>0</v>
      </c>
      <c r="N635" t="n">
        <v>0</v>
      </c>
      <c r="O635" t="n">
        <v>1</v>
      </c>
      <c r="P635" t="n">
        <v>1</v>
      </c>
      <c r="Q635" t="n">
        <v>1</v>
      </c>
      <c r="R635" s="2" t="inlineStr">
        <is>
          <t>Tornseglare</t>
        </is>
      </c>
      <c r="S635">
        <f>HYPERLINK("https://klasma.github.io/Logging_0360/artfynd/A 38151-2023 artfynd.xlsx", "A 38151-2023")</f>
        <v/>
      </c>
      <c r="T635">
        <f>HYPERLINK("https://klasma.github.io/Logging_0360/kartor/A 38151-2023 karta.png", "A 38151-2023")</f>
        <v/>
      </c>
      <c r="V635">
        <f>HYPERLINK("https://klasma.github.io/Logging_0360/klagomål/A 38151-2023 FSC-klagomål.docx", "A 38151-2023")</f>
        <v/>
      </c>
      <c r="W635">
        <f>HYPERLINK("https://klasma.github.io/Logging_0360/klagomålsmail/A 38151-2023 FSC-klagomål mail.docx", "A 38151-2023")</f>
        <v/>
      </c>
      <c r="X635">
        <f>HYPERLINK("https://klasma.github.io/Logging_0360/tillsyn/A 38151-2023 tillsynsbegäran.docx", "A 38151-2023")</f>
        <v/>
      </c>
      <c r="Y635">
        <f>HYPERLINK("https://klasma.github.io/Logging_0360/tillsynsmail/A 38151-2023 tillsynsbegäran mail.docx", "A 38151-2023")</f>
        <v/>
      </c>
      <c r="Z635">
        <f>HYPERLINK("https://klasma.github.io/Logging_0360/fåglar/A 38151-2023 prioriterade fågelarter.docx", "A 38151-2023")</f>
        <v/>
      </c>
    </row>
    <row r="636" ht="15" customHeight="1">
      <c r="A636" t="inlineStr">
        <is>
          <t>A 38821-2023</t>
        </is>
      </c>
      <c r="B636" s="1" t="n">
        <v>45163</v>
      </c>
      <c r="C636" s="1" t="n">
        <v>45792</v>
      </c>
      <c r="D636" t="inlineStr">
        <is>
          <t>UPPSALA LÄN</t>
        </is>
      </c>
      <c r="E636" t="inlineStr">
        <is>
          <t>TIERP</t>
        </is>
      </c>
      <c r="G636" t="n">
        <v>20.3</v>
      </c>
      <c r="H636" t="n">
        <v>1</v>
      </c>
      <c r="I636" t="n">
        <v>0</v>
      </c>
      <c r="J636" t="n">
        <v>0</v>
      </c>
      <c r="K636" t="n">
        <v>0</v>
      </c>
      <c r="L636" t="n">
        <v>0</v>
      </c>
      <c r="M636" t="n">
        <v>0</v>
      </c>
      <c r="N636" t="n">
        <v>0</v>
      </c>
      <c r="O636" t="n">
        <v>0</v>
      </c>
      <c r="P636" t="n">
        <v>0</v>
      </c>
      <c r="Q636" t="n">
        <v>1</v>
      </c>
      <c r="R636" s="2" t="inlineStr">
        <is>
          <t>Revlummer</t>
        </is>
      </c>
      <c r="S636">
        <f>HYPERLINK("https://klasma.github.io/Logging_0360/artfynd/A 38821-2023 artfynd.xlsx", "A 38821-2023")</f>
        <v/>
      </c>
      <c r="T636">
        <f>HYPERLINK("https://klasma.github.io/Logging_0360/kartor/A 38821-2023 karta.png", "A 38821-2023")</f>
        <v/>
      </c>
      <c r="V636">
        <f>HYPERLINK("https://klasma.github.io/Logging_0360/klagomål/A 38821-2023 FSC-klagomål.docx", "A 38821-2023")</f>
        <v/>
      </c>
      <c r="W636">
        <f>HYPERLINK("https://klasma.github.io/Logging_0360/klagomålsmail/A 38821-2023 FSC-klagomål mail.docx", "A 38821-2023")</f>
        <v/>
      </c>
      <c r="X636">
        <f>HYPERLINK("https://klasma.github.io/Logging_0360/tillsyn/A 38821-2023 tillsynsbegäran.docx", "A 38821-2023")</f>
        <v/>
      </c>
      <c r="Y636">
        <f>HYPERLINK("https://klasma.github.io/Logging_0360/tillsynsmail/A 38821-2023 tillsynsbegäran mail.docx", "A 38821-2023")</f>
        <v/>
      </c>
    </row>
    <row r="637" ht="15" customHeight="1">
      <c r="A637" t="inlineStr">
        <is>
          <t>A 39623-2023</t>
        </is>
      </c>
      <c r="B637" s="1" t="n">
        <v>45164</v>
      </c>
      <c r="C637" s="1" t="n">
        <v>45792</v>
      </c>
      <c r="D637" t="inlineStr">
        <is>
          <t>UPPSALA LÄN</t>
        </is>
      </c>
      <c r="E637" t="inlineStr">
        <is>
          <t>ENKÖPING</t>
        </is>
      </c>
      <c r="G637" t="n">
        <v>7.6</v>
      </c>
      <c r="H637" t="n">
        <v>0</v>
      </c>
      <c r="I637" t="n">
        <v>1</v>
      </c>
      <c r="J637" t="n">
        <v>0</v>
      </c>
      <c r="K637" t="n">
        <v>0</v>
      </c>
      <c r="L637" t="n">
        <v>0</v>
      </c>
      <c r="M637" t="n">
        <v>0</v>
      </c>
      <c r="N637" t="n">
        <v>0</v>
      </c>
      <c r="O637" t="n">
        <v>0</v>
      </c>
      <c r="P637" t="n">
        <v>0</v>
      </c>
      <c r="Q637" t="n">
        <v>1</v>
      </c>
      <c r="R637" s="2" t="inlineStr">
        <is>
          <t>Strimspindling</t>
        </is>
      </c>
      <c r="S637">
        <f>HYPERLINK("https://klasma.github.io/Logging_0381/artfynd/A 39623-2023 artfynd.xlsx", "A 39623-2023")</f>
        <v/>
      </c>
      <c r="T637">
        <f>HYPERLINK("https://klasma.github.io/Logging_0381/kartor/A 39623-2023 karta.png", "A 39623-2023")</f>
        <v/>
      </c>
      <c r="V637">
        <f>HYPERLINK("https://klasma.github.io/Logging_0381/klagomål/A 39623-2023 FSC-klagomål.docx", "A 39623-2023")</f>
        <v/>
      </c>
      <c r="W637">
        <f>HYPERLINK("https://klasma.github.io/Logging_0381/klagomålsmail/A 39623-2023 FSC-klagomål mail.docx", "A 39623-2023")</f>
        <v/>
      </c>
      <c r="X637">
        <f>HYPERLINK("https://klasma.github.io/Logging_0381/tillsyn/A 39623-2023 tillsynsbegäran.docx", "A 39623-2023")</f>
        <v/>
      </c>
      <c r="Y637">
        <f>HYPERLINK("https://klasma.github.io/Logging_0381/tillsynsmail/A 39623-2023 tillsynsbegäran mail.docx", "A 39623-2023")</f>
        <v/>
      </c>
    </row>
    <row r="638" ht="15" customHeight="1">
      <c r="A638" t="inlineStr">
        <is>
          <t>A 39741-2023</t>
        </is>
      </c>
      <c r="B638" s="1" t="n">
        <v>45167</v>
      </c>
      <c r="C638" s="1" t="n">
        <v>45792</v>
      </c>
      <c r="D638" t="inlineStr">
        <is>
          <t>UPPSALA LÄN</t>
        </is>
      </c>
      <c r="E638" t="inlineStr">
        <is>
          <t>UPPSALA</t>
        </is>
      </c>
      <c r="G638" t="n">
        <v>5.6</v>
      </c>
      <c r="H638" t="n">
        <v>1</v>
      </c>
      <c r="I638" t="n">
        <v>0</v>
      </c>
      <c r="J638" t="n">
        <v>1</v>
      </c>
      <c r="K638" t="n">
        <v>0</v>
      </c>
      <c r="L638" t="n">
        <v>0</v>
      </c>
      <c r="M638" t="n">
        <v>0</v>
      </c>
      <c r="N638" t="n">
        <v>0</v>
      </c>
      <c r="O638" t="n">
        <v>1</v>
      </c>
      <c r="P638" t="n">
        <v>0</v>
      </c>
      <c r="Q638" t="n">
        <v>1</v>
      </c>
      <c r="R638" s="2" t="inlineStr">
        <is>
          <t>Entita</t>
        </is>
      </c>
      <c r="S638">
        <f>HYPERLINK("https://klasma.github.io/Logging_0380/artfynd/A 39741-2023 artfynd.xlsx", "A 39741-2023")</f>
        <v/>
      </c>
      <c r="T638">
        <f>HYPERLINK("https://klasma.github.io/Logging_0380/kartor/A 39741-2023 karta.png", "A 39741-2023")</f>
        <v/>
      </c>
      <c r="V638">
        <f>HYPERLINK("https://klasma.github.io/Logging_0380/klagomål/A 39741-2023 FSC-klagomål.docx", "A 39741-2023")</f>
        <v/>
      </c>
      <c r="W638">
        <f>HYPERLINK("https://klasma.github.io/Logging_0380/klagomålsmail/A 39741-2023 FSC-klagomål mail.docx", "A 39741-2023")</f>
        <v/>
      </c>
      <c r="X638">
        <f>HYPERLINK("https://klasma.github.io/Logging_0380/tillsyn/A 39741-2023 tillsynsbegäran.docx", "A 39741-2023")</f>
        <v/>
      </c>
      <c r="Y638">
        <f>HYPERLINK("https://klasma.github.io/Logging_0380/tillsynsmail/A 39741-2023 tillsynsbegäran mail.docx", "A 39741-2023")</f>
        <v/>
      </c>
      <c r="Z638">
        <f>HYPERLINK("https://klasma.github.io/Logging_0380/fåglar/A 39741-2023 prioriterade fågelarter.docx", "A 39741-2023")</f>
        <v/>
      </c>
    </row>
    <row r="639" ht="15" customHeight="1">
      <c r="A639" t="inlineStr">
        <is>
          <t>A 40349-2023</t>
        </is>
      </c>
      <c r="B639" s="1" t="n">
        <v>45169</v>
      </c>
      <c r="C639" s="1" t="n">
        <v>45792</v>
      </c>
      <c r="D639" t="inlineStr">
        <is>
          <t>UPPSALA LÄN</t>
        </is>
      </c>
      <c r="E639" t="inlineStr">
        <is>
          <t>HEBY</t>
        </is>
      </c>
      <c r="F639" t="inlineStr">
        <is>
          <t>Kyrkan</t>
        </is>
      </c>
      <c r="G639" t="n">
        <v>9.1</v>
      </c>
      <c r="H639" t="n">
        <v>1</v>
      </c>
      <c r="I639" t="n">
        <v>0</v>
      </c>
      <c r="J639" t="n">
        <v>0</v>
      </c>
      <c r="K639" t="n">
        <v>0</v>
      </c>
      <c r="L639" t="n">
        <v>0</v>
      </c>
      <c r="M639" t="n">
        <v>0</v>
      </c>
      <c r="N639" t="n">
        <v>0</v>
      </c>
      <c r="O639" t="n">
        <v>0</v>
      </c>
      <c r="P639" t="n">
        <v>0</v>
      </c>
      <c r="Q639" t="n">
        <v>1</v>
      </c>
      <c r="R639" s="2" t="inlineStr">
        <is>
          <t>Blåsippa</t>
        </is>
      </c>
      <c r="S639">
        <f>HYPERLINK("https://klasma.github.io/Logging_0331/artfynd/A 40349-2023 artfynd.xlsx", "A 40349-2023")</f>
        <v/>
      </c>
      <c r="T639">
        <f>HYPERLINK("https://klasma.github.io/Logging_0331/kartor/A 40349-2023 karta.png", "A 40349-2023")</f>
        <v/>
      </c>
      <c r="V639">
        <f>HYPERLINK("https://klasma.github.io/Logging_0331/klagomål/A 40349-2023 FSC-klagomål.docx", "A 40349-2023")</f>
        <v/>
      </c>
      <c r="W639">
        <f>HYPERLINK("https://klasma.github.io/Logging_0331/klagomålsmail/A 40349-2023 FSC-klagomål mail.docx", "A 40349-2023")</f>
        <v/>
      </c>
      <c r="X639">
        <f>HYPERLINK("https://klasma.github.io/Logging_0331/tillsyn/A 40349-2023 tillsynsbegäran.docx", "A 40349-2023")</f>
        <v/>
      </c>
      <c r="Y639">
        <f>HYPERLINK("https://klasma.github.io/Logging_0331/tillsynsmail/A 40349-2023 tillsynsbegäran mail.docx", "A 40349-2023")</f>
        <v/>
      </c>
    </row>
    <row r="640" ht="15" customHeight="1">
      <c r="A640" t="inlineStr">
        <is>
          <t>A 40878-2023</t>
        </is>
      </c>
      <c r="B640" s="1" t="n">
        <v>45173</v>
      </c>
      <c r="C640" s="1" t="n">
        <v>45792</v>
      </c>
      <c r="D640" t="inlineStr">
        <is>
          <t>UPPSALA LÄN</t>
        </is>
      </c>
      <c r="E640" t="inlineStr">
        <is>
          <t>TIERP</t>
        </is>
      </c>
      <c r="F640" t="inlineStr">
        <is>
          <t>Bergvik skog väst AB</t>
        </is>
      </c>
      <c r="G640" t="n">
        <v>4.7</v>
      </c>
      <c r="H640" t="n">
        <v>1</v>
      </c>
      <c r="I640" t="n">
        <v>1</v>
      </c>
      <c r="J640" t="n">
        <v>0</v>
      </c>
      <c r="K640" t="n">
        <v>0</v>
      </c>
      <c r="L640" t="n">
        <v>0</v>
      </c>
      <c r="M640" t="n">
        <v>0</v>
      </c>
      <c r="N640" t="n">
        <v>0</v>
      </c>
      <c r="O640" t="n">
        <v>0</v>
      </c>
      <c r="P640" t="n">
        <v>0</v>
      </c>
      <c r="Q640" t="n">
        <v>1</v>
      </c>
      <c r="R640" s="2" t="inlineStr">
        <is>
          <t>Grön sköldmossa</t>
        </is>
      </c>
      <c r="S640">
        <f>HYPERLINK("https://klasma.github.io/Logging_0360/artfynd/A 40878-2023 artfynd.xlsx", "A 40878-2023")</f>
        <v/>
      </c>
      <c r="T640">
        <f>HYPERLINK("https://klasma.github.io/Logging_0360/kartor/A 40878-2023 karta.png", "A 40878-2023")</f>
        <v/>
      </c>
      <c r="V640">
        <f>HYPERLINK("https://klasma.github.io/Logging_0360/klagomål/A 40878-2023 FSC-klagomål.docx", "A 40878-2023")</f>
        <v/>
      </c>
      <c r="W640">
        <f>HYPERLINK("https://klasma.github.io/Logging_0360/klagomålsmail/A 40878-2023 FSC-klagomål mail.docx", "A 40878-2023")</f>
        <v/>
      </c>
      <c r="X640">
        <f>HYPERLINK("https://klasma.github.io/Logging_0360/tillsyn/A 40878-2023 tillsynsbegäran.docx", "A 40878-2023")</f>
        <v/>
      </c>
      <c r="Y640">
        <f>HYPERLINK("https://klasma.github.io/Logging_0360/tillsynsmail/A 40878-2023 tillsynsbegäran mail.docx", "A 40878-2023")</f>
        <v/>
      </c>
    </row>
    <row r="641" ht="15" customHeight="1">
      <c r="A641" t="inlineStr">
        <is>
          <t>A 40940-2023</t>
        </is>
      </c>
      <c r="B641" s="1" t="n">
        <v>45173</v>
      </c>
      <c r="C641" s="1" t="n">
        <v>45792</v>
      </c>
      <c r="D641" t="inlineStr">
        <is>
          <t>UPPSALA LÄN</t>
        </is>
      </c>
      <c r="E641" t="inlineStr">
        <is>
          <t>TIERP</t>
        </is>
      </c>
      <c r="F641" t="inlineStr">
        <is>
          <t>Bergvik skog väst AB</t>
        </is>
      </c>
      <c r="G641" t="n">
        <v>1.3</v>
      </c>
      <c r="H641" t="n">
        <v>1</v>
      </c>
      <c r="I641" t="n">
        <v>1</v>
      </c>
      <c r="J641" t="n">
        <v>0</v>
      </c>
      <c r="K641" t="n">
        <v>0</v>
      </c>
      <c r="L641" t="n">
        <v>0</v>
      </c>
      <c r="M641" t="n">
        <v>0</v>
      </c>
      <c r="N641" t="n">
        <v>0</v>
      </c>
      <c r="O641" t="n">
        <v>0</v>
      </c>
      <c r="P641" t="n">
        <v>0</v>
      </c>
      <c r="Q641" t="n">
        <v>1</v>
      </c>
      <c r="R641" s="2" t="inlineStr">
        <is>
          <t>Skogsknipprot</t>
        </is>
      </c>
      <c r="S641">
        <f>HYPERLINK("https://klasma.github.io/Logging_0360/artfynd/A 40940-2023 artfynd.xlsx", "A 40940-2023")</f>
        <v/>
      </c>
      <c r="T641">
        <f>HYPERLINK("https://klasma.github.io/Logging_0360/kartor/A 40940-2023 karta.png", "A 40940-2023")</f>
        <v/>
      </c>
      <c r="V641">
        <f>HYPERLINK("https://klasma.github.io/Logging_0360/klagomål/A 40940-2023 FSC-klagomål.docx", "A 40940-2023")</f>
        <v/>
      </c>
      <c r="W641">
        <f>HYPERLINK("https://klasma.github.io/Logging_0360/klagomålsmail/A 40940-2023 FSC-klagomål mail.docx", "A 40940-2023")</f>
        <v/>
      </c>
      <c r="X641">
        <f>HYPERLINK("https://klasma.github.io/Logging_0360/tillsyn/A 40940-2023 tillsynsbegäran.docx", "A 40940-2023")</f>
        <v/>
      </c>
      <c r="Y641">
        <f>HYPERLINK("https://klasma.github.io/Logging_0360/tillsynsmail/A 40940-2023 tillsynsbegäran mail.docx", "A 40940-2023")</f>
        <v/>
      </c>
    </row>
    <row r="642" ht="15" customHeight="1">
      <c r="A642" t="inlineStr">
        <is>
          <t>A 43162-2023</t>
        </is>
      </c>
      <c r="B642" s="1" t="n">
        <v>45183</v>
      </c>
      <c r="C642" s="1" t="n">
        <v>45792</v>
      </c>
      <c r="D642" t="inlineStr">
        <is>
          <t>UPPSALA LÄN</t>
        </is>
      </c>
      <c r="E642" t="inlineStr">
        <is>
          <t>TIERP</t>
        </is>
      </c>
      <c r="F642" t="inlineStr">
        <is>
          <t>Bergvik skog öst AB</t>
        </is>
      </c>
      <c r="G642" t="n">
        <v>15.7</v>
      </c>
      <c r="H642" t="n">
        <v>1</v>
      </c>
      <c r="I642" t="n">
        <v>0</v>
      </c>
      <c r="J642" t="n">
        <v>1</v>
      </c>
      <c r="K642" t="n">
        <v>0</v>
      </c>
      <c r="L642" t="n">
        <v>0</v>
      </c>
      <c r="M642" t="n">
        <v>0</v>
      </c>
      <c r="N642" t="n">
        <v>0</v>
      </c>
      <c r="O642" t="n">
        <v>1</v>
      </c>
      <c r="P642" t="n">
        <v>0</v>
      </c>
      <c r="Q642" t="n">
        <v>1</v>
      </c>
      <c r="R642" s="2" t="inlineStr">
        <is>
          <t>Gulsparv</t>
        </is>
      </c>
      <c r="S642">
        <f>HYPERLINK("https://klasma.github.io/Logging_0360/artfynd/A 43162-2023 artfynd.xlsx", "A 43162-2023")</f>
        <v/>
      </c>
      <c r="T642">
        <f>HYPERLINK("https://klasma.github.io/Logging_0360/kartor/A 43162-2023 karta.png", "A 43162-2023")</f>
        <v/>
      </c>
      <c r="V642">
        <f>HYPERLINK("https://klasma.github.io/Logging_0360/klagomål/A 43162-2023 FSC-klagomål.docx", "A 43162-2023")</f>
        <v/>
      </c>
      <c r="W642">
        <f>HYPERLINK("https://klasma.github.io/Logging_0360/klagomålsmail/A 43162-2023 FSC-klagomål mail.docx", "A 43162-2023")</f>
        <v/>
      </c>
      <c r="X642">
        <f>HYPERLINK("https://klasma.github.io/Logging_0360/tillsyn/A 43162-2023 tillsynsbegäran.docx", "A 43162-2023")</f>
        <v/>
      </c>
      <c r="Y642">
        <f>HYPERLINK("https://klasma.github.io/Logging_0360/tillsynsmail/A 43162-2023 tillsynsbegäran mail.docx", "A 43162-2023")</f>
        <v/>
      </c>
      <c r="Z642">
        <f>HYPERLINK("https://klasma.github.io/Logging_0360/fåglar/A 43162-2023 prioriterade fågelarter.docx", "A 43162-2023")</f>
        <v/>
      </c>
    </row>
    <row r="643" ht="15" customHeight="1">
      <c r="A643" t="inlineStr">
        <is>
          <t>A 43699-2023</t>
        </is>
      </c>
      <c r="B643" s="1" t="n">
        <v>45187</v>
      </c>
      <c r="C643" s="1" t="n">
        <v>45792</v>
      </c>
      <c r="D643" t="inlineStr">
        <is>
          <t>UPPSALA LÄN</t>
        </is>
      </c>
      <c r="E643" t="inlineStr">
        <is>
          <t>KNIVSTA</t>
        </is>
      </c>
      <c r="G643" t="n">
        <v>5.2</v>
      </c>
      <c r="H643" t="n">
        <v>1</v>
      </c>
      <c r="I643" t="n">
        <v>0</v>
      </c>
      <c r="J643" t="n">
        <v>0</v>
      </c>
      <c r="K643" t="n">
        <v>0</v>
      </c>
      <c r="L643" t="n">
        <v>0</v>
      </c>
      <c r="M643" t="n">
        <v>0</v>
      </c>
      <c r="N643" t="n">
        <v>0</v>
      </c>
      <c r="O643" t="n">
        <v>0</v>
      </c>
      <c r="P643" t="n">
        <v>0</v>
      </c>
      <c r="Q643" t="n">
        <v>1</v>
      </c>
      <c r="R643" s="2" t="inlineStr">
        <is>
          <t>Gullviva</t>
        </is>
      </c>
      <c r="S643">
        <f>HYPERLINK("https://klasma.github.io/Logging_0330/artfynd/A 43699-2023 artfynd.xlsx", "A 43699-2023")</f>
        <v/>
      </c>
      <c r="T643">
        <f>HYPERLINK("https://klasma.github.io/Logging_0330/kartor/A 43699-2023 karta.png", "A 43699-2023")</f>
        <v/>
      </c>
      <c r="V643">
        <f>HYPERLINK("https://klasma.github.io/Logging_0330/klagomål/A 43699-2023 FSC-klagomål.docx", "A 43699-2023")</f>
        <v/>
      </c>
      <c r="W643">
        <f>HYPERLINK("https://klasma.github.io/Logging_0330/klagomålsmail/A 43699-2023 FSC-klagomål mail.docx", "A 43699-2023")</f>
        <v/>
      </c>
      <c r="X643">
        <f>HYPERLINK("https://klasma.github.io/Logging_0330/tillsyn/A 43699-2023 tillsynsbegäran.docx", "A 43699-2023")</f>
        <v/>
      </c>
      <c r="Y643">
        <f>HYPERLINK("https://klasma.github.io/Logging_0330/tillsynsmail/A 43699-2023 tillsynsbegäran mail.docx", "A 43699-2023")</f>
        <v/>
      </c>
    </row>
    <row r="644" ht="15" customHeight="1">
      <c r="A644" t="inlineStr">
        <is>
          <t>A 45116-2023</t>
        </is>
      </c>
      <c r="B644" s="1" t="n">
        <v>45191</v>
      </c>
      <c r="C644" s="1" t="n">
        <v>45792</v>
      </c>
      <c r="D644" t="inlineStr">
        <is>
          <t>UPPSALA LÄN</t>
        </is>
      </c>
      <c r="E644" t="inlineStr">
        <is>
          <t>ENKÖPING</t>
        </is>
      </c>
      <c r="G644" t="n">
        <v>2</v>
      </c>
      <c r="H644" t="n">
        <v>0</v>
      </c>
      <c r="I644" t="n">
        <v>1</v>
      </c>
      <c r="J644" t="n">
        <v>0</v>
      </c>
      <c r="K644" t="n">
        <v>0</v>
      </c>
      <c r="L644" t="n">
        <v>0</v>
      </c>
      <c r="M644" t="n">
        <v>0</v>
      </c>
      <c r="N644" t="n">
        <v>0</v>
      </c>
      <c r="O644" t="n">
        <v>0</v>
      </c>
      <c r="P644" t="n">
        <v>0</v>
      </c>
      <c r="Q644" t="n">
        <v>1</v>
      </c>
      <c r="R644" s="2" t="inlineStr">
        <is>
          <t>Rävticka</t>
        </is>
      </c>
      <c r="S644">
        <f>HYPERLINK("https://klasma.github.io/Logging_0381/artfynd/A 45116-2023 artfynd.xlsx", "A 45116-2023")</f>
        <v/>
      </c>
      <c r="T644">
        <f>HYPERLINK("https://klasma.github.io/Logging_0381/kartor/A 45116-2023 karta.png", "A 45116-2023")</f>
        <v/>
      </c>
      <c r="V644">
        <f>HYPERLINK("https://klasma.github.io/Logging_0381/klagomål/A 45116-2023 FSC-klagomål.docx", "A 45116-2023")</f>
        <v/>
      </c>
      <c r="W644">
        <f>HYPERLINK("https://klasma.github.io/Logging_0381/klagomålsmail/A 45116-2023 FSC-klagomål mail.docx", "A 45116-2023")</f>
        <v/>
      </c>
      <c r="X644">
        <f>HYPERLINK("https://klasma.github.io/Logging_0381/tillsyn/A 45116-2023 tillsynsbegäran.docx", "A 45116-2023")</f>
        <v/>
      </c>
      <c r="Y644">
        <f>HYPERLINK("https://klasma.github.io/Logging_0381/tillsynsmail/A 45116-2023 tillsynsbegäran mail.docx", "A 45116-2023")</f>
        <v/>
      </c>
    </row>
    <row r="645" ht="15" customHeight="1">
      <c r="A645" t="inlineStr">
        <is>
          <t>A 45617-2023</t>
        </is>
      </c>
      <c r="B645" s="1" t="n">
        <v>45194</v>
      </c>
      <c r="C645" s="1" t="n">
        <v>45792</v>
      </c>
      <c r="D645" t="inlineStr">
        <is>
          <t>UPPSALA LÄN</t>
        </is>
      </c>
      <c r="E645" t="inlineStr">
        <is>
          <t>ENKÖPING</t>
        </is>
      </c>
      <c r="G645" t="n">
        <v>2.9</v>
      </c>
      <c r="H645" t="n">
        <v>1</v>
      </c>
      <c r="I645" t="n">
        <v>0</v>
      </c>
      <c r="J645" t="n">
        <v>0</v>
      </c>
      <c r="K645" t="n">
        <v>1</v>
      </c>
      <c r="L645" t="n">
        <v>0</v>
      </c>
      <c r="M645" t="n">
        <v>0</v>
      </c>
      <c r="N645" t="n">
        <v>0</v>
      </c>
      <c r="O645" t="n">
        <v>1</v>
      </c>
      <c r="P645" t="n">
        <v>1</v>
      </c>
      <c r="Q645" t="n">
        <v>1</v>
      </c>
      <c r="R645" s="2" t="inlineStr">
        <is>
          <t>Knärot</t>
        </is>
      </c>
      <c r="S645">
        <f>HYPERLINK("https://klasma.github.io/Logging_0381/artfynd/A 45617-2023 artfynd.xlsx", "A 45617-2023")</f>
        <v/>
      </c>
      <c r="T645">
        <f>HYPERLINK("https://klasma.github.io/Logging_0381/kartor/A 45617-2023 karta.png", "A 45617-2023")</f>
        <v/>
      </c>
      <c r="U645">
        <f>HYPERLINK("https://klasma.github.io/Logging_0381/knärot/A 45617-2023 karta knärot.png", "A 45617-2023")</f>
        <v/>
      </c>
      <c r="V645">
        <f>HYPERLINK("https://klasma.github.io/Logging_0381/klagomål/A 45617-2023 FSC-klagomål.docx", "A 45617-2023")</f>
        <v/>
      </c>
      <c r="W645">
        <f>HYPERLINK("https://klasma.github.io/Logging_0381/klagomålsmail/A 45617-2023 FSC-klagomål mail.docx", "A 45617-2023")</f>
        <v/>
      </c>
      <c r="X645">
        <f>HYPERLINK("https://klasma.github.io/Logging_0381/tillsyn/A 45617-2023 tillsynsbegäran.docx", "A 45617-2023")</f>
        <v/>
      </c>
      <c r="Y645">
        <f>HYPERLINK("https://klasma.github.io/Logging_0381/tillsynsmail/A 45617-2023 tillsynsbegäran mail.docx", "A 45617-2023")</f>
        <v/>
      </c>
    </row>
    <row r="646" ht="15" customHeight="1">
      <c r="A646" t="inlineStr">
        <is>
          <t>A 46354-2023</t>
        </is>
      </c>
      <c r="B646" s="1" t="n">
        <v>45197</v>
      </c>
      <c r="C646" s="1" t="n">
        <v>45792</v>
      </c>
      <c r="D646" t="inlineStr">
        <is>
          <t>UPPSALA LÄN</t>
        </is>
      </c>
      <c r="E646" t="inlineStr">
        <is>
          <t>ÄLVKARLEBY</t>
        </is>
      </c>
      <c r="F646" t="inlineStr">
        <is>
          <t>Bergvik skog öst AB</t>
        </is>
      </c>
      <c r="G646" t="n">
        <v>2.3</v>
      </c>
      <c r="H646" t="n">
        <v>1</v>
      </c>
      <c r="I646" t="n">
        <v>1</v>
      </c>
      <c r="J646" t="n">
        <v>0</v>
      </c>
      <c r="K646" t="n">
        <v>0</v>
      </c>
      <c r="L646" t="n">
        <v>0</v>
      </c>
      <c r="M646" t="n">
        <v>0</v>
      </c>
      <c r="N646" t="n">
        <v>0</v>
      </c>
      <c r="O646" t="n">
        <v>0</v>
      </c>
      <c r="P646" t="n">
        <v>0</v>
      </c>
      <c r="Q646" t="n">
        <v>1</v>
      </c>
      <c r="R646" s="2" t="inlineStr">
        <is>
          <t>Skogsknipprot</t>
        </is>
      </c>
      <c r="S646">
        <f>HYPERLINK("https://klasma.github.io/Logging_0319/artfynd/A 46354-2023 artfynd.xlsx", "A 46354-2023")</f>
        <v/>
      </c>
      <c r="T646">
        <f>HYPERLINK("https://klasma.github.io/Logging_0319/kartor/A 46354-2023 karta.png", "A 46354-2023")</f>
        <v/>
      </c>
      <c r="V646">
        <f>HYPERLINK("https://klasma.github.io/Logging_0319/klagomål/A 46354-2023 FSC-klagomål.docx", "A 46354-2023")</f>
        <v/>
      </c>
      <c r="W646">
        <f>HYPERLINK("https://klasma.github.io/Logging_0319/klagomålsmail/A 46354-2023 FSC-klagomål mail.docx", "A 46354-2023")</f>
        <v/>
      </c>
      <c r="X646">
        <f>HYPERLINK("https://klasma.github.io/Logging_0319/tillsyn/A 46354-2023 tillsynsbegäran.docx", "A 46354-2023")</f>
        <v/>
      </c>
      <c r="Y646">
        <f>HYPERLINK("https://klasma.github.io/Logging_0319/tillsynsmail/A 46354-2023 tillsynsbegäran mail.docx", "A 46354-2023")</f>
        <v/>
      </c>
    </row>
    <row r="647" ht="15" customHeight="1">
      <c r="A647" t="inlineStr">
        <is>
          <t>A 48687-2023</t>
        </is>
      </c>
      <c r="B647" s="1" t="n">
        <v>45208</v>
      </c>
      <c r="C647" s="1" t="n">
        <v>45792</v>
      </c>
      <c r="D647" t="inlineStr">
        <is>
          <t>UPPSALA LÄN</t>
        </is>
      </c>
      <c r="E647" t="inlineStr">
        <is>
          <t>TIERP</t>
        </is>
      </c>
      <c r="F647" t="inlineStr">
        <is>
          <t>Bergvik skog öst AB</t>
        </is>
      </c>
      <c r="G647" t="n">
        <v>2.6</v>
      </c>
      <c r="H647" t="n">
        <v>1</v>
      </c>
      <c r="I647" t="n">
        <v>0</v>
      </c>
      <c r="J647" t="n">
        <v>1</v>
      </c>
      <c r="K647" t="n">
        <v>0</v>
      </c>
      <c r="L647" t="n">
        <v>0</v>
      </c>
      <c r="M647" t="n">
        <v>0</v>
      </c>
      <c r="N647" t="n">
        <v>0</v>
      </c>
      <c r="O647" t="n">
        <v>1</v>
      </c>
      <c r="P647" t="n">
        <v>0</v>
      </c>
      <c r="Q647" t="n">
        <v>1</v>
      </c>
      <c r="R647" s="2" t="inlineStr">
        <is>
          <t>Gulsparv</t>
        </is>
      </c>
      <c r="S647">
        <f>HYPERLINK("https://klasma.github.io/Logging_0360/artfynd/A 48687-2023 artfynd.xlsx", "A 48687-2023")</f>
        <v/>
      </c>
      <c r="T647">
        <f>HYPERLINK("https://klasma.github.io/Logging_0360/kartor/A 48687-2023 karta.png", "A 48687-2023")</f>
        <v/>
      </c>
      <c r="V647">
        <f>HYPERLINK("https://klasma.github.io/Logging_0360/klagomål/A 48687-2023 FSC-klagomål.docx", "A 48687-2023")</f>
        <v/>
      </c>
      <c r="W647">
        <f>HYPERLINK("https://klasma.github.io/Logging_0360/klagomålsmail/A 48687-2023 FSC-klagomål mail.docx", "A 48687-2023")</f>
        <v/>
      </c>
      <c r="X647">
        <f>HYPERLINK("https://klasma.github.io/Logging_0360/tillsyn/A 48687-2023 tillsynsbegäran.docx", "A 48687-2023")</f>
        <v/>
      </c>
      <c r="Y647">
        <f>HYPERLINK("https://klasma.github.io/Logging_0360/tillsynsmail/A 48687-2023 tillsynsbegäran mail.docx", "A 48687-2023")</f>
        <v/>
      </c>
      <c r="Z647">
        <f>HYPERLINK("https://klasma.github.io/Logging_0360/fåglar/A 48687-2023 prioriterade fågelarter.docx", "A 48687-2023")</f>
        <v/>
      </c>
    </row>
    <row r="648" ht="15" customHeight="1">
      <c r="A648" t="inlineStr">
        <is>
          <t>A 49794-2023</t>
        </is>
      </c>
      <c r="B648" s="1" t="n">
        <v>45212</v>
      </c>
      <c r="C648" s="1" t="n">
        <v>45792</v>
      </c>
      <c r="D648" t="inlineStr">
        <is>
          <t>UPPSALA LÄN</t>
        </is>
      </c>
      <c r="E648" t="inlineStr">
        <is>
          <t>TIERP</t>
        </is>
      </c>
      <c r="F648" t="inlineStr">
        <is>
          <t>Bergvik skog öst AB</t>
        </is>
      </c>
      <c r="G648" t="n">
        <v>12</v>
      </c>
      <c r="H648" t="n">
        <v>0</v>
      </c>
      <c r="I648" t="n">
        <v>0</v>
      </c>
      <c r="J648" t="n">
        <v>1</v>
      </c>
      <c r="K648" t="n">
        <v>0</v>
      </c>
      <c r="L648" t="n">
        <v>0</v>
      </c>
      <c r="M648" t="n">
        <v>0</v>
      </c>
      <c r="N648" t="n">
        <v>0</v>
      </c>
      <c r="O648" t="n">
        <v>1</v>
      </c>
      <c r="P648" t="n">
        <v>0</v>
      </c>
      <c r="Q648" t="n">
        <v>1</v>
      </c>
      <c r="R648" s="2" t="inlineStr">
        <is>
          <t>Slåtterfibbla</t>
        </is>
      </c>
      <c r="S648">
        <f>HYPERLINK("https://klasma.github.io/Logging_0360/artfynd/A 49794-2023 artfynd.xlsx", "A 49794-2023")</f>
        <v/>
      </c>
      <c r="T648">
        <f>HYPERLINK("https://klasma.github.io/Logging_0360/kartor/A 49794-2023 karta.png", "A 49794-2023")</f>
        <v/>
      </c>
      <c r="V648">
        <f>HYPERLINK("https://klasma.github.io/Logging_0360/klagomål/A 49794-2023 FSC-klagomål.docx", "A 49794-2023")</f>
        <v/>
      </c>
      <c r="W648">
        <f>HYPERLINK("https://klasma.github.io/Logging_0360/klagomålsmail/A 49794-2023 FSC-klagomål mail.docx", "A 49794-2023")</f>
        <v/>
      </c>
      <c r="X648">
        <f>HYPERLINK("https://klasma.github.io/Logging_0360/tillsyn/A 49794-2023 tillsynsbegäran.docx", "A 49794-2023")</f>
        <v/>
      </c>
      <c r="Y648">
        <f>HYPERLINK("https://klasma.github.io/Logging_0360/tillsynsmail/A 49794-2023 tillsynsbegäran mail.docx", "A 49794-2023")</f>
        <v/>
      </c>
    </row>
    <row r="649" ht="15" customHeight="1">
      <c r="A649" t="inlineStr">
        <is>
          <t>A 51382-2023</t>
        </is>
      </c>
      <c r="B649" s="1" t="n">
        <v>45219</v>
      </c>
      <c r="C649" s="1" t="n">
        <v>45792</v>
      </c>
      <c r="D649" t="inlineStr">
        <is>
          <t>UPPSALA LÄN</t>
        </is>
      </c>
      <c r="E649" t="inlineStr">
        <is>
          <t>ENKÖPING</t>
        </is>
      </c>
      <c r="F649" t="inlineStr">
        <is>
          <t>Allmännings- och besparingsskogar</t>
        </is>
      </c>
      <c r="G649" t="n">
        <v>15.9</v>
      </c>
      <c r="H649" t="n">
        <v>0</v>
      </c>
      <c r="I649" t="n">
        <v>0</v>
      </c>
      <c r="J649" t="n">
        <v>1</v>
      </c>
      <c r="K649" t="n">
        <v>0</v>
      </c>
      <c r="L649" t="n">
        <v>0</v>
      </c>
      <c r="M649" t="n">
        <v>0</v>
      </c>
      <c r="N649" t="n">
        <v>0</v>
      </c>
      <c r="O649" t="n">
        <v>1</v>
      </c>
      <c r="P649" t="n">
        <v>0</v>
      </c>
      <c r="Q649" t="n">
        <v>1</v>
      </c>
      <c r="R649" s="2" t="inlineStr">
        <is>
          <t>Krusfrö</t>
        </is>
      </c>
      <c r="S649">
        <f>HYPERLINK("https://klasma.github.io/Logging_0381/artfynd/A 51382-2023 artfynd.xlsx", "A 51382-2023")</f>
        <v/>
      </c>
      <c r="T649">
        <f>HYPERLINK("https://klasma.github.io/Logging_0381/kartor/A 51382-2023 karta.png", "A 51382-2023")</f>
        <v/>
      </c>
      <c r="V649">
        <f>HYPERLINK("https://klasma.github.io/Logging_0381/klagomål/A 51382-2023 FSC-klagomål.docx", "A 51382-2023")</f>
        <v/>
      </c>
      <c r="W649">
        <f>HYPERLINK("https://klasma.github.io/Logging_0381/klagomålsmail/A 51382-2023 FSC-klagomål mail.docx", "A 51382-2023")</f>
        <v/>
      </c>
      <c r="X649">
        <f>HYPERLINK("https://klasma.github.io/Logging_0381/tillsyn/A 51382-2023 tillsynsbegäran.docx", "A 51382-2023")</f>
        <v/>
      </c>
      <c r="Y649">
        <f>HYPERLINK("https://klasma.github.io/Logging_0381/tillsynsmail/A 51382-2023 tillsynsbegäran mail.docx", "A 51382-2023")</f>
        <v/>
      </c>
    </row>
    <row r="650" ht="15" customHeight="1">
      <c r="A650" t="inlineStr">
        <is>
          <t>A 51540-2023</t>
        </is>
      </c>
      <c r="B650" s="1" t="n">
        <v>45222</v>
      </c>
      <c r="C650" s="1" t="n">
        <v>45792</v>
      </c>
      <c r="D650" t="inlineStr">
        <is>
          <t>UPPSALA LÄN</t>
        </is>
      </c>
      <c r="E650" t="inlineStr">
        <is>
          <t>UPPSALA</t>
        </is>
      </c>
      <c r="G650" t="n">
        <v>6.4</v>
      </c>
      <c r="H650" t="n">
        <v>0</v>
      </c>
      <c r="I650" t="n">
        <v>0</v>
      </c>
      <c r="J650" t="n">
        <v>1</v>
      </c>
      <c r="K650" t="n">
        <v>0</v>
      </c>
      <c r="L650" t="n">
        <v>0</v>
      </c>
      <c r="M650" t="n">
        <v>0</v>
      </c>
      <c r="N650" t="n">
        <v>0</v>
      </c>
      <c r="O650" t="n">
        <v>1</v>
      </c>
      <c r="P650" t="n">
        <v>0</v>
      </c>
      <c r="Q650" t="n">
        <v>1</v>
      </c>
      <c r="R650" s="2" t="inlineStr">
        <is>
          <t>Svedjenäva</t>
        </is>
      </c>
      <c r="S650">
        <f>HYPERLINK("https://klasma.github.io/Logging_0380/artfynd/A 51540-2023 artfynd.xlsx", "A 51540-2023")</f>
        <v/>
      </c>
      <c r="T650">
        <f>HYPERLINK("https://klasma.github.io/Logging_0380/kartor/A 51540-2023 karta.png", "A 51540-2023")</f>
        <v/>
      </c>
      <c r="V650">
        <f>HYPERLINK("https://klasma.github.io/Logging_0380/klagomål/A 51540-2023 FSC-klagomål.docx", "A 51540-2023")</f>
        <v/>
      </c>
      <c r="W650">
        <f>HYPERLINK("https://klasma.github.io/Logging_0380/klagomålsmail/A 51540-2023 FSC-klagomål mail.docx", "A 51540-2023")</f>
        <v/>
      </c>
      <c r="X650">
        <f>HYPERLINK("https://klasma.github.io/Logging_0380/tillsyn/A 51540-2023 tillsynsbegäran.docx", "A 51540-2023")</f>
        <v/>
      </c>
      <c r="Y650">
        <f>HYPERLINK("https://klasma.github.io/Logging_0380/tillsynsmail/A 51540-2023 tillsynsbegäran mail.docx", "A 51540-2023")</f>
        <v/>
      </c>
    </row>
    <row r="651" ht="15" customHeight="1">
      <c r="A651" t="inlineStr">
        <is>
          <t>A 53342-2023</t>
        </is>
      </c>
      <c r="B651" s="1" t="n">
        <v>45229</v>
      </c>
      <c r="C651" s="1" t="n">
        <v>45792</v>
      </c>
      <c r="D651" t="inlineStr">
        <is>
          <t>UPPSALA LÄN</t>
        </is>
      </c>
      <c r="E651" t="inlineStr">
        <is>
          <t>ENKÖPING</t>
        </is>
      </c>
      <c r="G651" t="n">
        <v>28.8</v>
      </c>
      <c r="H651" t="n">
        <v>0</v>
      </c>
      <c r="I651" t="n">
        <v>0</v>
      </c>
      <c r="J651" t="n">
        <v>1</v>
      </c>
      <c r="K651" t="n">
        <v>0</v>
      </c>
      <c r="L651" t="n">
        <v>0</v>
      </c>
      <c r="M651" t="n">
        <v>0</v>
      </c>
      <c r="N651" t="n">
        <v>0</v>
      </c>
      <c r="O651" t="n">
        <v>1</v>
      </c>
      <c r="P651" t="n">
        <v>0</v>
      </c>
      <c r="Q651" t="n">
        <v>1</v>
      </c>
      <c r="R651" s="2" t="inlineStr">
        <is>
          <t>Tallticka</t>
        </is>
      </c>
      <c r="S651">
        <f>HYPERLINK("https://klasma.github.io/Logging_0381/artfynd/A 53342-2023 artfynd.xlsx", "A 53342-2023")</f>
        <v/>
      </c>
      <c r="T651">
        <f>HYPERLINK("https://klasma.github.io/Logging_0381/kartor/A 53342-2023 karta.png", "A 53342-2023")</f>
        <v/>
      </c>
      <c r="V651">
        <f>HYPERLINK("https://klasma.github.io/Logging_0381/klagomål/A 53342-2023 FSC-klagomål.docx", "A 53342-2023")</f>
        <v/>
      </c>
      <c r="W651">
        <f>HYPERLINK("https://klasma.github.io/Logging_0381/klagomålsmail/A 53342-2023 FSC-klagomål mail.docx", "A 53342-2023")</f>
        <v/>
      </c>
      <c r="X651">
        <f>HYPERLINK("https://klasma.github.io/Logging_0381/tillsyn/A 53342-2023 tillsynsbegäran.docx", "A 53342-2023")</f>
        <v/>
      </c>
      <c r="Y651">
        <f>HYPERLINK("https://klasma.github.io/Logging_0381/tillsynsmail/A 53342-2023 tillsynsbegäran mail.docx", "A 53342-2023")</f>
        <v/>
      </c>
    </row>
    <row r="652" ht="15" customHeight="1">
      <c r="A652" t="inlineStr">
        <is>
          <t>A 53706-2023</t>
        </is>
      </c>
      <c r="B652" s="1" t="n">
        <v>45230</v>
      </c>
      <c r="C652" s="1" t="n">
        <v>45792</v>
      </c>
      <c r="D652" t="inlineStr">
        <is>
          <t>UPPSALA LÄN</t>
        </is>
      </c>
      <c r="E652" t="inlineStr">
        <is>
          <t>ÖSTHAMMAR</t>
        </is>
      </c>
      <c r="G652" t="n">
        <v>2.9</v>
      </c>
      <c r="H652" t="n">
        <v>0</v>
      </c>
      <c r="I652" t="n">
        <v>1</v>
      </c>
      <c r="J652" t="n">
        <v>0</v>
      </c>
      <c r="K652" t="n">
        <v>0</v>
      </c>
      <c r="L652" t="n">
        <v>0</v>
      </c>
      <c r="M652" t="n">
        <v>0</v>
      </c>
      <c r="N652" t="n">
        <v>0</v>
      </c>
      <c r="O652" t="n">
        <v>0</v>
      </c>
      <c r="P652" t="n">
        <v>0</v>
      </c>
      <c r="Q652" t="n">
        <v>1</v>
      </c>
      <c r="R652" s="2" t="inlineStr">
        <is>
          <t>Dofttråding</t>
        </is>
      </c>
      <c r="S652">
        <f>HYPERLINK("https://klasma.github.io/Logging_0382/artfynd/A 53706-2023 artfynd.xlsx", "A 53706-2023")</f>
        <v/>
      </c>
      <c r="T652">
        <f>HYPERLINK("https://klasma.github.io/Logging_0382/kartor/A 53706-2023 karta.png", "A 53706-2023")</f>
        <v/>
      </c>
      <c r="V652">
        <f>HYPERLINK("https://klasma.github.io/Logging_0382/klagomål/A 53706-2023 FSC-klagomål.docx", "A 53706-2023")</f>
        <v/>
      </c>
      <c r="W652">
        <f>HYPERLINK("https://klasma.github.io/Logging_0382/klagomålsmail/A 53706-2023 FSC-klagomål mail.docx", "A 53706-2023")</f>
        <v/>
      </c>
      <c r="X652">
        <f>HYPERLINK("https://klasma.github.io/Logging_0382/tillsyn/A 53706-2023 tillsynsbegäran.docx", "A 53706-2023")</f>
        <v/>
      </c>
      <c r="Y652">
        <f>HYPERLINK("https://klasma.github.io/Logging_0382/tillsynsmail/A 53706-2023 tillsynsbegäran mail.docx", "A 53706-2023")</f>
        <v/>
      </c>
    </row>
    <row r="653" ht="15" customHeight="1">
      <c r="A653" t="inlineStr">
        <is>
          <t>A 53729-2023</t>
        </is>
      </c>
      <c r="B653" s="1" t="n">
        <v>45230</v>
      </c>
      <c r="C653" s="1" t="n">
        <v>45792</v>
      </c>
      <c r="D653" t="inlineStr">
        <is>
          <t>UPPSALA LÄN</t>
        </is>
      </c>
      <c r="E653" t="inlineStr">
        <is>
          <t>ÖSTHAMMAR</t>
        </is>
      </c>
      <c r="G653" t="n">
        <v>2.6</v>
      </c>
      <c r="H653" t="n">
        <v>1</v>
      </c>
      <c r="I653" t="n">
        <v>0</v>
      </c>
      <c r="J653" t="n">
        <v>0</v>
      </c>
      <c r="K653" t="n">
        <v>0</v>
      </c>
      <c r="L653" t="n">
        <v>0</v>
      </c>
      <c r="M653" t="n">
        <v>0</v>
      </c>
      <c r="N653" t="n">
        <v>0</v>
      </c>
      <c r="O653" t="n">
        <v>0</v>
      </c>
      <c r="P653" t="n">
        <v>0</v>
      </c>
      <c r="Q653" t="n">
        <v>1</v>
      </c>
      <c r="R653" s="2" t="inlineStr">
        <is>
          <t>Gullviva</t>
        </is>
      </c>
      <c r="S653">
        <f>HYPERLINK("https://klasma.github.io/Logging_0382/artfynd/A 53729-2023 artfynd.xlsx", "A 53729-2023")</f>
        <v/>
      </c>
      <c r="T653">
        <f>HYPERLINK("https://klasma.github.io/Logging_0382/kartor/A 53729-2023 karta.png", "A 53729-2023")</f>
        <v/>
      </c>
      <c r="V653">
        <f>HYPERLINK("https://klasma.github.io/Logging_0382/klagomål/A 53729-2023 FSC-klagomål.docx", "A 53729-2023")</f>
        <v/>
      </c>
      <c r="W653">
        <f>HYPERLINK("https://klasma.github.io/Logging_0382/klagomålsmail/A 53729-2023 FSC-klagomål mail.docx", "A 53729-2023")</f>
        <v/>
      </c>
      <c r="X653">
        <f>HYPERLINK("https://klasma.github.io/Logging_0382/tillsyn/A 53729-2023 tillsynsbegäran.docx", "A 53729-2023")</f>
        <v/>
      </c>
      <c r="Y653">
        <f>HYPERLINK("https://klasma.github.io/Logging_0382/tillsynsmail/A 53729-2023 tillsynsbegäran mail.docx", "A 53729-2023")</f>
        <v/>
      </c>
    </row>
    <row r="654" ht="15" customHeight="1">
      <c r="A654" t="inlineStr">
        <is>
          <t>A 53992-2023</t>
        </is>
      </c>
      <c r="B654" s="1" t="n">
        <v>45231</v>
      </c>
      <c r="C654" s="1" t="n">
        <v>45792</v>
      </c>
      <c r="D654" t="inlineStr">
        <is>
          <t>UPPSALA LÄN</t>
        </is>
      </c>
      <c r="E654" t="inlineStr">
        <is>
          <t>HEBY</t>
        </is>
      </c>
      <c r="G654" t="n">
        <v>1.2</v>
      </c>
      <c r="H654" t="n">
        <v>0</v>
      </c>
      <c r="I654" t="n">
        <v>0</v>
      </c>
      <c r="J654" t="n">
        <v>1</v>
      </c>
      <c r="K654" t="n">
        <v>0</v>
      </c>
      <c r="L654" t="n">
        <v>0</v>
      </c>
      <c r="M654" t="n">
        <v>0</v>
      </c>
      <c r="N654" t="n">
        <v>0</v>
      </c>
      <c r="O654" t="n">
        <v>1</v>
      </c>
      <c r="P654" t="n">
        <v>0</v>
      </c>
      <c r="Q654" t="n">
        <v>1</v>
      </c>
      <c r="R654" s="2" t="inlineStr">
        <is>
          <t>Igelkott</t>
        </is>
      </c>
      <c r="S654">
        <f>HYPERLINK("https://klasma.github.io/Logging_0331/artfynd/A 53992-2023 artfynd.xlsx", "A 53992-2023")</f>
        <v/>
      </c>
      <c r="T654">
        <f>HYPERLINK("https://klasma.github.io/Logging_0331/kartor/A 53992-2023 karta.png", "A 53992-2023")</f>
        <v/>
      </c>
      <c r="V654">
        <f>HYPERLINK("https://klasma.github.io/Logging_0331/klagomål/A 53992-2023 FSC-klagomål.docx", "A 53992-2023")</f>
        <v/>
      </c>
      <c r="W654">
        <f>HYPERLINK("https://klasma.github.io/Logging_0331/klagomålsmail/A 53992-2023 FSC-klagomål mail.docx", "A 53992-2023")</f>
        <v/>
      </c>
      <c r="X654">
        <f>HYPERLINK("https://klasma.github.io/Logging_0331/tillsyn/A 53992-2023 tillsynsbegäran.docx", "A 53992-2023")</f>
        <v/>
      </c>
      <c r="Y654">
        <f>HYPERLINK("https://klasma.github.io/Logging_0331/tillsynsmail/A 53992-2023 tillsynsbegäran mail.docx", "A 53992-2023")</f>
        <v/>
      </c>
    </row>
    <row r="655" ht="15" customHeight="1">
      <c r="A655" t="inlineStr">
        <is>
          <t>A 55492-2023</t>
        </is>
      </c>
      <c r="B655" s="1" t="n">
        <v>45238</v>
      </c>
      <c r="C655" s="1" t="n">
        <v>45792</v>
      </c>
      <c r="D655" t="inlineStr">
        <is>
          <t>UPPSALA LÄN</t>
        </is>
      </c>
      <c r="E655" t="inlineStr">
        <is>
          <t>ÖSTHAMMAR</t>
        </is>
      </c>
      <c r="G655" t="n">
        <v>3.1</v>
      </c>
      <c r="H655" t="n">
        <v>0</v>
      </c>
      <c r="I655" t="n">
        <v>0</v>
      </c>
      <c r="J655" t="n">
        <v>0</v>
      </c>
      <c r="K655" t="n">
        <v>1</v>
      </c>
      <c r="L655" t="n">
        <v>0</v>
      </c>
      <c r="M655" t="n">
        <v>0</v>
      </c>
      <c r="N655" t="n">
        <v>0</v>
      </c>
      <c r="O655" t="n">
        <v>1</v>
      </c>
      <c r="P655" t="n">
        <v>1</v>
      </c>
      <c r="Q655" t="n">
        <v>1</v>
      </c>
      <c r="R655" s="2" t="inlineStr">
        <is>
          <t>Violgubbe</t>
        </is>
      </c>
      <c r="S655">
        <f>HYPERLINK("https://klasma.github.io/Logging_0382/artfynd/A 55492-2023 artfynd.xlsx", "A 55492-2023")</f>
        <v/>
      </c>
      <c r="T655">
        <f>HYPERLINK("https://klasma.github.io/Logging_0382/kartor/A 55492-2023 karta.png", "A 55492-2023")</f>
        <v/>
      </c>
      <c r="V655">
        <f>HYPERLINK("https://klasma.github.io/Logging_0382/klagomål/A 55492-2023 FSC-klagomål.docx", "A 55492-2023")</f>
        <v/>
      </c>
      <c r="W655">
        <f>HYPERLINK("https://klasma.github.io/Logging_0382/klagomålsmail/A 55492-2023 FSC-klagomål mail.docx", "A 55492-2023")</f>
        <v/>
      </c>
      <c r="X655">
        <f>HYPERLINK("https://klasma.github.io/Logging_0382/tillsyn/A 55492-2023 tillsynsbegäran.docx", "A 55492-2023")</f>
        <v/>
      </c>
      <c r="Y655">
        <f>HYPERLINK("https://klasma.github.io/Logging_0382/tillsynsmail/A 55492-2023 tillsynsbegäran mail.docx", "A 55492-2023")</f>
        <v/>
      </c>
    </row>
    <row r="656" ht="15" customHeight="1">
      <c r="A656" t="inlineStr">
        <is>
          <t>A 56376-2023</t>
        </is>
      </c>
      <c r="B656" s="1" t="n">
        <v>45243</v>
      </c>
      <c r="C656" s="1" t="n">
        <v>45792</v>
      </c>
      <c r="D656" t="inlineStr">
        <is>
          <t>UPPSALA LÄN</t>
        </is>
      </c>
      <c r="E656" t="inlineStr">
        <is>
          <t>HEBY</t>
        </is>
      </c>
      <c r="G656" t="n">
        <v>5.6</v>
      </c>
      <c r="H656" t="n">
        <v>1</v>
      </c>
      <c r="I656" t="n">
        <v>1</v>
      </c>
      <c r="J656" t="n">
        <v>0</v>
      </c>
      <c r="K656" t="n">
        <v>0</v>
      </c>
      <c r="L656" t="n">
        <v>0</v>
      </c>
      <c r="M656" t="n">
        <v>0</v>
      </c>
      <c r="N656" t="n">
        <v>0</v>
      </c>
      <c r="O656" t="n">
        <v>0</v>
      </c>
      <c r="P656" t="n">
        <v>0</v>
      </c>
      <c r="Q656" t="n">
        <v>1</v>
      </c>
      <c r="R656" s="2" t="inlineStr">
        <is>
          <t>Skogsknipprot</t>
        </is>
      </c>
      <c r="S656">
        <f>HYPERLINK("https://klasma.github.io/Logging_0331/artfynd/A 56376-2023 artfynd.xlsx", "A 56376-2023")</f>
        <v/>
      </c>
      <c r="T656">
        <f>HYPERLINK("https://klasma.github.io/Logging_0331/kartor/A 56376-2023 karta.png", "A 56376-2023")</f>
        <v/>
      </c>
      <c r="V656">
        <f>HYPERLINK("https://klasma.github.io/Logging_0331/klagomål/A 56376-2023 FSC-klagomål.docx", "A 56376-2023")</f>
        <v/>
      </c>
      <c r="W656">
        <f>HYPERLINK("https://klasma.github.io/Logging_0331/klagomålsmail/A 56376-2023 FSC-klagomål mail.docx", "A 56376-2023")</f>
        <v/>
      </c>
      <c r="X656">
        <f>HYPERLINK("https://klasma.github.io/Logging_0331/tillsyn/A 56376-2023 tillsynsbegäran.docx", "A 56376-2023")</f>
        <v/>
      </c>
      <c r="Y656">
        <f>HYPERLINK("https://klasma.github.io/Logging_0331/tillsynsmail/A 56376-2023 tillsynsbegäran mail.docx", "A 56376-2023")</f>
        <v/>
      </c>
    </row>
    <row r="657" ht="15" customHeight="1">
      <c r="A657" t="inlineStr">
        <is>
          <t>A 57332-2023</t>
        </is>
      </c>
      <c r="B657" s="1" t="n">
        <v>45245</v>
      </c>
      <c r="C657" s="1" t="n">
        <v>45792</v>
      </c>
      <c r="D657" t="inlineStr">
        <is>
          <t>UPPSALA LÄN</t>
        </is>
      </c>
      <c r="E657" t="inlineStr">
        <is>
          <t>UPPSALA</t>
        </is>
      </c>
      <c r="F657" t="inlineStr">
        <is>
          <t>Allmännings- och besparingsskogar</t>
        </is>
      </c>
      <c r="G657" t="n">
        <v>11.4</v>
      </c>
      <c r="H657" t="n">
        <v>1</v>
      </c>
      <c r="I657" t="n">
        <v>0</v>
      </c>
      <c r="J657" t="n">
        <v>0</v>
      </c>
      <c r="K657" t="n">
        <v>1</v>
      </c>
      <c r="L657" t="n">
        <v>0</v>
      </c>
      <c r="M657" t="n">
        <v>0</v>
      </c>
      <c r="N657" t="n">
        <v>0</v>
      </c>
      <c r="O657" t="n">
        <v>1</v>
      </c>
      <c r="P657" t="n">
        <v>1</v>
      </c>
      <c r="Q657" t="n">
        <v>1</v>
      </c>
      <c r="R657" s="2" t="inlineStr">
        <is>
          <t>Knärot</t>
        </is>
      </c>
      <c r="S657">
        <f>HYPERLINK("https://klasma.github.io/Logging_0380/artfynd/A 57332-2023 artfynd.xlsx", "A 57332-2023")</f>
        <v/>
      </c>
      <c r="T657">
        <f>HYPERLINK("https://klasma.github.io/Logging_0380/kartor/A 57332-2023 karta.png", "A 57332-2023")</f>
        <v/>
      </c>
      <c r="U657">
        <f>HYPERLINK("https://klasma.github.io/Logging_0380/knärot/A 57332-2023 karta knärot.png", "A 57332-2023")</f>
        <v/>
      </c>
      <c r="V657">
        <f>HYPERLINK("https://klasma.github.io/Logging_0380/klagomål/A 57332-2023 FSC-klagomål.docx", "A 57332-2023")</f>
        <v/>
      </c>
      <c r="W657">
        <f>HYPERLINK("https://klasma.github.io/Logging_0380/klagomålsmail/A 57332-2023 FSC-klagomål mail.docx", "A 57332-2023")</f>
        <v/>
      </c>
      <c r="X657">
        <f>HYPERLINK("https://klasma.github.io/Logging_0380/tillsyn/A 57332-2023 tillsynsbegäran.docx", "A 57332-2023")</f>
        <v/>
      </c>
      <c r="Y657">
        <f>HYPERLINK("https://klasma.github.io/Logging_0380/tillsynsmail/A 57332-2023 tillsynsbegäran mail.docx", "A 57332-2023")</f>
        <v/>
      </c>
    </row>
    <row r="658" ht="15" customHeight="1">
      <c r="A658" t="inlineStr">
        <is>
          <t>A 57598-2023</t>
        </is>
      </c>
      <c r="B658" s="1" t="n">
        <v>45246</v>
      </c>
      <c r="C658" s="1" t="n">
        <v>45792</v>
      </c>
      <c r="D658" t="inlineStr">
        <is>
          <t>UPPSALA LÄN</t>
        </is>
      </c>
      <c r="E658" t="inlineStr">
        <is>
          <t>ÖSTHAMMAR</t>
        </is>
      </c>
      <c r="F658" t="inlineStr">
        <is>
          <t>Bergvik skog öst AB</t>
        </is>
      </c>
      <c r="G658" t="n">
        <v>1</v>
      </c>
      <c r="H658" t="n">
        <v>1</v>
      </c>
      <c r="I658" t="n">
        <v>1</v>
      </c>
      <c r="J658" t="n">
        <v>0</v>
      </c>
      <c r="K658" t="n">
        <v>0</v>
      </c>
      <c r="L658" t="n">
        <v>0</v>
      </c>
      <c r="M658" t="n">
        <v>0</v>
      </c>
      <c r="N658" t="n">
        <v>0</v>
      </c>
      <c r="O658" t="n">
        <v>0</v>
      </c>
      <c r="P658" t="n">
        <v>0</v>
      </c>
      <c r="Q658" t="n">
        <v>1</v>
      </c>
      <c r="R658" s="2" t="inlineStr">
        <is>
          <t>Skogsknipprot</t>
        </is>
      </c>
      <c r="S658">
        <f>HYPERLINK("https://klasma.github.io/Logging_0382/artfynd/A 57598-2023 artfynd.xlsx", "A 57598-2023")</f>
        <v/>
      </c>
      <c r="T658">
        <f>HYPERLINK("https://klasma.github.io/Logging_0382/kartor/A 57598-2023 karta.png", "A 57598-2023")</f>
        <v/>
      </c>
      <c r="V658">
        <f>HYPERLINK("https://klasma.github.io/Logging_0382/klagomål/A 57598-2023 FSC-klagomål.docx", "A 57598-2023")</f>
        <v/>
      </c>
      <c r="W658">
        <f>HYPERLINK("https://klasma.github.io/Logging_0382/klagomålsmail/A 57598-2023 FSC-klagomål mail.docx", "A 57598-2023")</f>
        <v/>
      </c>
      <c r="X658">
        <f>HYPERLINK("https://klasma.github.io/Logging_0382/tillsyn/A 57598-2023 tillsynsbegäran.docx", "A 57598-2023")</f>
        <v/>
      </c>
      <c r="Y658">
        <f>HYPERLINK("https://klasma.github.io/Logging_0382/tillsynsmail/A 57598-2023 tillsynsbegäran mail.docx", "A 57598-2023")</f>
        <v/>
      </c>
    </row>
    <row r="659" ht="15" customHeight="1">
      <c r="A659" t="inlineStr">
        <is>
          <t>A 57607-2023</t>
        </is>
      </c>
      <c r="B659" s="1" t="n">
        <v>45246</v>
      </c>
      <c r="C659" s="1" t="n">
        <v>45792</v>
      </c>
      <c r="D659" t="inlineStr">
        <is>
          <t>UPPSALA LÄN</t>
        </is>
      </c>
      <c r="E659" t="inlineStr">
        <is>
          <t>ÖSTHAMMAR</t>
        </is>
      </c>
      <c r="F659" t="inlineStr">
        <is>
          <t>Bergvik skog öst AB</t>
        </is>
      </c>
      <c r="G659" t="n">
        <v>5.8</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57607-2023 artfynd.xlsx", "A 57607-2023")</f>
        <v/>
      </c>
      <c r="T659">
        <f>HYPERLINK("https://klasma.github.io/Logging_0382/kartor/A 57607-2023 karta.png", "A 57607-2023")</f>
        <v/>
      </c>
      <c r="V659">
        <f>HYPERLINK("https://klasma.github.io/Logging_0382/klagomål/A 57607-2023 FSC-klagomål.docx", "A 57607-2023")</f>
        <v/>
      </c>
      <c r="W659">
        <f>HYPERLINK("https://klasma.github.io/Logging_0382/klagomålsmail/A 57607-2023 FSC-klagomål mail.docx", "A 57607-2023")</f>
        <v/>
      </c>
      <c r="X659">
        <f>HYPERLINK("https://klasma.github.io/Logging_0382/tillsyn/A 57607-2023 tillsynsbegäran.docx", "A 57607-2023")</f>
        <v/>
      </c>
      <c r="Y659">
        <f>HYPERLINK("https://klasma.github.io/Logging_0382/tillsynsmail/A 57607-2023 tillsynsbegäran mail.docx", "A 57607-2023")</f>
        <v/>
      </c>
    </row>
    <row r="660" ht="15" customHeight="1">
      <c r="A660" t="inlineStr">
        <is>
          <t>A 57640-2023</t>
        </is>
      </c>
      <c r="B660" s="1" t="n">
        <v>45246</v>
      </c>
      <c r="C660" s="1" t="n">
        <v>45792</v>
      </c>
      <c r="D660" t="inlineStr">
        <is>
          <t>UPPSALA LÄN</t>
        </is>
      </c>
      <c r="E660" t="inlineStr">
        <is>
          <t>ÖSTHAMMAR</t>
        </is>
      </c>
      <c r="F660" t="inlineStr">
        <is>
          <t>Bergvik skog öst AB</t>
        </is>
      </c>
      <c r="G660" t="n">
        <v>2.3</v>
      </c>
      <c r="H660" t="n">
        <v>0</v>
      </c>
      <c r="I660" t="n">
        <v>1</v>
      </c>
      <c r="J660" t="n">
        <v>0</v>
      </c>
      <c r="K660" t="n">
        <v>0</v>
      </c>
      <c r="L660" t="n">
        <v>0</v>
      </c>
      <c r="M660" t="n">
        <v>0</v>
      </c>
      <c r="N660" t="n">
        <v>0</v>
      </c>
      <c r="O660" t="n">
        <v>0</v>
      </c>
      <c r="P660" t="n">
        <v>0</v>
      </c>
      <c r="Q660" t="n">
        <v>1</v>
      </c>
      <c r="R660" s="2" t="inlineStr">
        <is>
          <t>Svavelriska</t>
        </is>
      </c>
      <c r="S660">
        <f>HYPERLINK("https://klasma.github.io/Logging_0382/artfynd/A 57640-2023 artfynd.xlsx", "A 57640-2023")</f>
        <v/>
      </c>
      <c r="T660">
        <f>HYPERLINK("https://klasma.github.io/Logging_0382/kartor/A 57640-2023 karta.png", "A 57640-2023")</f>
        <v/>
      </c>
      <c r="V660">
        <f>HYPERLINK("https://klasma.github.io/Logging_0382/klagomål/A 57640-2023 FSC-klagomål.docx", "A 57640-2023")</f>
        <v/>
      </c>
      <c r="W660">
        <f>HYPERLINK("https://klasma.github.io/Logging_0382/klagomålsmail/A 57640-2023 FSC-klagomål mail.docx", "A 57640-2023")</f>
        <v/>
      </c>
      <c r="X660">
        <f>HYPERLINK("https://klasma.github.io/Logging_0382/tillsyn/A 57640-2023 tillsynsbegäran.docx", "A 57640-2023")</f>
        <v/>
      </c>
      <c r="Y660">
        <f>HYPERLINK("https://klasma.github.io/Logging_0382/tillsynsmail/A 57640-2023 tillsynsbegäran mail.docx", "A 57640-2023")</f>
        <v/>
      </c>
    </row>
    <row r="661" ht="15" customHeight="1">
      <c r="A661" t="inlineStr">
        <is>
          <t>A 57638-2023</t>
        </is>
      </c>
      <c r="B661" s="1" t="n">
        <v>45246</v>
      </c>
      <c r="C661" s="1" t="n">
        <v>45792</v>
      </c>
      <c r="D661" t="inlineStr">
        <is>
          <t>UPPSALA LÄN</t>
        </is>
      </c>
      <c r="E661" t="inlineStr">
        <is>
          <t>TIERP</t>
        </is>
      </c>
      <c r="G661" t="n">
        <v>3.7</v>
      </c>
      <c r="H661" t="n">
        <v>0</v>
      </c>
      <c r="I661" t="n">
        <v>0</v>
      </c>
      <c r="J661" t="n">
        <v>1</v>
      </c>
      <c r="K661" t="n">
        <v>0</v>
      </c>
      <c r="L661" t="n">
        <v>0</v>
      </c>
      <c r="M661" t="n">
        <v>0</v>
      </c>
      <c r="N661" t="n">
        <v>0</v>
      </c>
      <c r="O661" t="n">
        <v>1</v>
      </c>
      <c r="P661" t="n">
        <v>0</v>
      </c>
      <c r="Q661" t="n">
        <v>1</v>
      </c>
      <c r="R661" s="2" t="inlineStr">
        <is>
          <t>Skogsklocka</t>
        </is>
      </c>
      <c r="S661">
        <f>HYPERLINK("https://klasma.github.io/Logging_0360/artfynd/A 57638-2023 artfynd.xlsx", "A 57638-2023")</f>
        <v/>
      </c>
      <c r="T661">
        <f>HYPERLINK("https://klasma.github.io/Logging_0360/kartor/A 57638-2023 karta.png", "A 57638-2023")</f>
        <v/>
      </c>
      <c r="V661">
        <f>HYPERLINK("https://klasma.github.io/Logging_0360/klagomål/A 57638-2023 FSC-klagomål.docx", "A 57638-2023")</f>
        <v/>
      </c>
      <c r="W661">
        <f>HYPERLINK("https://klasma.github.io/Logging_0360/klagomålsmail/A 57638-2023 FSC-klagomål mail.docx", "A 57638-2023")</f>
        <v/>
      </c>
      <c r="X661">
        <f>HYPERLINK("https://klasma.github.io/Logging_0360/tillsyn/A 57638-2023 tillsynsbegäran.docx", "A 57638-2023")</f>
        <v/>
      </c>
      <c r="Y661">
        <f>HYPERLINK("https://klasma.github.io/Logging_0360/tillsynsmail/A 57638-2023 tillsynsbegäran mail.docx", "A 57638-2023")</f>
        <v/>
      </c>
    </row>
    <row r="662" ht="15" customHeight="1">
      <c r="A662" t="inlineStr">
        <is>
          <t>A 58676-2023</t>
        </is>
      </c>
      <c r="B662" s="1" t="n">
        <v>45247</v>
      </c>
      <c r="C662" s="1" t="n">
        <v>45792</v>
      </c>
      <c r="D662" t="inlineStr">
        <is>
          <t>UPPSALA LÄN</t>
        </is>
      </c>
      <c r="E662" t="inlineStr">
        <is>
          <t>HÅBO</t>
        </is>
      </c>
      <c r="G662" t="n">
        <v>3.7</v>
      </c>
      <c r="H662" t="n">
        <v>0</v>
      </c>
      <c r="I662" t="n">
        <v>1</v>
      </c>
      <c r="J662" t="n">
        <v>0</v>
      </c>
      <c r="K662" t="n">
        <v>0</v>
      </c>
      <c r="L662" t="n">
        <v>0</v>
      </c>
      <c r="M662" t="n">
        <v>0</v>
      </c>
      <c r="N662" t="n">
        <v>0</v>
      </c>
      <c r="O662" t="n">
        <v>0</v>
      </c>
      <c r="P662" t="n">
        <v>0</v>
      </c>
      <c r="Q662" t="n">
        <v>1</v>
      </c>
      <c r="R662" s="2" t="inlineStr">
        <is>
          <t>Trådticka</t>
        </is>
      </c>
      <c r="S662">
        <f>HYPERLINK("https://klasma.github.io/Logging_0305/artfynd/A 58676-2023 artfynd.xlsx", "A 58676-2023")</f>
        <v/>
      </c>
      <c r="T662">
        <f>HYPERLINK("https://klasma.github.io/Logging_0305/kartor/A 58676-2023 karta.png", "A 58676-2023")</f>
        <v/>
      </c>
      <c r="V662">
        <f>HYPERLINK("https://klasma.github.io/Logging_0305/klagomål/A 58676-2023 FSC-klagomål.docx", "A 58676-2023")</f>
        <v/>
      </c>
      <c r="W662">
        <f>HYPERLINK("https://klasma.github.io/Logging_0305/klagomålsmail/A 58676-2023 FSC-klagomål mail.docx", "A 58676-2023")</f>
        <v/>
      </c>
      <c r="X662">
        <f>HYPERLINK("https://klasma.github.io/Logging_0305/tillsyn/A 58676-2023 tillsynsbegäran.docx", "A 58676-2023")</f>
        <v/>
      </c>
      <c r="Y662">
        <f>HYPERLINK("https://klasma.github.io/Logging_0305/tillsynsmail/A 58676-2023 tillsynsbegäran mail.docx", "A 58676-2023")</f>
        <v/>
      </c>
    </row>
    <row r="663" ht="15" customHeight="1">
      <c r="A663" t="inlineStr">
        <is>
          <t>A 59160-2023</t>
        </is>
      </c>
      <c r="B663" s="1" t="n">
        <v>45253</v>
      </c>
      <c r="C663" s="1" t="n">
        <v>45792</v>
      </c>
      <c r="D663" t="inlineStr">
        <is>
          <t>UPPSALA LÄN</t>
        </is>
      </c>
      <c r="E663" t="inlineStr">
        <is>
          <t>HÅBO</t>
        </is>
      </c>
      <c r="G663" t="n">
        <v>2.9</v>
      </c>
      <c r="H663" t="n">
        <v>0</v>
      </c>
      <c r="I663" t="n">
        <v>0</v>
      </c>
      <c r="J663" t="n">
        <v>1</v>
      </c>
      <c r="K663" t="n">
        <v>0</v>
      </c>
      <c r="L663" t="n">
        <v>0</v>
      </c>
      <c r="M663" t="n">
        <v>0</v>
      </c>
      <c r="N663" t="n">
        <v>0</v>
      </c>
      <c r="O663" t="n">
        <v>1</v>
      </c>
      <c r="P663" t="n">
        <v>0</v>
      </c>
      <c r="Q663" t="n">
        <v>1</v>
      </c>
      <c r="R663" s="2" t="inlineStr">
        <is>
          <t>Kungsspindling</t>
        </is>
      </c>
      <c r="S663">
        <f>HYPERLINK("https://klasma.github.io/Logging_0305/artfynd/A 59160-2023 artfynd.xlsx", "A 59160-2023")</f>
        <v/>
      </c>
      <c r="T663">
        <f>HYPERLINK("https://klasma.github.io/Logging_0305/kartor/A 59160-2023 karta.png", "A 59160-2023")</f>
        <v/>
      </c>
      <c r="V663">
        <f>HYPERLINK("https://klasma.github.io/Logging_0305/klagomål/A 59160-2023 FSC-klagomål.docx", "A 59160-2023")</f>
        <v/>
      </c>
      <c r="W663">
        <f>HYPERLINK("https://klasma.github.io/Logging_0305/klagomålsmail/A 59160-2023 FSC-klagomål mail.docx", "A 59160-2023")</f>
        <v/>
      </c>
      <c r="X663">
        <f>HYPERLINK("https://klasma.github.io/Logging_0305/tillsyn/A 59160-2023 tillsynsbegäran.docx", "A 59160-2023")</f>
        <v/>
      </c>
      <c r="Y663">
        <f>HYPERLINK("https://klasma.github.io/Logging_0305/tillsynsmail/A 59160-2023 tillsynsbegäran mail.docx", "A 59160-2023")</f>
        <v/>
      </c>
    </row>
    <row r="664" ht="15" customHeight="1">
      <c r="A664" t="inlineStr">
        <is>
          <t>A 59454-2023</t>
        </is>
      </c>
      <c r="B664" s="1" t="n">
        <v>45253</v>
      </c>
      <c r="C664" s="1" t="n">
        <v>45792</v>
      </c>
      <c r="D664" t="inlineStr">
        <is>
          <t>UPPSALA LÄN</t>
        </is>
      </c>
      <c r="E664" t="inlineStr">
        <is>
          <t>TIERP</t>
        </is>
      </c>
      <c r="G664" t="n">
        <v>8.800000000000001</v>
      </c>
      <c r="H664" t="n">
        <v>0</v>
      </c>
      <c r="I664" t="n">
        <v>1</v>
      </c>
      <c r="J664" t="n">
        <v>0</v>
      </c>
      <c r="K664" t="n">
        <v>0</v>
      </c>
      <c r="L664" t="n">
        <v>0</v>
      </c>
      <c r="M664" t="n">
        <v>0</v>
      </c>
      <c r="N664" t="n">
        <v>0</v>
      </c>
      <c r="O664" t="n">
        <v>0</v>
      </c>
      <c r="P664" t="n">
        <v>0</v>
      </c>
      <c r="Q664" t="n">
        <v>1</v>
      </c>
      <c r="R664" s="2" t="inlineStr">
        <is>
          <t>Jättesvampmal</t>
        </is>
      </c>
      <c r="S664">
        <f>HYPERLINK("https://klasma.github.io/Logging_0360/artfynd/A 59454-2023 artfynd.xlsx", "A 59454-2023")</f>
        <v/>
      </c>
      <c r="T664">
        <f>HYPERLINK("https://klasma.github.io/Logging_0360/kartor/A 59454-2023 karta.png", "A 59454-2023")</f>
        <v/>
      </c>
      <c r="V664">
        <f>HYPERLINK("https://klasma.github.io/Logging_0360/klagomål/A 59454-2023 FSC-klagomål.docx", "A 59454-2023")</f>
        <v/>
      </c>
      <c r="W664">
        <f>HYPERLINK("https://klasma.github.io/Logging_0360/klagomålsmail/A 59454-2023 FSC-klagomål mail.docx", "A 59454-2023")</f>
        <v/>
      </c>
      <c r="X664">
        <f>HYPERLINK("https://klasma.github.io/Logging_0360/tillsyn/A 59454-2023 tillsynsbegäran.docx", "A 59454-2023")</f>
        <v/>
      </c>
      <c r="Y664">
        <f>HYPERLINK("https://klasma.github.io/Logging_0360/tillsynsmail/A 59454-2023 tillsynsbegäran mail.docx", "A 59454-2023")</f>
        <v/>
      </c>
    </row>
    <row r="665" ht="15" customHeight="1">
      <c r="A665" t="inlineStr">
        <is>
          <t>A 59708-2023</t>
        </is>
      </c>
      <c r="B665" s="1" t="n">
        <v>45256</v>
      </c>
      <c r="C665" s="1" t="n">
        <v>45792</v>
      </c>
      <c r="D665" t="inlineStr">
        <is>
          <t>UPPSALA LÄN</t>
        </is>
      </c>
      <c r="E665" t="inlineStr">
        <is>
          <t>HEBY</t>
        </is>
      </c>
      <c r="G665" t="n">
        <v>3.1</v>
      </c>
      <c r="H665" t="n">
        <v>1</v>
      </c>
      <c r="I665" t="n">
        <v>0</v>
      </c>
      <c r="J665" t="n">
        <v>0</v>
      </c>
      <c r="K665" t="n">
        <v>0</v>
      </c>
      <c r="L665" t="n">
        <v>0</v>
      </c>
      <c r="M665" t="n">
        <v>0</v>
      </c>
      <c r="N665" t="n">
        <v>0</v>
      </c>
      <c r="O665" t="n">
        <v>0</v>
      </c>
      <c r="P665" t="n">
        <v>0</v>
      </c>
      <c r="Q665" t="n">
        <v>1</v>
      </c>
      <c r="R665" s="2" t="inlineStr">
        <is>
          <t>Mindre vattensalamander</t>
        </is>
      </c>
      <c r="S665">
        <f>HYPERLINK("https://klasma.github.io/Logging_0331/artfynd/A 59708-2023 artfynd.xlsx", "A 59708-2023")</f>
        <v/>
      </c>
      <c r="T665">
        <f>HYPERLINK("https://klasma.github.io/Logging_0331/kartor/A 59708-2023 karta.png", "A 59708-2023")</f>
        <v/>
      </c>
      <c r="V665">
        <f>HYPERLINK("https://klasma.github.io/Logging_0331/klagomål/A 59708-2023 FSC-klagomål.docx", "A 59708-2023")</f>
        <v/>
      </c>
      <c r="W665">
        <f>HYPERLINK("https://klasma.github.io/Logging_0331/klagomålsmail/A 59708-2023 FSC-klagomål mail.docx", "A 59708-2023")</f>
        <v/>
      </c>
      <c r="X665">
        <f>HYPERLINK("https://klasma.github.io/Logging_0331/tillsyn/A 59708-2023 tillsynsbegäran.docx", "A 59708-2023")</f>
        <v/>
      </c>
      <c r="Y665">
        <f>HYPERLINK("https://klasma.github.io/Logging_0331/tillsynsmail/A 59708-2023 tillsynsbegäran mail.docx", "A 59708-2023")</f>
        <v/>
      </c>
    </row>
    <row r="666" ht="15" customHeight="1">
      <c r="A666" t="inlineStr">
        <is>
          <t>A 61068-2023</t>
        </is>
      </c>
      <c r="B666" s="1" t="n">
        <v>45259</v>
      </c>
      <c r="C666" s="1" t="n">
        <v>45792</v>
      </c>
      <c r="D666" t="inlineStr">
        <is>
          <t>UPPSALA LÄN</t>
        </is>
      </c>
      <c r="E666" t="inlineStr">
        <is>
          <t>UPPSALA</t>
        </is>
      </c>
      <c r="F666" t="inlineStr">
        <is>
          <t>Övriga Aktiebolag</t>
        </is>
      </c>
      <c r="G666" t="n">
        <v>8.800000000000001</v>
      </c>
      <c r="H666" t="n">
        <v>1</v>
      </c>
      <c r="I666" t="n">
        <v>0</v>
      </c>
      <c r="J666" t="n">
        <v>0</v>
      </c>
      <c r="K666" t="n">
        <v>1</v>
      </c>
      <c r="L666" t="n">
        <v>0</v>
      </c>
      <c r="M666" t="n">
        <v>0</v>
      </c>
      <c r="N666" t="n">
        <v>0</v>
      </c>
      <c r="O666" t="n">
        <v>1</v>
      </c>
      <c r="P666" t="n">
        <v>1</v>
      </c>
      <c r="Q666" t="n">
        <v>1</v>
      </c>
      <c r="R666" s="2" t="inlineStr">
        <is>
          <t>Knärot</t>
        </is>
      </c>
      <c r="S666">
        <f>HYPERLINK("https://klasma.github.io/Logging_0380/artfynd/A 61068-2023 artfynd.xlsx", "A 61068-2023")</f>
        <v/>
      </c>
      <c r="T666">
        <f>HYPERLINK("https://klasma.github.io/Logging_0380/kartor/A 61068-2023 karta.png", "A 61068-2023")</f>
        <v/>
      </c>
      <c r="U666">
        <f>HYPERLINK("https://klasma.github.io/Logging_0380/knärot/A 61068-2023 karta knärot.png", "A 61068-2023")</f>
        <v/>
      </c>
      <c r="V666">
        <f>HYPERLINK("https://klasma.github.io/Logging_0380/klagomål/A 61068-2023 FSC-klagomål.docx", "A 61068-2023")</f>
        <v/>
      </c>
      <c r="W666">
        <f>HYPERLINK("https://klasma.github.io/Logging_0380/klagomålsmail/A 61068-2023 FSC-klagomål mail.docx", "A 61068-2023")</f>
        <v/>
      </c>
      <c r="X666">
        <f>HYPERLINK("https://klasma.github.io/Logging_0380/tillsyn/A 61068-2023 tillsynsbegäran.docx", "A 61068-2023")</f>
        <v/>
      </c>
      <c r="Y666">
        <f>HYPERLINK("https://klasma.github.io/Logging_0380/tillsynsmail/A 61068-2023 tillsynsbegäran mail.docx", "A 61068-2023")</f>
        <v/>
      </c>
    </row>
    <row r="667" ht="15" customHeight="1">
      <c r="A667" t="inlineStr">
        <is>
          <t>A 61066-2023</t>
        </is>
      </c>
      <c r="B667" s="1" t="n">
        <v>45259</v>
      </c>
      <c r="C667" s="1" t="n">
        <v>45792</v>
      </c>
      <c r="D667" t="inlineStr">
        <is>
          <t>UPPSALA LÄN</t>
        </is>
      </c>
      <c r="E667" t="inlineStr">
        <is>
          <t>UPPSALA</t>
        </is>
      </c>
      <c r="F667" t="inlineStr">
        <is>
          <t>Övriga Aktiebolag</t>
        </is>
      </c>
      <c r="G667" t="n">
        <v>4.7</v>
      </c>
      <c r="H667" t="n">
        <v>0</v>
      </c>
      <c r="I667" t="n">
        <v>0</v>
      </c>
      <c r="J667" t="n">
        <v>1</v>
      </c>
      <c r="K667" t="n">
        <v>0</v>
      </c>
      <c r="L667" t="n">
        <v>0</v>
      </c>
      <c r="M667" t="n">
        <v>0</v>
      </c>
      <c r="N667" t="n">
        <v>0</v>
      </c>
      <c r="O667" t="n">
        <v>1</v>
      </c>
      <c r="P667" t="n">
        <v>0</v>
      </c>
      <c r="Q667" t="n">
        <v>1</v>
      </c>
      <c r="R667" s="2" t="inlineStr">
        <is>
          <t>Igelkott</t>
        </is>
      </c>
      <c r="S667">
        <f>HYPERLINK("https://klasma.github.io/Logging_0380/artfynd/A 61066-2023 artfynd.xlsx", "A 61066-2023")</f>
        <v/>
      </c>
      <c r="T667">
        <f>HYPERLINK("https://klasma.github.io/Logging_0380/kartor/A 61066-2023 karta.png", "A 61066-2023")</f>
        <v/>
      </c>
      <c r="V667">
        <f>HYPERLINK("https://klasma.github.io/Logging_0380/klagomål/A 61066-2023 FSC-klagomål.docx", "A 61066-2023")</f>
        <v/>
      </c>
      <c r="W667">
        <f>HYPERLINK("https://klasma.github.io/Logging_0380/klagomålsmail/A 61066-2023 FSC-klagomål mail.docx", "A 61066-2023")</f>
        <v/>
      </c>
      <c r="X667">
        <f>HYPERLINK("https://klasma.github.io/Logging_0380/tillsyn/A 61066-2023 tillsynsbegäran.docx", "A 61066-2023")</f>
        <v/>
      </c>
      <c r="Y667">
        <f>HYPERLINK("https://klasma.github.io/Logging_0380/tillsynsmail/A 61066-2023 tillsynsbegäran mail.docx", "A 61066-2023")</f>
        <v/>
      </c>
    </row>
    <row r="668" ht="15" customHeight="1">
      <c r="A668" t="inlineStr">
        <is>
          <t>A 63172-2023</t>
        </is>
      </c>
      <c r="B668" s="1" t="n">
        <v>45273</v>
      </c>
      <c r="C668" s="1" t="n">
        <v>45792</v>
      </c>
      <c r="D668" t="inlineStr">
        <is>
          <t>UPPSALA LÄN</t>
        </is>
      </c>
      <c r="E668" t="inlineStr">
        <is>
          <t>UPPSALA</t>
        </is>
      </c>
      <c r="G668" t="n">
        <v>1.8</v>
      </c>
      <c r="H668" t="n">
        <v>0</v>
      </c>
      <c r="I668" t="n">
        <v>1</v>
      </c>
      <c r="J668" t="n">
        <v>0</v>
      </c>
      <c r="K668" t="n">
        <v>0</v>
      </c>
      <c r="L668" t="n">
        <v>0</v>
      </c>
      <c r="M668" t="n">
        <v>0</v>
      </c>
      <c r="N668" t="n">
        <v>0</v>
      </c>
      <c r="O668" t="n">
        <v>0</v>
      </c>
      <c r="P668" t="n">
        <v>0</v>
      </c>
      <c r="Q668" t="n">
        <v>1</v>
      </c>
      <c r="R668" s="2" t="inlineStr">
        <is>
          <t>Ögonpyrola</t>
        </is>
      </c>
      <c r="S668">
        <f>HYPERLINK("https://klasma.github.io/Logging_0380/artfynd/A 63172-2023 artfynd.xlsx", "A 63172-2023")</f>
        <v/>
      </c>
      <c r="T668">
        <f>HYPERLINK("https://klasma.github.io/Logging_0380/kartor/A 63172-2023 karta.png", "A 63172-2023")</f>
        <v/>
      </c>
      <c r="V668">
        <f>HYPERLINK("https://klasma.github.io/Logging_0380/klagomål/A 63172-2023 FSC-klagomål.docx", "A 63172-2023")</f>
        <v/>
      </c>
      <c r="W668">
        <f>HYPERLINK("https://klasma.github.io/Logging_0380/klagomålsmail/A 63172-2023 FSC-klagomål mail.docx", "A 63172-2023")</f>
        <v/>
      </c>
      <c r="X668">
        <f>HYPERLINK("https://klasma.github.io/Logging_0380/tillsyn/A 63172-2023 tillsynsbegäran.docx", "A 63172-2023")</f>
        <v/>
      </c>
      <c r="Y668">
        <f>HYPERLINK("https://klasma.github.io/Logging_0380/tillsynsmail/A 63172-2023 tillsynsbegäran mail.docx", "A 63172-2023")</f>
        <v/>
      </c>
    </row>
    <row r="669" ht="15" customHeight="1">
      <c r="A669" t="inlineStr">
        <is>
          <t>A 584-2024</t>
        </is>
      </c>
      <c r="B669" s="1" t="n">
        <v>45299</v>
      </c>
      <c r="C669" s="1" t="n">
        <v>45792</v>
      </c>
      <c r="D669" t="inlineStr">
        <is>
          <t>UPPSALA LÄN</t>
        </is>
      </c>
      <c r="E669" t="inlineStr">
        <is>
          <t>UPPSALA</t>
        </is>
      </c>
      <c r="G669" t="n">
        <v>0.8</v>
      </c>
      <c r="H669" t="n">
        <v>1</v>
      </c>
      <c r="I669" t="n">
        <v>0</v>
      </c>
      <c r="J669" t="n">
        <v>0</v>
      </c>
      <c r="K669" t="n">
        <v>1</v>
      </c>
      <c r="L669" t="n">
        <v>0</v>
      </c>
      <c r="M669" t="n">
        <v>0</v>
      </c>
      <c r="N669" t="n">
        <v>0</v>
      </c>
      <c r="O669" t="n">
        <v>1</v>
      </c>
      <c r="P669" t="n">
        <v>1</v>
      </c>
      <c r="Q669" t="n">
        <v>1</v>
      </c>
      <c r="R669" s="2" t="inlineStr">
        <is>
          <t>Väddnätfjäril</t>
        </is>
      </c>
      <c r="S669">
        <f>HYPERLINK("https://klasma.github.io/Logging_0380/artfynd/A 584-2024 artfynd.xlsx", "A 584-2024")</f>
        <v/>
      </c>
      <c r="T669">
        <f>HYPERLINK("https://klasma.github.io/Logging_0380/kartor/A 584-2024 karta.png", "A 584-2024")</f>
        <v/>
      </c>
      <c r="V669">
        <f>HYPERLINK("https://klasma.github.io/Logging_0380/klagomål/A 584-2024 FSC-klagomål.docx", "A 584-2024")</f>
        <v/>
      </c>
      <c r="W669">
        <f>HYPERLINK("https://klasma.github.io/Logging_0380/klagomålsmail/A 584-2024 FSC-klagomål mail.docx", "A 584-2024")</f>
        <v/>
      </c>
      <c r="X669">
        <f>HYPERLINK("https://klasma.github.io/Logging_0380/tillsyn/A 584-2024 tillsynsbegäran.docx", "A 584-2024")</f>
        <v/>
      </c>
      <c r="Y669">
        <f>HYPERLINK("https://klasma.github.io/Logging_0380/tillsynsmail/A 584-2024 tillsynsbegäran mail.docx", "A 584-2024")</f>
        <v/>
      </c>
    </row>
    <row r="670" ht="15" customHeight="1">
      <c r="A670" t="inlineStr">
        <is>
          <t>A 2298-2024</t>
        </is>
      </c>
      <c r="B670" s="1" t="n">
        <v>45310</v>
      </c>
      <c r="C670" s="1" t="n">
        <v>45792</v>
      </c>
      <c r="D670" t="inlineStr">
        <is>
          <t>UPPSALA LÄN</t>
        </is>
      </c>
      <c r="E670" t="inlineStr">
        <is>
          <t>TIERP</t>
        </is>
      </c>
      <c r="G670" t="n">
        <v>0.7</v>
      </c>
      <c r="H670" t="n">
        <v>0</v>
      </c>
      <c r="I670" t="n">
        <v>0</v>
      </c>
      <c r="J670" t="n">
        <v>1</v>
      </c>
      <c r="K670" t="n">
        <v>0</v>
      </c>
      <c r="L670" t="n">
        <v>0</v>
      </c>
      <c r="M670" t="n">
        <v>0</v>
      </c>
      <c r="N670" t="n">
        <v>0</v>
      </c>
      <c r="O670" t="n">
        <v>1</v>
      </c>
      <c r="P670" t="n">
        <v>0</v>
      </c>
      <c r="Q670" t="n">
        <v>1</v>
      </c>
      <c r="R670" s="2" t="inlineStr">
        <is>
          <t>Fyrflikig jordstjärna</t>
        </is>
      </c>
      <c r="S670">
        <f>HYPERLINK("https://klasma.github.io/Logging_0360/artfynd/A 2298-2024 artfynd.xlsx", "A 2298-2024")</f>
        <v/>
      </c>
      <c r="T670">
        <f>HYPERLINK("https://klasma.github.io/Logging_0360/kartor/A 2298-2024 karta.png", "A 2298-2024")</f>
        <v/>
      </c>
      <c r="V670">
        <f>HYPERLINK("https://klasma.github.io/Logging_0360/klagomål/A 2298-2024 FSC-klagomål.docx", "A 2298-2024")</f>
        <v/>
      </c>
      <c r="W670">
        <f>HYPERLINK("https://klasma.github.io/Logging_0360/klagomålsmail/A 2298-2024 FSC-klagomål mail.docx", "A 2298-2024")</f>
        <v/>
      </c>
      <c r="X670">
        <f>HYPERLINK("https://klasma.github.io/Logging_0360/tillsyn/A 2298-2024 tillsynsbegäran.docx", "A 2298-2024")</f>
        <v/>
      </c>
      <c r="Y670">
        <f>HYPERLINK("https://klasma.github.io/Logging_0360/tillsynsmail/A 2298-2024 tillsynsbegäran mail.docx", "A 2298-2024")</f>
        <v/>
      </c>
    </row>
    <row r="671" ht="15" customHeight="1">
      <c r="A671" t="inlineStr">
        <is>
          <t>A 2332-2024</t>
        </is>
      </c>
      <c r="B671" s="1" t="n">
        <v>45310</v>
      </c>
      <c r="C671" s="1" t="n">
        <v>45792</v>
      </c>
      <c r="D671" t="inlineStr">
        <is>
          <t>UPPSALA LÄN</t>
        </is>
      </c>
      <c r="E671" t="inlineStr">
        <is>
          <t>TIERP</t>
        </is>
      </c>
      <c r="G671" t="n">
        <v>3.7</v>
      </c>
      <c r="H671" t="n">
        <v>1</v>
      </c>
      <c r="I671" t="n">
        <v>0</v>
      </c>
      <c r="J671" t="n">
        <v>1</v>
      </c>
      <c r="K671" t="n">
        <v>0</v>
      </c>
      <c r="L671" t="n">
        <v>0</v>
      </c>
      <c r="M671" t="n">
        <v>0</v>
      </c>
      <c r="N671" t="n">
        <v>0</v>
      </c>
      <c r="O671" t="n">
        <v>1</v>
      </c>
      <c r="P671" t="n">
        <v>0</v>
      </c>
      <c r="Q671" t="n">
        <v>1</v>
      </c>
      <c r="R671" s="2" t="inlineStr">
        <is>
          <t>Talltita</t>
        </is>
      </c>
      <c r="S671">
        <f>HYPERLINK("https://klasma.github.io/Logging_0360/artfynd/A 2332-2024 artfynd.xlsx", "A 2332-2024")</f>
        <v/>
      </c>
      <c r="T671">
        <f>HYPERLINK("https://klasma.github.io/Logging_0360/kartor/A 2332-2024 karta.png", "A 2332-2024")</f>
        <v/>
      </c>
      <c r="V671">
        <f>HYPERLINK("https://klasma.github.io/Logging_0360/klagomål/A 2332-2024 FSC-klagomål.docx", "A 2332-2024")</f>
        <v/>
      </c>
      <c r="W671">
        <f>HYPERLINK("https://klasma.github.io/Logging_0360/klagomålsmail/A 2332-2024 FSC-klagomål mail.docx", "A 2332-2024")</f>
        <v/>
      </c>
      <c r="X671">
        <f>HYPERLINK("https://klasma.github.io/Logging_0360/tillsyn/A 2332-2024 tillsynsbegäran.docx", "A 2332-2024")</f>
        <v/>
      </c>
      <c r="Y671">
        <f>HYPERLINK("https://klasma.github.io/Logging_0360/tillsynsmail/A 2332-2024 tillsynsbegäran mail.docx", "A 2332-2024")</f>
        <v/>
      </c>
      <c r="Z671">
        <f>HYPERLINK("https://klasma.github.io/Logging_0360/fåglar/A 2332-2024 prioriterade fågelarter.docx", "A 2332-2024")</f>
        <v/>
      </c>
    </row>
    <row r="672" ht="15" customHeight="1">
      <c r="A672" t="inlineStr">
        <is>
          <t>A 2729-2024</t>
        </is>
      </c>
      <c r="B672" s="1" t="n">
        <v>45314</v>
      </c>
      <c r="C672" s="1" t="n">
        <v>45792</v>
      </c>
      <c r="D672" t="inlineStr">
        <is>
          <t>UPPSALA LÄN</t>
        </is>
      </c>
      <c r="E672" t="inlineStr">
        <is>
          <t>UPPSALA</t>
        </is>
      </c>
      <c r="G672" t="n">
        <v>3.3</v>
      </c>
      <c r="H672" t="n">
        <v>1</v>
      </c>
      <c r="I672" t="n">
        <v>0</v>
      </c>
      <c r="J672" t="n">
        <v>0</v>
      </c>
      <c r="K672" t="n">
        <v>0</v>
      </c>
      <c r="L672" t="n">
        <v>0</v>
      </c>
      <c r="M672" t="n">
        <v>0</v>
      </c>
      <c r="N672" t="n">
        <v>0</v>
      </c>
      <c r="O672" t="n">
        <v>0</v>
      </c>
      <c r="P672" t="n">
        <v>0</v>
      </c>
      <c r="Q672" t="n">
        <v>1</v>
      </c>
      <c r="R672" s="2" t="inlineStr">
        <is>
          <t>Revlummer</t>
        </is>
      </c>
      <c r="S672">
        <f>HYPERLINK("https://klasma.github.io/Logging_0380/artfynd/A 2729-2024 artfynd.xlsx", "A 2729-2024")</f>
        <v/>
      </c>
      <c r="T672">
        <f>HYPERLINK("https://klasma.github.io/Logging_0380/kartor/A 2729-2024 karta.png", "A 2729-2024")</f>
        <v/>
      </c>
      <c r="V672">
        <f>HYPERLINK("https://klasma.github.io/Logging_0380/klagomål/A 2729-2024 FSC-klagomål.docx", "A 2729-2024")</f>
        <v/>
      </c>
      <c r="W672">
        <f>HYPERLINK("https://klasma.github.io/Logging_0380/klagomålsmail/A 2729-2024 FSC-klagomål mail.docx", "A 2729-2024")</f>
        <v/>
      </c>
      <c r="X672">
        <f>HYPERLINK("https://klasma.github.io/Logging_0380/tillsyn/A 2729-2024 tillsynsbegäran.docx", "A 2729-2024")</f>
        <v/>
      </c>
      <c r="Y672">
        <f>HYPERLINK("https://klasma.github.io/Logging_0380/tillsynsmail/A 2729-2024 tillsynsbegäran mail.docx", "A 2729-2024")</f>
        <v/>
      </c>
    </row>
    <row r="673" ht="15" customHeight="1">
      <c r="A673" t="inlineStr">
        <is>
          <t>A 4048-2024</t>
        </is>
      </c>
      <c r="B673" s="1" t="n">
        <v>45323</v>
      </c>
      <c r="C673" s="1" t="n">
        <v>45792</v>
      </c>
      <c r="D673" t="inlineStr">
        <is>
          <t>UPPSALA LÄN</t>
        </is>
      </c>
      <c r="E673" t="inlineStr">
        <is>
          <t>ÖSTHAMMAR</t>
        </is>
      </c>
      <c r="F673" t="inlineStr">
        <is>
          <t>Övriga Aktiebolag</t>
        </is>
      </c>
      <c r="G673" t="n">
        <v>21.2</v>
      </c>
      <c r="H673" t="n">
        <v>0</v>
      </c>
      <c r="I673" t="n">
        <v>0</v>
      </c>
      <c r="J673" t="n">
        <v>1</v>
      </c>
      <c r="K673" t="n">
        <v>0</v>
      </c>
      <c r="L673" t="n">
        <v>0</v>
      </c>
      <c r="M673" t="n">
        <v>0</v>
      </c>
      <c r="N673" t="n">
        <v>0</v>
      </c>
      <c r="O673" t="n">
        <v>1</v>
      </c>
      <c r="P673" t="n">
        <v>0</v>
      </c>
      <c r="Q673" t="n">
        <v>1</v>
      </c>
      <c r="R673" s="2" t="inlineStr">
        <is>
          <t>Slåtterfibbla</t>
        </is>
      </c>
      <c r="S673">
        <f>HYPERLINK("https://klasma.github.io/Logging_0382/artfynd/A 4048-2024 artfynd.xlsx", "A 4048-2024")</f>
        <v/>
      </c>
      <c r="T673">
        <f>HYPERLINK("https://klasma.github.io/Logging_0382/kartor/A 4048-2024 karta.png", "A 4048-2024")</f>
        <v/>
      </c>
      <c r="V673">
        <f>HYPERLINK("https://klasma.github.io/Logging_0382/klagomål/A 4048-2024 FSC-klagomål.docx", "A 4048-2024")</f>
        <v/>
      </c>
      <c r="W673">
        <f>HYPERLINK("https://klasma.github.io/Logging_0382/klagomålsmail/A 4048-2024 FSC-klagomål mail.docx", "A 4048-2024")</f>
        <v/>
      </c>
      <c r="X673">
        <f>HYPERLINK("https://klasma.github.io/Logging_0382/tillsyn/A 4048-2024 tillsynsbegäran.docx", "A 4048-2024")</f>
        <v/>
      </c>
      <c r="Y673">
        <f>HYPERLINK("https://klasma.github.io/Logging_0382/tillsynsmail/A 4048-2024 tillsynsbegäran mail.docx", "A 4048-2024")</f>
        <v/>
      </c>
    </row>
    <row r="674" ht="15" customHeight="1">
      <c r="A674" t="inlineStr">
        <is>
          <t>A 5209-2024</t>
        </is>
      </c>
      <c r="B674" s="1" t="n">
        <v>45330</v>
      </c>
      <c r="C674" s="1" t="n">
        <v>45792</v>
      </c>
      <c r="D674" t="inlineStr">
        <is>
          <t>UPPSALA LÄN</t>
        </is>
      </c>
      <c r="E674" t="inlineStr">
        <is>
          <t>ÄLVKARLEBY</t>
        </is>
      </c>
      <c r="G674" t="n">
        <v>6.3</v>
      </c>
      <c r="H674" t="n">
        <v>1</v>
      </c>
      <c r="I674" t="n">
        <v>1</v>
      </c>
      <c r="J674" t="n">
        <v>0</v>
      </c>
      <c r="K674" t="n">
        <v>0</v>
      </c>
      <c r="L674" t="n">
        <v>0</v>
      </c>
      <c r="M674" t="n">
        <v>0</v>
      </c>
      <c r="N674" t="n">
        <v>0</v>
      </c>
      <c r="O674" t="n">
        <v>0</v>
      </c>
      <c r="P674" t="n">
        <v>0</v>
      </c>
      <c r="Q674" t="n">
        <v>1</v>
      </c>
      <c r="R674" s="2" t="inlineStr">
        <is>
          <t>Guckusko</t>
        </is>
      </c>
      <c r="S674">
        <f>HYPERLINK("https://klasma.github.io/Logging_0319/artfynd/A 5209-2024 artfynd.xlsx", "A 5209-2024")</f>
        <v/>
      </c>
      <c r="T674">
        <f>HYPERLINK("https://klasma.github.io/Logging_0319/kartor/A 5209-2024 karta.png", "A 5209-2024")</f>
        <v/>
      </c>
      <c r="V674">
        <f>HYPERLINK("https://klasma.github.io/Logging_0319/klagomål/A 5209-2024 FSC-klagomål.docx", "A 5209-2024")</f>
        <v/>
      </c>
      <c r="W674">
        <f>HYPERLINK("https://klasma.github.io/Logging_0319/klagomålsmail/A 5209-2024 FSC-klagomål mail.docx", "A 5209-2024")</f>
        <v/>
      </c>
      <c r="X674">
        <f>HYPERLINK("https://klasma.github.io/Logging_0319/tillsyn/A 5209-2024 tillsynsbegäran.docx", "A 5209-2024")</f>
        <v/>
      </c>
      <c r="Y674">
        <f>HYPERLINK("https://klasma.github.io/Logging_0319/tillsynsmail/A 5209-2024 tillsynsbegäran mail.docx", "A 5209-2024")</f>
        <v/>
      </c>
    </row>
    <row r="675" ht="15" customHeight="1">
      <c r="A675" t="inlineStr">
        <is>
          <t>A 5700-2024</t>
        </is>
      </c>
      <c r="B675" s="1" t="n">
        <v>45335</v>
      </c>
      <c r="C675" s="1" t="n">
        <v>45792</v>
      </c>
      <c r="D675" t="inlineStr">
        <is>
          <t>UPPSALA LÄN</t>
        </is>
      </c>
      <c r="E675" t="inlineStr">
        <is>
          <t>TIERP</t>
        </is>
      </c>
      <c r="G675" t="n">
        <v>1.6</v>
      </c>
      <c r="H675" t="n">
        <v>0</v>
      </c>
      <c r="I675" t="n">
        <v>1</v>
      </c>
      <c r="J675" t="n">
        <v>0</v>
      </c>
      <c r="K675" t="n">
        <v>0</v>
      </c>
      <c r="L675" t="n">
        <v>0</v>
      </c>
      <c r="M675" t="n">
        <v>0</v>
      </c>
      <c r="N675" t="n">
        <v>0</v>
      </c>
      <c r="O675" t="n">
        <v>0</v>
      </c>
      <c r="P675" t="n">
        <v>0</v>
      </c>
      <c r="Q675" t="n">
        <v>1</v>
      </c>
      <c r="R675" s="2" t="inlineStr">
        <is>
          <t>Vårärt</t>
        </is>
      </c>
      <c r="S675">
        <f>HYPERLINK("https://klasma.github.io/Logging_0360/artfynd/A 5700-2024 artfynd.xlsx", "A 5700-2024")</f>
        <v/>
      </c>
      <c r="T675">
        <f>HYPERLINK("https://klasma.github.io/Logging_0360/kartor/A 5700-2024 karta.png", "A 5700-2024")</f>
        <v/>
      </c>
      <c r="V675">
        <f>HYPERLINK("https://klasma.github.io/Logging_0360/klagomål/A 5700-2024 FSC-klagomål.docx", "A 5700-2024")</f>
        <v/>
      </c>
      <c r="W675">
        <f>HYPERLINK("https://klasma.github.io/Logging_0360/klagomålsmail/A 5700-2024 FSC-klagomål mail.docx", "A 5700-2024")</f>
        <v/>
      </c>
      <c r="X675">
        <f>HYPERLINK("https://klasma.github.io/Logging_0360/tillsyn/A 5700-2024 tillsynsbegäran.docx", "A 5700-2024")</f>
        <v/>
      </c>
      <c r="Y675">
        <f>HYPERLINK("https://klasma.github.io/Logging_0360/tillsynsmail/A 5700-2024 tillsynsbegäran mail.docx", "A 5700-2024")</f>
        <v/>
      </c>
    </row>
    <row r="676" ht="15" customHeight="1">
      <c r="A676" t="inlineStr">
        <is>
          <t>A 5972-2024</t>
        </is>
      </c>
      <c r="B676" s="1" t="n">
        <v>45336</v>
      </c>
      <c r="C676" s="1" t="n">
        <v>45792</v>
      </c>
      <c r="D676" t="inlineStr">
        <is>
          <t>UPPSALA LÄN</t>
        </is>
      </c>
      <c r="E676" t="inlineStr">
        <is>
          <t>UPPSALA</t>
        </is>
      </c>
      <c r="G676" t="n">
        <v>1.6</v>
      </c>
      <c r="H676" t="n">
        <v>1</v>
      </c>
      <c r="I676" t="n">
        <v>0</v>
      </c>
      <c r="J676" t="n">
        <v>0</v>
      </c>
      <c r="K676" t="n">
        <v>0</v>
      </c>
      <c r="L676" t="n">
        <v>0</v>
      </c>
      <c r="M676" t="n">
        <v>0</v>
      </c>
      <c r="N676" t="n">
        <v>0</v>
      </c>
      <c r="O676" t="n">
        <v>0</v>
      </c>
      <c r="P676" t="n">
        <v>0</v>
      </c>
      <c r="Q676" t="n">
        <v>1</v>
      </c>
      <c r="R676" s="2" t="inlineStr">
        <is>
          <t>Sparvuggla</t>
        </is>
      </c>
      <c r="S676">
        <f>HYPERLINK("https://klasma.github.io/Logging_0380/artfynd/A 5972-2024 artfynd.xlsx", "A 5972-2024")</f>
        <v/>
      </c>
      <c r="T676">
        <f>HYPERLINK("https://klasma.github.io/Logging_0380/kartor/A 5972-2024 karta.png", "A 5972-2024")</f>
        <v/>
      </c>
      <c r="V676">
        <f>HYPERLINK("https://klasma.github.io/Logging_0380/klagomål/A 5972-2024 FSC-klagomål.docx", "A 5972-2024")</f>
        <v/>
      </c>
      <c r="W676">
        <f>HYPERLINK("https://klasma.github.io/Logging_0380/klagomålsmail/A 5972-2024 FSC-klagomål mail.docx", "A 5972-2024")</f>
        <v/>
      </c>
      <c r="X676">
        <f>HYPERLINK("https://klasma.github.io/Logging_0380/tillsyn/A 5972-2024 tillsynsbegäran.docx", "A 5972-2024")</f>
        <v/>
      </c>
      <c r="Y676">
        <f>HYPERLINK("https://klasma.github.io/Logging_0380/tillsynsmail/A 5972-2024 tillsynsbegäran mail.docx", "A 5972-2024")</f>
        <v/>
      </c>
      <c r="Z676">
        <f>HYPERLINK("https://klasma.github.io/Logging_0380/fåglar/A 5972-2024 prioriterade fågelarter.docx", "A 5972-2024")</f>
        <v/>
      </c>
    </row>
    <row r="677" ht="15" customHeight="1">
      <c r="A677" t="inlineStr">
        <is>
          <t>A 6044-2024</t>
        </is>
      </c>
      <c r="B677" s="1" t="n">
        <v>45336</v>
      </c>
      <c r="C677" s="1" t="n">
        <v>45792</v>
      </c>
      <c r="D677" t="inlineStr">
        <is>
          <t>UPPSALA LÄN</t>
        </is>
      </c>
      <c r="E677" t="inlineStr">
        <is>
          <t>UPPSALA</t>
        </is>
      </c>
      <c r="F677" t="inlineStr">
        <is>
          <t>Holmen skog AB</t>
        </is>
      </c>
      <c r="G677" t="n">
        <v>7.4</v>
      </c>
      <c r="H677" t="n">
        <v>0</v>
      </c>
      <c r="I677" t="n">
        <v>0</v>
      </c>
      <c r="J677" t="n">
        <v>1</v>
      </c>
      <c r="K677" t="n">
        <v>0</v>
      </c>
      <c r="L677" t="n">
        <v>0</v>
      </c>
      <c r="M677" t="n">
        <v>0</v>
      </c>
      <c r="N677" t="n">
        <v>0</v>
      </c>
      <c r="O677" t="n">
        <v>1</v>
      </c>
      <c r="P677" t="n">
        <v>0</v>
      </c>
      <c r="Q677" t="n">
        <v>1</v>
      </c>
      <c r="R677" s="2" t="inlineStr">
        <is>
          <t>Gul dropplav</t>
        </is>
      </c>
      <c r="S677">
        <f>HYPERLINK("https://klasma.github.io/Logging_0380/artfynd/A 6044-2024 artfynd.xlsx", "A 6044-2024")</f>
        <v/>
      </c>
      <c r="T677">
        <f>HYPERLINK("https://klasma.github.io/Logging_0380/kartor/A 6044-2024 karta.png", "A 6044-2024")</f>
        <v/>
      </c>
      <c r="V677">
        <f>HYPERLINK("https://klasma.github.io/Logging_0380/klagomål/A 6044-2024 FSC-klagomål.docx", "A 6044-2024")</f>
        <v/>
      </c>
      <c r="W677">
        <f>HYPERLINK("https://klasma.github.io/Logging_0380/klagomålsmail/A 6044-2024 FSC-klagomål mail.docx", "A 6044-2024")</f>
        <v/>
      </c>
      <c r="X677">
        <f>HYPERLINK("https://klasma.github.io/Logging_0380/tillsyn/A 6044-2024 tillsynsbegäran.docx", "A 6044-2024")</f>
        <v/>
      </c>
      <c r="Y677">
        <f>HYPERLINK("https://klasma.github.io/Logging_0380/tillsynsmail/A 6044-2024 tillsynsbegäran mail.docx", "A 6044-2024")</f>
        <v/>
      </c>
    </row>
    <row r="678" ht="15" customHeight="1">
      <c r="A678" t="inlineStr">
        <is>
          <t>A 7395-2024</t>
        </is>
      </c>
      <c r="B678" s="1" t="n">
        <v>45345</v>
      </c>
      <c r="C678" s="1" t="n">
        <v>45792</v>
      </c>
      <c r="D678" t="inlineStr">
        <is>
          <t>UPPSALA LÄN</t>
        </is>
      </c>
      <c r="E678" t="inlineStr">
        <is>
          <t>UPPSALA</t>
        </is>
      </c>
      <c r="G678" t="n">
        <v>1.3</v>
      </c>
      <c r="H678" t="n">
        <v>1</v>
      </c>
      <c r="I678" t="n">
        <v>0</v>
      </c>
      <c r="J678" t="n">
        <v>0</v>
      </c>
      <c r="K678" t="n">
        <v>1</v>
      </c>
      <c r="L678" t="n">
        <v>0</v>
      </c>
      <c r="M678" t="n">
        <v>0</v>
      </c>
      <c r="N678" t="n">
        <v>0</v>
      </c>
      <c r="O678" t="n">
        <v>1</v>
      </c>
      <c r="P678" t="n">
        <v>1</v>
      </c>
      <c r="Q678" t="n">
        <v>1</v>
      </c>
      <c r="R678" s="2" t="inlineStr">
        <is>
          <t>Knärot</t>
        </is>
      </c>
      <c r="S678">
        <f>HYPERLINK("https://klasma.github.io/Logging_0380/artfynd/A 7395-2024 artfynd.xlsx", "A 7395-2024")</f>
        <v/>
      </c>
      <c r="T678">
        <f>HYPERLINK("https://klasma.github.io/Logging_0380/kartor/A 7395-2024 karta.png", "A 7395-2024")</f>
        <v/>
      </c>
      <c r="U678">
        <f>HYPERLINK("https://klasma.github.io/Logging_0380/knärot/A 7395-2024 karta knärot.png", "A 7395-2024")</f>
        <v/>
      </c>
      <c r="V678">
        <f>HYPERLINK("https://klasma.github.io/Logging_0380/klagomål/A 7395-2024 FSC-klagomål.docx", "A 7395-2024")</f>
        <v/>
      </c>
      <c r="W678">
        <f>HYPERLINK("https://klasma.github.io/Logging_0380/klagomålsmail/A 7395-2024 FSC-klagomål mail.docx", "A 7395-2024")</f>
        <v/>
      </c>
      <c r="X678">
        <f>HYPERLINK("https://klasma.github.io/Logging_0380/tillsyn/A 7395-2024 tillsynsbegäran.docx", "A 7395-2024")</f>
        <v/>
      </c>
      <c r="Y678">
        <f>HYPERLINK("https://klasma.github.io/Logging_0380/tillsynsmail/A 7395-2024 tillsynsbegäran mail.docx", "A 7395-2024")</f>
        <v/>
      </c>
    </row>
    <row r="679" ht="15" customHeight="1">
      <c r="A679" t="inlineStr">
        <is>
          <t>A 7397-2024</t>
        </is>
      </c>
      <c r="B679" s="1" t="n">
        <v>45345</v>
      </c>
      <c r="C679" s="1" t="n">
        <v>45792</v>
      </c>
      <c r="D679" t="inlineStr">
        <is>
          <t>UPPSALA LÄN</t>
        </is>
      </c>
      <c r="E679" t="inlineStr">
        <is>
          <t>UPPSALA</t>
        </is>
      </c>
      <c r="G679" t="n">
        <v>3.4</v>
      </c>
      <c r="H679" t="n">
        <v>0</v>
      </c>
      <c r="I679" t="n">
        <v>1</v>
      </c>
      <c r="J679" t="n">
        <v>0</v>
      </c>
      <c r="K679" t="n">
        <v>0</v>
      </c>
      <c r="L679" t="n">
        <v>0</v>
      </c>
      <c r="M679" t="n">
        <v>0</v>
      </c>
      <c r="N679" t="n">
        <v>0</v>
      </c>
      <c r="O679" t="n">
        <v>0</v>
      </c>
      <c r="P679" t="n">
        <v>0</v>
      </c>
      <c r="Q679" t="n">
        <v>1</v>
      </c>
      <c r="R679" s="2" t="inlineStr">
        <is>
          <t>Svavelriska</t>
        </is>
      </c>
      <c r="S679">
        <f>HYPERLINK("https://klasma.github.io/Logging_0380/artfynd/A 7397-2024 artfynd.xlsx", "A 7397-2024")</f>
        <v/>
      </c>
      <c r="T679">
        <f>HYPERLINK("https://klasma.github.io/Logging_0380/kartor/A 7397-2024 karta.png", "A 7397-2024")</f>
        <v/>
      </c>
      <c r="U679">
        <f>HYPERLINK("https://klasma.github.io/Logging_0380/knärot/A 7397-2024 karta knärot.png", "A 7397-2024")</f>
        <v/>
      </c>
      <c r="V679">
        <f>HYPERLINK("https://klasma.github.io/Logging_0380/klagomål/A 7397-2024 FSC-klagomål.docx", "A 7397-2024")</f>
        <v/>
      </c>
      <c r="W679">
        <f>HYPERLINK("https://klasma.github.io/Logging_0380/klagomålsmail/A 7397-2024 FSC-klagomål mail.docx", "A 7397-2024")</f>
        <v/>
      </c>
      <c r="X679">
        <f>HYPERLINK("https://klasma.github.io/Logging_0380/tillsyn/A 7397-2024 tillsynsbegäran.docx", "A 7397-2024")</f>
        <v/>
      </c>
      <c r="Y679">
        <f>HYPERLINK("https://klasma.github.io/Logging_0380/tillsynsmail/A 7397-2024 tillsynsbegäran mail.docx", "A 7397-2024")</f>
        <v/>
      </c>
    </row>
    <row r="680" ht="15" customHeight="1">
      <c r="A680" t="inlineStr">
        <is>
          <t>A 8398-2024</t>
        </is>
      </c>
      <c r="B680" s="1" t="n">
        <v>45352</v>
      </c>
      <c r="C680" s="1" t="n">
        <v>45792</v>
      </c>
      <c r="D680" t="inlineStr">
        <is>
          <t>UPPSALA LÄN</t>
        </is>
      </c>
      <c r="E680" t="inlineStr">
        <is>
          <t>UPPSALA</t>
        </is>
      </c>
      <c r="G680" t="n">
        <v>6.2</v>
      </c>
      <c r="H680" t="n">
        <v>1</v>
      </c>
      <c r="I680" t="n">
        <v>0</v>
      </c>
      <c r="J680" t="n">
        <v>0</v>
      </c>
      <c r="K680" t="n">
        <v>0</v>
      </c>
      <c r="L680" t="n">
        <v>0</v>
      </c>
      <c r="M680" t="n">
        <v>0</v>
      </c>
      <c r="N680" t="n">
        <v>0</v>
      </c>
      <c r="O680" t="n">
        <v>0</v>
      </c>
      <c r="P680" t="n">
        <v>0</v>
      </c>
      <c r="Q680" t="n">
        <v>1</v>
      </c>
      <c r="R680" s="2" t="inlineStr">
        <is>
          <t>Tjäder</t>
        </is>
      </c>
      <c r="S680">
        <f>HYPERLINK("https://klasma.github.io/Logging_0380/artfynd/A 8398-2024 artfynd.xlsx", "A 8398-2024")</f>
        <v/>
      </c>
      <c r="T680">
        <f>HYPERLINK("https://klasma.github.io/Logging_0380/kartor/A 8398-2024 karta.png", "A 8398-2024")</f>
        <v/>
      </c>
      <c r="V680">
        <f>HYPERLINK("https://klasma.github.io/Logging_0380/klagomål/A 8398-2024 FSC-klagomål.docx", "A 8398-2024")</f>
        <v/>
      </c>
      <c r="W680">
        <f>HYPERLINK("https://klasma.github.io/Logging_0380/klagomålsmail/A 8398-2024 FSC-klagomål mail.docx", "A 8398-2024")</f>
        <v/>
      </c>
      <c r="X680">
        <f>HYPERLINK("https://klasma.github.io/Logging_0380/tillsyn/A 8398-2024 tillsynsbegäran.docx", "A 8398-2024")</f>
        <v/>
      </c>
      <c r="Y680">
        <f>HYPERLINK("https://klasma.github.io/Logging_0380/tillsynsmail/A 8398-2024 tillsynsbegäran mail.docx", "A 8398-2024")</f>
        <v/>
      </c>
      <c r="Z680">
        <f>HYPERLINK("https://klasma.github.io/Logging_0380/fåglar/A 8398-2024 prioriterade fågelarter.docx", "A 8398-2024")</f>
        <v/>
      </c>
    </row>
    <row r="681" ht="15" customHeight="1">
      <c r="A681" t="inlineStr">
        <is>
          <t>A 8624-2024</t>
        </is>
      </c>
      <c r="B681" s="1" t="n">
        <v>45355</v>
      </c>
      <c r="C681" s="1" t="n">
        <v>45792</v>
      </c>
      <c r="D681" t="inlineStr">
        <is>
          <t>UPPSALA LÄN</t>
        </is>
      </c>
      <c r="E681" t="inlineStr">
        <is>
          <t>HEBY</t>
        </is>
      </c>
      <c r="G681" t="n">
        <v>3.9</v>
      </c>
      <c r="H681" t="n">
        <v>0</v>
      </c>
      <c r="I681" t="n">
        <v>0</v>
      </c>
      <c r="J681" t="n">
        <v>1</v>
      </c>
      <c r="K681" t="n">
        <v>0</v>
      </c>
      <c r="L681" t="n">
        <v>0</v>
      </c>
      <c r="M681" t="n">
        <v>0</v>
      </c>
      <c r="N681" t="n">
        <v>0</v>
      </c>
      <c r="O681" t="n">
        <v>1</v>
      </c>
      <c r="P681" t="n">
        <v>0</v>
      </c>
      <c r="Q681" t="n">
        <v>1</v>
      </c>
      <c r="R681" s="2" t="inlineStr">
        <is>
          <t>Motaggsvamp</t>
        </is>
      </c>
      <c r="S681">
        <f>HYPERLINK("https://klasma.github.io/Logging_0331/artfynd/A 8624-2024 artfynd.xlsx", "A 8624-2024")</f>
        <v/>
      </c>
      <c r="T681">
        <f>HYPERLINK("https://klasma.github.io/Logging_0331/kartor/A 8624-2024 karta.png", "A 8624-2024")</f>
        <v/>
      </c>
      <c r="V681">
        <f>HYPERLINK("https://klasma.github.io/Logging_0331/klagomål/A 8624-2024 FSC-klagomål.docx", "A 8624-2024")</f>
        <v/>
      </c>
      <c r="W681">
        <f>HYPERLINK("https://klasma.github.io/Logging_0331/klagomålsmail/A 8624-2024 FSC-klagomål mail.docx", "A 8624-2024")</f>
        <v/>
      </c>
      <c r="X681">
        <f>HYPERLINK("https://klasma.github.io/Logging_0331/tillsyn/A 8624-2024 tillsynsbegäran.docx", "A 8624-2024")</f>
        <v/>
      </c>
      <c r="Y681">
        <f>HYPERLINK("https://klasma.github.io/Logging_0331/tillsynsmail/A 8624-2024 tillsynsbegäran mail.docx", "A 8624-2024")</f>
        <v/>
      </c>
    </row>
    <row r="682" ht="15" customHeight="1">
      <c r="A682" t="inlineStr">
        <is>
          <t>A 9206-2024</t>
        </is>
      </c>
      <c r="B682" s="1" t="n">
        <v>45358</v>
      </c>
      <c r="C682" s="1" t="n">
        <v>45792</v>
      </c>
      <c r="D682" t="inlineStr">
        <is>
          <t>UPPSALA LÄN</t>
        </is>
      </c>
      <c r="E682" t="inlineStr">
        <is>
          <t>UPPSALA</t>
        </is>
      </c>
      <c r="F682" t="inlineStr">
        <is>
          <t>Allmännings- och besparingsskogar</t>
        </is>
      </c>
      <c r="G682" t="n">
        <v>22.2</v>
      </c>
      <c r="H682" t="n">
        <v>1</v>
      </c>
      <c r="I682" t="n">
        <v>0</v>
      </c>
      <c r="J682" t="n">
        <v>0</v>
      </c>
      <c r="K682" t="n">
        <v>1</v>
      </c>
      <c r="L682" t="n">
        <v>0</v>
      </c>
      <c r="M682" t="n">
        <v>0</v>
      </c>
      <c r="N682" t="n">
        <v>0</v>
      </c>
      <c r="O682" t="n">
        <v>1</v>
      </c>
      <c r="P682" t="n">
        <v>1</v>
      </c>
      <c r="Q682" t="n">
        <v>1</v>
      </c>
      <c r="R682" s="2" t="inlineStr">
        <is>
          <t>Knärot</t>
        </is>
      </c>
      <c r="S682">
        <f>HYPERLINK("https://klasma.github.io/Logging_0380/artfynd/A 9206-2024 artfynd.xlsx", "A 9206-2024")</f>
        <v/>
      </c>
      <c r="T682">
        <f>HYPERLINK("https://klasma.github.io/Logging_0380/kartor/A 9206-2024 karta.png", "A 9206-2024")</f>
        <v/>
      </c>
      <c r="U682">
        <f>HYPERLINK("https://klasma.github.io/Logging_0380/knärot/A 9206-2024 karta knärot.png", "A 9206-2024")</f>
        <v/>
      </c>
      <c r="V682">
        <f>HYPERLINK("https://klasma.github.io/Logging_0380/klagomål/A 9206-2024 FSC-klagomål.docx", "A 9206-2024")</f>
        <v/>
      </c>
      <c r="W682">
        <f>HYPERLINK("https://klasma.github.io/Logging_0380/klagomålsmail/A 9206-2024 FSC-klagomål mail.docx", "A 9206-2024")</f>
        <v/>
      </c>
      <c r="X682">
        <f>HYPERLINK("https://klasma.github.io/Logging_0380/tillsyn/A 9206-2024 tillsynsbegäran.docx", "A 9206-2024")</f>
        <v/>
      </c>
      <c r="Y682">
        <f>HYPERLINK("https://klasma.github.io/Logging_0380/tillsynsmail/A 9206-2024 tillsynsbegäran mail.docx", "A 9206-2024")</f>
        <v/>
      </c>
    </row>
    <row r="683" ht="15" customHeight="1">
      <c r="A683" t="inlineStr">
        <is>
          <t>A 10210-2024</t>
        </is>
      </c>
      <c r="B683" s="1" t="n">
        <v>45364</v>
      </c>
      <c r="C683" s="1" t="n">
        <v>45792</v>
      </c>
      <c r="D683" t="inlineStr">
        <is>
          <t>UPPSALA LÄN</t>
        </is>
      </c>
      <c r="E683" t="inlineStr">
        <is>
          <t>ÖSTHAMMAR</t>
        </is>
      </c>
      <c r="F683" t="inlineStr">
        <is>
          <t>Bergvik skog öst AB</t>
        </is>
      </c>
      <c r="G683" t="n">
        <v>18</v>
      </c>
      <c r="H683" t="n">
        <v>1</v>
      </c>
      <c r="I683" t="n">
        <v>0</v>
      </c>
      <c r="J683" t="n">
        <v>0</v>
      </c>
      <c r="K683" t="n">
        <v>0</v>
      </c>
      <c r="L683" t="n">
        <v>0</v>
      </c>
      <c r="M683" t="n">
        <v>0</v>
      </c>
      <c r="N683" t="n">
        <v>0</v>
      </c>
      <c r="O683" t="n">
        <v>0</v>
      </c>
      <c r="P683" t="n">
        <v>0</v>
      </c>
      <c r="Q683" t="n">
        <v>1</v>
      </c>
      <c r="R683" s="2" t="inlineStr">
        <is>
          <t>Tjäder</t>
        </is>
      </c>
      <c r="S683">
        <f>HYPERLINK("https://klasma.github.io/Logging_0382/artfynd/A 10210-2024 artfynd.xlsx", "A 10210-2024")</f>
        <v/>
      </c>
      <c r="T683">
        <f>HYPERLINK("https://klasma.github.io/Logging_0382/kartor/A 10210-2024 karta.png", "A 10210-2024")</f>
        <v/>
      </c>
      <c r="V683">
        <f>HYPERLINK("https://klasma.github.io/Logging_0382/klagomål/A 10210-2024 FSC-klagomål.docx", "A 10210-2024")</f>
        <v/>
      </c>
      <c r="W683">
        <f>HYPERLINK("https://klasma.github.io/Logging_0382/klagomålsmail/A 10210-2024 FSC-klagomål mail.docx", "A 10210-2024")</f>
        <v/>
      </c>
      <c r="X683">
        <f>HYPERLINK("https://klasma.github.io/Logging_0382/tillsyn/A 10210-2024 tillsynsbegäran.docx", "A 10210-2024")</f>
        <v/>
      </c>
      <c r="Y683">
        <f>HYPERLINK("https://klasma.github.io/Logging_0382/tillsynsmail/A 10210-2024 tillsynsbegäran mail.docx", "A 10210-2024")</f>
        <v/>
      </c>
      <c r="Z683">
        <f>HYPERLINK("https://klasma.github.io/Logging_0382/fåglar/A 10210-2024 prioriterade fågelarter.docx", "A 10210-2024")</f>
        <v/>
      </c>
    </row>
    <row r="684" ht="15" customHeight="1">
      <c r="A684" t="inlineStr">
        <is>
          <t>A 10227-2024</t>
        </is>
      </c>
      <c r="B684" s="1" t="n">
        <v>45365</v>
      </c>
      <c r="C684" s="1" t="n">
        <v>45792</v>
      </c>
      <c r="D684" t="inlineStr">
        <is>
          <t>UPPSALA LÄN</t>
        </is>
      </c>
      <c r="E684" t="inlineStr">
        <is>
          <t>HÅBO</t>
        </is>
      </c>
      <c r="G684" t="n">
        <v>14.9</v>
      </c>
      <c r="H684" t="n">
        <v>0</v>
      </c>
      <c r="I684" t="n">
        <v>1</v>
      </c>
      <c r="J684" t="n">
        <v>0</v>
      </c>
      <c r="K684" t="n">
        <v>0</v>
      </c>
      <c r="L684" t="n">
        <v>0</v>
      </c>
      <c r="M684" t="n">
        <v>0</v>
      </c>
      <c r="N684" t="n">
        <v>0</v>
      </c>
      <c r="O684" t="n">
        <v>0</v>
      </c>
      <c r="P684" t="n">
        <v>0</v>
      </c>
      <c r="Q684" t="n">
        <v>1</v>
      </c>
      <c r="R684" s="2" t="inlineStr">
        <is>
          <t>Svavelriska</t>
        </is>
      </c>
      <c r="S684">
        <f>HYPERLINK("https://klasma.github.io/Logging_0305/artfynd/A 10227-2024 artfynd.xlsx", "A 10227-2024")</f>
        <v/>
      </c>
      <c r="T684">
        <f>HYPERLINK("https://klasma.github.io/Logging_0305/kartor/A 10227-2024 karta.png", "A 10227-2024")</f>
        <v/>
      </c>
      <c r="V684">
        <f>HYPERLINK("https://klasma.github.io/Logging_0305/klagomål/A 10227-2024 FSC-klagomål.docx", "A 10227-2024")</f>
        <v/>
      </c>
      <c r="W684">
        <f>HYPERLINK("https://klasma.github.io/Logging_0305/klagomålsmail/A 10227-2024 FSC-klagomål mail.docx", "A 10227-2024")</f>
        <v/>
      </c>
      <c r="X684">
        <f>HYPERLINK("https://klasma.github.io/Logging_0305/tillsyn/A 10227-2024 tillsynsbegäran.docx", "A 10227-2024")</f>
        <v/>
      </c>
      <c r="Y684">
        <f>HYPERLINK("https://klasma.github.io/Logging_0305/tillsynsmail/A 10227-2024 tillsynsbegäran mail.docx", "A 10227-2024")</f>
        <v/>
      </c>
    </row>
    <row r="685" ht="15" customHeight="1">
      <c r="A685" t="inlineStr">
        <is>
          <t>A 12753-2024</t>
        </is>
      </c>
      <c r="B685" s="1" t="n">
        <v>45384</v>
      </c>
      <c r="C685" s="1" t="n">
        <v>45792</v>
      </c>
      <c r="D685" t="inlineStr">
        <is>
          <t>UPPSALA LÄN</t>
        </is>
      </c>
      <c r="E685" t="inlineStr">
        <is>
          <t>ÖSTHAMMAR</t>
        </is>
      </c>
      <c r="G685" t="n">
        <v>1.7</v>
      </c>
      <c r="H685" t="n">
        <v>0</v>
      </c>
      <c r="I685" t="n">
        <v>0</v>
      </c>
      <c r="J685" t="n">
        <v>1</v>
      </c>
      <c r="K685" t="n">
        <v>0</v>
      </c>
      <c r="L685" t="n">
        <v>0</v>
      </c>
      <c r="M685" t="n">
        <v>0</v>
      </c>
      <c r="N685" t="n">
        <v>0</v>
      </c>
      <c r="O685" t="n">
        <v>1</v>
      </c>
      <c r="P685" t="n">
        <v>0</v>
      </c>
      <c r="Q685" t="n">
        <v>1</v>
      </c>
      <c r="R685" s="2" t="inlineStr">
        <is>
          <t>Flattoppad klubbsvamp</t>
        </is>
      </c>
      <c r="S685">
        <f>HYPERLINK("https://klasma.github.io/Logging_0382/artfynd/A 12753-2024 artfynd.xlsx", "A 12753-2024")</f>
        <v/>
      </c>
      <c r="T685">
        <f>HYPERLINK("https://klasma.github.io/Logging_0382/kartor/A 12753-2024 karta.png", "A 12753-2024")</f>
        <v/>
      </c>
      <c r="V685">
        <f>HYPERLINK("https://klasma.github.io/Logging_0382/klagomål/A 12753-2024 FSC-klagomål.docx", "A 12753-2024")</f>
        <v/>
      </c>
      <c r="W685">
        <f>HYPERLINK("https://klasma.github.io/Logging_0382/klagomålsmail/A 12753-2024 FSC-klagomål mail.docx", "A 12753-2024")</f>
        <v/>
      </c>
      <c r="X685">
        <f>HYPERLINK("https://klasma.github.io/Logging_0382/tillsyn/A 12753-2024 tillsynsbegäran.docx", "A 12753-2024")</f>
        <v/>
      </c>
      <c r="Y685">
        <f>HYPERLINK("https://klasma.github.io/Logging_0382/tillsynsmail/A 12753-2024 tillsynsbegäran mail.docx", "A 12753-2024")</f>
        <v/>
      </c>
    </row>
    <row r="686" ht="15" customHeight="1">
      <c r="A686" t="inlineStr">
        <is>
          <t>A 13093-2024</t>
        </is>
      </c>
      <c r="B686" s="1" t="n">
        <v>45385</v>
      </c>
      <c r="C686" s="1" t="n">
        <v>45792</v>
      </c>
      <c r="D686" t="inlineStr">
        <is>
          <t>UPPSALA LÄN</t>
        </is>
      </c>
      <c r="E686" t="inlineStr">
        <is>
          <t>UPPSALA</t>
        </is>
      </c>
      <c r="G686" t="n">
        <v>1.1</v>
      </c>
      <c r="H686" t="n">
        <v>1</v>
      </c>
      <c r="I686" t="n">
        <v>1</v>
      </c>
      <c r="J686" t="n">
        <v>0</v>
      </c>
      <c r="K686" t="n">
        <v>0</v>
      </c>
      <c r="L686" t="n">
        <v>0</v>
      </c>
      <c r="M686" t="n">
        <v>0</v>
      </c>
      <c r="N686" t="n">
        <v>0</v>
      </c>
      <c r="O686" t="n">
        <v>0</v>
      </c>
      <c r="P686" t="n">
        <v>0</v>
      </c>
      <c r="Q686" t="n">
        <v>1</v>
      </c>
      <c r="R686" s="2" t="inlineStr">
        <is>
          <t>Skogsknipprot</t>
        </is>
      </c>
      <c r="S686">
        <f>HYPERLINK("https://klasma.github.io/Logging_0380/artfynd/A 13093-2024 artfynd.xlsx", "A 13093-2024")</f>
        <v/>
      </c>
      <c r="T686">
        <f>HYPERLINK("https://klasma.github.io/Logging_0380/kartor/A 13093-2024 karta.png", "A 13093-2024")</f>
        <v/>
      </c>
      <c r="V686">
        <f>HYPERLINK("https://klasma.github.io/Logging_0380/klagomål/A 13093-2024 FSC-klagomål.docx", "A 13093-2024")</f>
        <v/>
      </c>
      <c r="W686">
        <f>HYPERLINK("https://klasma.github.io/Logging_0380/klagomålsmail/A 13093-2024 FSC-klagomål mail.docx", "A 13093-2024")</f>
        <v/>
      </c>
      <c r="X686">
        <f>HYPERLINK("https://klasma.github.io/Logging_0380/tillsyn/A 13093-2024 tillsynsbegäran.docx", "A 13093-2024")</f>
        <v/>
      </c>
      <c r="Y686">
        <f>HYPERLINK("https://klasma.github.io/Logging_0380/tillsynsmail/A 13093-2024 tillsynsbegäran mail.docx", "A 13093-2024")</f>
        <v/>
      </c>
    </row>
    <row r="687" ht="15" customHeight="1">
      <c r="A687" t="inlineStr">
        <is>
          <t>A 13255-2024</t>
        </is>
      </c>
      <c r="B687" s="1" t="n">
        <v>45386</v>
      </c>
      <c r="C687" s="1" t="n">
        <v>45792</v>
      </c>
      <c r="D687" t="inlineStr">
        <is>
          <t>UPPSALA LÄN</t>
        </is>
      </c>
      <c r="E687" t="inlineStr">
        <is>
          <t>ENKÖPING</t>
        </is>
      </c>
      <c r="G687" t="n">
        <v>3.8</v>
      </c>
      <c r="H687" t="n">
        <v>0</v>
      </c>
      <c r="I687" t="n">
        <v>1</v>
      </c>
      <c r="J687" t="n">
        <v>0</v>
      </c>
      <c r="K687" t="n">
        <v>0</v>
      </c>
      <c r="L687" t="n">
        <v>0</v>
      </c>
      <c r="M687" t="n">
        <v>0</v>
      </c>
      <c r="N687" t="n">
        <v>0</v>
      </c>
      <c r="O687" t="n">
        <v>0</v>
      </c>
      <c r="P687" t="n">
        <v>0</v>
      </c>
      <c r="Q687" t="n">
        <v>1</v>
      </c>
      <c r="R687" s="2" t="inlineStr">
        <is>
          <t>Stor aspticka</t>
        </is>
      </c>
      <c r="S687">
        <f>HYPERLINK("https://klasma.github.io/Logging_0381/artfynd/A 13255-2024 artfynd.xlsx", "A 13255-2024")</f>
        <v/>
      </c>
      <c r="T687">
        <f>HYPERLINK("https://klasma.github.io/Logging_0381/kartor/A 13255-2024 karta.png", "A 13255-2024")</f>
        <v/>
      </c>
      <c r="V687">
        <f>HYPERLINK("https://klasma.github.io/Logging_0381/klagomål/A 13255-2024 FSC-klagomål.docx", "A 13255-2024")</f>
        <v/>
      </c>
      <c r="W687">
        <f>HYPERLINK("https://klasma.github.io/Logging_0381/klagomålsmail/A 13255-2024 FSC-klagomål mail.docx", "A 13255-2024")</f>
        <v/>
      </c>
      <c r="X687">
        <f>HYPERLINK("https://klasma.github.io/Logging_0381/tillsyn/A 13255-2024 tillsynsbegäran.docx", "A 13255-2024")</f>
        <v/>
      </c>
      <c r="Y687">
        <f>HYPERLINK("https://klasma.github.io/Logging_0381/tillsynsmail/A 13255-2024 tillsynsbegäran mail.docx", "A 13255-2024")</f>
        <v/>
      </c>
    </row>
    <row r="688" ht="15" customHeight="1">
      <c r="A688" t="inlineStr">
        <is>
          <t>A 13661-2024</t>
        </is>
      </c>
      <c r="B688" s="1" t="n">
        <v>45390</v>
      </c>
      <c r="C688" s="1" t="n">
        <v>45792</v>
      </c>
      <c r="D688" t="inlineStr">
        <is>
          <t>UPPSALA LÄN</t>
        </is>
      </c>
      <c r="E688" t="inlineStr">
        <is>
          <t>UPPSALA</t>
        </is>
      </c>
      <c r="F688" t="inlineStr">
        <is>
          <t>Holmen skog AB</t>
        </is>
      </c>
      <c r="G688" t="n">
        <v>3.7</v>
      </c>
      <c r="H688" t="n">
        <v>0</v>
      </c>
      <c r="I688" t="n">
        <v>0</v>
      </c>
      <c r="J688" t="n">
        <v>1</v>
      </c>
      <c r="K688" t="n">
        <v>0</v>
      </c>
      <c r="L688" t="n">
        <v>0</v>
      </c>
      <c r="M688" t="n">
        <v>0</v>
      </c>
      <c r="N688" t="n">
        <v>0</v>
      </c>
      <c r="O688" t="n">
        <v>1</v>
      </c>
      <c r="P688" t="n">
        <v>0</v>
      </c>
      <c r="Q688" t="n">
        <v>1</v>
      </c>
      <c r="R688" s="2" t="inlineStr">
        <is>
          <t>Skogsklocka</t>
        </is>
      </c>
      <c r="S688">
        <f>HYPERLINK("https://klasma.github.io/Logging_0380/artfynd/A 13661-2024 artfynd.xlsx", "A 13661-2024")</f>
        <v/>
      </c>
      <c r="T688">
        <f>HYPERLINK("https://klasma.github.io/Logging_0380/kartor/A 13661-2024 karta.png", "A 13661-2024")</f>
        <v/>
      </c>
      <c r="V688">
        <f>HYPERLINK("https://klasma.github.io/Logging_0380/klagomål/A 13661-2024 FSC-klagomål.docx", "A 13661-2024")</f>
        <v/>
      </c>
      <c r="W688">
        <f>HYPERLINK("https://klasma.github.io/Logging_0380/klagomålsmail/A 13661-2024 FSC-klagomål mail.docx", "A 13661-2024")</f>
        <v/>
      </c>
      <c r="X688">
        <f>HYPERLINK("https://klasma.github.io/Logging_0380/tillsyn/A 13661-2024 tillsynsbegäran.docx", "A 13661-2024")</f>
        <v/>
      </c>
      <c r="Y688">
        <f>HYPERLINK("https://klasma.github.io/Logging_0380/tillsynsmail/A 13661-2024 tillsynsbegäran mail.docx", "A 13661-2024")</f>
        <v/>
      </c>
    </row>
    <row r="689" ht="15" customHeight="1">
      <c r="A689" t="inlineStr">
        <is>
          <t>A 14203-2024</t>
        </is>
      </c>
      <c r="B689" s="1" t="n">
        <v>45393</v>
      </c>
      <c r="C689" s="1" t="n">
        <v>45792</v>
      </c>
      <c r="D689" t="inlineStr">
        <is>
          <t>UPPSALA LÄN</t>
        </is>
      </c>
      <c r="E689" t="inlineStr">
        <is>
          <t>ÖSTHAMMAR</t>
        </is>
      </c>
      <c r="G689" t="n">
        <v>1.4</v>
      </c>
      <c r="H689" t="n">
        <v>0</v>
      </c>
      <c r="I689" t="n">
        <v>0</v>
      </c>
      <c r="J689" t="n">
        <v>1</v>
      </c>
      <c r="K689" t="n">
        <v>0</v>
      </c>
      <c r="L689" t="n">
        <v>0</v>
      </c>
      <c r="M689" t="n">
        <v>0</v>
      </c>
      <c r="N689" t="n">
        <v>0</v>
      </c>
      <c r="O689" t="n">
        <v>1</v>
      </c>
      <c r="P689" t="n">
        <v>0</v>
      </c>
      <c r="Q689" t="n">
        <v>1</v>
      </c>
      <c r="R689" s="2" t="inlineStr">
        <is>
          <t>Scharlakansvaxing</t>
        </is>
      </c>
      <c r="S689">
        <f>HYPERLINK("https://klasma.github.io/Logging_0382/artfynd/A 14203-2024 artfynd.xlsx", "A 14203-2024")</f>
        <v/>
      </c>
      <c r="T689">
        <f>HYPERLINK("https://klasma.github.io/Logging_0382/kartor/A 14203-2024 karta.png", "A 14203-2024")</f>
        <v/>
      </c>
      <c r="V689">
        <f>HYPERLINK("https://klasma.github.io/Logging_0382/klagomål/A 14203-2024 FSC-klagomål.docx", "A 14203-2024")</f>
        <v/>
      </c>
      <c r="W689">
        <f>HYPERLINK("https://klasma.github.io/Logging_0382/klagomålsmail/A 14203-2024 FSC-klagomål mail.docx", "A 14203-2024")</f>
        <v/>
      </c>
      <c r="X689">
        <f>HYPERLINK("https://klasma.github.io/Logging_0382/tillsyn/A 14203-2024 tillsynsbegäran.docx", "A 14203-2024")</f>
        <v/>
      </c>
      <c r="Y689">
        <f>HYPERLINK("https://klasma.github.io/Logging_0382/tillsynsmail/A 14203-2024 tillsynsbegäran mail.docx", "A 14203-2024")</f>
        <v/>
      </c>
    </row>
    <row r="690" ht="15" customHeight="1">
      <c r="A690" t="inlineStr">
        <is>
          <t>A 17006-2024</t>
        </is>
      </c>
      <c r="B690" s="1" t="n">
        <v>45411</v>
      </c>
      <c r="C690" s="1" t="n">
        <v>45792</v>
      </c>
      <c r="D690" t="inlineStr">
        <is>
          <t>UPPSALA LÄN</t>
        </is>
      </c>
      <c r="E690" t="inlineStr">
        <is>
          <t>HEBY</t>
        </is>
      </c>
      <c r="F690" t="inlineStr">
        <is>
          <t>Bergvik skog väst AB</t>
        </is>
      </c>
      <c r="G690" t="n">
        <v>14.6</v>
      </c>
      <c r="H690" t="n">
        <v>1</v>
      </c>
      <c r="I690" t="n">
        <v>0</v>
      </c>
      <c r="J690" t="n">
        <v>1</v>
      </c>
      <c r="K690" t="n">
        <v>0</v>
      </c>
      <c r="L690" t="n">
        <v>0</v>
      </c>
      <c r="M690" t="n">
        <v>0</v>
      </c>
      <c r="N690" t="n">
        <v>0</v>
      </c>
      <c r="O690" t="n">
        <v>1</v>
      </c>
      <c r="P690" t="n">
        <v>0</v>
      </c>
      <c r="Q690" t="n">
        <v>1</v>
      </c>
      <c r="R690" s="2" t="inlineStr">
        <is>
          <t>Järpe</t>
        </is>
      </c>
      <c r="S690">
        <f>HYPERLINK("https://klasma.github.io/Logging_0331/artfynd/A 17006-2024 artfynd.xlsx", "A 17006-2024")</f>
        <v/>
      </c>
      <c r="T690">
        <f>HYPERLINK("https://klasma.github.io/Logging_0331/kartor/A 17006-2024 karta.png", "A 17006-2024")</f>
        <v/>
      </c>
      <c r="V690">
        <f>HYPERLINK("https://klasma.github.io/Logging_0331/klagomål/A 17006-2024 FSC-klagomål.docx", "A 17006-2024")</f>
        <v/>
      </c>
      <c r="W690">
        <f>HYPERLINK("https://klasma.github.io/Logging_0331/klagomålsmail/A 17006-2024 FSC-klagomål mail.docx", "A 17006-2024")</f>
        <v/>
      </c>
      <c r="X690">
        <f>HYPERLINK("https://klasma.github.io/Logging_0331/tillsyn/A 17006-2024 tillsynsbegäran.docx", "A 17006-2024")</f>
        <v/>
      </c>
      <c r="Y690">
        <f>HYPERLINK("https://klasma.github.io/Logging_0331/tillsynsmail/A 17006-2024 tillsynsbegäran mail.docx", "A 17006-2024")</f>
        <v/>
      </c>
      <c r="Z690">
        <f>HYPERLINK("https://klasma.github.io/Logging_0331/fåglar/A 17006-2024 prioriterade fågelarter.docx", "A 17006-2024")</f>
        <v/>
      </c>
    </row>
    <row r="691" ht="15" customHeight="1">
      <c r="A691" t="inlineStr">
        <is>
          <t>A 16864-2024</t>
        </is>
      </c>
      <c r="B691" s="1" t="n">
        <v>45411</v>
      </c>
      <c r="C691" s="1" t="n">
        <v>45792</v>
      </c>
      <c r="D691" t="inlineStr">
        <is>
          <t>UPPSALA LÄN</t>
        </is>
      </c>
      <c r="E691" t="inlineStr">
        <is>
          <t>ENKÖPING</t>
        </is>
      </c>
      <c r="G691" t="n">
        <v>5.9</v>
      </c>
      <c r="H691" t="n">
        <v>1</v>
      </c>
      <c r="I691" t="n">
        <v>0</v>
      </c>
      <c r="J691" t="n">
        <v>1</v>
      </c>
      <c r="K691" t="n">
        <v>0</v>
      </c>
      <c r="L691" t="n">
        <v>0</v>
      </c>
      <c r="M691" t="n">
        <v>0</v>
      </c>
      <c r="N691" t="n">
        <v>0</v>
      </c>
      <c r="O691" t="n">
        <v>1</v>
      </c>
      <c r="P691" t="n">
        <v>0</v>
      </c>
      <c r="Q691" t="n">
        <v>1</v>
      </c>
      <c r="R691" s="2" t="inlineStr">
        <is>
          <t>Spillkråka</t>
        </is>
      </c>
      <c r="S691">
        <f>HYPERLINK("https://klasma.github.io/Logging_0381/artfynd/A 16864-2024 artfynd.xlsx", "A 16864-2024")</f>
        <v/>
      </c>
      <c r="T691">
        <f>HYPERLINK("https://klasma.github.io/Logging_0381/kartor/A 16864-2024 karta.png", "A 16864-2024")</f>
        <v/>
      </c>
      <c r="V691">
        <f>HYPERLINK("https://klasma.github.io/Logging_0381/klagomål/A 16864-2024 FSC-klagomål.docx", "A 16864-2024")</f>
        <v/>
      </c>
      <c r="W691">
        <f>HYPERLINK("https://klasma.github.io/Logging_0381/klagomålsmail/A 16864-2024 FSC-klagomål mail.docx", "A 16864-2024")</f>
        <v/>
      </c>
      <c r="X691">
        <f>HYPERLINK("https://klasma.github.io/Logging_0381/tillsyn/A 16864-2024 tillsynsbegäran.docx", "A 16864-2024")</f>
        <v/>
      </c>
      <c r="Y691">
        <f>HYPERLINK("https://klasma.github.io/Logging_0381/tillsynsmail/A 16864-2024 tillsynsbegäran mail.docx", "A 16864-2024")</f>
        <v/>
      </c>
      <c r="Z691">
        <f>HYPERLINK("https://klasma.github.io/Logging_0381/fåglar/A 16864-2024 prioriterade fågelarter.docx", "A 16864-2024")</f>
        <v/>
      </c>
    </row>
    <row r="692" ht="15" customHeight="1">
      <c r="A692" t="inlineStr">
        <is>
          <t>A 17942-2024</t>
        </is>
      </c>
      <c r="B692" s="1" t="n">
        <v>45419</v>
      </c>
      <c r="C692" s="1" t="n">
        <v>45792</v>
      </c>
      <c r="D692" t="inlineStr">
        <is>
          <t>UPPSALA LÄN</t>
        </is>
      </c>
      <c r="E692" t="inlineStr">
        <is>
          <t>ENKÖPING</t>
        </is>
      </c>
      <c r="G692" t="n">
        <v>0.8</v>
      </c>
      <c r="H692" t="n">
        <v>0</v>
      </c>
      <c r="I692" t="n">
        <v>0</v>
      </c>
      <c r="J692" t="n">
        <v>1</v>
      </c>
      <c r="K692" t="n">
        <v>0</v>
      </c>
      <c r="L692" t="n">
        <v>0</v>
      </c>
      <c r="M692" t="n">
        <v>0</v>
      </c>
      <c r="N692" t="n">
        <v>0</v>
      </c>
      <c r="O692" t="n">
        <v>1</v>
      </c>
      <c r="P692" t="n">
        <v>0</v>
      </c>
      <c r="Q692" t="n">
        <v>1</v>
      </c>
      <c r="R692" s="2" t="inlineStr">
        <is>
          <t>Ängsskära</t>
        </is>
      </c>
      <c r="S692">
        <f>HYPERLINK("https://klasma.github.io/Logging_0381/artfynd/A 17942-2024 artfynd.xlsx", "A 17942-2024")</f>
        <v/>
      </c>
      <c r="T692">
        <f>HYPERLINK("https://klasma.github.io/Logging_0381/kartor/A 17942-2024 karta.png", "A 17942-2024")</f>
        <v/>
      </c>
      <c r="V692">
        <f>HYPERLINK("https://klasma.github.io/Logging_0381/klagomål/A 17942-2024 FSC-klagomål.docx", "A 17942-2024")</f>
        <v/>
      </c>
      <c r="W692">
        <f>HYPERLINK("https://klasma.github.io/Logging_0381/klagomålsmail/A 17942-2024 FSC-klagomål mail.docx", "A 17942-2024")</f>
        <v/>
      </c>
      <c r="X692">
        <f>HYPERLINK("https://klasma.github.io/Logging_0381/tillsyn/A 17942-2024 tillsynsbegäran.docx", "A 17942-2024")</f>
        <v/>
      </c>
      <c r="Y692">
        <f>HYPERLINK("https://klasma.github.io/Logging_0381/tillsynsmail/A 17942-2024 tillsynsbegäran mail.docx", "A 17942-2024")</f>
        <v/>
      </c>
    </row>
    <row r="693" ht="15" customHeight="1">
      <c r="A693" t="inlineStr">
        <is>
          <t>A 17972-2024</t>
        </is>
      </c>
      <c r="B693" s="1" t="n">
        <v>45419</v>
      </c>
      <c r="C693" s="1" t="n">
        <v>45792</v>
      </c>
      <c r="D693" t="inlineStr">
        <is>
          <t>UPPSALA LÄN</t>
        </is>
      </c>
      <c r="E693" t="inlineStr">
        <is>
          <t>HEBY</t>
        </is>
      </c>
      <c r="F693" t="inlineStr">
        <is>
          <t>Bergvik skog väst AB</t>
        </is>
      </c>
      <c r="G693" t="n">
        <v>9.699999999999999</v>
      </c>
      <c r="H693" t="n">
        <v>0</v>
      </c>
      <c r="I693" t="n">
        <v>1</v>
      </c>
      <c r="J693" t="n">
        <v>0</v>
      </c>
      <c r="K693" t="n">
        <v>0</v>
      </c>
      <c r="L693" t="n">
        <v>0</v>
      </c>
      <c r="M693" t="n">
        <v>0</v>
      </c>
      <c r="N693" t="n">
        <v>0</v>
      </c>
      <c r="O693" t="n">
        <v>0</v>
      </c>
      <c r="P693" t="n">
        <v>0</v>
      </c>
      <c r="Q693" t="n">
        <v>1</v>
      </c>
      <c r="R693" s="2" t="inlineStr">
        <is>
          <t>Spädstarr</t>
        </is>
      </c>
      <c r="S693">
        <f>HYPERLINK("https://klasma.github.io/Logging_0331/artfynd/A 17972-2024 artfynd.xlsx", "A 17972-2024")</f>
        <v/>
      </c>
      <c r="T693">
        <f>HYPERLINK("https://klasma.github.io/Logging_0331/kartor/A 17972-2024 karta.png", "A 17972-2024")</f>
        <v/>
      </c>
      <c r="V693">
        <f>HYPERLINK("https://klasma.github.io/Logging_0331/klagomål/A 17972-2024 FSC-klagomål.docx", "A 17972-2024")</f>
        <v/>
      </c>
      <c r="W693">
        <f>HYPERLINK("https://klasma.github.io/Logging_0331/klagomålsmail/A 17972-2024 FSC-klagomål mail.docx", "A 17972-2024")</f>
        <v/>
      </c>
      <c r="X693">
        <f>HYPERLINK("https://klasma.github.io/Logging_0331/tillsyn/A 17972-2024 tillsynsbegäran.docx", "A 17972-2024")</f>
        <v/>
      </c>
      <c r="Y693">
        <f>HYPERLINK("https://klasma.github.io/Logging_0331/tillsynsmail/A 17972-2024 tillsynsbegäran mail.docx", "A 17972-2024")</f>
        <v/>
      </c>
    </row>
    <row r="694" ht="15" customHeight="1">
      <c r="A694" t="inlineStr">
        <is>
          <t>A 18348-2024</t>
        </is>
      </c>
      <c r="B694" s="1" t="n">
        <v>45422</v>
      </c>
      <c r="C694" s="1" t="n">
        <v>45792</v>
      </c>
      <c r="D694" t="inlineStr">
        <is>
          <t>UPPSALA LÄN</t>
        </is>
      </c>
      <c r="E694" t="inlineStr">
        <is>
          <t>UPPSALA</t>
        </is>
      </c>
      <c r="F694" t="inlineStr">
        <is>
          <t>Holmen skog AB</t>
        </is>
      </c>
      <c r="G694" t="n">
        <v>2.8</v>
      </c>
      <c r="H694" t="n">
        <v>0</v>
      </c>
      <c r="I694" t="n">
        <v>0</v>
      </c>
      <c r="J694" t="n">
        <v>1</v>
      </c>
      <c r="K694" t="n">
        <v>0</v>
      </c>
      <c r="L694" t="n">
        <v>0</v>
      </c>
      <c r="M694" t="n">
        <v>0</v>
      </c>
      <c r="N694" t="n">
        <v>0</v>
      </c>
      <c r="O694" t="n">
        <v>1</v>
      </c>
      <c r="P694" t="n">
        <v>0</v>
      </c>
      <c r="Q694" t="n">
        <v>1</v>
      </c>
      <c r="R694" s="2" t="inlineStr">
        <is>
          <t>Granticka</t>
        </is>
      </c>
      <c r="S694">
        <f>HYPERLINK("https://klasma.github.io/Logging_0380/artfynd/A 18348-2024 artfynd.xlsx", "A 18348-2024")</f>
        <v/>
      </c>
      <c r="T694">
        <f>HYPERLINK("https://klasma.github.io/Logging_0380/kartor/A 18348-2024 karta.png", "A 18348-2024")</f>
        <v/>
      </c>
      <c r="V694">
        <f>HYPERLINK("https://klasma.github.io/Logging_0380/klagomål/A 18348-2024 FSC-klagomål.docx", "A 18348-2024")</f>
        <v/>
      </c>
      <c r="W694">
        <f>HYPERLINK("https://klasma.github.io/Logging_0380/klagomålsmail/A 18348-2024 FSC-klagomål mail.docx", "A 18348-2024")</f>
        <v/>
      </c>
      <c r="X694">
        <f>HYPERLINK("https://klasma.github.io/Logging_0380/tillsyn/A 18348-2024 tillsynsbegäran.docx", "A 18348-2024")</f>
        <v/>
      </c>
      <c r="Y694">
        <f>HYPERLINK("https://klasma.github.io/Logging_0380/tillsynsmail/A 18348-2024 tillsynsbegäran mail.docx", "A 18348-2024")</f>
        <v/>
      </c>
    </row>
    <row r="695" ht="15" customHeight="1">
      <c r="A695" t="inlineStr">
        <is>
          <t>A 18416-2024</t>
        </is>
      </c>
      <c r="B695" s="1" t="n">
        <v>45425</v>
      </c>
      <c r="C695" s="1" t="n">
        <v>45792</v>
      </c>
      <c r="D695" t="inlineStr">
        <is>
          <t>UPPSALA LÄN</t>
        </is>
      </c>
      <c r="E695" t="inlineStr">
        <is>
          <t>ENKÖPING</t>
        </is>
      </c>
      <c r="G695" t="n">
        <v>4.5</v>
      </c>
      <c r="H695" t="n">
        <v>1</v>
      </c>
      <c r="I695" t="n">
        <v>1</v>
      </c>
      <c r="J695" t="n">
        <v>0</v>
      </c>
      <c r="K695" t="n">
        <v>0</v>
      </c>
      <c r="L695" t="n">
        <v>0</v>
      </c>
      <c r="M695" t="n">
        <v>0</v>
      </c>
      <c r="N695" t="n">
        <v>0</v>
      </c>
      <c r="O695" t="n">
        <v>0</v>
      </c>
      <c r="P695" t="n">
        <v>0</v>
      </c>
      <c r="Q695" t="n">
        <v>1</v>
      </c>
      <c r="R695" s="2" t="inlineStr">
        <is>
          <t>Grön sköldmossa</t>
        </is>
      </c>
      <c r="S695">
        <f>HYPERLINK("https://klasma.github.io/Logging_0381/artfynd/A 18416-2024 artfynd.xlsx", "A 18416-2024")</f>
        <v/>
      </c>
      <c r="T695">
        <f>HYPERLINK("https://klasma.github.io/Logging_0381/kartor/A 18416-2024 karta.png", "A 18416-2024")</f>
        <v/>
      </c>
      <c r="V695">
        <f>HYPERLINK("https://klasma.github.io/Logging_0381/klagomål/A 18416-2024 FSC-klagomål.docx", "A 18416-2024")</f>
        <v/>
      </c>
      <c r="W695">
        <f>HYPERLINK("https://klasma.github.io/Logging_0381/klagomålsmail/A 18416-2024 FSC-klagomål mail.docx", "A 18416-2024")</f>
        <v/>
      </c>
      <c r="X695">
        <f>HYPERLINK("https://klasma.github.io/Logging_0381/tillsyn/A 18416-2024 tillsynsbegäran.docx", "A 18416-2024")</f>
        <v/>
      </c>
      <c r="Y695">
        <f>HYPERLINK("https://klasma.github.io/Logging_0381/tillsynsmail/A 18416-2024 tillsynsbegäran mail.docx", "A 18416-2024")</f>
        <v/>
      </c>
    </row>
    <row r="696" ht="15" customHeight="1">
      <c r="A696" t="inlineStr">
        <is>
          <t>A 18509-2024</t>
        </is>
      </c>
      <c r="B696" s="1" t="n">
        <v>45425</v>
      </c>
      <c r="C696" s="1" t="n">
        <v>45792</v>
      </c>
      <c r="D696" t="inlineStr">
        <is>
          <t>UPPSALA LÄN</t>
        </is>
      </c>
      <c r="E696" t="inlineStr">
        <is>
          <t>UPPSALA</t>
        </is>
      </c>
      <c r="G696" t="n">
        <v>4</v>
      </c>
      <c r="H696" t="n">
        <v>0</v>
      </c>
      <c r="I696" t="n">
        <v>1</v>
      </c>
      <c r="J696" t="n">
        <v>0</v>
      </c>
      <c r="K696" t="n">
        <v>0</v>
      </c>
      <c r="L696" t="n">
        <v>0</v>
      </c>
      <c r="M696" t="n">
        <v>0</v>
      </c>
      <c r="N696" t="n">
        <v>0</v>
      </c>
      <c r="O696" t="n">
        <v>0</v>
      </c>
      <c r="P696" t="n">
        <v>0</v>
      </c>
      <c r="Q696" t="n">
        <v>1</v>
      </c>
      <c r="R696" s="2" t="inlineStr">
        <is>
          <t>Fällmossa</t>
        </is>
      </c>
      <c r="S696">
        <f>HYPERLINK("https://klasma.github.io/Logging_0380/artfynd/A 18509-2024 artfynd.xlsx", "A 18509-2024")</f>
        <v/>
      </c>
      <c r="T696">
        <f>HYPERLINK("https://klasma.github.io/Logging_0380/kartor/A 18509-2024 karta.png", "A 18509-2024")</f>
        <v/>
      </c>
      <c r="V696">
        <f>HYPERLINK("https://klasma.github.io/Logging_0380/klagomål/A 18509-2024 FSC-klagomål.docx", "A 18509-2024")</f>
        <v/>
      </c>
      <c r="W696">
        <f>HYPERLINK("https://klasma.github.io/Logging_0380/klagomålsmail/A 18509-2024 FSC-klagomål mail.docx", "A 18509-2024")</f>
        <v/>
      </c>
      <c r="X696">
        <f>HYPERLINK("https://klasma.github.io/Logging_0380/tillsyn/A 18509-2024 tillsynsbegäran.docx", "A 18509-2024")</f>
        <v/>
      </c>
      <c r="Y696">
        <f>HYPERLINK("https://klasma.github.io/Logging_0380/tillsynsmail/A 18509-2024 tillsynsbegäran mail.docx", "A 18509-2024")</f>
        <v/>
      </c>
    </row>
    <row r="697" ht="15" customHeight="1">
      <c r="A697" t="inlineStr">
        <is>
          <t>A 19139-2024</t>
        </is>
      </c>
      <c r="B697" s="1" t="n">
        <v>45428</v>
      </c>
      <c r="C697" s="1" t="n">
        <v>45792</v>
      </c>
      <c r="D697" t="inlineStr">
        <is>
          <t>UPPSALA LÄN</t>
        </is>
      </c>
      <c r="E697" t="inlineStr">
        <is>
          <t>HEBY</t>
        </is>
      </c>
      <c r="G697" t="n">
        <v>11.8</v>
      </c>
      <c r="H697" t="n">
        <v>0</v>
      </c>
      <c r="I697" t="n">
        <v>1</v>
      </c>
      <c r="J697" t="n">
        <v>0</v>
      </c>
      <c r="K697" t="n">
        <v>0</v>
      </c>
      <c r="L697" t="n">
        <v>0</v>
      </c>
      <c r="M697" t="n">
        <v>0</v>
      </c>
      <c r="N697" t="n">
        <v>0</v>
      </c>
      <c r="O697" t="n">
        <v>0</v>
      </c>
      <c r="P697" t="n">
        <v>0</v>
      </c>
      <c r="Q697" t="n">
        <v>1</v>
      </c>
      <c r="R697" s="2" t="inlineStr">
        <is>
          <t>Ögonpyrola</t>
        </is>
      </c>
      <c r="S697">
        <f>HYPERLINK("https://klasma.github.io/Logging_0331/artfynd/A 19139-2024 artfynd.xlsx", "A 19139-2024")</f>
        <v/>
      </c>
      <c r="T697">
        <f>HYPERLINK("https://klasma.github.io/Logging_0331/kartor/A 19139-2024 karta.png", "A 19139-2024")</f>
        <v/>
      </c>
      <c r="V697">
        <f>HYPERLINK("https://klasma.github.io/Logging_0331/klagomål/A 19139-2024 FSC-klagomål.docx", "A 19139-2024")</f>
        <v/>
      </c>
      <c r="W697">
        <f>HYPERLINK("https://klasma.github.io/Logging_0331/klagomålsmail/A 19139-2024 FSC-klagomål mail.docx", "A 19139-2024")</f>
        <v/>
      </c>
      <c r="X697">
        <f>HYPERLINK("https://klasma.github.io/Logging_0331/tillsyn/A 19139-2024 tillsynsbegäran.docx", "A 19139-2024")</f>
        <v/>
      </c>
      <c r="Y697">
        <f>HYPERLINK("https://klasma.github.io/Logging_0331/tillsynsmail/A 19139-2024 tillsynsbegäran mail.docx", "A 19139-2024")</f>
        <v/>
      </c>
    </row>
    <row r="698" ht="15" customHeight="1">
      <c r="A698" t="inlineStr">
        <is>
          <t>A 19300-2024</t>
        </is>
      </c>
      <c r="B698" s="1" t="n">
        <v>45428</v>
      </c>
      <c r="C698" s="1" t="n">
        <v>45792</v>
      </c>
      <c r="D698" t="inlineStr">
        <is>
          <t>UPPSALA LÄN</t>
        </is>
      </c>
      <c r="E698" t="inlineStr">
        <is>
          <t>ÄLVKARLEBY</t>
        </is>
      </c>
      <c r="G698" t="n">
        <v>0.9</v>
      </c>
      <c r="H698" t="n">
        <v>1</v>
      </c>
      <c r="I698" t="n">
        <v>0</v>
      </c>
      <c r="J698" t="n">
        <v>0</v>
      </c>
      <c r="K698" t="n">
        <v>1</v>
      </c>
      <c r="L698" t="n">
        <v>0</v>
      </c>
      <c r="M698" t="n">
        <v>0</v>
      </c>
      <c r="N698" t="n">
        <v>0</v>
      </c>
      <c r="O698" t="n">
        <v>1</v>
      </c>
      <c r="P698" t="n">
        <v>1</v>
      </c>
      <c r="Q698" t="n">
        <v>1</v>
      </c>
      <c r="R698" s="2" t="inlineStr">
        <is>
          <t>Kricka</t>
        </is>
      </c>
      <c r="S698">
        <f>HYPERLINK("https://klasma.github.io/Logging_0319/artfynd/A 19300-2024 artfynd.xlsx", "A 19300-2024")</f>
        <v/>
      </c>
      <c r="T698">
        <f>HYPERLINK("https://klasma.github.io/Logging_0319/kartor/A 19300-2024 karta.png", "A 19300-2024")</f>
        <v/>
      </c>
      <c r="V698">
        <f>HYPERLINK("https://klasma.github.io/Logging_0319/klagomål/A 19300-2024 FSC-klagomål.docx", "A 19300-2024")</f>
        <v/>
      </c>
      <c r="W698">
        <f>HYPERLINK("https://klasma.github.io/Logging_0319/klagomålsmail/A 19300-2024 FSC-klagomål mail.docx", "A 19300-2024")</f>
        <v/>
      </c>
      <c r="X698">
        <f>HYPERLINK("https://klasma.github.io/Logging_0319/tillsyn/A 19300-2024 tillsynsbegäran.docx", "A 19300-2024")</f>
        <v/>
      </c>
      <c r="Y698">
        <f>HYPERLINK("https://klasma.github.io/Logging_0319/tillsynsmail/A 19300-2024 tillsynsbegäran mail.docx", "A 19300-2024")</f>
        <v/>
      </c>
      <c r="Z698">
        <f>HYPERLINK("https://klasma.github.io/Logging_0319/fåglar/A 19300-2024 prioriterade fågelarter.docx", "A 19300-2024")</f>
        <v/>
      </c>
    </row>
    <row r="699" ht="15" customHeight="1">
      <c r="A699" t="inlineStr">
        <is>
          <t>A 19481-2024</t>
        </is>
      </c>
      <c r="B699" s="1" t="n">
        <v>45429</v>
      </c>
      <c r="C699" s="1" t="n">
        <v>45792</v>
      </c>
      <c r="D699" t="inlineStr">
        <is>
          <t>UPPSALA LÄN</t>
        </is>
      </c>
      <c r="E699" t="inlineStr">
        <is>
          <t>HEBY</t>
        </is>
      </c>
      <c r="G699" t="n">
        <v>15.7</v>
      </c>
      <c r="H699" t="n">
        <v>0</v>
      </c>
      <c r="I699" t="n">
        <v>0</v>
      </c>
      <c r="J699" t="n">
        <v>1</v>
      </c>
      <c r="K699" t="n">
        <v>0</v>
      </c>
      <c r="L699" t="n">
        <v>0</v>
      </c>
      <c r="M699" t="n">
        <v>0</v>
      </c>
      <c r="N699" t="n">
        <v>0</v>
      </c>
      <c r="O699" t="n">
        <v>1</v>
      </c>
      <c r="P699" t="n">
        <v>0</v>
      </c>
      <c r="Q699" t="n">
        <v>1</v>
      </c>
      <c r="R699" s="2" t="inlineStr">
        <is>
          <t>Ullticka</t>
        </is>
      </c>
      <c r="S699">
        <f>HYPERLINK("https://klasma.github.io/Logging_0331/artfynd/A 19481-2024 artfynd.xlsx", "A 19481-2024")</f>
        <v/>
      </c>
      <c r="T699">
        <f>HYPERLINK("https://klasma.github.io/Logging_0331/kartor/A 19481-2024 karta.png", "A 19481-2024")</f>
        <v/>
      </c>
      <c r="V699">
        <f>HYPERLINK("https://klasma.github.io/Logging_0331/klagomål/A 19481-2024 FSC-klagomål.docx", "A 19481-2024")</f>
        <v/>
      </c>
      <c r="W699">
        <f>HYPERLINK("https://klasma.github.io/Logging_0331/klagomålsmail/A 19481-2024 FSC-klagomål mail.docx", "A 19481-2024")</f>
        <v/>
      </c>
      <c r="X699">
        <f>HYPERLINK("https://klasma.github.io/Logging_0331/tillsyn/A 19481-2024 tillsynsbegäran.docx", "A 19481-2024")</f>
        <v/>
      </c>
      <c r="Y699">
        <f>HYPERLINK("https://klasma.github.io/Logging_0331/tillsynsmail/A 19481-2024 tillsynsbegäran mail.docx", "A 19481-2024")</f>
        <v/>
      </c>
    </row>
    <row r="700" ht="15" customHeight="1">
      <c r="A700" t="inlineStr">
        <is>
          <t>A 21671-2024</t>
        </is>
      </c>
      <c r="B700" s="1" t="n">
        <v>45442</v>
      </c>
      <c r="C700" s="1" t="n">
        <v>45792</v>
      </c>
      <c r="D700" t="inlineStr">
        <is>
          <t>UPPSALA LÄN</t>
        </is>
      </c>
      <c r="E700" t="inlineStr">
        <is>
          <t>UPPSALA</t>
        </is>
      </c>
      <c r="G700" t="n">
        <v>3.7</v>
      </c>
      <c r="H700" t="n">
        <v>1</v>
      </c>
      <c r="I700" t="n">
        <v>0</v>
      </c>
      <c r="J700" t="n">
        <v>0</v>
      </c>
      <c r="K700" t="n">
        <v>1</v>
      </c>
      <c r="L700" t="n">
        <v>0</v>
      </c>
      <c r="M700" t="n">
        <v>0</v>
      </c>
      <c r="N700" t="n">
        <v>0</v>
      </c>
      <c r="O700" t="n">
        <v>1</v>
      </c>
      <c r="P700" t="n">
        <v>1</v>
      </c>
      <c r="Q700" t="n">
        <v>1</v>
      </c>
      <c r="R700" s="2" t="inlineStr">
        <is>
          <t>Knärot</t>
        </is>
      </c>
      <c r="S700">
        <f>HYPERLINK("https://klasma.github.io/Logging_0380/artfynd/A 21671-2024 artfynd.xlsx", "A 21671-2024")</f>
        <v/>
      </c>
      <c r="T700">
        <f>HYPERLINK("https://klasma.github.io/Logging_0380/kartor/A 21671-2024 karta.png", "A 21671-2024")</f>
        <v/>
      </c>
      <c r="U700">
        <f>HYPERLINK("https://klasma.github.io/Logging_0380/knärot/A 21671-2024 karta knärot.png", "A 21671-2024")</f>
        <v/>
      </c>
      <c r="V700">
        <f>HYPERLINK("https://klasma.github.io/Logging_0380/klagomål/A 21671-2024 FSC-klagomål.docx", "A 21671-2024")</f>
        <v/>
      </c>
      <c r="W700">
        <f>HYPERLINK("https://klasma.github.io/Logging_0380/klagomålsmail/A 21671-2024 FSC-klagomål mail.docx", "A 21671-2024")</f>
        <v/>
      </c>
      <c r="X700">
        <f>HYPERLINK("https://klasma.github.io/Logging_0380/tillsyn/A 21671-2024 tillsynsbegäran.docx", "A 21671-2024")</f>
        <v/>
      </c>
      <c r="Y700">
        <f>HYPERLINK("https://klasma.github.io/Logging_0380/tillsynsmail/A 21671-2024 tillsynsbegäran mail.docx", "A 21671-2024")</f>
        <v/>
      </c>
    </row>
    <row r="701" ht="15" customHeight="1">
      <c r="A701" t="inlineStr">
        <is>
          <t>A 21700-2024</t>
        </is>
      </c>
      <c r="B701" s="1" t="n">
        <v>45442</v>
      </c>
      <c r="C701" s="1" t="n">
        <v>45792</v>
      </c>
      <c r="D701" t="inlineStr">
        <is>
          <t>UPPSALA LÄN</t>
        </is>
      </c>
      <c r="E701" t="inlineStr">
        <is>
          <t>ÄLVKARLEBY</t>
        </is>
      </c>
      <c r="F701" t="inlineStr">
        <is>
          <t>Bergvik skog väst AB</t>
        </is>
      </c>
      <c r="G701" t="n">
        <v>1.1</v>
      </c>
      <c r="H701" t="n">
        <v>0</v>
      </c>
      <c r="I701" t="n">
        <v>0</v>
      </c>
      <c r="J701" t="n">
        <v>0</v>
      </c>
      <c r="K701" t="n">
        <v>1</v>
      </c>
      <c r="L701" t="n">
        <v>0</v>
      </c>
      <c r="M701" t="n">
        <v>0</v>
      </c>
      <c r="N701" t="n">
        <v>0</v>
      </c>
      <c r="O701" t="n">
        <v>1</v>
      </c>
      <c r="P701" t="n">
        <v>1</v>
      </c>
      <c r="Q701" t="n">
        <v>1</v>
      </c>
      <c r="R701" s="2" t="inlineStr">
        <is>
          <t>Töcknig trymal</t>
        </is>
      </c>
      <c r="S701">
        <f>HYPERLINK("https://klasma.github.io/Logging_0319/artfynd/A 21700-2024 artfynd.xlsx", "A 21700-2024")</f>
        <v/>
      </c>
      <c r="T701">
        <f>HYPERLINK("https://klasma.github.io/Logging_0319/kartor/A 21700-2024 karta.png", "A 21700-2024")</f>
        <v/>
      </c>
      <c r="V701">
        <f>HYPERLINK("https://klasma.github.io/Logging_0319/klagomål/A 21700-2024 FSC-klagomål.docx", "A 21700-2024")</f>
        <v/>
      </c>
      <c r="W701">
        <f>HYPERLINK("https://klasma.github.io/Logging_0319/klagomålsmail/A 21700-2024 FSC-klagomål mail.docx", "A 21700-2024")</f>
        <v/>
      </c>
      <c r="X701">
        <f>HYPERLINK("https://klasma.github.io/Logging_0319/tillsyn/A 21700-2024 tillsynsbegäran.docx", "A 21700-2024")</f>
        <v/>
      </c>
      <c r="Y701">
        <f>HYPERLINK("https://klasma.github.io/Logging_0319/tillsynsmail/A 21700-2024 tillsynsbegäran mail.docx", "A 21700-2024")</f>
        <v/>
      </c>
    </row>
    <row r="702" ht="15" customHeight="1">
      <c r="A702" t="inlineStr">
        <is>
          <t>A 21831-2024</t>
        </is>
      </c>
      <c r="B702" s="1" t="n">
        <v>45442</v>
      </c>
      <c r="C702" s="1" t="n">
        <v>45792</v>
      </c>
      <c r="D702" t="inlineStr">
        <is>
          <t>UPPSALA LÄN</t>
        </is>
      </c>
      <c r="E702" t="inlineStr">
        <is>
          <t>KNIVSTA</t>
        </is>
      </c>
      <c r="G702" t="n">
        <v>4.5</v>
      </c>
      <c r="H702" t="n">
        <v>1</v>
      </c>
      <c r="I702" t="n">
        <v>0</v>
      </c>
      <c r="J702" t="n">
        <v>0</v>
      </c>
      <c r="K702" t="n">
        <v>0</v>
      </c>
      <c r="L702" t="n">
        <v>0</v>
      </c>
      <c r="M702" t="n">
        <v>0</v>
      </c>
      <c r="N702" t="n">
        <v>0</v>
      </c>
      <c r="O702" t="n">
        <v>0</v>
      </c>
      <c r="P702" t="n">
        <v>0</v>
      </c>
      <c r="Q702" t="n">
        <v>1</v>
      </c>
      <c r="R702" s="2" t="inlineStr">
        <is>
          <t>Blåsippa</t>
        </is>
      </c>
      <c r="S702">
        <f>HYPERLINK("https://klasma.github.io/Logging_0330/artfynd/A 21831-2024 artfynd.xlsx", "A 21831-2024")</f>
        <v/>
      </c>
      <c r="T702">
        <f>HYPERLINK("https://klasma.github.io/Logging_0330/kartor/A 21831-2024 karta.png", "A 21831-2024")</f>
        <v/>
      </c>
      <c r="V702">
        <f>HYPERLINK("https://klasma.github.io/Logging_0330/klagomål/A 21831-2024 FSC-klagomål.docx", "A 21831-2024")</f>
        <v/>
      </c>
      <c r="W702">
        <f>HYPERLINK("https://klasma.github.io/Logging_0330/klagomålsmail/A 21831-2024 FSC-klagomål mail.docx", "A 21831-2024")</f>
        <v/>
      </c>
      <c r="X702">
        <f>HYPERLINK("https://klasma.github.io/Logging_0330/tillsyn/A 21831-2024 tillsynsbegäran.docx", "A 21831-2024")</f>
        <v/>
      </c>
      <c r="Y702">
        <f>HYPERLINK("https://klasma.github.io/Logging_0330/tillsynsmail/A 21831-2024 tillsynsbegäran mail.docx", "A 21831-2024")</f>
        <v/>
      </c>
    </row>
    <row r="703" ht="15" customHeight="1">
      <c r="A703" t="inlineStr">
        <is>
          <t>A 22375-2024</t>
        </is>
      </c>
      <c r="B703" s="1" t="n">
        <v>45446</v>
      </c>
      <c r="C703" s="1" t="n">
        <v>45792</v>
      </c>
      <c r="D703" t="inlineStr">
        <is>
          <t>UPPSALA LÄN</t>
        </is>
      </c>
      <c r="E703" t="inlineStr">
        <is>
          <t>ÖSTHAMMAR</t>
        </is>
      </c>
      <c r="F703" t="inlineStr">
        <is>
          <t>Bergvik skog öst AB</t>
        </is>
      </c>
      <c r="G703" t="n">
        <v>2.2</v>
      </c>
      <c r="H703" t="n">
        <v>0</v>
      </c>
      <c r="I703" t="n">
        <v>0</v>
      </c>
      <c r="J703" t="n">
        <v>1</v>
      </c>
      <c r="K703" t="n">
        <v>0</v>
      </c>
      <c r="L703" t="n">
        <v>0</v>
      </c>
      <c r="M703" t="n">
        <v>0</v>
      </c>
      <c r="N703" t="n">
        <v>0</v>
      </c>
      <c r="O703" t="n">
        <v>1</v>
      </c>
      <c r="P703" t="n">
        <v>0</v>
      </c>
      <c r="Q703" t="n">
        <v>1</v>
      </c>
      <c r="R703" s="2" t="inlineStr">
        <is>
          <t>Slåtterfibbla</t>
        </is>
      </c>
      <c r="S703">
        <f>HYPERLINK("https://klasma.github.io/Logging_0382/artfynd/A 22375-2024 artfynd.xlsx", "A 22375-2024")</f>
        <v/>
      </c>
      <c r="T703">
        <f>HYPERLINK("https://klasma.github.io/Logging_0382/kartor/A 22375-2024 karta.png", "A 22375-2024")</f>
        <v/>
      </c>
      <c r="V703">
        <f>HYPERLINK("https://klasma.github.io/Logging_0382/klagomål/A 22375-2024 FSC-klagomål.docx", "A 22375-2024")</f>
        <v/>
      </c>
      <c r="W703">
        <f>HYPERLINK("https://klasma.github.io/Logging_0382/klagomålsmail/A 22375-2024 FSC-klagomål mail.docx", "A 22375-2024")</f>
        <v/>
      </c>
      <c r="X703">
        <f>HYPERLINK("https://klasma.github.io/Logging_0382/tillsyn/A 22375-2024 tillsynsbegäran.docx", "A 22375-2024")</f>
        <v/>
      </c>
      <c r="Y703">
        <f>HYPERLINK("https://klasma.github.io/Logging_0382/tillsynsmail/A 22375-2024 tillsynsbegäran mail.docx", "A 22375-2024")</f>
        <v/>
      </c>
    </row>
    <row r="704" ht="15" customHeight="1">
      <c r="A704" t="inlineStr">
        <is>
          <t>A 23321-2024</t>
        </is>
      </c>
      <c r="B704" s="1" t="n">
        <v>45453</v>
      </c>
      <c r="C704" s="1" t="n">
        <v>45792</v>
      </c>
      <c r="D704" t="inlineStr">
        <is>
          <t>UPPSALA LÄN</t>
        </is>
      </c>
      <c r="E704" t="inlineStr">
        <is>
          <t>UPPSALA</t>
        </is>
      </c>
      <c r="G704" t="n">
        <v>11.8</v>
      </c>
      <c r="H704" t="n">
        <v>1</v>
      </c>
      <c r="I704" t="n">
        <v>0</v>
      </c>
      <c r="J704" t="n">
        <v>1</v>
      </c>
      <c r="K704" t="n">
        <v>0</v>
      </c>
      <c r="L704" t="n">
        <v>0</v>
      </c>
      <c r="M704" t="n">
        <v>0</v>
      </c>
      <c r="N704" t="n">
        <v>0</v>
      </c>
      <c r="O704" t="n">
        <v>1</v>
      </c>
      <c r="P704" t="n">
        <v>0</v>
      </c>
      <c r="Q704" t="n">
        <v>1</v>
      </c>
      <c r="R704" s="2" t="inlineStr">
        <is>
          <t>Talltita</t>
        </is>
      </c>
      <c r="S704">
        <f>HYPERLINK("https://klasma.github.io/Logging_0380/artfynd/A 23321-2024 artfynd.xlsx", "A 23321-2024")</f>
        <v/>
      </c>
      <c r="T704">
        <f>HYPERLINK("https://klasma.github.io/Logging_0380/kartor/A 23321-2024 karta.png", "A 23321-2024")</f>
        <v/>
      </c>
      <c r="U704">
        <f>HYPERLINK("https://klasma.github.io/Logging_0380/knärot/A 23321-2024 karta knärot.png", "A 23321-2024")</f>
        <v/>
      </c>
      <c r="V704">
        <f>HYPERLINK("https://klasma.github.io/Logging_0380/klagomål/A 23321-2024 FSC-klagomål.docx", "A 23321-2024")</f>
        <v/>
      </c>
      <c r="W704">
        <f>HYPERLINK("https://klasma.github.io/Logging_0380/klagomålsmail/A 23321-2024 FSC-klagomål mail.docx", "A 23321-2024")</f>
        <v/>
      </c>
      <c r="X704">
        <f>HYPERLINK("https://klasma.github.io/Logging_0380/tillsyn/A 23321-2024 tillsynsbegäran.docx", "A 23321-2024")</f>
        <v/>
      </c>
      <c r="Y704">
        <f>HYPERLINK("https://klasma.github.io/Logging_0380/tillsynsmail/A 23321-2024 tillsynsbegäran mail.docx", "A 23321-2024")</f>
        <v/>
      </c>
      <c r="Z704">
        <f>HYPERLINK("https://klasma.github.io/Logging_0380/fåglar/A 23321-2024 prioriterade fågelarter.docx", "A 23321-2024")</f>
        <v/>
      </c>
    </row>
    <row r="705" ht="15" customHeight="1">
      <c r="A705" t="inlineStr">
        <is>
          <t>A 23384-2024</t>
        </is>
      </c>
      <c r="B705" s="1" t="n">
        <v>45453</v>
      </c>
      <c r="C705" s="1" t="n">
        <v>45792</v>
      </c>
      <c r="D705" t="inlineStr">
        <is>
          <t>UPPSALA LÄN</t>
        </is>
      </c>
      <c r="E705" t="inlineStr">
        <is>
          <t>HEBY</t>
        </is>
      </c>
      <c r="F705" t="inlineStr">
        <is>
          <t>Bergvik skog väst AB</t>
        </is>
      </c>
      <c r="G705" t="n">
        <v>30.3</v>
      </c>
      <c r="H705" t="n">
        <v>0</v>
      </c>
      <c r="I705" t="n">
        <v>1</v>
      </c>
      <c r="J705" t="n">
        <v>0</v>
      </c>
      <c r="K705" t="n">
        <v>0</v>
      </c>
      <c r="L705" t="n">
        <v>0</v>
      </c>
      <c r="M705" t="n">
        <v>0</v>
      </c>
      <c r="N705" t="n">
        <v>0</v>
      </c>
      <c r="O705" t="n">
        <v>0</v>
      </c>
      <c r="P705" t="n">
        <v>0</v>
      </c>
      <c r="Q705" t="n">
        <v>1</v>
      </c>
      <c r="R705" s="2" t="inlineStr">
        <is>
          <t>Grönpyrola</t>
        </is>
      </c>
      <c r="S705">
        <f>HYPERLINK("https://klasma.github.io/Logging_0331/artfynd/A 23384-2024 artfynd.xlsx", "A 23384-2024")</f>
        <v/>
      </c>
      <c r="T705">
        <f>HYPERLINK("https://klasma.github.io/Logging_0331/kartor/A 23384-2024 karta.png", "A 23384-2024")</f>
        <v/>
      </c>
      <c r="V705">
        <f>HYPERLINK("https://klasma.github.io/Logging_0331/klagomål/A 23384-2024 FSC-klagomål.docx", "A 23384-2024")</f>
        <v/>
      </c>
      <c r="W705">
        <f>HYPERLINK("https://klasma.github.io/Logging_0331/klagomålsmail/A 23384-2024 FSC-klagomål mail.docx", "A 23384-2024")</f>
        <v/>
      </c>
      <c r="X705">
        <f>HYPERLINK("https://klasma.github.io/Logging_0331/tillsyn/A 23384-2024 tillsynsbegäran.docx", "A 23384-2024")</f>
        <v/>
      </c>
      <c r="Y705">
        <f>HYPERLINK("https://klasma.github.io/Logging_0331/tillsynsmail/A 23384-2024 tillsynsbegäran mail.docx", "A 23384-2024")</f>
        <v/>
      </c>
    </row>
    <row r="706" ht="15" customHeight="1">
      <c r="A706" t="inlineStr">
        <is>
          <t>A 24221-2024</t>
        </is>
      </c>
      <c r="B706" s="1" t="n">
        <v>45457</v>
      </c>
      <c r="C706" s="1" t="n">
        <v>45792</v>
      </c>
      <c r="D706" t="inlineStr">
        <is>
          <t>UPPSALA LÄN</t>
        </is>
      </c>
      <c r="E706" t="inlineStr">
        <is>
          <t>TIERP</t>
        </is>
      </c>
      <c r="G706" t="n">
        <v>7.9</v>
      </c>
      <c r="H706" t="n">
        <v>1</v>
      </c>
      <c r="I706" t="n">
        <v>1</v>
      </c>
      <c r="J706" t="n">
        <v>0</v>
      </c>
      <c r="K706" t="n">
        <v>0</v>
      </c>
      <c r="L706" t="n">
        <v>0</v>
      </c>
      <c r="M706" t="n">
        <v>0</v>
      </c>
      <c r="N706" t="n">
        <v>0</v>
      </c>
      <c r="O706" t="n">
        <v>0</v>
      </c>
      <c r="P706" t="n">
        <v>0</v>
      </c>
      <c r="Q706" t="n">
        <v>1</v>
      </c>
      <c r="R706" s="2" t="inlineStr">
        <is>
          <t>Skogsknipprot</t>
        </is>
      </c>
      <c r="S706">
        <f>HYPERLINK("https://klasma.github.io/Logging_0360/artfynd/A 24221-2024 artfynd.xlsx", "A 24221-2024")</f>
        <v/>
      </c>
      <c r="T706">
        <f>HYPERLINK("https://klasma.github.io/Logging_0360/kartor/A 24221-2024 karta.png", "A 24221-2024")</f>
        <v/>
      </c>
      <c r="V706">
        <f>HYPERLINK("https://klasma.github.io/Logging_0360/klagomål/A 24221-2024 FSC-klagomål.docx", "A 24221-2024")</f>
        <v/>
      </c>
      <c r="W706">
        <f>HYPERLINK("https://klasma.github.io/Logging_0360/klagomålsmail/A 24221-2024 FSC-klagomål mail.docx", "A 24221-2024")</f>
        <v/>
      </c>
      <c r="X706">
        <f>HYPERLINK("https://klasma.github.io/Logging_0360/tillsyn/A 24221-2024 tillsynsbegäran.docx", "A 24221-2024")</f>
        <v/>
      </c>
      <c r="Y706">
        <f>HYPERLINK("https://klasma.github.io/Logging_0360/tillsynsmail/A 24221-2024 tillsynsbegäran mail.docx", "A 24221-2024")</f>
        <v/>
      </c>
    </row>
    <row r="707" ht="15" customHeight="1">
      <c r="A707" t="inlineStr">
        <is>
          <t>A 25482-2024</t>
        </is>
      </c>
      <c r="B707" s="1" t="n">
        <v>45463</v>
      </c>
      <c r="C707" s="1" t="n">
        <v>45792</v>
      </c>
      <c r="D707" t="inlineStr">
        <is>
          <t>UPPSALA LÄN</t>
        </is>
      </c>
      <c r="E707" t="inlineStr">
        <is>
          <t>UPPSALA</t>
        </is>
      </c>
      <c r="F707" t="inlineStr">
        <is>
          <t>Övriga Aktiebolag</t>
        </is>
      </c>
      <c r="G707" t="n">
        <v>1</v>
      </c>
      <c r="H707" t="n">
        <v>0</v>
      </c>
      <c r="I707" t="n">
        <v>1</v>
      </c>
      <c r="J707" t="n">
        <v>0</v>
      </c>
      <c r="K707" t="n">
        <v>0</v>
      </c>
      <c r="L707" t="n">
        <v>0</v>
      </c>
      <c r="M707" t="n">
        <v>0</v>
      </c>
      <c r="N707" t="n">
        <v>0</v>
      </c>
      <c r="O707" t="n">
        <v>0</v>
      </c>
      <c r="P707" t="n">
        <v>0</v>
      </c>
      <c r="Q707" t="n">
        <v>1</v>
      </c>
      <c r="R707" s="2" t="inlineStr">
        <is>
          <t>Stor aspticka</t>
        </is>
      </c>
      <c r="S707">
        <f>HYPERLINK("https://klasma.github.io/Logging_0380/artfynd/A 25482-2024 artfynd.xlsx", "A 25482-2024")</f>
        <v/>
      </c>
      <c r="T707">
        <f>HYPERLINK("https://klasma.github.io/Logging_0380/kartor/A 25482-2024 karta.png", "A 25482-2024")</f>
        <v/>
      </c>
      <c r="V707">
        <f>HYPERLINK("https://klasma.github.io/Logging_0380/klagomål/A 25482-2024 FSC-klagomål.docx", "A 25482-2024")</f>
        <v/>
      </c>
      <c r="W707">
        <f>HYPERLINK("https://klasma.github.io/Logging_0380/klagomålsmail/A 25482-2024 FSC-klagomål mail.docx", "A 25482-2024")</f>
        <v/>
      </c>
      <c r="X707">
        <f>HYPERLINK("https://klasma.github.io/Logging_0380/tillsyn/A 25482-2024 tillsynsbegäran.docx", "A 25482-2024")</f>
        <v/>
      </c>
      <c r="Y707">
        <f>HYPERLINK("https://klasma.github.io/Logging_0380/tillsynsmail/A 25482-2024 tillsynsbegäran mail.docx", "A 25482-2024")</f>
        <v/>
      </c>
    </row>
    <row r="708" ht="15" customHeight="1">
      <c r="A708" t="inlineStr">
        <is>
          <t>A 25729-2024</t>
        </is>
      </c>
      <c r="B708" s="1" t="n">
        <v>45464</v>
      </c>
      <c r="C708" s="1" t="n">
        <v>45792</v>
      </c>
      <c r="D708" t="inlineStr">
        <is>
          <t>UPPSALA LÄN</t>
        </is>
      </c>
      <c r="E708" t="inlineStr">
        <is>
          <t>UPPSALA</t>
        </is>
      </c>
      <c r="G708" t="n">
        <v>22.3</v>
      </c>
      <c r="H708" t="n">
        <v>0</v>
      </c>
      <c r="I708" t="n">
        <v>0</v>
      </c>
      <c r="J708" t="n">
        <v>1</v>
      </c>
      <c r="K708" t="n">
        <v>0</v>
      </c>
      <c r="L708" t="n">
        <v>0</v>
      </c>
      <c r="M708" t="n">
        <v>0</v>
      </c>
      <c r="N708" t="n">
        <v>0</v>
      </c>
      <c r="O708" t="n">
        <v>1</v>
      </c>
      <c r="P708" t="n">
        <v>0</v>
      </c>
      <c r="Q708" t="n">
        <v>1</v>
      </c>
      <c r="R708" s="2" t="inlineStr">
        <is>
          <t>Ullticka</t>
        </is>
      </c>
      <c r="S708">
        <f>HYPERLINK("https://klasma.github.io/Logging_0380/artfynd/A 25729-2024 artfynd.xlsx", "A 25729-2024")</f>
        <v/>
      </c>
      <c r="T708">
        <f>HYPERLINK("https://klasma.github.io/Logging_0380/kartor/A 25729-2024 karta.png", "A 25729-2024")</f>
        <v/>
      </c>
      <c r="V708">
        <f>HYPERLINK("https://klasma.github.io/Logging_0380/klagomål/A 25729-2024 FSC-klagomål.docx", "A 25729-2024")</f>
        <v/>
      </c>
      <c r="W708">
        <f>HYPERLINK("https://klasma.github.io/Logging_0380/klagomålsmail/A 25729-2024 FSC-klagomål mail.docx", "A 25729-2024")</f>
        <v/>
      </c>
      <c r="X708">
        <f>HYPERLINK("https://klasma.github.io/Logging_0380/tillsyn/A 25729-2024 tillsynsbegäran.docx", "A 25729-2024")</f>
        <v/>
      </c>
      <c r="Y708">
        <f>HYPERLINK("https://klasma.github.io/Logging_0380/tillsynsmail/A 25729-2024 tillsynsbegäran mail.docx", "A 25729-2024")</f>
        <v/>
      </c>
    </row>
    <row r="709" ht="15" customHeight="1">
      <c r="A709" t="inlineStr">
        <is>
          <t>A 26598-2024</t>
        </is>
      </c>
      <c r="B709" s="1" t="n">
        <v>45469</v>
      </c>
      <c r="C709" s="1" t="n">
        <v>45792</v>
      </c>
      <c r="D709" t="inlineStr">
        <is>
          <t>UPPSALA LÄN</t>
        </is>
      </c>
      <c r="E709" t="inlineStr">
        <is>
          <t>HEBY</t>
        </is>
      </c>
      <c r="G709" t="n">
        <v>3.5</v>
      </c>
      <c r="H709" t="n">
        <v>0</v>
      </c>
      <c r="I709" t="n">
        <v>0</v>
      </c>
      <c r="J709" t="n">
        <v>1</v>
      </c>
      <c r="K709" t="n">
        <v>0</v>
      </c>
      <c r="L709" t="n">
        <v>0</v>
      </c>
      <c r="M709" t="n">
        <v>0</v>
      </c>
      <c r="N709" t="n">
        <v>0</v>
      </c>
      <c r="O709" t="n">
        <v>1</v>
      </c>
      <c r="P709" t="n">
        <v>0</v>
      </c>
      <c r="Q709" t="n">
        <v>1</v>
      </c>
      <c r="R709" s="2" t="inlineStr">
        <is>
          <t>Motaggsvamp</t>
        </is>
      </c>
      <c r="S709">
        <f>HYPERLINK("https://klasma.github.io/Logging_0331/artfynd/A 26598-2024 artfynd.xlsx", "A 26598-2024")</f>
        <v/>
      </c>
      <c r="T709">
        <f>HYPERLINK("https://klasma.github.io/Logging_0331/kartor/A 26598-2024 karta.png", "A 26598-2024")</f>
        <v/>
      </c>
      <c r="V709">
        <f>HYPERLINK("https://klasma.github.io/Logging_0331/klagomål/A 26598-2024 FSC-klagomål.docx", "A 26598-2024")</f>
        <v/>
      </c>
      <c r="W709">
        <f>HYPERLINK("https://klasma.github.io/Logging_0331/klagomålsmail/A 26598-2024 FSC-klagomål mail.docx", "A 26598-2024")</f>
        <v/>
      </c>
      <c r="X709">
        <f>HYPERLINK("https://klasma.github.io/Logging_0331/tillsyn/A 26598-2024 tillsynsbegäran.docx", "A 26598-2024")</f>
        <v/>
      </c>
      <c r="Y709">
        <f>HYPERLINK("https://klasma.github.io/Logging_0331/tillsynsmail/A 26598-2024 tillsynsbegäran mail.docx", "A 26598-2024")</f>
        <v/>
      </c>
    </row>
    <row r="710" ht="15" customHeight="1">
      <c r="A710" t="inlineStr">
        <is>
          <t>A 26591-2024</t>
        </is>
      </c>
      <c r="B710" s="1" t="n">
        <v>45469</v>
      </c>
      <c r="C710" s="1" t="n">
        <v>45792</v>
      </c>
      <c r="D710" t="inlineStr">
        <is>
          <t>UPPSALA LÄN</t>
        </is>
      </c>
      <c r="E710" t="inlineStr">
        <is>
          <t>HEBY</t>
        </is>
      </c>
      <c r="G710" t="n">
        <v>3.7</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26591-2024 artfynd.xlsx", "A 26591-2024")</f>
        <v/>
      </c>
      <c r="T710">
        <f>HYPERLINK("https://klasma.github.io/Logging_0331/kartor/A 26591-2024 karta.png", "A 26591-2024")</f>
        <v/>
      </c>
      <c r="V710">
        <f>HYPERLINK("https://klasma.github.io/Logging_0331/klagomål/A 26591-2024 FSC-klagomål.docx", "A 26591-2024")</f>
        <v/>
      </c>
      <c r="W710">
        <f>HYPERLINK("https://klasma.github.io/Logging_0331/klagomålsmail/A 26591-2024 FSC-klagomål mail.docx", "A 26591-2024")</f>
        <v/>
      </c>
      <c r="X710">
        <f>HYPERLINK("https://klasma.github.io/Logging_0331/tillsyn/A 26591-2024 tillsynsbegäran.docx", "A 26591-2024")</f>
        <v/>
      </c>
      <c r="Y710">
        <f>HYPERLINK("https://klasma.github.io/Logging_0331/tillsynsmail/A 26591-2024 tillsynsbegäran mail.docx", "A 26591-2024")</f>
        <v/>
      </c>
    </row>
    <row r="711" ht="15" customHeight="1">
      <c r="A711" t="inlineStr">
        <is>
          <t>A 26471-2024</t>
        </is>
      </c>
      <c r="B711" s="1" t="n">
        <v>45469</v>
      </c>
      <c r="C711" s="1" t="n">
        <v>45792</v>
      </c>
      <c r="D711" t="inlineStr">
        <is>
          <t>UPPSALA LÄN</t>
        </is>
      </c>
      <c r="E711" t="inlineStr">
        <is>
          <t>ÄLVKARLEBY</t>
        </is>
      </c>
      <c r="F711" t="inlineStr">
        <is>
          <t>Bergvik skog väst AB</t>
        </is>
      </c>
      <c r="G711" t="n">
        <v>5.3</v>
      </c>
      <c r="H711" t="n">
        <v>1</v>
      </c>
      <c r="I711" t="n">
        <v>0</v>
      </c>
      <c r="J711" t="n">
        <v>1</v>
      </c>
      <c r="K711" t="n">
        <v>0</v>
      </c>
      <c r="L711" t="n">
        <v>0</v>
      </c>
      <c r="M711" t="n">
        <v>0</v>
      </c>
      <c r="N711" t="n">
        <v>0</v>
      </c>
      <c r="O711" t="n">
        <v>1</v>
      </c>
      <c r="P711" t="n">
        <v>0</v>
      </c>
      <c r="Q711" t="n">
        <v>1</v>
      </c>
      <c r="R711" s="2" t="inlineStr">
        <is>
          <t>Slaguggla</t>
        </is>
      </c>
      <c r="S711">
        <f>HYPERLINK("https://klasma.github.io/Logging_0319/artfynd/A 26471-2024 artfynd.xlsx", "A 26471-2024")</f>
        <v/>
      </c>
      <c r="T711">
        <f>HYPERLINK("https://klasma.github.io/Logging_0319/kartor/A 26471-2024 karta.png", "A 26471-2024")</f>
        <v/>
      </c>
      <c r="V711">
        <f>HYPERLINK("https://klasma.github.io/Logging_0319/klagomål/A 26471-2024 FSC-klagomål.docx", "A 26471-2024")</f>
        <v/>
      </c>
      <c r="W711">
        <f>HYPERLINK("https://klasma.github.io/Logging_0319/klagomålsmail/A 26471-2024 FSC-klagomål mail.docx", "A 26471-2024")</f>
        <v/>
      </c>
      <c r="X711">
        <f>HYPERLINK("https://klasma.github.io/Logging_0319/tillsyn/A 26471-2024 tillsynsbegäran.docx", "A 26471-2024")</f>
        <v/>
      </c>
      <c r="Y711">
        <f>HYPERLINK("https://klasma.github.io/Logging_0319/tillsynsmail/A 26471-2024 tillsynsbegäran mail.docx", "A 26471-2024")</f>
        <v/>
      </c>
      <c r="Z711">
        <f>HYPERLINK("https://klasma.github.io/Logging_0319/fåglar/A 26471-2024 prioriterade fågelarter.docx", "A 26471-2024")</f>
        <v/>
      </c>
    </row>
    <row r="712" ht="15" customHeight="1">
      <c r="A712" t="inlineStr">
        <is>
          <t>A 28847-2024</t>
        </is>
      </c>
      <c r="B712" s="1" t="n">
        <v>45478</v>
      </c>
      <c r="C712" s="1" t="n">
        <v>45792</v>
      </c>
      <c r="D712" t="inlineStr">
        <is>
          <t>UPPSALA LÄN</t>
        </is>
      </c>
      <c r="E712" t="inlineStr">
        <is>
          <t>ENKÖPING</t>
        </is>
      </c>
      <c r="G712" t="n">
        <v>3</v>
      </c>
      <c r="H712" t="n">
        <v>1</v>
      </c>
      <c r="I712" t="n">
        <v>0</v>
      </c>
      <c r="J712" t="n">
        <v>0</v>
      </c>
      <c r="K712" t="n">
        <v>0</v>
      </c>
      <c r="L712" t="n">
        <v>0</v>
      </c>
      <c r="M712" t="n">
        <v>0</v>
      </c>
      <c r="N712" t="n">
        <v>0</v>
      </c>
      <c r="O712" t="n">
        <v>0</v>
      </c>
      <c r="P712" t="n">
        <v>0</v>
      </c>
      <c r="Q712" t="n">
        <v>1</v>
      </c>
      <c r="R712" s="2" t="inlineStr">
        <is>
          <t>Revlummer</t>
        </is>
      </c>
      <c r="S712">
        <f>HYPERLINK("https://klasma.github.io/Logging_0381/artfynd/A 28847-2024 artfynd.xlsx", "A 28847-2024")</f>
        <v/>
      </c>
      <c r="T712">
        <f>HYPERLINK("https://klasma.github.io/Logging_0381/kartor/A 28847-2024 karta.png", "A 28847-2024")</f>
        <v/>
      </c>
      <c r="V712">
        <f>HYPERLINK("https://klasma.github.io/Logging_0381/klagomål/A 28847-2024 FSC-klagomål.docx", "A 28847-2024")</f>
        <v/>
      </c>
      <c r="W712">
        <f>HYPERLINK("https://klasma.github.io/Logging_0381/klagomålsmail/A 28847-2024 FSC-klagomål mail.docx", "A 28847-2024")</f>
        <v/>
      </c>
      <c r="X712">
        <f>HYPERLINK("https://klasma.github.io/Logging_0381/tillsyn/A 28847-2024 tillsynsbegäran.docx", "A 28847-2024")</f>
        <v/>
      </c>
      <c r="Y712">
        <f>HYPERLINK("https://klasma.github.io/Logging_0381/tillsynsmail/A 28847-2024 tillsynsbegäran mail.docx", "A 28847-2024")</f>
        <v/>
      </c>
    </row>
    <row r="713" ht="15" customHeight="1">
      <c r="A713" t="inlineStr">
        <is>
          <t>A 28900-2024</t>
        </is>
      </c>
      <c r="B713" s="1" t="n">
        <v>45480</v>
      </c>
      <c r="C713" s="1" t="n">
        <v>45792</v>
      </c>
      <c r="D713" t="inlineStr">
        <is>
          <t>UPPSALA LÄN</t>
        </is>
      </c>
      <c r="E713" t="inlineStr">
        <is>
          <t>ENKÖPING</t>
        </is>
      </c>
      <c r="G713" t="n">
        <v>8.6</v>
      </c>
      <c r="H713" t="n">
        <v>1</v>
      </c>
      <c r="I713" t="n">
        <v>0</v>
      </c>
      <c r="J713" t="n">
        <v>0</v>
      </c>
      <c r="K713" t="n">
        <v>0</v>
      </c>
      <c r="L713" t="n">
        <v>0</v>
      </c>
      <c r="M713" t="n">
        <v>0</v>
      </c>
      <c r="N713" t="n">
        <v>0</v>
      </c>
      <c r="O713" t="n">
        <v>0</v>
      </c>
      <c r="P713" t="n">
        <v>0</v>
      </c>
      <c r="Q713" t="n">
        <v>1</v>
      </c>
      <c r="R713" s="2" t="inlineStr">
        <is>
          <t>Blåsippa</t>
        </is>
      </c>
      <c r="S713">
        <f>HYPERLINK("https://klasma.github.io/Logging_0381/artfynd/A 28900-2024 artfynd.xlsx", "A 28900-2024")</f>
        <v/>
      </c>
      <c r="T713">
        <f>HYPERLINK("https://klasma.github.io/Logging_0381/kartor/A 28900-2024 karta.png", "A 28900-2024")</f>
        <v/>
      </c>
      <c r="V713">
        <f>HYPERLINK("https://klasma.github.io/Logging_0381/klagomål/A 28900-2024 FSC-klagomål.docx", "A 28900-2024")</f>
        <v/>
      </c>
      <c r="W713">
        <f>HYPERLINK("https://klasma.github.io/Logging_0381/klagomålsmail/A 28900-2024 FSC-klagomål mail.docx", "A 28900-2024")</f>
        <v/>
      </c>
      <c r="X713">
        <f>HYPERLINK("https://klasma.github.io/Logging_0381/tillsyn/A 28900-2024 tillsynsbegäran.docx", "A 28900-2024")</f>
        <v/>
      </c>
      <c r="Y713">
        <f>HYPERLINK("https://klasma.github.io/Logging_0381/tillsynsmail/A 28900-2024 tillsynsbegäran mail.docx", "A 28900-2024")</f>
        <v/>
      </c>
    </row>
    <row r="714" ht="15" customHeight="1">
      <c r="A714" t="inlineStr">
        <is>
          <t>A 29139-2024</t>
        </is>
      </c>
      <c r="B714" s="1" t="n">
        <v>45482</v>
      </c>
      <c r="C714" s="1" t="n">
        <v>45792</v>
      </c>
      <c r="D714" t="inlineStr">
        <is>
          <t>UPPSALA LÄN</t>
        </is>
      </c>
      <c r="E714" t="inlineStr">
        <is>
          <t>UPPSALA</t>
        </is>
      </c>
      <c r="F714" t="inlineStr">
        <is>
          <t>Allmännings- och besparingsskogar</t>
        </is>
      </c>
      <c r="G714" t="n">
        <v>26.4</v>
      </c>
      <c r="H714" t="n">
        <v>0</v>
      </c>
      <c r="I714" t="n">
        <v>0</v>
      </c>
      <c r="J714" t="n">
        <v>1</v>
      </c>
      <c r="K714" t="n">
        <v>0</v>
      </c>
      <c r="L714" t="n">
        <v>0</v>
      </c>
      <c r="M714" t="n">
        <v>0</v>
      </c>
      <c r="N714" t="n">
        <v>0</v>
      </c>
      <c r="O714" t="n">
        <v>1</v>
      </c>
      <c r="P714" t="n">
        <v>0</v>
      </c>
      <c r="Q714" t="n">
        <v>1</v>
      </c>
      <c r="R714" s="2" t="inlineStr">
        <is>
          <t>Granskugglöpare</t>
        </is>
      </c>
      <c r="S714">
        <f>HYPERLINK("https://klasma.github.io/Logging_0380/artfynd/A 29139-2024 artfynd.xlsx", "A 29139-2024")</f>
        <v/>
      </c>
      <c r="T714">
        <f>HYPERLINK("https://klasma.github.io/Logging_0380/kartor/A 29139-2024 karta.png", "A 29139-2024")</f>
        <v/>
      </c>
      <c r="V714">
        <f>HYPERLINK("https://klasma.github.io/Logging_0380/klagomål/A 29139-2024 FSC-klagomål.docx", "A 29139-2024")</f>
        <v/>
      </c>
      <c r="W714">
        <f>HYPERLINK("https://klasma.github.io/Logging_0380/klagomålsmail/A 29139-2024 FSC-klagomål mail.docx", "A 29139-2024")</f>
        <v/>
      </c>
      <c r="X714">
        <f>HYPERLINK("https://klasma.github.io/Logging_0380/tillsyn/A 29139-2024 tillsynsbegäran.docx", "A 29139-2024")</f>
        <v/>
      </c>
      <c r="Y714">
        <f>HYPERLINK("https://klasma.github.io/Logging_0380/tillsynsmail/A 29139-2024 tillsynsbegäran mail.docx", "A 29139-2024")</f>
        <v/>
      </c>
    </row>
    <row r="715" ht="15" customHeight="1">
      <c r="A715" t="inlineStr">
        <is>
          <t>A 30122-2024</t>
        </is>
      </c>
      <c r="B715" s="1" t="n">
        <v>45489</v>
      </c>
      <c r="C715" s="1" t="n">
        <v>45792</v>
      </c>
      <c r="D715" t="inlineStr">
        <is>
          <t>UPPSALA LÄN</t>
        </is>
      </c>
      <c r="E715" t="inlineStr">
        <is>
          <t>TIERP</t>
        </is>
      </c>
      <c r="G715" t="n">
        <v>3.4</v>
      </c>
      <c r="H715" t="n">
        <v>1</v>
      </c>
      <c r="I715" t="n">
        <v>1</v>
      </c>
      <c r="J715" t="n">
        <v>0</v>
      </c>
      <c r="K715" t="n">
        <v>0</v>
      </c>
      <c r="L715" t="n">
        <v>0</v>
      </c>
      <c r="M715" t="n">
        <v>0</v>
      </c>
      <c r="N715" t="n">
        <v>0</v>
      </c>
      <c r="O715" t="n">
        <v>0</v>
      </c>
      <c r="P715" t="n">
        <v>0</v>
      </c>
      <c r="Q715" t="n">
        <v>1</v>
      </c>
      <c r="R715" s="2" t="inlineStr">
        <is>
          <t>Nästrot</t>
        </is>
      </c>
      <c r="S715">
        <f>HYPERLINK("https://klasma.github.io/Logging_0360/artfynd/A 30122-2024 artfynd.xlsx", "A 30122-2024")</f>
        <v/>
      </c>
      <c r="T715">
        <f>HYPERLINK("https://klasma.github.io/Logging_0360/kartor/A 30122-2024 karta.png", "A 30122-2024")</f>
        <v/>
      </c>
      <c r="V715">
        <f>HYPERLINK("https://klasma.github.io/Logging_0360/klagomål/A 30122-2024 FSC-klagomål.docx", "A 30122-2024")</f>
        <v/>
      </c>
      <c r="W715">
        <f>HYPERLINK("https://klasma.github.io/Logging_0360/klagomålsmail/A 30122-2024 FSC-klagomål mail.docx", "A 30122-2024")</f>
        <v/>
      </c>
      <c r="X715">
        <f>HYPERLINK("https://klasma.github.io/Logging_0360/tillsyn/A 30122-2024 tillsynsbegäran.docx", "A 30122-2024")</f>
        <v/>
      </c>
      <c r="Y715">
        <f>HYPERLINK("https://klasma.github.io/Logging_0360/tillsynsmail/A 30122-2024 tillsynsbegäran mail.docx", "A 30122-2024")</f>
        <v/>
      </c>
    </row>
    <row r="716" ht="15" customHeight="1">
      <c r="A716" t="inlineStr">
        <is>
          <t>A 30510-2024</t>
        </is>
      </c>
      <c r="B716" s="1" t="n">
        <v>45492</v>
      </c>
      <c r="C716" s="1" t="n">
        <v>45792</v>
      </c>
      <c r="D716" t="inlineStr">
        <is>
          <t>UPPSALA LÄN</t>
        </is>
      </c>
      <c r="E716" t="inlineStr">
        <is>
          <t>TIERP</t>
        </is>
      </c>
      <c r="F716" t="inlineStr">
        <is>
          <t>Bergvik skog öst AB</t>
        </is>
      </c>
      <c r="G716" t="n">
        <v>4.9</v>
      </c>
      <c r="H716" t="n">
        <v>1</v>
      </c>
      <c r="I716" t="n">
        <v>0</v>
      </c>
      <c r="J716" t="n">
        <v>1</v>
      </c>
      <c r="K716" t="n">
        <v>0</v>
      </c>
      <c r="L716" t="n">
        <v>0</v>
      </c>
      <c r="M716" t="n">
        <v>0</v>
      </c>
      <c r="N716" t="n">
        <v>0</v>
      </c>
      <c r="O716" t="n">
        <v>1</v>
      </c>
      <c r="P716" t="n">
        <v>0</v>
      </c>
      <c r="Q716" t="n">
        <v>1</v>
      </c>
      <c r="R716" s="2" t="inlineStr">
        <is>
          <t>Gulsparv</t>
        </is>
      </c>
      <c r="S716">
        <f>HYPERLINK("https://klasma.github.io/Logging_0360/artfynd/A 30510-2024 artfynd.xlsx", "A 30510-2024")</f>
        <v/>
      </c>
      <c r="T716">
        <f>HYPERLINK("https://klasma.github.io/Logging_0360/kartor/A 30510-2024 karta.png", "A 30510-2024")</f>
        <v/>
      </c>
      <c r="V716">
        <f>HYPERLINK("https://klasma.github.io/Logging_0360/klagomål/A 30510-2024 FSC-klagomål.docx", "A 30510-2024")</f>
        <v/>
      </c>
      <c r="W716">
        <f>HYPERLINK("https://klasma.github.io/Logging_0360/klagomålsmail/A 30510-2024 FSC-klagomål mail.docx", "A 30510-2024")</f>
        <v/>
      </c>
      <c r="X716">
        <f>HYPERLINK("https://klasma.github.io/Logging_0360/tillsyn/A 30510-2024 tillsynsbegäran.docx", "A 30510-2024")</f>
        <v/>
      </c>
      <c r="Y716">
        <f>HYPERLINK("https://klasma.github.io/Logging_0360/tillsynsmail/A 30510-2024 tillsynsbegäran mail.docx", "A 30510-2024")</f>
        <v/>
      </c>
      <c r="Z716">
        <f>HYPERLINK("https://klasma.github.io/Logging_0360/fåglar/A 30510-2024 prioriterade fågelarter.docx", "A 30510-2024")</f>
        <v/>
      </c>
    </row>
    <row r="717" ht="15" customHeight="1">
      <c r="A717" t="inlineStr">
        <is>
          <t>A 31171-2024</t>
        </is>
      </c>
      <c r="B717" s="1" t="n">
        <v>45503</v>
      </c>
      <c r="C717" s="1" t="n">
        <v>45792</v>
      </c>
      <c r="D717" t="inlineStr">
        <is>
          <t>UPPSALA LÄN</t>
        </is>
      </c>
      <c r="E717" t="inlineStr">
        <is>
          <t>HEBY</t>
        </is>
      </c>
      <c r="G717" t="n">
        <v>6.8</v>
      </c>
      <c r="H717" t="n">
        <v>0</v>
      </c>
      <c r="I717" t="n">
        <v>0</v>
      </c>
      <c r="J717" t="n">
        <v>1</v>
      </c>
      <c r="K717" t="n">
        <v>0</v>
      </c>
      <c r="L717" t="n">
        <v>0</v>
      </c>
      <c r="M717" t="n">
        <v>0</v>
      </c>
      <c r="N717" t="n">
        <v>0</v>
      </c>
      <c r="O717" t="n">
        <v>1</v>
      </c>
      <c r="P717" t="n">
        <v>0</v>
      </c>
      <c r="Q717" t="n">
        <v>1</v>
      </c>
      <c r="R717" s="2" t="inlineStr">
        <is>
          <t>Motaggsvamp</t>
        </is>
      </c>
      <c r="S717">
        <f>HYPERLINK("https://klasma.github.io/Logging_0331/artfynd/A 31171-2024 artfynd.xlsx", "A 31171-2024")</f>
        <v/>
      </c>
      <c r="T717">
        <f>HYPERLINK("https://klasma.github.io/Logging_0331/kartor/A 31171-2024 karta.png", "A 31171-2024")</f>
        <v/>
      </c>
      <c r="V717">
        <f>HYPERLINK("https://klasma.github.io/Logging_0331/klagomål/A 31171-2024 FSC-klagomål.docx", "A 31171-2024")</f>
        <v/>
      </c>
      <c r="W717">
        <f>HYPERLINK("https://klasma.github.io/Logging_0331/klagomålsmail/A 31171-2024 FSC-klagomål mail.docx", "A 31171-2024")</f>
        <v/>
      </c>
      <c r="X717">
        <f>HYPERLINK("https://klasma.github.io/Logging_0331/tillsyn/A 31171-2024 tillsynsbegäran.docx", "A 31171-2024")</f>
        <v/>
      </c>
      <c r="Y717">
        <f>HYPERLINK("https://klasma.github.io/Logging_0331/tillsynsmail/A 31171-2024 tillsynsbegäran mail.docx", "A 31171-2024")</f>
        <v/>
      </c>
    </row>
    <row r="718" ht="15" customHeight="1">
      <c r="A718" t="inlineStr">
        <is>
          <t>A 31781-2024</t>
        </is>
      </c>
      <c r="B718" s="1" t="n">
        <v>45509</v>
      </c>
      <c r="C718" s="1" t="n">
        <v>45792</v>
      </c>
      <c r="D718" t="inlineStr">
        <is>
          <t>UPPSALA LÄN</t>
        </is>
      </c>
      <c r="E718" t="inlineStr">
        <is>
          <t>HEBY</t>
        </is>
      </c>
      <c r="G718" t="n">
        <v>2.4</v>
      </c>
      <c r="H718" t="n">
        <v>0</v>
      </c>
      <c r="I718" t="n">
        <v>0</v>
      </c>
      <c r="J718" t="n">
        <v>1</v>
      </c>
      <c r="K718" t="n">
        <v>0</v>
      </c>
      <c r="L718" t="n">
        <v>0</v>
      </c>
      <c r="M718" t="n">
        <v>0</v>
      </c>
      <c r="N718" t="n">
        <v>0</v>
      </c>
      <c r="O718" t="n">
        <v>1</v>
      </c>
      <c r="P718" t="n">
        <v>0</v>
      </c>
      <c r="Q718" t="n">
        <v>1</v>
      </c>
      <c r="R718" s="2" t="inlineStr">
        <is>
          <t>Motaggsvamp</t>
        </is>
      </c>
      <c r="S718">
        <f>HYPERLINK("https://klasma.github.io/Logging_0331/artfynd/A 31781-2024 artfynd.xlsx", "A 31781-2024")</f>
        <v/>
      </c>
      <c r="T718">
        <f>HYPERLINK("https://klasma.github.io/Logging_0331/kartor/A 31781-2024 karta.png", "A 31781-2024")</f>
        <v/>
      </c>
      <c r="V718">
        <f>HYPERLINK("https://klasma.github.io/Logging_0331/klagomål/A 31781-2024 FSC-klagomål.docx", "A 31781-2024")</f>
        <v/>
      </c>
      <c r="W718">
        <f>HYPERLINK("https://klasma.github.io/Logging_0331/klagomålsmail/A 31781-2024 FSC-klagomål mail.docx", "A 31781-2024")</f>
        <v/>
      </c>
      <c r="X718">
        <f>HYPERLINK("https://klasma.github.io/Logging_0331/tillsyn/A 31781-2024 tillsynsbegäran.docx", "A 31781-2024")</f>
        <v/>
      </c>
      <c r="Y718">
        <f>HYPERLINK("https://klasma.github.io/Logging_0331/tillsynsmail/A 31781-2024 tillsynsbegäran mail.docx", "A 31781-2024")</f>
        <v/>
      </c>
    </row>
    <row r="719" ht="15" customHeight="1">
      <c r="A719" t="inlineStr">
        <is>
          <t>A 32694-2024</t>
        </is>
      </c>
      <c r="B719" s="1" t="n">
        <v>45516</v>
      </c>
      <c r="C719" s="1" t="n">
        <v>45792</v>
      </c>
      <c r="D719" t="inlineStr">
        <is>
          <t>UPPSALA LÄN</t>
        </is>
      </c>
      <c r="E719" t="inlineStr">
        <is>
          <t>ENKÖPING</t>
        </is>
      </c>
      <c r="G719" t="n">
        <v>5.6</v>
      </c>
      <c r="H719" t="n">
        <v>1</v>
      </c>
      <c r="I719" t="n">
        <v>0</v>
      </c>
      <c r="J719" t="n">
        <v>0</v>
      </c>
      <c r="K719" t="n">
        <v>1</v>
      </c>
      <c r="L719" t="n">
        <v>0</v>
      </c>
      <c r="M719" t="n">
        <v>0</v>
      </c>
      <c r="N719" t="n">
        <v>0</v>
      </c>
      <c r="O719" t="n">
        <v>1</v>
      </c>
      <c r="P719" t="n">
        <v>1</v>
      </c>
      <c r="Q719" t="n">
        <v>1</v>
      </c>
      <c r="R719" s="2" t="inlineStr">
        <is>
          <t>Knärot</t>
        </is>
      </c>
      <c r="S719">
        <f>HYPERLINK("https://klasma.github.io/Logging_0381/artfynd/A 32694-2024 artfynd.xlsx", "A 32694-2024")</f>
        <v/>
      </c>
      <c r="T719">
        <f>HYPERLINK("https://klasma.github.io/Logging_0381/kartor/A 32694-2024 karta.png", "A 32694-2024")</f>
        <v/>
      </c>
      <c r="U719">
        <f>HYPERLINK("https://klasma.github.io/Logging_0381/knärot/A 32694-2024 karta knärot.png", "A 32694-2024")</f>
        <v/>
      </c>
      <c r="V719">
        <f>HYPERLINK("https://klasma.github.io/Logging_0381/klagomål/A 32694-2024 FSC-klagomål.docx", "A 32694-2024")</f>
        <v/>
      </c>
      <c r="W719">
        <f>HYPERLINK("https://klasma.github.io/Logging_0381/klagomålsmail/A 32694-2024 FSC-klagomål mail.docx", "A 32694-2024")</f>
        <v/>
      </c>
      <c r="X719">
        <f>HYPERLINK("https://klasma.github.io/Logging_0381/tillsyn/A 32694-2024 tillsynsbegäran.docx", "A 32694-2024")</f>
        <v/>
      </c>
      <c r="Y719">
        <f>HYPERLINK("https://klasma.github.io/Logging_0381/tillsynsmail/A 32694-2024 tillsynsbegäran mail.docx", "A 32694-2024")</f>
        <v/>
      </c>
    </row>
    <row r="720" ht="15" customHeight="1">
      <c r="A720" t="inlineStr">
        <is>
          <t>A 33339-2024</t>
        </is>
      </c>
      <c r="B720" s="1" t="n">
        <v>45519</v>
      </c>
      <c r="C720" s="1" t="n">
        <v>45792</v>
      </c>
      <c r="D720" t="inlineStr">
        <is>
          <t>UPPSALA LÄN</t>
        </is>
      </c>
      <c r="E720" t="inlineStr">
        <is>
          <t>ENKÖPING</t>
        </is>
      </c>
      <c r="G720" t="n">
        <v>2.3</v>
      </c>
      <c r="H720" t="n">
        <v>0</v>
      </c>
      <c r="I720" t="n">
        <v>0</v>
      </c>
      <c r="J720" t="n">
        <v>1</v>
      </c>
      <c r="K720" t="n">
        <v>0</v>
      </c>
      <c r="L720" t="n">
        <v>0</v>
      </c>
      <c r="M720" t="n">
        <v>0</v>
      </c>
      <c r="N720" t="n">
        <v>0</v>
      </c>
      <c r="O720" t="n">
        <v>1</v>
      </c>
      <c r="P720" t="n">
        <v>0</v>
      </c>
      <c r="Q720" t="n">
        <v>1</v>
      </c>
      <c r="R720" s="2" t="inlineStr">
        <is>
          <t>Ullticka</t>
        </is>
      </c>
      <c r="S720">
        <f>HYPERLINK("https://klasma.github.io/Logging_0381/artfynd/A 33339-2024 artfynd.xlsx", "A 33339-2024")</f>
        <v/>
      </c>
      <c r="T720">
        <f>HYPERLINK("https://klasma.github.io/Logging_0381/kartor/A 33339-2024 karta.png", "A 33339-2024")</f>
        <v/>
      </c>
      <c r="V720">
        <f>HYPERLINK("https://klasma.github.io/Logging_0381/klagomål/A 33339-2024 FSC-klagomål.docx", "A 33339-2024")</f>
        <v/>
      </c>
      <c r="W720">
        <f>HYPERLINK("https://klasma.github.io/Logging_0381/klagomålsmail/A 33339-2024 FSC-klagomål mail.docx", "A 33339-2024")</f>
        <v/>
      </c>
      <c r="X720">
        <f>HYPERLINK("https://klasma.github.io/Logging_0381/tillsyn/A 33339-2024 tillsynsbegäran.docx", "A 33339-2024")</f>
        <v/>
      </c>
      <c r="Y720">
        <f>HYPERLINK("https://klasma.github.io/Logging_0381/tillsynsmail/A 33339-2024 tillsynsbegäran mail.docx", "A 33339-2024")</f>
        <v/>
      </c>
    </row>
    <row r="721" ht="15" customHeight="1">
      <c r="A721" t="inlineStr">
        <is>
          <t>A 33775-2024</t>
        </is>
      </c>
      <c r="B721" s="1" t="n">
        <v>45520</v>
      </c>
      <c r="C721" s="1" t="n">
        <v>45792</v>
      </c>
      <c r="D721" t="inlineStr">
        <is>
          <t>UPPSALA LÄN</t>
        </is>
      </c>
      <c r="E721" t="inlineStr">
        <is>
          <t>ÄLVKARLEBY</t>
        </is>
      </c>
      <c r="F721" t="inlineStr">
        <is>
          <t>Bergvik skog väst AB</t>
        </is>
      </c>
      <c r="G721" t="n">
        <v>5.6</v>
      </c>
      <c r="H721" t="n">
        <v>0</v>
      </c>
      <c r="I721" t="n">
        <v>1</v>
      </c>
      <c r="J721" t="n">
        <v>0</v>
      </c>
      <c r="K721" t="n">
        <v>0</v>
      </c>
      <c r="L721" t="n">
        <v>0</v>
      </c>
      <c r="M721" t="n">
        <v>0</v>
      </c>
      <c r="N721" t="n">
        <v>0</v>
      </c>
      <c r="O721" t="n">
        <v>0</v>
      </c>
      <c r="P721" t="n">
        <v>0</v>
      </c>
      <c r="Q721" t="n">
        <v>1</v>
      </c>
      <c r="R721" s="2" t="inlineStr">
        <is>
          <t>Tibast</t>
        </is>
      </c>
      <c r="S721">
        <f>HYPERLINK("https://klasma.github.io/Logging_0319/artfynd/A 33775-2024 artfynd.xlsx", "A 33775-2024")</f>
        <v/>
      </c>
      <c r="T721">
        <f>HYPERLINK("https://klasma.github.io/Logging_0319/kartor/A 33775-2024 karta.png", "A 33775-2024")</f>
        <v/>
      </c>
      <c r="V721">
        <f>HYPERLINK("https://klasma.github.io/Logging_0319/klagomål/A 33775-2024 FSC-klagomål.docx", "A 33775-2024")</f>
        <v/>
      </c>
      <c r="W721">
        <f>HYPERLINK("https://klasma.github.io/Logging_0319/klagomålsmail/A 33775-2024 FSC-klagomål mail.docx", "A 33775-2024")</f>
        <v/>
      </c>
      <c r="X721">
        <f>HYPERLINK("https://klasma.github.io/Logging_0319/tillsyn/A 33775-2024 tillsynsbegäran.docx", "A 33775-2024")</f>
        <v/>
      </c>
      <c r="Y721">
        <f>HYPERLINK("https://klasma.github.io/Logging_0319/tillsynsmail/A 33775-2024 tillsynsbegäran mail.docx", "A 33775-2024")</f>
        <v/>
      </c>
    </row>
    <row r="722" ht="15" customHeight="1">
      <c r="A722" t="inlineStr">
        <is>
          <t>A 33796-2024</t>
        </is>
      </c>
      <c r="B722" s="1" t="n">
        <v>45520</v>
      </c>
      <c r="C722" s="1" t="n">
        <v>45792</v>
      </c>
      <c r="D722" t="inlineStr">
        <is>
          <t>UPPSALA LÄN</t>
        </is>
      </c>
      <c r="E722" t="inlineStr">
        <is>
          <t>ÄLVKARLEBY</t>
        </is>
      </c>
      <c r="F722" t="inlineStr">
        <is>
          <t>Bergvik skog väst AB</t>
        </is>
      </c>
      <c r="G722" t="n">
        <v>4.6</v>
      </c>
      <c r="H722" t="n">
        <v>1</v>
      </c>
      <c r="I722" t="n">
        <v>0</v>
      </c>
      <c r="J722" t="n">
        <v>0</v>
      </c>
      <c r="K722" t="n">
        <v>0</v>
      </c>
      <c r="L722" t="n">
        <v>0</v>
      </c>
      <c r="M722" t="n">
        <v>0</v>
      </c>
      <c r="N722" t="n">
        <v>0</v>
      </c>
      <c r="O722" t="n">
        <v>0</v>
      </c>
      <c r="P722" t="n">
        <v>0</v>
      </c>
      <c r="Q722" t="n">
        <v>1</v>
      </c>
      <c r="R722" s="2" t="inlineStr">
        <is>
          <t>Revlummer</t>
        </is>
      </c>
      <c r="S722">
        <f>HYPERLINK("https://klasma.github.io/Logging_0319/artfynd/A 33796-2024 artfynd.xlsx", "A 33796-2024")</f>
        <v/>
      </c>
      <c r="T722">
        <f>HYPERLINK("https://klasma.github.io/Logging_0319/kartor/A 33796-2024 karta.png", "A 33796-2024")</f>
        <v/>
      </c>
      <c r="V722">
        <f>HYPERLINK("https://klasma.github.io/Logging_0319/klagomål/A 33796-2024 FSC-klagomål.docx", "A 33796-2024")</f>
        <v/>
      </c>
      <c r="W722">
        <f>HYPERLINK("https://klasma.github.io/Logging_0319/klagomålsmail/A 33796-2024 FSC-klagomål mail.docx", "A 33796-2024")</f>
        <v/>
      </c>
      <c r="X722">
        <f>HYPERLINK("https://klasma.github.io/Logging_0319/tillsyn/A 33796-2024 tillsynsbegäran.docx", "A 33796-2024")</f>
        <v/>
      </c>
      <c r="Y722">
        <f>HYPERLINK("https://klasma.github.io/Logging_0319/tillsynsmail/A 33796-2024 tillsynsbegäran mail.docx", "A 33796-2024")</f>
        <v/>
      </c>
    </row>
    <row r="723" ht="15" customHeight="1">
      <c r="A723" t="inlineStr">
        <is>
          <t>A 34159-2024</t>
        </is>
      </c>
      <c r="B723" s="1" t="n">
        <v>45524</v>
      </c>
      <c r="C723" s="1" t="n">
        <v>45792</v>
      </c>
      <c r="D723" t="inlineStr">
        <is>
          <t>UPPSALA LÄN</t>
        </is>
      </c>
      <c r="E723" t="inlineStr">
        <is>
          <t>UPPSALA</t>
        </is>
      </c>
      <c r="G723" t="n">
        <v>3.7</v>
      </c>
      <c r="H723" t="n">
        <v>0</v>
      </c>
      <c r="I723" t="n">
        <v>1</v>
      </c>
      <c r="J723" t="n">
        <v>0</v>
      </c>
      <c r="K723" t="n">
        <v>0</v>
      </c>
      <c r="L723" t="n">
        <v>0</v>
      </c>
      <c r="M723" t="n">
        <v>0</v>
      </c>
      <c r="N723" t="n">
        <v>0</v>
      </c>
      <c r="O723" t="n">
        <v>0</v>
      </c>
      <c r="P723" t="n">
        <v>0</v>
      </c>
      <c r="Q723" t="n">
        <v>1</v>
      </c>
      <c r="R723" s="2" t="inlineStr">
        <is>
          <t>Granbarkgnagare</t>
        </is>
      </c>
      <c r="S723">
        <f>HYPERLINK("https://klasma.github.io/Logging_0380/artfynd/A 34159-2024 artfynd.xlsx", "A 34159-2024")</f>
        <v/>
      </c>
      <c r="T723">
        <f>HYPERLINK("https://klasma.github.io/Logging_0380/kartor/A 34159-2024 karta.png", "A 34159-2024")</f>
        <v/>
      </c>
      <c r="V723">
        <f>HYPERLINK("https://klasma.github.io/Logging_0380/klagomål/A 34159-2024 FSC-klagomål.docx", "A 34159-2024")</f>
        <v/>
      </c>
      <c r="W723">
        <f>HYPERLINK("https://klasma.github.io/Logging_0380/klagomålsmail/A 34159-2024 FSC-klagomål mail.docx", "A 34159-2024")</f>
        <v/>
      </c>
      <c r="X723">
        <f>HYPERLINK("https://klasma.github.io/Logging_0380/tillsyn/A 34159-2024 tillsynsbegäran.docx", "A 34159-2024")</f>
        <v/>
      </c>
      <c r="Y723">
        <f>HYPERLINK("https://klasma.github.io/Logging_0380/tillsynsmail/A 34159-2024 tillsynsbegäran mail.docx", "A 34159-2024")</f>
        <v/>
      </c>
    </row>
    <row r="724" ht="15" customHeight="1">
      <c r="A724" t="inlineStr">
        <is>
          <t>A 34464-2024</t>
        </is>
      </c>
      <c r="B724" s="1" t="n">
        <v>45525</v>
      </c>
      <c r="C724" s="1" t="n">
        <v>45792</v>
      </c>
      <c r="D724" t="inlineStr">
        <is>
          <t>UPPSALA LÄN</t>
        </is>
      </c>
      <c r="E724" t="inlineStr">
        <is>
          <t>TIERP</t>
        </is>
      </c>
      <c r="F724" t="inlineStr">
        <is>
          <t>Bergvik skog öst AB</t>
        </is>
      </c>
      <c r="G724" t="n">
        <v>0.9</v>
      </c>
      <c r="H724" t="n">
        <v>0</v>
      </c>
      <c r="I724" t="n">
        <v>1</v>
      </c>
      <c r="J724" t="n">
        <v>0</v>
      </c>
      <c r="K724" t="n">
        <v>0</v>
      </c>
      <c r="L724" t="n">
        <v>0</v>
      </c>
      <c r="M724" t="n">
        <v>0</v>
      </c>
      <c r="N724" t="n">
        <v>0</v>
      </c>
      <c r="O724" t="n">
        <v>0</v>
      </c>
      <c r="P724" t="n">
        <v>0</v>
      </c>
      <c r="Q724" t="n">
        <v>1</v>
      </c>
      <c r="R724" s="2" t="inlineStr">
        <is>
          <t>Svart trolldruva</t>
        </is>
      </c>
      <c r="S724">
        <f>HYPERLINK("https://klasma.github.io/Logging_0360/artfynd/A 34464-2024 artfynd.xlsx", "A 34464-2024")</f>
        <v/>
      </c>
      <c r="T724">
        <f>HYPERLINK("https://klasma.github.io/Logging_0360/kartor/A 34464-2024 karta.png", "A 34464-2024")</f>
        <v/>
      </c>
      <c r="V724">
        <f>HYPERLINK("https://klasma.github.io/Logging_0360/klagomål/A 34464-2024 FSC-klagomål.docx", "A 34464-2024")</f>
        <v/>
      </c>
      <c r="W724">
        <f>HYPERLINK("https://klasma.github.io/Logging_0360/klagomålsmail/A 34464-2024 FSC-klagomål mail.docx", "A 34464-2024")</f>
        <v/>
      </c>
      <c r="X724">
        <f>HYPERLINK("https://klasma.github.io/Logging_0360/tillsyn/A 34464-2024 tillsynsbegäran.docx", "A 34464-2024")</f>
        <v/>
      </c>
      <c r="Y724">
        <f>HYPERLINK("https://klasma.github.io/Logging_0360/tillsynsmail/A 34464-2024 tillsynsbegäran mail.docx", "A 34464-2024")</f>
        <v/>
      </c>
    </row>
    <row r="725" ht="15" customHeight="1">
      <c r="A725" t="inlineStr">
        <is>
          <t>A 36622-2024</t>
        </is>
      </c>
      <c r="B725" s="1" t="n">
        <v>45537</v>
      </c>
      <c r="C725" s="1" t="n">
        <v>45792</v>
      </c>
      <c r="D725" t="inlineStr">
        <is>
          <t>UPPSALA LÄN</t>
        </is>
      </c>
      <c r="E725" t="inlineStr">
        <is>
          <t>ÖSTHAMMAR</t>
        </is>
      </c>
      <c r="F725" t="inlineStr">
        <is>
          <t>Bergvik skog väst AB</t>
        </is>
      </c>
      <c r="G725" t="n">
        <v>5.2</v>
      </c>
      <c r="H725" t="n">
        <v>1</v>
      </c>
      <c r="I725" t="n">
        <v>0</v>
      </c>
      <c r="J725" t="n">
        <v>0</v>
      </c>
      <c r="K725" t="n">
        <v>0</v>
      </c>
      <c r="L725" t="n">
        <v>0</v>
      </c>
      <c r="M725" t="n">
        <v>0</v>
      </c>
      <c r="N725" t="n">
        <v>0</v>
      </c>
      <c r="O725" t="n">
        <v>0</v>
      </c>
      <c r="P725" t="n">
        <v>0</v>
      </c>
      <c r="Q725" t="n">
        <v>1</v>
      </c>
      <c r="R725" s="2" t="inlineStr">
        <is>
          <t>Blåsippa</t>
        </is>
      </c>
      <c r="S725">
        <f>HYPERLINK("https://klasma.github.io/Logging_0382/artfynd/A 36622-2024 artfynd.xlsx", "A 36622-2024")</f>
        <v/>
      </c>
      <c r="T725">
        <f>HYPERLINK("https://klasma.github.io/Logging_0382/kartor/A 36622-2024 karta.png", "A 36622-2024")</f>
        <v/>
      </c>
      <c r="V725">
        <f>HYPERLINK("https://klasma.github.io/Logging_0382/klagomål/A 36622-2024 FSC-klagomål.docx", "A 36622-2024")</f>
        <v/>
      </c>
      <c r="W725">
        <f>HYPERLINK("https://klasma.github.io/Logging_0382/klagomålsmail/A 36622-2024 FSC-klagomål mail.docx", "A 36622-2024")</f>
        <v/>
      </c>
      <c r="X725">
        <f>HYPERLINK("https://klasma.github.io/Logging_0382/tillsyn/A 36622-2024 tillsynsbegäran.docx", "A 36622-2024")</f>
        <v/>
      </c>
      <c r="Y725">
        <f>HYPERLINK("https://klasma.github.io/Logging_0382/tillsynsmail/A 36622-2024 tillsynsbegäran mail.docx", "A 36622-2024")</f>
        <v/>
      </c>
    </row>
    <row r="726" ht="15" customHeight="1">
      <c r="A726" t="inlineStr">
        <is>
          <t>A 36785-2024</t>
        </is>
      </c>
      <c r="B726" s="1" t="n">
        <v>45538</v>
      </c>
      <c r="C726" s="1" t="n">
        <v>45792</v>
      </c>
      <c r="D726" t="inlineStr">
        <is>
          <t>UPPSALA LÄN</t>
        </is>
      </c>
      <c r="E726" t="inlineStr">
        <is>
          <t>TIERP</t>
        </is>
      </c>
      <c r="G726" t="n">
        <v>4.4</v>
      </c>
      <c r="H726" t="n">
        <v>1</v>
      </c>
      <c r="I726" t="n">
        <v>0</v>
      </c>
      <c r="J726" t="n">
        <v>0</v>
      </c>
      <c r="K726" t="n">
        <v>0</v>
      </c>
      <c r="L726" t="n">
        <v>0</v>
      </c>
      <c r="M726" t="n">
        <v>0</v>
      </c>
      <c r="N726" t="n">
        <v>0</v>
      </c>
      <c r="O726" t="n">
        <v>0</v>
      </c>
      <c r="P726" t="n">
        <v>0</v>
      </c>
      <c r="Q726" t="n">
        <v>1</v>
      </c>
      <c r="R726" s="2" t="inlineStr">
        <is>
          <t>Blåsippa</t>
        </is>
      </c>
      <c r="S726">
        <f>HYPERLINK("https://klasma.github.io/Logging_0360/artfynd/A 36785-2024 artfynd.xlsx", "A 36785-2024")</f>
        <v/>
      </c>
      <c r="T726">
        <f>HYPERLINK("https://klasma.github.io/Logging_0360/kartor/A 36785-2024 karta.png", "A 36785-2024")</f>
        <v/>
      </c>
      <c r="V726">
        <f>HYPERLINK("https://klasma.github.io/Logging_0360/klagomål/A 36785-2024 FSC-klagomål.docx", "A 36785-2024")</f>
        <v/>
      </c>
      <c r="W726">
        <f>HYPERLINK("https://klasma.github.io/Logging_0360/klagomålsmail/A 36785-2024 FSC-klagomål mail.docx", "A 36785-2024")</f>
        <v/>
      </c>
      <c r="X726">
        <f>HYPERLINK("https://klasma.github.io/Logging_0360/tillsyn/A 36785-2024 tillsynsbegäran.docx", "A 36785-2024")</f>
        <v/>
      </c>
      <c r="Y726">
        <f>HYPERLINK("https://klasma.github.io/Logging_0360/tillsynsmail/A 36785-2024 tillsynsbegäran mail.docx", "A 36785-2024")</f>
        <v/>
      </c>
    </row>
    <row r="727" ht="15" customHeight="1">
      <c r="A727" t="inlineStr">
        <is>
          <t>A 37563-2024</t>
        </is>
      </c>
      <c r="B727" s="1" t="n">
        <v>45541</v>
      </c>
      <c r="C727" s="1" t="n">
        <v>45792</v>
      </c>
      <c r="D727" t="inlineStr">
        <is>
          <t>UPPSALA LÄN</t>
        </is>
      </c>
      <c r="E727" t="inlineStr">
        <is>
          <t>UPPSALA</t>
        </is>
      </c>
      <c r="F727" t="inlineStr">
        <is>
          <t>Övriga Aktiebolag</t>
        </is>
      </c>
      <c r="G727" t="n">
        <v>6.1</v>
      </c>
      <c r="H727" t="n">
        <v>0</v>
      </c>
      <c r="I727" t="n">
        <v>0</v>
      </c>
      <c r="J727" t="n">
        <v>1</v>
      </c>
      <c r="K727" t="n">
        <v>0</v>
      </c>
      <c r="L727" t="n">
        <v>0</v>
      </c>
      <c r="M727" t="n">
        <v>0</v>
      </c>
      <c r="N727" t="n">
        <v>0</v>
      </c>
      <c r="O727" t="n">
        <v>1</v>
      </c>
      <c r="P727" t="n">
        <v>0</v>
      </c>
      <c r="Q727" t="n">
        <v>1</v>
      </c>
      <c r="R727" s="2" t="inlineStr">
        <is>
          <t>Skogshare</t>
        </is>
      </c>
      <c r="S727">
        <f>HYPERLINK("https://klasma.github.io/Logging_0380/artfynd/A 37563-2024 artfynd.xlsx", "A 37563-2024")</f>
        <v/>
      </c>
      <c r="T727">
        <f>HYPERLINK("https://klasma.github.io/Logging_0380/kartor/A 37563-2024 karta.png", "A 37563-2024")</f>
        <v/>
      </c>
      <c r="V727">
        <f>HYPERLINK("https://klasma.github.io/Logging_0380/klagomål/A 37563-2024 FSC-klagomål.docx", "A 37563-2024")</f>
        <v/>
      </c>
      <c r="W727">
        <f>HYPERLINK("https://klasma.github.io/Logging_0380/klagomålsmail/A 37563-2024 FSC-klagomål mail.docx", "A 37563-2024")</f>
        <v/>
      </c>
      <c r="X727">
        <f>HYPERLINK("https://klasma.github.io/Logging_0380/tillsyn/A 37563-2024 tillsynsbegäran.docx", "A 37563-2024")</f>
        <v/>
      </c>
      <c r="Y727">
        <f>HYPERLINK("https://klasma.github.io/Logging_0380/tillsynsmail/A 37563-2024 tillsynsbegäran mail.docx", "A 37563-2024")</f>
        <v/>
      </c>
    </row>
    <row r="728" ht="15" customHeight="1">
      <c r="A728" t="inlineStr">
        <is>
          <t>A 37595-2024</t>
        </is>
      </c>
      <c r="B728" s="1" t="n">
        <v>45541</v>
      </c>
      <c r="C728" s="1" t="n">
        <v>45792</v>
      </c>
      <c r="D728" t="inlineStr">
        <is>
          <t>UPPSALA LÄN</t>
        </is>
      </c>
      <c r="E728" t="inlineStr">
        <is>
          <t>KNIVSTA</t>
        </is>
      </c>
      <c r="G728" t="n">
        <v>6.4</v>
      </c>
      <c r="H728" t="n">
        <v>0</v>
      </c>
      <c r="I728" t="n">
        <v>0</v>
      </c>
      <c r="J728" t="n">
        <v>0</v>
      </c>
      <c r="K728" t="n">
        <v>1</v>
      </c>
      <c r="L728" t="n">
        <v>0</v>
      </c>
      <c r="M728" t="n">
        <v>0</v>
      </c>
      <c r="N728" t="n">
        <v>0</v>
      </c>
      <c r="O728" t="n">
        <v>1</v>
      </c>
      <c r="P728" t="n">
        <v>1</v>
      </c>
      <c r="Q728" t="n">
        <v>1</v>
      </c>
      <c r="R728" s="2" t="inlineStr">
        <is>
          <t>Violett fingersvamp</t>
        </is>
      </c>
      <c r="S728">
        <f>HYPERLINK("https://klasma.github.io/Logging_0330/artfynd/A 37595-2024 artfynd.xlsx", "A 37595-2024")</f>
        <v/>
      </c>
      <c r="T728">
        <f>HYPERLINK("https://klasma.github.io/Logging_0330/kartor/A 37595-2024 karta.png", "A 37595-2024")</f>
        <v/>
      </c>
      <c r="V728">
        <f>HYPERLINK("https://klasma.github.io/Logging_0330/klagomål/A 37595-2024 FSC-klagomål.docx", "A 37595-2024")</f>
        <v/>
      </c>
      <c r="W728">
        <f>HYPERLINK("https://klasma.github.io/Logging_0330/klagomålsmail/A 37595-2024 FSC-klagomål mail.docx", "A 37595-2024")</f>
        <v/>
      </c>
      <c r="X728">
        <f>HYPERLINK("https://klasma.github.io/Logging_0330/tillsyn/A 37595-2024 tillsynsbegäran.docx", "A 37595-2024")</f>
        <v/>
      </c>
      <c r="Y728">
        <f>HYPERLINK("https://klasma.github.io/Logging_0330/tillsynsmail/A 37595-2024 tillsynsbegäran mail.docx", "A 37595-2024")</f>
        <v/>
      </c>
    </row>
    <row r="729" ht="15" customHeight="1">
      <c r="A729" t="inlineStr">
        <is>
          <t>A 40720-2024</t>
        </is>
      </c>
      <c r="B729" s="1" t="n">
        <v>45558</v>
      </c>
      <c r="C729" s="1" t="n">
        <v>45792</v>
      </c>
      <c r="D729" t="inlineStr">
        <is>
          <t>UPPSALA LÄN</t>
        </is>
      </c>
      <c r="E729" t="inlineStr">
        <is>
          <t>TIERP</t>
        </is>
      </c>
      <c r="G729" t="n">
        <v>0.7</v>
      </c>
      <c r="H729" t="n">
        <v>1</v>
      </c>
      <c r="I729" t="n">
        <v>0</v>
      </c>
      <c r="J729" t="n">
        <v>1</v>
      </c>
      <c r="K729" t="n">
        <v>0</v>
      </c>
      <c r="L729" t="n">
        <v>0</v>
      </c>
      <c r="M729" t="n">
        <v>0</v>
      </c>
      <c r="N729" t="n">
        <v>0</v>
      </c>
      <c r="O729" t="n">
        <v>1</v>
      </c>
      <c r="P729" t="n">
        <v>0</v>
      </c>
      <c r="Q729" t="n">
        <v>1</v>
      </c>
      <c r="R729" s="2" t="inlineStr">
        <is>
          <t>Gulsparv</t>
        </is>
      </c>
      <c r="S729">
        <f>HYPERLINK("https://klasma.github.io/Logging_0360/artfynd/A 40720-2024 artfynd.xlsx", "A 40720-2024")</f>
        <v/>
      </c>
      <c r="T729">
        <f>HYPERLINK("https://klasma.github.io/Logging_0360/kartor/A 40720-2024 karta.png", "A 40720-2024")</f>
        <v/>
      </c>
      <c r="V729">
        <f>HYPERLINK("https://klasma.github.io/Logging_0360/klagomål/A 40720-2024 FSC-klagomål.docx", "A 40720-2024")</f>
        <v/>
      </c>
      <c r="W729">
        <f>HYPERLINK("https://klasma.github.io/Logging_0360/klagomålsmail/A 40720-2024 FSC-klagomål mail.docx", "A 40720-2024")</f>
        <v/>
      </c>
      <c r="X729">
        <f>HYPERLINK("https://klasma.github.io/Logging_0360/tillsyn/A 40720-2024 tillsynsbegäran.docx", "A 40720-2024")</f>
        <v/>
      </c>
      <c r="Y729">
        <f>HYPERLINK("https://klasma.github.io/Logging_0360/tillsynsmail/A 40720-2024 tillsynsbegäran mail.docx", "A 40720-2024")</f>
        <v/>
      </c>
      <c r="Z729">
        <f>HYPERLINK("https://klasma.github.io/Logging_0360/fåglar/A 40720-2024 prioriterade fågelarter.docx", "A 40720-2024")</f>
        <v/>
      </c>
    </row>
    <row r="730" ht="15" customHeight="1">
      <c r="A730" t="inlineStr">
        <is>
          <t>A 42787-2024</t>
        </is>
      </c>
      <c r="B730" s="1" t="n">
        <v>45566</v>
      </c>
      <c r="C730" s="1" t="n">
        <v>45792</v>
      </c>
      <c r="D730" t="inlineStr">
        <is>
          <t>UPPSALA LÄN</t>
        </is>
      </c>
      <c r="E730" t="inlineStr">
        <is>
          <t>UPPSALA</t>
        </is>
      </c>
      <c r="G730" t="n">
        <v>3.2</v>
      </c>
      <c r="H730" t="n">
        <v>1</v>
      </c>
      <c r="I730" t="n">
        <v>0</v>
      </c>
      <c r="J730" t="n">
        <v>0</v>
      </c>
      <c r="K730" t="n">
        <v>0</v>
      </c>
      <c r="L730" t="n">
        <v>0</v>
      </c>
      <c r="M730" t="n">
        <v>0</v>
      </c>
      <c r="N730" t="n">
        <v>0</v>
      </c>
      <c r="O730" t="n">
        <v>0</v>
      </c>
      <c r="P730" t="n">
        <v>0</v>
      </c>
      <c r="Q730" t="n">
        <v>1</v>
      </c>
      <c r="R730" s="2" t="inlineStr">
        <is>
          <t>Mattlummer</t>
        </is>
      </c>
      <c r="S730">
        <f>HYPERLINK("https://klasma.github.io/Logging_0380/artfynd/A 42787-2024 artfynd.xlsx", "A 42787-2024")</f>
        <v/>
      </c>
      <c r="T730">
        <f>HYPERLINK("https://klasma.github.io/Logging_0380/kartor/A 42787-2024 karta.png", "A 42787-2024")</f>
        <v/>
      </c>
      <c r="V730">
        <f>HYPERLINK("https://klasma.github.io/Logging_0380/klagomål/A 42787-2024 FSC-klagomål.docx", "A 42787-2024")</f>
        <v/>
      </c>
      <c r="W730">
        <f>HYPERLINK("https://klasma.github.io/Logging_0380/klagomålsmail/A 42787-2024 FSC-klagomål mail.docx", "A 42787-2024")</f>
        <v/>
      </c>
      <c r="X730">
        <f>HYPERLINK("https://klasma.github.io/Logging_0380/tillsyn/A 42787-2024 tillsynsbegäran.docx", "A 42787-2024")</f>
        <v/>
      </c>
      <c r="Y730">
        <f>HYPERLINK("https://klasma.github.io/Logging_0380/tillsynsmail/A 42787-2024 tillsynsbegäran mail.docx", "A 42787-2024")</f>
        <v/>
      </c>
    </row>
    <row r="731" ht="15" customHeight="1">
      <c r="A731" t="inlineStr">
        <is>
          <t>A 46527-2024</t>
        </is>
      </c>
      <c r="B731" s="1" t="n">
        <v>45582</v>
      </c>
      <c r="C731" s="1" t="n">
        <v>45792</v>
      </c>
      <c r="D731" t="inlineStr">
        <is>
          <t>UPPSALA LÄN</t>
        </is>
      </c>
      <c r="E731" t="inlineStr">
        <is>
          <t>TIERP</t>
        </is>
      </c>
      <c r="F731" t="inlineStr">
        <is>
          <t>Bergvik skog väst AB</t>
        </is>
      </c>
      <c r="G731" t="n">
        <v>7.2</v>
      </c>
      <c r="H731" t="n">
        <v>0</v>
      </c>
      <c r="I731" t="n">
        <v>1</v>
      </c>
      <c r="J731" t="n">
        <v>0</v>
      </c>
      <c r="K731" t="n">
        <v>0</v>
      </c>
      <c r="L731" t="n">
        <v>0</v>
      </c>
      <c r="M731" t="n">
        <v>0</v>
      </c>
      <c r="N731" t="n">
        <v>0</v>
      </c>
      <c r="O731" t="n">
        <v>0</v>
      </c>
      <c r="P731" t="n">
        <v>0</v>
      </c>
      <c r="Q731" t="n">
        <v>1</v>
      </c>
      <c r="R731" s="2" t="inlineStr">
        <is>
          <t>Rödgul trumpetsvamp</t>
        </is>
      </c>
      <c r="S731">
        <f>HYPERLINK("https://klasma.github.io/Logging_0360/artfynd/A 46527-2024 artfynd.xlsx", "A 46527-2024")</f>
        <v/>
      </c>
      <c r="T731">
        <f>HYPERLINK("https://klasma.github.io/Logging_0360/kartor/A 46527-2024 karta.png", "A 46527-2024")</f>
        <v/>
      </c>
      <c r="V731">
        <f>HYPERLINK("https://klasma.github.io/Logging_0360/klagomål/A 46527-2024 FSC-klagomål.docx", "A 46527-2024")</f>
        <v/>
      </c>
      <c r="W731">
        <f>HYPERLINK("https://klasma.github.io/Logging_0360/klagomålsmail/A 46527-2024 FSC-klagomål mail.docx", "A 46527-2024")</f>
        <v/>
      </c>
      <c r="X731">
        <f>HYPERLINK("https://klasma.github.io/Logging_0360/tillsyn/A 46527-2024 tillsynsbegäran.docx", "A 46527-2024")</f>
        <v/>
      </c>
      <c r="Y731">
        <f>HYPERLINK("https://klasma.github.io/Logging_0360/tillsynsmail/A 46527-2024 tillsynsbegäran mail.docx", "A 46527-2024")</f>
        <v/>
      </c>
    </row>
    <row r="732" ht="15" customHeight="1">
      <c r="A732" t="inlineStr">
        <is>
          <t>A 46632-2024</t>
        </is>
      </c>
      <c r="B732" s="1" t="n">
        <v>45583</v>
      </c>
      <c r="C732" s="1" t="n">
        <v>45792</v>
      </c>
      <c r="D732" t="inlineStr">
        <is>
          <t>UPPSALA LÄN</t>
        </is>
      </c>
      <c r="E732" t="inlineStr">
        <is>
          <t>ÖSTHAMMAR</t>
        </is>
      </c>
      <c r="F732" t="inlineStr">
        <is>
          <t>Bergvik skog öst AB</t>
        </is>
      </c>
      <c r="G732" t="n">
        <v>5.3</v>
      </c>
      <c r="H732" t="n">
        <v>0</v>
      </c>
      <c r="I732" t="n">
        <v>0</v>
      </c>
      <c r="J732" t="n">
        <v>1</v>
      </c>
      <c r="K732" t="n">
        <v>0</v>
      </c>
      <c r="L732" t="n">
        <v>0</v>
      </c>
      <c r="M732" t="n">
        <v>0</v>
      </c>
      <c r="N732" t="n">
        <v>0</v>
      </c>
      <c r="O732" t="n">
        <v>1</v>
      </c>
      <c r="P732" t="n">
        <v>0</v>
      </c>
      <c r="Q732" t="n">
        <v>1</v>
      </c>
      <c r="R732" s="2" t="inlineStr">
        <is>
          <t>Sexfläckig bastardsvärmare</t>
        </is>
      </c>
      <c r="S732">
        <f>HYPERLINK("https://klasma.github.io/Logging_0382/artfynd/A 46632-2024 artfynd.xlsx", "A 46632-2024")</f>
        <v/>
      </c>
      <c r="T732">
        <f>HYPERLINK("https://klasma.github.io/Logging_0382/kartor/A 46632-2024 karta.png", "A 46632-2024")</f>
        <v/>
      </c>
      <c r="V732">
        <f>HYPERLINK("https://klasma.github.io/Logging_0382/klagomål/A 46632-2024 FSC-klagomål.docx", "A 46632-2024")</f>
        <v/>
      </c>
      <c r="W732">
        <f>HYPERLINK("https://klasma.github.io/Logging_0382/klagomålsmail/A 46632-2024 FSC-klagomål mail.docx", "A 46632-2024")</f>
        <v/>
      </c>
      <c r="X732">
        <f>HYPERLINK("https://klasma.github.io/Logging_0382/tillsyn/A 46632-2024 tillsynsbegäran.docx", "A 46632-2024")</f>
        <v/>
      </c>
      <c r="Y732">
        <f>HYPERLINK("https://klasma.github.io/Logging_0382/tillsynsmail/A 46632-2024 tillsynsbegäran mail.docx", "A 46632-2024")</f>
        <v/>
      </c>
    </row>
    <row r="733" ht="15" customHeight="1">
      <c r="A733" t="inlineStr">
        <is>
          <t>A 46749-2024</t>
        </is>
      </c>
      <c r="B733" s="1" t="n">
        <v>45583</v>
      </c>
      <c r="C733" s="1" t="n">
        <v>45792</v>
      </c>
      <c r="D733" t="inlineStr">
        <is>
          <t>UPPSALA LÄN</t>
        </is>
      </c>
      <c r="E733" t="inlineStr">
        <is>
          <t>ENKÖPING</t>
        </is>
      </c>
      <c r="G733" t="n">
        <v>8.5</v>
      </c>
      <c r="H733" t="n">
        <v>0</v>
      </c>
      <c r="I733" t="n">
        <v>0</v>
      </c>
      <c r="J733" t="n">
        <v>1</v>
      </c>
      <c r="K733" t="n">
        <v>0</v>
      </c>
      <c r="L733" t="n">
        <v>0</v>
      </c>
      <c r="M733" t="n">
        <v>0</v>
      </c>
      <c r="N733" t="n">
        <v>0</v>
      </c>
      <c r="O733" t="n">
        <v>1</v>
      </c>
      <c r="P733" t="n">
        <v>0</v>
      </c>
      <c r="Q733" t="n">
        <v>1</v>
      </c>
      <c r="R733" s="2" t="inlineStr">
        <is>
          <t>Leptoporus erubescens</t>
        </is>
      </c>
      <c r="S733">
        <f>HYPERLINK("https://klasma.github.io/Logging_0381/artfynd/A 46749-2024 artfynd.xlsx", "A 46749-2024")</f>
        <v/>
      </c>
      <c r="T733">
        <f>HYPERLINK("https://klasma.github.io/Logging_0381/kartor/A 46749-2024 karta.png", "A 46749-2024")</f>
        <v/>
      </c>
      <c r="V733">
        <f>HYPERLINK("https://klasma.github.io/Logging_0381/klagomål/A 46749-2024 FSC-klagomål.docx", "A 46749-2024")</f>
        <v/>
      </c>
      <c r="W733">
        <f>HYPERLINK("https://klasma.github.io/Logging_0381/klagomålsmail/A 46749-2024 FSC-klagomål mail.docx", "A 46749-2024")</f>
        <v/>
      </c>
      <c r="X733">
        <f>HYPERLINK("https://klasma.github.io/Logging_0381/tillsyn/A 46749-2024 tillsynsbegäran.docx", "A 46749-2024")</f>
        <v/>
      </c>
      <c r="Y733">
        <f>HYPERLINK("https://klasma.github.io/Logging_0381/tillsynsmail/A 46749-2024 tillsynsbegäran mail.docx", "A 46749-2024")</f>
        <v/>
      </c>
    </row>
    <row r="734" ht="15" customHeight="1">
      <c r="A734" t="inlineStr">
        <is>
          <t>A 46629-2024</t>
        </is>
      </c>
      <c r="B734" s="1" t="n">
        <v>45583</v>
      </c>
      <c r="C734" s="1" t="n">
        <v>45792</v>
      </c>
      <c r="D734" t="inlineStr">
        <is>
          <t>UPPSALA LÄN</t>
        </is>
      </c>
      <c r="E734" t="inlineStr">
        <is>
          <t>ÖSTHAMMAR</t>
        </is>
      </c>
      <c r="F734" t="inlineStr">
        <is>
          <t>Bergvik skog öst AB</t>
        </is>
      </c>
      <c r="G734" t="n">
        <v>0.7</v>
      </c>
      <c r="H734" t="n">
        <v>0</v>
      </c>
      <c r="I734" t="n">
        <v>0</v>
      </c>
      <c r="J734" t="n">
        <v>1</v>
      </c>
      <c r="K734" t="n">
        <v>0</v>
      </c>
      <c r="L734" t="n">
        <v>0</v>
      </c>
      <c r="M734" t="n">
        <v>0</v>
      </c>
      <c r="N734" t="n">
        <v>0</v>
      </c>
      <c r="O734" t="n">
        <v>1</v>
      </c>
      <c r="P734" t="n">
        <v>0</v>
      </c>
      <c r="Q734" t="n">
        <v>1</v>
      </c>
      <c r="R734" s="2" t="inlineStr">
        <is>
          <t>Slåtterfibbla</t>
        </is>
      </c>
      <c r="S734">
        <f>HYPERLINK("https://klasma.github.io/Logging_0382/artfynd/A 46629-2024 artfynd.xlsx", "A 46629-2024")</f>
        <v/>
      </c>
      <c r="T734">
        <f>HYPERLINK("https://klasma.github.io/Logging_0382/kartor/A 46629-2024 karta.png", "A 46629-2024")</f>
        <v/>
      </c>
      <c r="V734">
        <f>HYPERLINK("https://klasma.github.io/Logging_0382/klagomål/A 46629-2024 FSC-klagomål.docx", "A 46629-2024")</f>
        <v/>
      </c>
      <c r="W734">
        <f>HYPERLINK("https://klasma.github.io/Logging_0382/klagomålsmail/A 46629-2024 FSC-klagomål mail.docx", "A 46629-2024")</f>
        <v/>
      </c>
      <c r="X734">
        <f>HYPERLINK("https://klasma.github.io/Logging_0382/tillsyn/A 46629-2024 tillsynsbegäran.docx", "A 46629-2024")</f>
        <v/>
      </c>
      <c r="Y734">
        <f>HYPERLINK("https://klasma.github.io/Logging_0382/tillsynsmail/A 46629-2024 tillsynsbegäran mail.docx", "A 46629-2024")</f>
        <v/>
      </c>
    </row>
    <row r="735" ht="15" customHeight="1">
      <c r="A735" t="inlineStr">
        <is>
          <t>A 47168-2024</t>
        </is>
      </c>
      <c r="B735" s="1" t="n">
        <v>45586</v>
      </c>
      <c r="C735" s="1" t="n">
        <v>45792</v>
      </c>
      <c r="D735" t="inlineStr">
        <is>
          <t>UPPSALA LÄN</t>
        </is>
      </c>
      <c r="E735" t="inlineStr">
        <is>
          <t>ENKÖPING</t>
        </is>
      </c>
      <c r="G735" t="n">
        <v>7.3</v>
      </c>
      <c r="H735" t="n">
        <v>0</v>
      </c>
      <c r="I735" t="n">
        <v>1</v>
      </c>
      <c r="J735" t="n">
        <v>0</v>
      </c>
      <c r="K735" t="n">
        <v>0</v>
      </c>
      <c r="L735" t="n">
        <v>0</v>
      </c>
      <c r="M735" t="n">
        <v>0</v>
      </c>
      <c r="N735" t="n">
        <v>0</v>
      </c>
      <c r="O735" t="n">
        <v>0</v>
      </c>
      <c r="P735" t="n">
        <v>0</v>
      </c>
      <c r="Q735" t="n">
        <v>1</v>
      </c>
      <c r="R735" s="2" t="inlineStr">
        <is>
          <t>Svavelriska</t>
        </is>
      </c>
      <c r="S735">
        <f>HYPERLINK("https://klasma.github.io/Logging_0381/artfynd/A 47168-2024 artfynd.xlsx", "A 47168-2024")</f>
        <v/>
      </c>
      <c r="T735">
        <f>HYPERLINK("https://klasma.github.io/Logging_0381/kartor/A 47168-2024 karta.png", "A 47168-2024")</f>
        <v/>
      </c>
      <c r="V735">
        <f>HYPERLINK("https://klasma.github.io/Logging_0381/klagomål/A 47168-2024 FSC-klagomål.docx", "A 47168-2024")</f>
        <v/>
      </c>
      <c r="W735">
        <f>HYPERLINK("https://klasma.github.io/Logging_0381/klagomålsmail/A 47168-2024 FSC-klagomål mail.docx", "A 47168-2024")</f>
        <v/>
      </c>
      <c r="X735">
        <f>HYPERLINK("https://klasma.github.io/Logging_0381/tillsyn/A 47168-2024 tillsynsbegäran.docx", "A 47168-2024")</f>
        <v/>
      </c>
      <c r="Y735">
        <f>HYPERLINK("https://klasma.github.io/Logging_0381/tillsynsmail/A 47168-2024 tillsynsbegäran mail.docx", "A 47168-2024")</f>
        <v/>
      </c>
    </row>
    <row r="736" ht="15" customHeight="1">
      <c r="A736" t="inlineStr">
        <is>
          <t>A 48722-2024</t>
        </is>
      </c>
      <c r="B736" s="1" t="n">
        <v>45593</v>
      </c>
      <c r="C736" s="1" t="n">
        <v>45792</v>
      </c>
      <c r="D736" t="inlineStr">
        <is>
          <t>UPPSALA LÄN</t>
        </is>
      </c>
      <c r="E736" t="inlineStr">
        <is>
          <t>HEBY</t>
        </is>
      </c>
      <c r="F736" t="inlineStr">
        <is>
          <t>Allmännings- och besparingsskogar</t>
        </is>
      </c>
      <c r="G736" t="n">
        <v>9.6</v>
      </c>
      <c r="H736" t="n">
        <v>0</v>
      </c>
      <c r="I736" t="n">
        <v>0</v>
      </c>
      <c r="J736" t="n">
        <v>1</v>
      </c>
      <c r="K736" t="n">
        <v>0</v>
      </c>
      <c r="L736" t="n">
        <v>0</v>
      </c>
      <c r="M736" t="n">
        <v>0</v>
      </c>
      <c r="N736" t="n">
        <v>0</v>
      </c>
      <c r="O736" t="n">
        <v>1</v>
      </c>
      <c r="P736" t="n">
        <v>0</v>
      </c>
      <c r="Q736" t="n">
        <v>1</v>
      </c>
      <c r="R736" s="2" t="inlineStr">
        <is>
          <t>Blå taggsvamp</t>
        </is>
      </c>
      <c r="S736">
        <f>HYPERLINK("https://klasma.github.io/Logging_0331/artfynd/A 48722-2024 artfynd.xlsx", "A 48722-2024")</f>
        <v/>
      </c>
      <c r="T736">
        <f>HYPERLINK("https://klasma.github.io/Logging_0331/kartor/A 48722-2024 karta.png", "A 48722-2024")</f>
        <v/>
      </c>
      <c r="V736">
        <f>HYPERLINK("https://klasma.github.io/Logging_0331/klagomål/A 48722-2024 FSC-klagomål.docx", "A 48722-2024")</f>
        <v/>
      </c>
      <c r="W736">
        <f>HYPERLINK("https://klasma.github.io/Logging_0331/klagomålsmail/A 48722-2024 FSC-klagomål mail.docx", "A 48722-2024")</f>
        <v/>
      </c>
      <c r="X736">
        <f>HYPERLINK("https://klasma.github.io/Logging_0331/tillsyn/A 48722-2024 tillsynsbegäran.docx", "A 48722-2024")</f>
        <v/>
      </c>
      <c r="Y736">
        <f>HYPERLINK("https://klasma.github.io/Logging_0331/tillsynsmail/A 48722-2024 tillsynsbegäran mail.docx", "A 48722-2024")</f>
        <v/>
      </c>
    </row>
    <row r="737" ht="15" customHeight="1">
      <c r="A737" t="inlineStr">
        <is>
          <t>A 49692-2024</t>
        </is>
      </c>
      <c r="B737" s="1" t="n">
        <v>45596</v>
      </c>
      <c r="C737" s="1" t="n">
        <v>45792</v>
      </c>
      <c r="D737" t="inlineStr">
        <is>
          <t>UPPSALA LÄN</t>
        </is>
      </c>
      <c r="E737" t="inlineStr">
        <is>
          <t>TIERP</t>
        </is>
      </c>
      <c r="G737" t="n">
        <v>3.7</v>
      </c>
      <c r="H737" t="n">
        <v>1</v>
      </c>
      <c r="I737" t="n">
        <v>0</v>
      </c>
      <c r="J737" t="n">
        <v>0</v>
      </c>
      <c r="K737" t="n">
        <v>0</v>
      </c>
      <c r="L737" t="n">
        <v>0</v>
      </c>
      <c r="M737" t="n">
        <v>0</v>
      </c>
      <c r="N737" t="n">
        <v>0</v>
      </c>
      <c r="O737" t="n">
        <v>0</v>
      </c>
      <c r="P737" t="n">
        <v>0</v>
      </c>
      <c r="Q737" t="n">
        <v>1</v>
      </c>
      <c r="R737" s="2" t="inlineStr">
        <is>
          <t>Mattlummer</t>
        </is>
      </c>
      <c r="S737">
        <f>HYPERLINK("https://klasma.github.io/Logging_0360/artfynd/A 49692-2024 artfynd.xlsx", "A 49692-2024")</f>
        <v/>
      </c>
      <c r="T737">
        <f>HYPERLINK("https://klasma.github.io/Logging_0360/kartor/A 49692-2024 karta.png", "A 49692-2024")</f>
        <v/>
      </c>
      <c r="V737">
        <f>HYPERLINK("https://klasma.github.io/Logging_0360/klagomål/A 49692-2024 FSC-klagomål.docx", "A 49692-2024")</f>
        <v/>
      </c>
      <c r="W737">
        <f>HYPERLINK("https://klasma.github.io/Logging_0360/klagomålsmail/A 49692-2024 FSC-klagomål mail.docx", "A 49692-2024")</f>
        <v/>
      </c>
      <c r="X737">
        <f>HYPERLINK("https://klasma.github.io/Logging_0360/tillsyn/A 49692-2024 tillsynsbegäran.docx", "A 49692-2024")</f>
        <v/>
      </c>
      <c r="Y737">
        <f>HYPERLINK("https://klasma.github.io/Logging_0360/tillsynsmail/A 49692-2024 tillsynsbegäran mail.docx", "A 49692-2024")</f>
        <v/>
      </c>
    </row>
    <row r="738" ht="15" customHeight="1">
      <c r="A738" t="inlineStr">
        <is>
          <t>A 50039-2024</t>
        </is>
      </c>
      <c r="B738" s="1" t="n">
        <v>45600</v>
      </c>
      <c r="C738" s="1" t="n">
        <v>45792</v>
      </c>
      <c r="D738" t="inlineStr">
        <is>
          <t>UPPSALA LÄN</t>
        </is>
      </c>
      <c r="E738" t="inlineStr">
        <is>
          <t>KNIVSTA</t>
        </is>
      </c>
      <c r="G738" t="n">
        <v>2</v>
      </c>
      <c r="H738" t="n">
        <v>0</v>
      </c>
      <c r="I738" t="n">
        <v>1</v>
      </c>
      <c r="J738" t="n">
        <v>0</v>
      </c>
      <c r="K738" t="n">
        <v>0</v>
      </c>
      <c r="L738" t="n">
        <v>0</v>
      </c>
      <c r="M738" t="n">
        <v>0</v>
      </c>
      <c r="N738" t="n">
        <v>0</v>
      </c>
      <c r="O738" t="n">
        <v>0</v>
      </c>
      <c r="P738" t="n">
        <v>0</v>
      </c>
      <c r="Q738" t="n">
        <v>1</v>
      </c>
      <c r="R738" s="2" t="inlineStr">
        <is>
          <t>Tallfingersvamp</t>
        </is>
      </c>
      <c r="S738">
        <f>HYPERLINK("https://klasma.github.io/Logging_0330/artfynd/A 50039-2024 artfynd.xlsx", "A 50039-2024")</f>
        <v/>
      </c>
      <c r="T738">
        <f>HYPERLINK("https://klasma.github.io/Logging_0330/kartor/A 50039-2024 karta.png", "A 50039-2024")</f>
        <v/>
      </c>
      <c r="V738">
        <f>HYPERLINK("https://klasma.github.io/Logging_0330/klagomål/A 50039-2024 FSC-klagomål.docx", "A 50039-2024")</f>
        <v/>
      </c>
      <c r="W738">
        <f>HYPERLINK("https://klasma.github.io/Logging_0330/klagomålsmail/A 50039-2024 FSC-klagomål mail.docx", "A 50039-2024")</f>
        <v/>
      </c>
      <c r="X738">
        <f>HYPERLINK("https://klasma.github.io/Logging_0330/tillsyn/A 50039-2024 tillsynsbegäran.docx", "A 50039-2024")</f>
        <v/>
      </c>
      <c r="Y738">
        <f>HYPERLINK("https://klasma.github.io/Logging_0330/tillsynsmail/A 50039-2024 tillsynsbegäran mail.docx", "A 50039-2024")</f>
        <v/>
      </c>
    </row>
    <row r="739" ht="15" customHeight="1">
      <c r="A739" t="inlineStr">
        <is>
          <t>A 53866-2024</t>
        </is>
      </c>
      <c r="B739" s="1" t="n">
        <v>45614</v>
      </c>
      <c r="C739" s="1" t="n">
        <v>45792</v>
      </c>
      <c r="D739" t="inlineStr">
        <is>
          <t>UPPSALA LÄN</t>
        </is>
      </c>
      <c r="E739" t="inlineStr">
        <is>
          <t>HÅBO</t>
        </is>
      </c>
      <c r="G739" t="n">
        <v>2.9</v>
      </c>
      <c r="H739" t="n">
        <v>1</v>
      </c>
      <c r="I739" t="n">
        <v>0</v>
      </c>
      <c r="J739" t="n">
        <v>0</v>
      </c>
      <c r="K739" t="n">
        <v>0</v>
      </c>
      <c r="L739" t="n">
        <v>0</v>
      </c>
      <c r="M739" t="n">
        <v>0</v>
      </c>
      <c r="N739" t="n">
        <v>0</v>
      </c>
      <c r="O739" t="n">
        <v>0</v>
      </c>
      <c r="P739" t="n">
        <v>0</v>
      </c>
      <c r="Q739" t="n">
        <v>1</v>
      </c>
      <c r="R739" s="2" t="inlineStr">
        <is>
          <t>Nattviol</t>
        </is>
      </c>
      <c r="S739">
        <f>HYPERLINK("https://klasma.github.io/Logging_0305/artfynd/A 53866-2024 artfynd.xlsx", "A 53866-2024")</f>
        <v/>
      </c>
      <c r="T739">
        <f>HYPERLINK("https://klasma.github.io/Logging_0305/kartor/A 53866-2024 karta.png", "A 53866-2024")</f>
        <v/>
      </c>
      <c r="V739">
        <f>HYPERLINK("https://klasma.github.io/Logging_0305/klagomål/A 53866-2024 FSC-klagomål.docx", "A 53866-2024")</f>
        <v/>
      </c>
      <c r="W739">
        <f>HYPERLINK("https://klasma.github.io/Logging_0305/klagomålsmail/A 53866-2024 FSC-klagomål mail.docx", "A 53866-2024")</f>
        <v/>
      </c>
      <c r="X739">
        <f>HYPERLINK("https://klasma.github.io/Logging_0305/tillsyn/A 53866-2024 tillsynsbegäran.docx", "A 53866-2024")</f>
        <v/>
      </c>
      <c r="Y739">
        <f>HYPERLINK("https://klasma.github.io/Logging_0305/tillsynsmail/A 53866-2024 tillsynsbegäran mail.docx", "A 53866-2024")</f>
        <v/>
      </c>
    </row>
    <row r="740" ht="15" customHeight="1">
      <c r="A740" t="inlineStr">
        <is>
          <t>A 54144-2024</t>
        </is>
      </c>
      <c r="B740" s="1" t="n">
        <v>45616</v>
      </c>
      <c r="C740" s="1" t="n">
        <v>45792</v>
      </c>
      <c r="D740" t="inlineStr">
        <is>
          <t>UPPSALA LÄN</t>
        </is>
      </c>
      <c r="E740" t="inlineStr">
        <is>
          <t>UPPSALA</t>
        </is>
      </c>
      <c r="G740" t="n">
        <v>3.2</v>
      </c>
      <c r="H740" t="n">
        <v>0</v>
      </c>
      <c r="I740" t="n">
        <v>1</v>
      </c>
      <c r="J740" t="n">
        <v>0</v>
      </c>
      <c r="K740" t="n">
        <v>0</v>
      </c>
      <c r="L740" t="n">
        <v>0</v>
      </c>
      <c r="M740" t="n">
        <v>0</v>
      </c>
      <c r="N740" t="n">
        <v>0</v>
      </c>
      <c r="O740" t="n">
        <v>0</v>
      </c>
      <c r="P740" t="n">
        <v>0</v>
      </c>
      <c r="Q740" t="n">
        <v>1</v>
      </c>
      <c r="R740" s="2" t="inlineStr">
        <is>
          <t>Svavelriska</t>
        </is>
      </c>
      <c r="S740">
        <f>HYPERLINK("https://klasma.github.io/Logging_0380/artfynd/A 54144-2024 artfynd.xlsx", "A 54144-2024")</f>
        <v/>
      </c>
      <c r="T740">
        <f>HYPERLINK("https://klasma.github.io/Logging_0380/kartor/A 54144-2024 karta.png", "A 54144-2024")</f>
        <v/>
      </c>
      <c r="V740">
        <f>HYPERLINK("https://klasma.github.io/Logging_0380/klagomål/A 54144-2024 FSC-klagomål.docx", "A 54144-2024")</f>
        <v/>
      </c>
      <c r="W740">
        <f>HYPERLINK("https://klasma.github.io/Logging_0380/klagomålsmail/A 54144-2024 FSC-klagomål mail.docx", "A 54144-2024")</f>
        <v/>
      </c>
      <c r="X740">
        <f>HYPERLINK("https://klasma.github.io/Logging_0380/tillsyn/A 54144-2024 tillsynsbegäran.docx", "A 54144-2024")</f>
        <v/>
      </c>
      <c r="Y740">
        <f>HYPERLINK("https://klasma.github.io/Logging_0380/tillsynsmail/A 54144-2024 tillsynsbegäran mail.docx", "A 54144-2024")</f>
        <v/>
      </c>
    </row>
    <row r="741" ht="15" customHeight="1">
      <c r="A741" t="inlineStr">
        <is>
          <t>A 54368-2024</t>
        </is>
      </c>
      <c r="B741" s="1" t="n">
        <v>45617</v>
      </c>
      <c r="C741" s="1" t="n">
        <v>45792</v>
      </c>
      <c r="D741" t="inlineStr">
        <is>
          <t>UPPSALA LÄN</t>
        </is>
      </c>
      <c r="E741" t="inlineStr">
        <is>
          <t>HEBY</t>
        </is>
      </c>
      <c r="F741" t="inlineStr">
        <is>
          <t>Allmännings- och besparingsskogar</t>
        </is>
      </c>
      <c r="G741" t="n">
        <v>13.9</v>
      </c>
      <c r="H741" t="n">
        <v>1</v>
      </c>
      <c r="I741" t="n">
        <v>0</v>
      </c>
      <c r="J741" t="n">
        <v>1</v>
      </c>
      <c r="K741" t="n">
        <v>0</v>
      </c>
      <c r="L741" t="n">
        <v>0</v>
      </c>
      <c r="M741" t="n">
        <v>0</v>
      </c>
      <c r="N741" t="n">
        <v>0</v>
      </c>
      <c r="O741" t="n">
        <v>1</v>
      </c>
      <c r="P741" t="n">
        <v>0</v>
      </c>
      <c r="Q741" t="n">
        <v>1</v>
      </c>
      <c r="R741" s="2" t="inlineStr">
        <is>
          <t>Talltita</t>
        </is>
      </c>
      <c r="S741">
        <f>HYPERLINK("https://klasma.github.io/Logging_0331/artfynd/A 54368-2024 artfynd.xlsx", "A 54368-2024")</f>
        <v/>
      </c>
      <c r="T741">
        <f>HYPERLINK("https://klasma.github.io/Logging_0331/kartor/A 54368-2024 karta.png", "A 54368-2024")</f>
        <v/>
      </c>
      <c r="V741">
        <f>HYPERLINK("https://klasma.github.io/Logging_0331/klagomål/A 54368-2024 FSC-klagomål.docx", "A 54368-2024")</f>
        <v/>
      </c>
      <c r="W741">
        <f>HYPERLINK("https://klasma.github.io/Logging_0331/klagomålsmail/A 54368-2024 FSC-klagomål mail.docx", "A 54368-2024")</f>
        <v/>
      </c>
      <c r="X741">
        <f>HYPERLINK("https://klasma.github.io/Logging_0331/tillsyn/A 54368-2024 tillsynsbegäran.docx", "A 54368-2024")</f>
        <v/>
      </c>
      <c r="Y741">
        <f>HYPERLINK("https://klasma.github.io/Logging_0331/tillsynsmail/A 54368-2024 tillsynsbegäran mail.docx", "A 54368-2024")</f>
        <v/>
      </c>
      <c r="Z741">
        <f>HYPERLINK("https://klasma.github.io/Logging_0331/fåglar/A 54368-2024 prioriterade fågelarter.docx", "A 54368-2024")</f>
        <v/>
      </c>
    </row>
    <row r="742" ht="15" customHeight="1">
      <c r="A742" t="inlineStr">
        <is>
          <t>A 55331-2024</t>
        </is>
      </c>
      <c r="B742" s="1" t="n">
        <v>45621</v>
      </c>
      <c r="C742" s="1" t="n">
        <v>45792</v>
      </c>
      <c r="D742" t="inlineStr">
        <is>
          <t>UPPSALA LÄN</t>
        </is>
      </c>
      <c r="E742" t="inlineStr">
        <is>
          <t>TIERP</t>
        </is>
      </c>
      <c r="F742" t="inlineStr">
        <is>
          <t>Bergvik skog väst AB</t>
        </is>
      </c>
      <c r="G742" t="n">
        <v>7.3</v>
      </c>
      <c r="H742" t="n">
        <v>1</v>
      </c>
      <c r="I742" t="n">
        <v>0</v>
      </c>
      <c r="J742" t="n">
        <v>1</v>
      </c>
      <c r="K742" t="n">
        <v>0</v>
      </c>
      <c r="L742" t="n">
        <v>0</v>
      </c>
      <c r="M742" t="n">
        <v>0</v>
      </c>
      <c r="N742" t="n">
        <v>0</v>
      </c>
      <c r="O742" t="n">
        <v>1</v>
      </c>
      <c r="P742" t="n">
        <v>0</v>
      </c>
      <c r="Q742" t="n">
        <v>1</v>
      </c>
      <c r="R742" s="2" t="inlineStr">
        <is>
          <t>Talltita</t>
        </is>
      </c>
      <c r="S742">
        <f>HYPERLINK("https://klasma.github.io/Logging_0360/artfynd/A 55331-2024 artfynd.xlsx", "A 55331-2024")</f>
        <v/>
      </c>
      <c r="T742">
        <f>HYPERLINK("https://klasma.github.io/Logging_0360/kartor/A 55331-2024 karta.png", "A 55331-2024")</f>
        <v/>
      </c>
      <c r="V742">
        <f>HYPERLINK("https://klasma.github.io/Logging_0360/klagomål/A 55331-2024 FSC-klagomål.docx", "A 55331-2024")</f>
        <v/>
      </c>
      <c r="W742">
        <f>HYPERLINK("https://klasma.github.io/Logging_0360/klagomålsmail/A 55331-2024 FSC-klagomål mail.docx", "A 55331-2024")</f>
        <v/>
      </c>
      <c r="X742">
        <f>HYPERLINK("https://klasma.github.io/Logging_0360/tillsyn/A 55331-2024 tillsynsbegäran.docx", "A 55331-2024")</f>
        <v/>
      </c>
      <c r="Y742">
        <f>HYPERLINK("https://klasma.github.io/Logging_0360/tillsynsmail/A 55331-2024 tillsynsbegäran mail.docx", "A 55331-2024")</f>
        <v/>
      </c>
      <c r="Z742">
        <f>HYPERLINK("https://klasma.github.io/Logging_0360/fåglar/A 55331-2024 prioriterade fågelarter.docx", "A 55331-2024")</f>
        <v/>
      </c>
    </row>
    <row r="743" ht="15" customHeight="1">
      <c r="A743" t="inlineStr">
        <is>
          <t>A 55082-2024</t>
        </is>
      </c>
      <c r="B743" s="1" t="n">
        <v>45621</v>
      </c>
      <c r="C743" s="1" t="n">
        <v>45792</v>
      </c>
      <c r="D743" t="inlineStr">
        <is>
          <t>UPPSALA LÄN</t>
        </is>
      </c>
      <c r="E743" t="inlineStr">
        <is>
          <t>HEBY</t>
        </is>
      </c>
      <c r="G743" t="n">
        <v>5.2</v>
      </c>
      <c r="H743" t="n">
        <v>0</v>
      </c>
      <c r="I743" t="n">
        <v>0</v>
      </c>
      <c r="J743" t="n">
        <v>1</v>
      </c>
      <c r="K743" t="n">
        <v>0</v>
      </c>
      <c r="L743" t="n">
        <v>0</v>
      </c>
      <c r="M743" t="n">
        <v>0</v>
      </c>
      <c r="N743" t="n">
        <v>0</v>
      </c>
      <c r="O743" t="n">
        <v>1</v>
      </c>
      <c r="P743" t="n">
        <v>0</v>
      </c>
      <c r="Q743" t="n">
        <v>1</v>
      </c>
      <c r="R743" s="2" t="inlineStr">
        <is>
          <t>Kolflarnlav</t>
        </is>
      </c>
      <c r="S743">
        <f>HYPERLINK("https://klasma.github.io/Logging_0331/artfynd/A 55082-2024 artfynd.xlsx", "A 55082-2024")</f>
        <v/>
      </c>
      <c r="T743">
        <f>HYPERLINK("https://klasma.github.io/Logging_0331/kartor/A 55082-2024 karta.png", "A 55082-2024")</f>
        <v/>
      </c>
      <c r="V743">
        <f>HYPERLINK("https://klasma.github.io/Logging_0331/klagomål/A 55082-2024 FSC-klagomål.docx", "A 55082-2024")</f>
        <v/>
      </c>
      <c r="W743">
        <f>HYPERLINK("https://klasma.github.io/Logging_0331/klagomålsmail/A 55082-2024 FSC-klagomål mail.docx", "A 55082-2024")</f>
        <v/>
      </c>
      <c r="X743">
        <f>HYPERLINK("https://klasma.github.io/Logging_0331/tillsyn/A 55082-2024 tillsynsbegäran.docx", "A 55082-2024")</f>
        <v/>
      </c>
      <c r="Y743">
        <f>HYPERLINK("https://klasma.github.io/Logging_0331/tillsynsmail/A 55082-2024 tillsynsbegäran mail.docx", "A 55082-2024")</f>
        <v/>
      </c>
    </row>
    <row r="744" ht="15" customHeight="1">
      <c r="A744" t="inlineStr">
        <is>
          <t>A 55169-2024</t>
        </is>
      </c>
      <c r="B744" s="1" t="n">
        <v>45621</v>
      </c>
      <c r="C744" s="1" t="n">
        <v>45792</v>
      </c>
      <c r="D744" t="inlineStr">
        <is>
          <t>UPPSALA LÄN</t>
        </is>
      </c>
      <c r="E744" t="inlineStr">
        <is>
          <t>ÖSTHAMMAR</t>
        </is>
      </c>
      <c r="G744" t="n">
        <v>1.1</v>
      </c>
      <c r="H744" t="n">
        <v>0</v>
      </c>
      <c r="I744" t="n">
        <v>1</v>
      </c>
      <c r="J744" t="n">
        <v>0</v>
      </c>
      <c r="K744" t="n">
        <v>0</v>
      </c>
      <c r="L744" t="n">
        <v>0</v>
      </c>
      <c r="M744" t="n">
        <v>0</v>
      </c>
      <c r="N744" t="n">
        <v>0</v>
      </c>
      <c r="O744" t="n">
        <v>0</v>
      </c>
      <c r="P744" t="n">
        <v>0</v>
      </c>
      <c r="Q744" t="n">
        <v>1</v>
      </c>
      <c r="R744" s="2" t="inlineStr">
        <is>
          <t>Svavelriska</t>
        </is>
      </c>
      <c r="S744">
        <f>HYPERLINK("https://klasma.github.io/Logging_0382/artfynd/A 55169-2024 artfynd.xlsx", "A 55169-2024")</f>
        <v/>
      </c>
      <c r="T744">
        <f>HYPERLINK("https://klasma.github.io/Logging_0382/kartor/A 55169-2024 karta.png", "A 55169-2024")</f>
        <v/>
      </c>
      <c r="V744">
        <f>HYPERLINK("https://klasma.github.io/Logging_0382/klagomål/A 55169-2024 FSC-klagomål.docx", "A 55169-2024")</f>
        <v/>
      </c>
      <c r="W744">
        <f>HYPERLINK("https://klasma.github.io/Logging_0382/klagomålsmail/A 55169-2024 FSC-klagomål mail.docx", "A 55169-2024")</f>
        <v/>
      </c>
      <c r="X744">
        <f>HYPERLINK("https://klasma.github.io/Logging_0382/tillsyn/A 55169-2024 tillsynsbegäran.docx", "A 55169-2024")</f>
        <v/>
      </c>
      <c r="Y744">
        <f>HYPERLINK("https://klasma.github.io/Logging_0382/tillsynsmail/A 55169-2024 tillsynsbegäran mail.docx", "A 55169-2024")</f>
        <v/>
      </c>
    </row>
    <row r="745" ht="15" customHeight="1">
      <c r="A745" t="inlineStr">
        <is>
          <t>A 55554-2024</t>
        </is>
      </c>
      <c r="B745" s="1" t="n">
        <v>45622</v>
      </c>
      <c r="C745" s="1" t="n">
        <v>45792</v>
      </c>
      <c r="D745" t="inlineStr">
        <is>
          <t>UPPSALA LÄN</t>
        </is>
      </c>
      <c r="E745" t="inlineStr">
        <is>
          <t>ÄLVKARLEBY</t>
        </is>
      </c>
      <c r="F745" t="inlineStr">
        <is>
          <t>Bergvik skog väst AB</t>
        </is>
      </c>
      <c r="G745" t="n">
        <v>1.2</v>
      </c>
      <c r="H745" t="n">
        <v>1</v>
      </c>
      <c r="I745" t="n">
        <v>0</v>
      </c>
      <c r="J745" t="n">
        <v>0</v>
      </c>
      <c r="K745" t="n">
        <v>1</v>
      </c>
      <c r="L745" t="n">
        <v>0</v>
      </c>
      <c r="M745" t="n">
        <v>0</v>
      </c>
      <c r="N745" t="n">
        <v>0</v>
      </c>
      <c r="O745" t="n">
        <v>1</v>
      </c>
      <c r="P745" t="n">
        <v>1</v>
      </c>
      <c r="Q745" t="n">
        <v>1</v>
      </c>
      <c r="R745" s="2" t="inlineStr">
        <is>
          <t>Knärot</t>
        </is>
      </c>
      <c r="S745">
        <f>HYPERLINK("https://klasma.github.io/Logging_0319/artfynd/A 55554-2024 artfynd.xlsx", "A 55554-2024")</f>
        <v/>
      </c>
      <c r="T745">
        <f>HYPERLINK("https://klasma.github.io/Logging_0319/kartor/A 55554-2024 karta.png", "A 55554-2024")</f>
        <v/>
      </c>
      <c r="U745">
        <f>HYPERLINK("https://klasma.github.io/Logging_0319/knärot/A 55554-2024 karta knärot.png", "A 55554-2024")</f>
        <v/>
      </c>
      <c r="V745">
        <f>HYPERLINK("https://klasma.github.io/Logging_0319/klagomål/A 55554-2024 FSC-klagomål.docx", "A 55554-2024")</f>
        <v/>
      </c>
      <c r="W745">
        <f>HYPERLINK("https://klasma.github.io/Logging_0319/klagomålsmail/A 55554-2024 FSC-klagomål mail.docx", "A 55554-2024")</f>
        <v/>
      </c>
      <c r="X745">
        <f>HYPERLINK("https://klasma.github.io/Logging_0319/tillsyn/A 55554-2024 tillsynsbegäran.docx", "A 55554-2024")</f>
        <v/>
      </c>
      <c r="Y745">
        <f>HYPERLINK("https://klasma.github.io/Logging_0319/tillsynsmail/A 55554-2024 tillsynsbegäran mail.docx", "A 55554-2024")</f>
        <v/>
      </c>
    </row>
    <row r="746" ht="15" customHeight="1">
      <c r="A746" t="inlineStr">
        <is>
          <t>A 55560-2024</t>
        </is>
      </c>
      <c r="B746" s="1" t="n">
        <v>45622</v>
      </c>
      <c r="C746" s="1" t="n">
        <v>45792</v>
      </c>
      <c r="D746" t="inlineStr">
        <is>
          <t>UPPSALA LÄN</t>
        </is>
      </c>
      <c r="E746" t="inlineStr">
        <is>
          <t>ÄLVKARLEBY</t>
        </is>
      </c>
      <c r="F746" t="inlineStr">
        <is>
          <t>Bergvik skog väst AB</t>
        </is>
      </c>
      <c r="G746" t="n">
        <v>1</v>
      </c>
      <c r="H746" t="n">
        <v>1</v>
      </c>
      <c r="I746" t="n">
        <v>0</v>
      </c>
      <c r="J746" t="n">
        <v>0</v>
      </c>
      <c r="K746" t="n">
        <v>1</v>
      </c>
      <c r="L746" t="n">
        <v>0</v>
      </c>
      <c r="M746" t="n">
        <v>0</v>
      </c>
      <c r="N746" t="n">
        <v>0</v>
      </c>
      <c r="O746" t="n">
        <v>1</v>
      </c>
      <c r="P746" t="n">
        <v>1</v>
      </c>
      <c r="Q746" t="n">
        <v>1</v>
      </c>
      <c r="R746" s="2" t="inlineStr">
        <is>
          <t>Knärot</t>
        </is>
      </c>
      <c r="S746">
        <f>HYPERLINK("https://klasma.github.io/Logging_0319/artfynd/A 55560-2024 artfynd.xlsx", "A 55560-2024")</f>
        <v/>
      </c>
      <c r="T746">
        <f>HYPERLINK("https://klasma.github.io/Logging_0319/kartor/A 55560-2024 karta.png", "A 55560-2024")</f>
        <v/>
      </c>
      <c r="U746">
        <f>HYPERLINK("https://klasma.github.io/Logging_0319/knärot/A 55560-2024 karta knärot.png", "A 55560-2024")</f>
        <v/>
      </c>
      <c r="V746">
        <f>HYPERLINK("https://klasma.github.io/Logging_0319/klagomål/A 55560-2024 FSC-klagomål.docx", "A 55560-2024")</f>
        <v/>
      </c>
      <c r="W746">
        <f>HYPERLINK("https://klasma.github.io/Logging_0319/klagomålsmail/A 55560-2024 FSC-klagomål mail.docx", "A 55560-2024")</f>
        <v/>
      </c>
      <c r="X746">
        <f>HYPERLINK("https://klasma.github.io/Logging_0319/tillsyn/A 55560-2024 tillsynsbegäran.docx", "A 55560-2024")</f>
        <v/>
      </c>
      <c r="Y746">
        <f>HYPERLINK("https://klasma.github.io/Logging_0319/tillsynsmail/A 55560-2024 tillsynsbegäran mail.docx", "A 55560-2024")</f>
        <v/>
      </c>
    </row>
    <row r="747" ht="15" customHeight="1">
      <c r="A747" t="inlineStr">
        <is>
          <t>A 55663-2024</t>
        </is>
      </c>
      <c r="B747" s="1" t="n">
        <v>45622</v>
      </c>
      <c r="C747" s="1" t="n">
        <v>45792</v>
      </c>
      <c r="D747" t="inlineStr">
        <is>
          <t>UPPSALA LÄN</t>
        </is>
      </c>
      <c r="E747" t="inlineStr">
        <is>
          <t>HEBY</t>
        </is>
      </c>
      <c r="F747" t="inlineStr">
        <is>
          <t>Bergvik skog väst AB</t>
        </is>
      </c>
      <c r="G747" t="n">
        <v>4.5</v>
      </c>
      <c r="H747" t="n">
        <v>0</v>
      </c>
      <c r="I747" t="n">
        <v>0</v>
      </c>
      <c r="J747" t="n">
        <v>1</v>
      </c>
      <c r="K747" t="n">
        <v>0</v>
      </c>
      <c r="L747" t="n">
        <v>0</v>
      </c>
      <c r="M747" t="n">
        <v>0</v>
      </c>
      <c r="N747" t="n">
        <v>0</v>
      </c>
      <c r="O747" t="n">
        <v>1</v>
      </c>
      <c r="P747" t="n">
        <v>0</v>
      </c>
      <c r="Q747" t="n">
        <v>1</v>
      </c>
      <c r="R747" s="2" t="inlineStr">
        <is>
          <t>Ullticka</t>
        </is>
      </c>
      <c r="S747">
        <f>HYPERLINK("https://klasma.github.io/Logging_0331/artfynd/A 55663-2024 artfynd.xlsx", "A 55663-2024")</f>
        <v/>
      </c>
      <c r="T747">
        <f>HYPERLINK("https://klasma.github.io/Logging_0331/kartor/A 55663-2024 karta.png", "A 55663-2024")</f>
        <v/>
      </c>
      <c r="V747">
        <f>HYPERLINK("https://klasma.github.io/Logging_0331/klagomål/A 55663-2024 FSC-klagomål.docx", "A 55663-2024")</f>
        <v/>
      </c>
      <c r="W747">
        <f>HYPERLINK("https://klasma.github.io/Logging_0331/klagomålsmail/A 55663-2024 FSC-klagomål mail.docx", "A 55663-2024")</f>
        <v/>
      </c>
      <c r="X747">
        <f>HYPERLINK("https://klasma.github.io/Logging_0331/tillsyn/A 55663-2024 tillsynsbegäran.docx", "A 55663-2024")</f>
        <v/>
      </c>
      <c r="Y747">
        <f>HYPERLINK("https://klasma.github.io/Logging_0331/tillsynsmail/A 55663-2024 tillsynsbegäran mail.docx", "A 55663-2024")</f>
        <v/>
      </c>
    </row>
    <row r="748" ht="15" customHeight="1">
      <c r="A748" t="inlineStr">
        <is>
          <t>A 57398-2024</t>
        </is>
      </c>
      <c r="B748" s="1" t="n">
        <v>45629</v>
      </c>
      <c r="C748" s="1" t="n">
        <v>45792</v>
      </c>
      <c r="D748" t="inlineStr">
        <is>
          <t>UPPSALA LÄN</t>
        </is>
      </c>
      <c r="E748" t="inlineStr">
        <is>
          <t>TIERP</t>
        </is>
      </c>
      <c r="G748" t="n">
        <v>2.2</v>
      </c>
      <c r="H748" t="n">
        <v>0</v>
      </c>
      <c r="I748" t="n">
        <v>0</v>
      </c>
      <c r="J748" t="n">
        <v>0</v>
      </c>
      <c r="K748" t="n">
        <v>1</v>
      </c>
      <c r="L748" t="n">
        <v>0</v>
      </c>
      <c r="M748" t="n">
        <v>0</v>
      </c>
      <c r="N748" t="n">
        <v>0</v>
      </c>
      <c r="O748" t="n">
        <v>1</v>
      </c>
      <c r="P748" t="n">
        <v>1</v>
      </c>
      <c r="Q748" t="n">
        <v>1</v>
      </c>
      <c r="R748" s="2" t="inlineStr">
        <is>
          <t>Ängsskäreplattmal</t>
        </is>
      </c>
      <c r="S748">
        <f>HYPERLINK("https://klasma.github.io/Logging_0360/artfynd/A 57398-2024 artfynd.xlsx", "A 57398-2024")</f>
        <v/>
      </c>
      <c r="T748">
        <f>HYPERLINK("https://klasma.github.io/Logging_0360/kartor/A 57398-2024 karta.png", "A 57398-2024")</f>
        <v/>
      </c>
      <c r="V748">
        <f>HYPERLINK("https://klasma.github.io/Logging_0360/klagomål/A 57398-2024 FSC-klagomål.docx", "A 57398-2024")</f>
        <v/>
      </c>
      <c r="W748">
        <f>HYPERLINK("https://klasma.github.io/Logging_0360/klagomålsmail/A 57398-2024 FSC-klagomål mail.docx", "A 57398-2024")</f>
        <v/>
      </c>
      <c r="X748">
        <f>HYPERLINK("https://klasma.github.io/Logging_0360/tillsyn/A 57398-2024 tillsynsbegäran.docx", "A 57398-2024")</f>
        <v/>
      </c>
      <c r="Y748">
        <f>HYPERLINK("https://klasma.github.io/Logging_0360/tillsynsmail/A 57398-2024 tillsynsbegäran mail.docx", "A 57398-2024")</f>
        <v/>
      </c>
    </row>
    <row r="749" ht="15" customHeight="1">
      <c r="A749" t="inlineStr">
        <is>
          <t>A 58107-2024</t>
        </is>
      </c>
      <c r="B749" s="1" t="n">
        <v>45632</v>
      </c>
      <c r="C749" s="1" t="n">
        <v>45792</v>
      </c>
      <c r="D749" t="inlineStr">
        <is>
          <t>UPPSALA LÄN</t>
        </is>
      </c>
      <c r="E749" t="inlineStr">
        <is>
          <t>TIERP</t>
        </is>
      </c>
      <c r="G749" t="n">
        <v>0.6</v>
      </c>
      <c r="H749" t="n">
        <v>1</v>
      </c>
      <c r="I749" t="n">
        <v>1</v>
      </c>
      <c r="J749" t="n">
        <v>0</v>
      </c>
      <c r="K749" t="n">
        <v>0</v>
      </c>
      <c r="L749" t="n">
        <v>0</v>
      </c>
      <c r="M749" t="n">
        <v>0</v>
      </c>
      <c r="N749" t="n">
        <v>0</v>
      </c>
      <c r="O749" t="n">
        <v>0</v>
      </c>
      <c r="P749" t="n">
        <v>0</v>
      </c>
      <c r="Q749" t="n">
        <v>1</v>
      </c>
      <c r="R749" s="2" t="inlineStr">
        <is>
          <t>Skogsknipprot</t>
        </is>
      </c>
      <c r="S749">
        <f>HYPERLINK("https://klasma.github.io/Logging_0360/artfynd/A 58107-2024 artfynd.xlsx", "A 58107-2024")</f>
        <v/>
      </c>
      <c r="T749">
        <f>HYPERLINK("https://klasma.github.io/Logging_0360/kartor/A 58107-2024 karta.png", "A 58107-2024")</f>
        <v/>
      </c>
      <c r="V749">
        <f>HYPERLINK("https://klasma.github.io/Logging_0360/klagomål/A 58107-2024 FSC-klagomål.docx", "A 58107-2024")</f>
        <v/>
      </c>
      <c r="W749">
        <f>HYPERLINK("https://klasma.github.io/Logging_0360/klagomålsmail/A 58107-2024 FSC-klagomål mail.docx", "A 58107-2024")</f>
        <v/>
      </c>
      <c r="X749">
        <f>HYPERLINK("https://klasma.github.io/Logging_0360/tillsyn/A 58107-2024 tillsynsbegäran.docx", "A 58107-2024")</f>
        <v/>
      </c>
      <c r="Y749">
        <f>HYPERLINK("https://klasma.github.io/Logging_0360/tillsynsmail/A 58107-2024 tillsynsbegäran mail.docx", "A 58107-2024")</f>
        <v/>
      </c>
    </row>
    <row r="750" ht="15" customHeight="1">
      <c r="A750" t="inlineStr">
        <is>
          <t>A 59117-2024</t>
        </is>
      </c>
      <c r="B750" s="1" t="n">
        <v>45637</v>
      </c>
      <c r="C750" s="1" t="n">
        <v>45792</v>
      </c>
      <c r="D750" t="inlineStr">
        <is>
          <t>UPPSALA LÄN</t>
        </is>
      </c>
      <c r="E750" t="inlineStr">
        <is>
          <t>TIERP</t>
        </is>
      </c>
      <c r="F750" t="inlineStr">
        <is>
          <t>Bergvik skog öst AB</t>
        </is>
      </c>
      <c r="G750" t="n">
        <v>14.9</v>
      </c>
      <c r="H750" t="n">
        <v>0</v>
      </c>
      <c r="I750" t="n">
        <v>1</v>
      </c>
      <c r="J750" t="n">
        <v>0</v>
      </c>
      <c r="K750" t="n">
        <v>0</v>
      </c>
      <c r="L750" t="n">
        <v>0</v>
      </c>
      <c r="M750" t="n">
        <v>0</v>
      </c>
      <c r="N750" t="n">
        <v>0</v>
      </c>
      <c r="O750" t="n">
        <v>0</v>
      </c>
      <c r="P750" t="n">
        <v>0</v>
      </c>
      <c r="Q750" t="n">
        <v>1</v>
      </c>
      <c r="R750" s="2" t="inlineStr">
        <is>
          <t>Fjällig taggsvamp s.str.</t>
        </is>
      </c>
      <c r="S750">
        <f>HYPERLINK("https://klasma.github.io/Logging_0360/artfynd/A 59117-2024 artfynd.xlsx", "A 59117-2024")</f>
        <v/>
      </c>
      <c r="T750">
        <f>HYPERLINK("https://klasma.github.io/Logging_0360/kartor/A 59117-2024 karta.png", "A 59117-2024")</f>
        <v/>
      </c>
      <c r="V750">
        <f>HYPERLINK("https://klasma.github.io/Logging_0360/klagomål/A 59117-2024 FSC-klagomål.docx", "A 59117-2024")</f>
        <v/>
      </c>
      <c r="W750">
        <f>HYPERLINK("https://klasma.github.io/Logging_0360/klagomålsmail/A 59117-2024 FSC-klagomål mail.docx", "A 59117-2024")</f>
        <v/>
      </c>
      <c r="X750">
        <f>HYPERLINK("https://klasma.github.io/Logging_0360/tillsyn/A 59117-2024 tillsynsbegäran.docx", "A 59117-2024")</f>
        <v/>
      </c>
      <c r="Y750">
        <f>HYPERLINK("https://klasma.github.io/Logging_0360/tillsynsmail/A 59117-2024 tillsynsbegäran mail.docx", "A 59117-2024")</f>
        <v/>
      </c>
    </row>
    <row r="751" ht="15" customHeight="1">
      <c r="A751" t="inlineStr">
        <is>
          <t>A 59588-2024</t>
        </is>
      </c>
      <c r="B751" s="1" t="n">
        <v>45638</v>
      </c>
      <c r="C751" s="1" t="n">
        <v>45792</v>
      </c>
      <c r="D751" t="inlineStr">
        <is>
          <t>UPPSALA LÄN</t>
        </is>
      </c>
      <c r="E751" t="inlineStr">
        <is>
          <t>UPPSALA</t>
        </is>
      </c>
      <c r="G751" t="n">
        <v>3.4</v>
      </c>
      <c r="H751" t="n">
        <v>1</v>
      </c>
      <c r="I751" t="n">
        <v>0</v>
      </c>
      <c r="J751" t="n">
        <v>0</v>
      </c>
      <c r="K751" t="n">
        <v>1</v>
      </c>
      <c r="L751" t="n">
        <v>0</v>
      </c>
      <c r="M751" t="n">
        <v>0</v>
      </c>
      <c r="N751" t="n">
        <v>0</v>
      </c>
      <c r="O751" t="n">
        <v>1</v>
      </c>
      <c r="P751" t="n">
        <v>1</v>
      </c>
      <c r="Q751" t="n">
        <v>1</v>
      </c>
      <c r="R751" s="2" t="inlineStr">
        <is>
          <t>Knärot</t>
        </is>
      </c>
      <c r="S751">
        <f>HYPERLINK("https://klasma.github.io/Logging_0380/artfynd/A 59588-2024 artfynd.xlsx", "A 59588-2024")</f>
        <v/>
      </c>
      <c r="T751">
        <f>HYPERLINK("https://klasma.github.io/Logging_0380/kartor/A 59588-2024 karta.png", "A 59588-2024")</f>
        <v/>
      </c>
      <c r="U751">
        <f>HYPERLINK("https://klasma.github.io/Logging_0380/knärot/A 59588-2024 karta knärot.png", "A 59588-2024")</f>
        <v/>
      </c>
      <c r="V751">
        <f>HYPERLINK("https://klasma.github.io/Logging_0380/klagomål/A 59588-2024 FSC-klagomål.docx", "A 59588-2024")</f>
        <v/>
      </c>
      <c r="W751">
        <f>HYPERLINK("https://klasma.github.io/Logging_0380/klagomålsmail/A 59588-2024 FSC-klagomål mail.docx", "A 59588-2024")</f>
        <v/>
      </c>
      <c r="X751">
        <f>HYPERLINK("https://klasma.github.io/Logging_0380/tillsyn/A 59588-2024 tillsynsbegäran.docx", "A 59588-2024")</f>
        <v/>
      </c>
      <c r="Y751">
        <f>HYPERLINK("https://klasma.github.io/Logging_0380/tillsynsmail/A 59588-2024 tillsynsbegäran mail.docx", "A 59588-2024")</f>
        <v/>
      </c>
    </row>
    <row r="752" ht="15" customHeight="1">
      <c r="A752" t="inlineStr">
        <is>
          <t>A 60266-2024</t>
        </is>
      </c>
      <c r="B752" s="1" t="n">
        <v>45642</v>
      </c>
      <c r="C752" s="1" t="n">
        <v>45792</v>
      </c>
      <c r="D752" t="inlineStr">
        <is>
          <t>UPPSALA LÄN</t>
        </is>
      </c>
      <c r="E752" t="inlineStr">
        <is>
          <t>ENKÖPING</t>
        </is>
      </c>
      <c r="G752" t="n">
        <v>14.5</v>
      </c>
      <c r="H752" t="n">
        <v>0</v>
      </c>
      <c r="I752" t="n">
        <v>1</v>
      </c>
      <c r="J752" t="n">
        <v>0</v>
      </c>
      <c r="K752" t="n">
        <v>0</v>
      </c>
      <c r="L752" t="n">
        <v>0</v>
      </c>
      <c r="M752" t="n">
        <v>0</v>
      </c>
      <c r="N752" t="n">
        <v>0</v>
      </c>
      <c r="O752" t="n">
        <v>0</v>
      </c>
      <c r="P752" t="n">
        <v>0</v>
      </c>
      <c r="Q752" t="n">
        <v>1</v>
      </c>
      <c r="R752" s="2" t="inlineStr">
        <is>
          <t>Skarp dropptaggsvamp</t>
        </is>
      </c>
      <c r="S752">
        <f>HYPERLINK("https://klasma.github.io/Logging_0381/artfynd/A 60266-2024 artfynd.xlsx", "A 60266-2024")</f>
        <v/>
      </c>
      <c r="T752">
        <f>HYPERLINK("https://klasma.github.io/Logging_0381/kartor/A 60266-2024 karta.png", "A 60266-2024")</f>
        <v/>
      </c>
      <c r="V752">
        <f>HYPERLINK("https://klasma.github.io/Logging_0381/klagomål/A 60266-2024 FSC-klagomål.docx", "A 60266-2024")</f>
        <v/>
      </c>
      <c r="W752">
        <f>HYPERLINK("https://klasma.github.io/Logging_0381/klagomålsmail/A 60266-2024 FSC-klagomål mail.docx", "A 60266-2024")</f>
        <v/>
      </c>
      <c r="X752">
        <f>HYPERLINK("https://klasma.github.io/Logging_0381/tillsyn/A 60266-2024 tillsynsbegäran.docx", "A 60266-2024")</f>
        <v/>
      </c>
      <c r="Y752">
        <f>HYPERLINK("https://klasma.github.io/Logging_0381/tillsynsmail/A 60266-2024 tillsynsbegäran mail.docx", "A 60266-2024")</f>
        <v/>
      </c>
    </row>
    <row r="753" ht="15" customHeight="1">
      <c r="A753" t="inlineStr">
        <is>
          <t>A 2592-2025</t>
        </is>
      </c>
      <c r="B753" s="1" t="n">
        <v>45674</v>
      </c>
      <c r="C753" s="1" t="n">
        <v>45792</v>
      </c>
      <c r="D753" t="inlineStr">
        <is>
          <t>UPPSALA LÄN</t>
        </is>
      </c>
      <c r="E753" t="inlineStr">
        <is>
          <t>HEBY</t>
        </is>
      </c>
      <c r="F753" t="inlineStr">
        <is>
          <t>Allmännings- och besparingsskogar</t>
        </is>
      </c>
      <c r="G753" t="n">
        <v>15.8</v>
      </c>
      <c r="H753" t="n">
        <v>1</v>
      </c>
      <c r="I753" t="n">
        <v>0</v>
      </c>
      <c r="J753" t="n">
        <v>0</v>
      </c>
      <c r="K753" t="n">
        <v>0</v>
      </c>
      <c r="L753" t="n">
        <v>0</v>
      </c>
      <c r="M753" t="n">
        <v>0</v>
      </c>
      <c r="N753" t="n">
        <v>0</v>
      </c>
      <c r="O753" t="n">
        <v>0</v>
      </c>
      <c r="P753" t="n">
        <v>0</v>
      </c>
      <c r="Q753" t="n">
        <v>1</v>
      </c>
      <c r="R753" s="2" t="inlineStr">
        <is>
          <t>Fläcknycklar</t>
        </is>
      </c>
      <c r="S753">
        <f>HYPERLINK("https://klasma.github.io/Logging_0331/artfynd/A 2592-2025 artfynd.xlsx", "A 2592-2025")</f>
        <v/>
      </c>
      <c r="T753">
        <f>HYPERLINK("https://klasma.github.io/Logging_0331/kartor/A 2592-2025 karta.png", "A 2592-2025")</f>
        <v/>
      </c>
      <c r="V753">
        <f>HYPERLINK("https://klasma.github.io/Logging_0331/klagomål/A 2592-2025 FSC-klagomål.docx", "A 2592-2025")</f>
        <v/>
      </c>
      <c r="W753">
        <f>HYPERLINK("https://klasma.github.io/Logging_0331/klagomålsmail/A 2592-2025 FSC-klagomål mail.docx", "A 2592-2025")</f>
        <v/>
      </c>
      <c r="X753">
        <f>HYPERLINK("https://klasma.github.io/Logging_0331/tillsyn/A 2592-2025 tillsynsbegäran.docx", "A 2592-2025")</f>
        <v/>
      </c>
      <c r="Y753">
        <f>HYPERLINK("https://klasma.github.io/Logging_0331/tillsynsmail/A 2592-2025 tillsynsbegäran mail.docx", "A 2592-2025")</f>
        <v/>
      </c>
    </row>
    <row r="754" ht="15" customHeight="1">
      <c r="A754" t="inlineStr">
        <is>
          <t>A 2731-2025</t>
        </is>
      </c>
      <c r="B754" s="1" t="n">
        <v>45677</v>
      </c>
      <c r="C754" s="1" t="n">
        <v>45792</v>
      </c>
      <c r="D754" t="inlineStr">
        <is>
          <t>UPPSALA LÄN</t>
        </is>
      </c>
      <c r="E754" t="inlineStr">
        <is>
          <t>TIERP</t>
        </is>
      </c>
      <c r="G754" t="n">
        <v>5.8</v>
      </c>
      <c r="H754" t="n">
        <v>1</v>
      </c>
      <c r="I754" t="n">
        <v>0</v>
      </c>
      <c r="J754" t="n">
        <v>1</v>
      </c>
      <c r="K754" t="n">
        <v>0</v>
      </c>
      <c r="L754" t="n">
        <v>0</v>
      </c>
      <c r="M754" t="n">
        <v>0</v>
      </c>
      <c r="N754" t="n">
        <v>0</v>
      </c>
      <c r="O754" t="n">
        <v>1</v>
      </c>
      <c r="P754" t="n">
        <v>0</v>
      </c>
      <c r="Q754" t="n">
        <v>1</v>
      </c>
      <c r="R754" s="2" t="inlineStr">
        <is>
          <t>Rödvingetrast</t>
        </is>
      </c>
      <c r="S754">
        <f>HYPERLINK("https://klasma.github.io/Logging_0360/artfynd/A 2731-2025 artfynd.xlsx", "A 2731-2025")</f>
        <v/>
      </c>
      <c r="T754">
        <f>HYPERLINK("https://klasma.github.io/Logging_0360/kartor/A 2731-2025 karta.png", "A 2731-2025")</f>
        <v/>
      </c>
      <c r="V754">
        <f>HYPERLINK("https://klasma.github.io/Logging_0360/klagomål/A 2731-2025 FSC-klagomål.docx", "A 2731-2025")</f>
        <v/>
      </c>
      <c r="W754">
        <f>HYPERLINK("https://klasma.github.io/Logging_0360/klagomålsmail/A 2731-2025 FSC-klagomål mail.docx", "A 2731-2025")</f>
        <v/>
      </c>
      <c r="X754">
        <f>HYPERLINK("https://klasma.github.io/Logging_0360/tillsyn/A 2731-2025 tillsynsbegäran.docx", "A 2731-2025")</f>
        <v/>
      </c>
      <c r="Y754">
        <f>HYPERLINK("https://klasma.github.io/Logging_0360/tillsynsmail/A 2731-2025 tillsynsbegäran mail.docx", "A 2731-2025")</f>
        <v/>
      </c>
      <c r="Z754">
        <f>HYPERLINK("https://klasma.github.io/Logging_0360/fåglar/A 2731-2025 prioriterade fågelarter.docx", "A 2731-2025")</f>
        <v/>
      </c>
    </row>
    <row r="755" ht="15" customHeight="1">
      <c r="A755" t="inlineStr">
        <is>
          <t>A 3304-2025</t>
        </is>
      </c>
      <c r="B755" s="1" t="n">
        <v>45679</v>
      </c>
      <c r="C755" s="1" t="n">
        <v>45792</v>
      </c>
      <c r="D755" t="inlineStr">
        <is>
          <t>UPPSALA LÄN</t>
        </is>
      </c>
      <c r="E755" t="inlineStr">
        <is>
          <t>UPPSALA</t>
        </is>
      </c>
      <c r="F755" t="inlineStr">
        <is>
          <t>Övriga statliga verk och myndigheter</t>
        </is>
      </c>
      <c r="G755" t="n">
        <v>3.8</v>
      </c>
      <c r="H755" t="n">
        <v>1</v>
      </c>
      <c r="I755" t="n">
        <v>0</v>
      </c>
      <c r="J755" t="n">
        <v>0</v>
      </c>
      <c r="K755" t="n">
        <v>0</v>
      </c>
      <c r="L755" t="n">
        <v>0</v>
      </c>
      <c r="M755" t="n">
        <v>0</v>
      </c>
      <c r="N755" t="n">
        <v>0</v>
      </c>
      <c r="O755" t="n">
        <v>0</v>
      </c>
      <c r="P755" t="n">
        <v>0</v>
      </c>
      <c r="Q755" t="n">
        <v>1</v>
      </c>
      <c r="R755" s="2" t="inlineStr">
        <is>
          <t>Blåsippa</t>
        </is>
      </c>
      <c r="S755">
        <f>HYPERLINK("https://klasma.github.io/Logging_0380/artfynd/A 3304-2025 artfynd.xlsx", "A 3304-2025")</f>
        <v/>
      </c>
      <c r="T755">
        <f>HYPERLINK("https://klasma.github.io/Logging_0380/kartor/A 3304-2025 karta.png", "A 3304-2025")</f>
        <v/>
      </c>
      <c r="V755">
        <f>HYPERLINK("https://klasma.github.io/Logging_0380/klagomål/A 3304-2025 FSC-klagomål.docx", "A 3304-2025")</f>
        <v/>
      </c>
      <c r="W755">
        <f>HYPERLINK("https://klasma.github.io/Logging_0380/klagomålsmail/A 3304-2025 FSC-klagomål mail.docx", "A 3304-2025")</f>
        <v/>
      </c>
      <c r="X755">
        <f>HYPERLINK("https://klasma.github.io/Logging_0380/tillsyn/A 3304-2025 tillsynsbegäran.docx", "A 3304-2025")</f>
        <v/>
      </c>
      <c r="Y755">
        <f>HYPERLINK("https://klasma.github.io/Logging_0380/tillsynsmail/A 3304-2025 tillsynsbegäran mail.docx", "A 3304-2025")</f>
        <v/>
      </c>
    </row>
    <row r="756" ht="15" customHeight="1">
      <c r="A756" t="inlineStr">
        <is>
          <t>A 3853-2025</t>
        </is>
      </c>
      <c r="B756" s="1" t="n">
        <v>45683</v>
      </c>
      <c r="C756" s="1" t="n">
        <v>45792</v>
      </c>
      <c r="D756" t="inlineStr">
        <is>
          <t>UPPSALA LÄN</t>
        </is>
      </c>
      <c r="E756" t="inlineStr">
        <is>
          <t>TIERP</t>
        </is>
      </c>
      <c r="G756" t="n">
        <v>1.4</v>
      </c>
      <c r="H756" t="n">
        <v>1</v>
      </c>
      <c r="I756" t="n">
        <v>1</v>
      </c>
      <c r="J756" t="n">
        <v>0</v>
      </c>
      <c r="K756" t="n">
        <v>0</v>
      </c>
      <c r="L756" t="n">
        <v>0</v>
      </c>
      <c r="M756" t="n">
        <v>0</v>
      </c>
      <c r="N756" t="n">
        <v>0</v>
      </c>
      <c r="O756" t="n">
        <v>0</v>
      </c>
      <c r="P756" t="n">
        <v>0</v>
      </c>
      <c r="Q756" t="n">
        <v>1</v>
      </c>
      <c r="R756" s="2" t="inlineStr">
        <is>
          <t>Tvåblad</t>
        </is>
      </c>
      <c r="S756">
        <f>HYPERLINK("https://klasma.github.io/Logging_0360/artfynd/A 3853-2025 artfynd.xlsx", "A 3853-2025")</f>
        <v/>
      </c>
      <c r="T756">
        <f>HYPERLINK("https://klasma.github.io/Logging_0360/kartor/A 3853-2025 karta.png", "A 3853-2025")</f>
        <v/>
      </c>
      <c r="V756">
        <f>HYPERLINK("https://klasma.github.io/Logging_0360/klagomål/A 3853-2025 FSC-klagomål.docx", "A 3853-2025")</f>
        <v/>
      </c>
      <c r="W756">
        <f>HYPERLINK("https://klasma.github.io/Logging_0360/klagomålsmail/A 3853-2025 FSC-klagomål mail.docx", "A 3853-2025")</f>
        <v/>
      </c>
      <c r="X756">
        <f>HYPERLINK("https://klasma.github.io/Logging_0360/tillsyn/A 3853-2025 tillsynsbegäran.docx", "A 3853-2025")</f>
        <v/>
      </c>
      <c r="Y756">
        <f>HYPERLINK("https://klasma.github.io/Logging_0360/tillsynsmail/A 3853-2025 tillsynsbegäran mail.docx", "A 3853-2025")</f>
        <v/>
      </c>
    </row>
    <row r="757" ht="15" customHeight="1">
      <c r="A757" t="inlineStr">
        <is>
          <t>A 4067-2025</t>
        </is>
      </c>
      <c r="B757" s="1" t="n">
        <v>45684</v>
      </c>
      <c r="C757" s="1" t="n">
        <v>45792</v>
      </c>
      <c r="D757" t="inlineStr">
        <is>
          <t>UPPSALA LÄN</t>
        </is>
      </c>
      <c r="E757" t="inlineStr">
        <is>
          <t>ENKÖPING</t>
        </is>
      </c>
      <c r="G757" t="n">
        <v>2.9</v>
      </c>
      <c r="H757" t="n">
        <v>0</v>
      </c>
      <c r="I757" t="n">
        <v>0</v>
      </c>
      <c r="J757" t="n">
        <v>1</v>
      </c>
      <c r="K757" t="n">
        <v>0</v>
      </c>
      <c r="L757" t="n">
        <v>0</v>
      </c>
      <c r="M757" t="n">
        <v>0</v>
      </c>
      <c r="N757" t="n">
        <v>0</v>
      </c>
      <c r="O757" t="n">
        <v>1</v>
      </c>
      <c r="P757" t="n">
        <v>0</v>
      </c>
      <c r="Q757" t="n">
        <v>1</v>
      </c>
      <c r="R757" s="2" t="inlineStr">
        <is>
          <t>Dofttaggsvamp</t>
        </is>
      </c>
      <c r="S757">
        <f>HYPERLINK("https://klasma.github.io/Logging_0381/artfynd/A 4067-2025 artfynd.xlsx", "A 4067-2025")</f>
        <v/>
      </c>
      <c r="T757">
        <f>HYPERLINK("https://klasma.github.io/Logging_0381/kartor/A 4067-2025 karta.png", "A 4067-2025")</f>
        <v/>
      </c>
      <c r="V757">
        <f>HYPERLINK("https://klasma.github.io/Logging_0381/klagomål/A 4067-2025 FSC-klagomål.docx", "A 4067-2025")</f>
        <v/>
      </c>
      <c r="W757">
        <f>HYPERLINK("https://klasma.github.io/Logging_0381/klagomålsmail/A 4067-2025 FSC-klagomål mail.docx", "A 4067-2025")</f>
        <v/>
      </c>
      <c r="X757">
        <f>HYPERLINK("https://klasma.github.io/Logging_0381/tillsyn/A 4067-2025 tillsynsbegäran.docx", "A 4067-2025")</f>
        <v/>
      </c>
      <c r="Y757">
        <f>HYPERLINK("https://klasma.github.io/Logging_0381/tillsynsmail/A 4067-2025 tillsynsbegäran mail.docx", "A 4067-2025")</f>
        <v/>
      </c>
    </row>
    <row r="758" ht="15" customHeight="1">
      <c r="A758" t="inlineStr">
        <is>
          <t>A 4473-2025</t>
        </is>
      </c>
      <c r="B758" s="1" t="n">
        <v>45686</v>
      </c>
      <c r="C758" s="1" t="n">
        <v>45792</v>
      </c>
      <c r="D758" t="inlineStr">
        <is>
          <t>UPPSALA LÄN</t>
        </is>
      </c>
      <c r="E758" t="inlineStr">
        <is>
          <t>TIERP</t>
        </is>
      </c>
      <c r="F758" t="inlineStr">
        <is>
          <t>Bergvik skog öst AB</t>
        </is>
      </c>
      <c r="G758" t="n">
        <v>7.8</v>
      </c>
      <c r="H758" t="n">
        <v>0</v>
      </c>
      <c r="I758" t="n">
        <v>1</v>
      </c>
      <c r="J758" t="n">
        <v>0</v>
      </c>
      <c r="K758" t="n">
        <v>0</v>
      </c>
      <c r="L758" t="n">
        <v>0</v>
      </c>
      <c r="M758" t="n">
        <v>0</v>
      </c>
      <c r="N758" t="n">
        <v>0</v>
      </c>
      <c r="O758" t="n">
        <v>0</v>
      </c>
      <c r="P758" t="n">
        <v>0</v>
      </c>
      <c r="Q758" t="n">
        <v>1</v>
      </c>
      <c r="R758" s="2" t="inlineStr">
        <is>
          <t>Grönpyrola</t>
        </is>
      </c>
      <c r="S758">
        <f>HYPERLINK("https://klasma.github.io/Logging_0360/artfynd/A 4473-2025 artfynd.xlsx", "A 4473-2025")</f>
        <v/>
      </c>
      <c r="T758">
        <f>HYPERLINK("https://klasma.github.io/Logging_0360/kartor/A 4473-2025 karta.png", "A 4473-2025")</f>
        <v/>
      </c>
      <c r="V758">
        <f>HYPERLINK("https://klasma.github.io/Logging_0360/klagomål/A 4473-2025 FSC-klagomål.docx", "A 4473-2025")</f>
        <v/>
      </c>
      <c r="W758">
        <f>HYPERLINK("https://klasma.github.io/Logging_0360/klagomålsmail/A 4473-2025 FSC-klagomål mail.docx", "A 4473-2025")</f>
        <v/>
      </c>
      <c r="X758">
        <f>HYPERLINK("https://klasma.github.io/Logging_0360/tillsyn/A 4473-2025 tillsynsbegäran.docx", "A 4473-2025")</f>
        <v/>
      </c>
      <c r="Y758">
        <f>HYPERLINK("https://klasma.github.io/Logging_0360/tillsynsmail/A 4473-2025 tillsynsbegäran mail.docx", "A 4473-2025")</f>
        <v/>
      </c>
    </row>
    <row r="759" ht="15" customHeight="1">
      <c r="A759" t="inlineStr">
        <is>
          <t>A 4657-2025</t>
        </is>
      </c>
      <c r="B759" s="1" t="n">
        <v>45687</v>
      </c>
      <c r="C759" s="1" t="n">
        <v>45792</v>
      </c>
      <c r="D759" t="inlineStr">
        <is>
          <t>UPPSALA LÄN</t>
        </is>
      </c>
      <c r="E759" t="inlineStr">
        <is>
          <t>UPPSALA</t>
        </is>
      </c>
      <c r="G759" t="n">
        <v>2.9</v>
      </c>
      <c r="H759" t="n">
        <v>1</v>
      </c>
      <c r="I759" t="n">
        <v>0</v>
      </c>
      <c r="J759" t="n">
        <v>1</v>
      </c>
      <c r="K759" t="n">
        <v>0</v>
      </c>
      <c r="L759" t="n">
        <v>0</v>
      </c>
      <c r="M759" t="n">
        <v>0</v>
      </c>
      <c r="N759" t="n">
        <v>0</v>
      </c>
      <c r="O759" t="n">
        <v>1</v>
      </c>
      <c r="P759" t="n">
        <v>0</v>
      </c>
      <c r="Q759" t="n">
        <v>1</v>
      </c>
      <c r="R759" s="2" t="inlineStr">
        <is>
          <t>Grönsångare</t>
        </is>
      </c>
      <c r="S759">
        <f>HYPERLINK("https://klasma.github.io/Logging_0380/artfynd/A 4657-2025 artfynd.xlsx", "A 4657-2025")</f>
        <v/>
      </c>
      <c r="T759">
        <f>HYPERLINK("https://klasma.github.io/Logging_0380/kartor/A 4657-2025 karta.png", "A 4657-2025")</f>
        <v/>
      </c>
      <c r="V759">
        <f>HYPERLINK("https://klasma.github.io/Logging_0380/klagomål/A 4657-2025 FSC-klagomål.docx", "A 4657-2025")</f>
        <v/>
      </c>
      <c r="W759">
        <f>HYPERLINK("https://klasma.github.io/Logging_0380/klagomålsmail/A 4657-2025 FSC-klagomål mail.docx", "A 4657-2025")</f>
        <v/>
      </c>
      <c r="X759">
        <f>HYPERLINK("https://klasma.github.io/Logging_0380/tillsyn/A 4657-2025 tillsynsbegäran.docx", "A 4657-2025")</f>
        <v/>
      </c>
      <c r="Y759">
        <f>HYPERLINK("https://klasma.github.io/Logging_0380/tillsynsmail/A 4657-2025 tillsynsbegäran mail.docx", "A 4657-2025")</f>
        <v/>
      </c>
      <c r="Z759">
        <f>HYPERLINK("https://klasma.github.io/Logging_0380/fåglar/A 4657-2025 prioriterade fågelarter.docx", "A 4657-2025")</f>
        <v/>
      </c>
    </row>
    <row r="760" ht="15" customHeight="1">
      <c r="A760" t="inlineStr">
        <is>
          <t>A 5619-2025</t>
        </is>
      </c>
      <c r="B760" s="1" t="n">
        <v>45693</v>
      </c>
      <c r="C760" s="1" t="n">
        <v>45792</v>
      </c>
      <c r="D760" t="inlineStr">
        <is>
          <t>UPPSALA LÄN</t>
        </is>
      </c>
      <c r="E760" t="inlineStr">
        <is>
          <t>UPPSALA</t>
        </is>
      </c>
      <c r="G760" t="n">
        <v>6.8</v>
      </c>
      <c r="H760" t="n">
        <v>1</v>
      </c>
      <c r="I760" t="n">
        <v>0</v>
      </c>
      <c r="J760" t="n">
        <v>1</v>
      </c>
      <c r="K760" t="n">
        <v>0</v>
      </c>
      <c r="L760" t="n">
        <v>0</v>
      </c>
      <c r="M760" t="n">
        <v>0</v>
      </c>
      <c r="N760" t="n">
        <v>0</v>
      </c>
      <c r="O760" t="n">
        <v>1</v>
      </c>
      <c r="P760" t="n">
        <v>0</v>
      </c>
      <c r="Q760" t="n">
        <v>1</v>
      </c>
      <c r="R760" s="2" t="inlineStr">
        <is>
          <t>Spillkråka</t>
        </is>
      </c>
      <c r="S760">
        <f>HYPERLINK("https://klasma.github.io/Logging_0380/artfynd/A 5619-2025 artfynd.xlsx", "A 5619-2025")</f>
        <v/>
      </c>
      <c r="T760">
        <f>HYPERLINK("https://klasma.github.io/Logging_0380/kartor/A 5619-2025 karta.png", "A 5619-2025")</f>
        <v/>
      </c>
      <c r="V760">
        <f>HYPERLINK("https://klasma.github.io/Logging_0380/klagomål/A 5619-2025 FSC-klagomål.docx", "A 5619-2025")</f>
        <v/>
      </c>
      <c r="W760">
        <f>HYPERLINK("https://klasma.github.io/Logging_0380/klagomålsmail/A 5619-2025 FSC-klagomål mail.docx", "A 5619-2025")</f>
        <v/>
      </c>
      <c r="X760">
        <f>HYPERLINK("https://klasma.github.io/Logging_0380/tillsyn/A 5619-2025 tillsynsbegäran.docx", "A 5619-2025")</f>
        <v/>
      </c>
      <c r="Y760">
        <f>HYPERLINK("https://klasma.github.io/Logging_0380/tillsynsmail/A 5619-2025 tillsynsbegäran mail.docx", "A 5619-2025")</f>
        <v/>
      </c>
      <c r="Z760">
        <f>HYPERLINK("https://klasma.github.io/Logging_0380/fåglar/A 5619-2025 prioriterade fågelarter.docx", "A 5619-2025")</f>
        <v/>
      </c>
    </row>
    <row r="761" ht="15" customHeight="1">
      <c r="A761" t="inlineStr">
        <is>
          <t>A 5624-2025</t>
        </is>
      </c>
      <c r="B761" s="1" t="n">
        <v>45693</v>
      </c>
      <c r="C761" s="1" t="n">
        <v>45792</v>
      </c>
      <c r="D761" t="inlineStr">
        <is>
          <t>UPPSALA LÄN</t>
        </is>
      </c>
      <c r="E761" t="inlineStr">
        <is>
          <t>UPPSALA</t>
        </is>
      </c>
      <c r="G761" t="n">
        <v>6.1</v>
      </c>
      <c r="H761" t="n">
        <v>0</v>
      </c>
      <c r="I761" t="n">
        <v>1</v>
      </c>
      <c r="J761" t="n">
        <v>0</v>
      </c>
      <c r="K761" t="n">
        <v>0</v>
      </c>
      <c r="L761" t="n">
        <v>0</v>
      </c>
      <c r="M761" t="n">
        <v>0</v>
      </c>
      <c r="N761" t="n">
        <v>0</v>
      </c>
      <c r="O761" t="n">
        <v>0</v>
      </c>
      <c r="P761" t="n">
        <v>0</v>
      </c>
      <c r="Q761" t="n">
        <v>1</v>
      </c>
      <c r="R761" s="2" t="inlineStr">
        <is>
          <t>Mindre märgborre</t>
        </is>
      </c>
      <c r="S761">
        <f>HYPERLINK("https://klasma.github.io/Logging_0380/artfynd/A 5624-2025 artfynd.xlsx", "A 5624-2025")</f>
        <v/>
      </c>
      <c r="T761">
        <f>HYPERLINK("https://klasma.github.io/Logging_0380/kartor/A 5624-2025 karta.png", "A 5624-2025")</f>
        <v/>
      </c>
      <c r="V761">
        <f>HYPERLINK("https://klasma.github.io/Logging_0380/klagomål/A 5624-2025 FSC-klagomål.docx", "A 5624-2025")</f>
        <v/>
      </c>
      <c r="W761">
        <f>HYPERLINK("https://klasma.github.io/Logging_0380/klagomålsmail/A 5624-2025 FSC-klagomål mail.docx", "A 5624-2025")</f>
        <v/>
      </c>
      <c r="X761">
        <f>HYPERLINK("https://klasma.github.io/Logging_0380/tillsyn/A 5624-2025 tillsynsbegäran.docx", "A 5624-2025")</f>
        <v/>
      </c>
      <c r="Y761">
        <f>HYPERLINK("https://klasma.github.io/Logging_0380/tillsynsmail/A 5624-2025 tillsynsbegäran mail.docx", "A 5624-2025")</f>
        <v/>
      </c>
    </row>
    <row r="762" ht="15" customHeight="1">
      <c r="A762" t="inlineStr">
        <is>
          <t>A 5732-2025</t>
        </is>
      </c>
      <c r="B762" s="1" t="n">
        <v>45694</v>
      </c>
      <c r="C762" s="1" t="n">
        <v>45792</v>
      </c>
      <c r="D762" t="inlineStr">
        <is>
          <t>UPPSALA LÄN</t>
        </is>
      </c>
      <c r="E762" t="inlineStr">
        <is>
          <t>UPPSALA</t>
        </is>
      </c>
      <c r="G762" t="n">
        <v>1.9</v>
      </c>
      <c r="H762" t="n">
        <v>0</v>
      </c>
      <c r="I762" t="n">
        <v>1</v>
      </c>
      <c r="J762" t="n">
        <v>0</v>
      </c>
      <c r="K762" t="n">
        <v>0</v>
      </c>
      <c r="L762" t="n">
        <v>0</v>
      </c>
      <c r="M762" t="n">
        <v>0</v>
      </c>
      <c r="N762" t="n">
        <v>0</v>
      </c>
      <c r="O762" t="n">
        <v>0</v>
      </c>
      <c r="P762" t="n">
        <v>0</v>
      </c>
      <c r="Q762" t="n">
        <v>1</v>
      </c>
      <c r="R762" s="2" t="inlineStr">
        <is>
          <t>Fällmossa</t>
        </is>
      </c>
      <c r="S762">
        <f>HYPERLINK("https://klasma.github.io/Logging_0380/artfynd/A 5732-2025 artfynd.xlsx", "A 5732-2025")</f>
        <v/>
      </c>
      <c r="T762">
        <f>HYPERLINK("https://klasma.github.io/Logging_0380/kartor/A 5732-2025 karta.png", "A 5732-2025")</f>
        <v/>
      </c>
      <c r="V762">
        <f>HYPERLINK("https://klasma.github.io/Logging_0380/klagomål/A 5732-2025 FSC-klagomål.docx", "A 5732-2025")</f>
        <v/>
      </c>
      <c r="W762">
        <f>HYPERLINK("https://klasma.github.io/Logging_0380/klagomålsmail/A 5732-2025 FSC-klagomål mail.docx", "A 5732-2025")</f>
        <v/>
      </c>
      <c r="X762">
        <f>HYPERLINK("https://klasma.github.io/Logging_0380/tillsyn/A 5732-2025 tillsynsbegäran.docx", "A 5732-2025")</f>
        <v/>
      </c>
      <c r="Y762">
        <f>HYPERLINK("https://klasma.github.io/Logging_0380/tillsynsmail/A 5732-2025 tillsynsbegäran mail.docx", "A 5732-2025")</f>
        <v/>
      </c>
    </row>
    <row r="763" ht="15" customHeight="1">
      <c r="A763" t="inlineStr">
        <is>
          <t>A 6143-2025</t>
        </is>
      </c>
      <c r="B763" s="1" t="n">
        <v>45698</v>
      </c>
      <c r="C763" s="1" t="n">
        <v>45792</v>
      </c>
      <c r="D763" t="inlineStr">
        <is>
          <t>UPPSALA LÄN</t>
        </is>
      </c>
      <c r="E763" t="inlineStr">
        <is>
          <t>ÖSTHAMMAR</t>
        </is>
      </c>
      <c r="F763" t="inlineStr">
        <is>
          <t>Bergvik skog öst AB</t>
        </is>
      </c>
      <c r="G763" t="n">
        <v>3.6</v>
      </c>
      <c r="H763" t="n">
        <v>0</v>
      </c>
      <c r="I763" t="n">
        <v>1</v>
      </c>
      <c r="J763" t="n">
        <v>0</v>
      </c>
      <c r="K763" t="n">
        <v>0</v>
      </c>
      <c r="L763" t="n">
        <v>0</v>
      </c>
      <c r="M763" t="n">
        <v>0</v>
      </c>
      <c r="N763" t="n">
        <v>0</v>
      </c>
      <c r="O763" t="n">
        <v>0</v>
      </c>
      <c r="P763" t="n">
        <v>0</v>
      </c>
      <c r="Q763" t="n">
        <v>1</v>
      </c>
      <c r="R763" s="2" t="inlineStr">
        <is>
          <t>Svavelriska</t>
        </is>
      </c>
      <c r="S763">
        <f>HYPERLINK("https://klasma.github.io/Logging_0382/artfynd/A 6143-2025 artfynd.xlsx", "A 6143-2025")</f>
        <v/>
      </c>
      <c r="T763">
        <f>HYPERLINK("https://klasma.github.io/Logging_0382/kartor/A 6143-2025 karta.png", "A 6143-2025")</f>
        <v/>
      </c>
      <c r="V763">
        <f>HYPERLINK("https://klasma.github.io/Logging_0382/klagomål/A 6143-2025 FSC-klagomål.docx", "A 6143-2025")</f>
        <v/>
      </c>
      <c r="W763">
        <f>HYPERLINK("https://klasma.github.io/Logging_0382/klagomålsmail/A 6143-2025 FSC-klagomål mail.docx", "A 6143-2025")</f>
        <v/>
      </c>
      <c r="X763">
        <f>HYPERLINK("https://klasma.github.io/Logging_0382/tillsyn/A 6143-2025 tillsynsbegäran.docx", "A 6143-2025")</f>
        <v/>
      </c>
      <c r="Y763">
        <f>HYPERLINK("https://klasma.github.io/Logging_0382/tillsynsmail/A 6143-2025 tillsynsbegäran mail.docx", "A 6143-2025")</f>
        <v/>
      </c>
    </row>
    <row r="764" ht="15" customHeight="1">
      <c r="A764" t="inlineStr">
        <is>
          <t>A 6829-2025</t>
        </is>
      </c>
      <c r="B764" s="1" t="n">
        <v>45700</v>
      </c>
      <c r="C764" s="1" t="n">
        <v>45792</v>
      </c>
      <c r="D764" t="inlineStr">
        <is>
          <t>UPPSALA LÄN</t>
        </is>
      </c>
      <c r="E764" t="inlineStr">
        <is>
          <t>TIERP</t>
        </is>
      </c>
      <c r="G764" t="n">
        <v>5.1</v>
      </c>
      <c r="H764" t="n">
        <v>0</v>
      </c>
      <c r="I764" t="n">
        <v>1</v>
      </c>
      <c r="J764" t="n">
        <v>0</v>
      </c>
      <c r="K764" t="n">
        <v>0</v>
      </c>
      <c r="L764" t="n">
        <v>0</v>
      </c>
      <c r="M764" t="n">
        <v>0</v>
      </c>
      <c r="N764" t="n">
        <v>0</v>
      </c>
      <c r="O764" t="n">
        <v>0</v>
      </c>
      <c r="P764" t="n">
        <v>0</v>
      </c>
      <c r="Q764" t="n">
        <v>1</v>
      </c>
      <c r="R764" s="2" t="inlineStr">
        <is>
          <t>Tibast</t>
        </is>
      </c>
      <c r="S764">
        <f>HYPERLINK("https://klasma.github.io/Logging_0360/artfynd/A 6829-2025 artfynd.xlsx", "A 6829-2025")</f>
        <v/>
      </c>
      <c r="T764">
        <f>HYPERLINK("https://klasma.github.io/Logging_0360/kartor/A 6829-2025 karta.png", "A 6829-2025")</f>
        <v/>
      </c>
      <c r="V764">
        <f>HYPERLINK("https://klasma.github.io/Logging_0360/klagomål/A 6829-2025 FSC-klagomål.docx", "A 6829-2025")</f>
        <v/>
      </c>
      <c r="W764">
        <f>HYPERLINK("https://klasma.github.io/Logging_0360/klagomålsmail/A 6829-2025 FSC-klagomål mail.docx", "A 6829-2025")</f>
        <v/>
      </c>
      <c r="X764">
        <f>HYPERLINK("https://klasma.github.io/Logging_0360/tillsyn/A 6829-2025 tillsynsbegäran.docx", "A 6829-2025")</f>
        <v/>
      </c>
      <c r="Y764">
        <f>HYPERLINK("https://klasma.github.io/Logging_0360/tillsynsmail/A 6829-2025 tillsynsbegäran mail.docx", "A 6829-2025")</f>
        <v/>
      </c>
    </row>
    <row r="765" ht="15" customHeight="1">
      <c r="A765" t="inlineStr">
        <is>
          <t>A 7983-2025</t>
        </is>
      </c>
      <c r="B765" s="1" t="n">
        <v>45707</v>
      </c>
      <c r="C765" s="1" t="n">
        <v>45792</v>
      </c>
      <c r="D765" t="inlineStr">
        <is>
          <t>UPPSALA LÄN</t>
        </is>
      </c>
      <c r="E765" t="inlineStr">
        <is>
          <t>TIERP</t>
        </is>
      </c>
      <c r="F765" t="inlineStr">
        <is>
          <t>Bergvik skog öst AB</t>
        </is>
      </c>
      <c r="G765" t="n">
        <v>2.2</v>
      </c>
      <c r="H765" t="n">
        <v>1</v>
      </c>
      <c r="I765" t="n">
        <v>0</v>
      </c>
      <c r="J765" t="n">
        <v>0</v>
      </c>
      <c r="K765" t="n">
        <v>1</v>
      </c>
      <c r="L765" t="n">
        <v>0</v>
      </c>
      <c r="M765" t="n">
        <v>0</v>
      </c>
      <c r="N765" t="n">
        <v>0</v>
      </c>
      <c r="O765" t="n">
        <v>1</v>
      </c>
      <c r="P765" t="n">
        <v>1</v>
      </c>
      <c r="Q765" t="n">
        <v>1</v>
      </c>
      <c r="R765" s="2" t="inlineStr">
        <is>
          <t>Knärot</t>
        </is>
      </c>
      <c r="S765">
        <f>HYPERLINK("https://klasma.github.io/Logging_0360/artfynd/A 7983-2025 artfynd.xlsx", "A 7983-2025")</f>
        <v/>
      </c>
      <c r="T765">
        <f>HYPERLINK("https://klasma.github.io/Logging_0360/kartor/A 7983-2025 karta.png", "A 7983-2025")</f>
        <v/>
      </c>
      <c r="U765">
        <f>HYPERLINK("https://klasma.github.io/Logging_0360/knärot/A 7983-2025 karta knärot.png", "A 7983-2025")</f>
        <v/>
      </c>
      <c r="V765">
        <f>HYPERLINK("https://klasma.github.io/Logging_0360/klagomål/A 7983-2025 FSC-klagomål.docx", "A 7983-2025")</f>
        <v/>
      </c>
      <c r="W765">
        <f>HYPERLINK("https://klasma.github.io/Logging_0360/klagomålsmail/A 7983-2025 FSC-klagomål mail.docx", "A 7983-2025")</f>
        <v/>
      </c>
      <c r="X765">
        <f>HYPERLINK("https://klasma.github.io/Logging_0360/tillsyn/A 7983-2025 tillsynsbegäran.docx", "A 7983-2025")</f>
        <v/>
      </c>
      <c r="Y765">
        <f>HYPERLINK("https://klasma.github.io/Logging_0360/tillsynsmail/A 7983-2025 tillsynsbegäran mail.docx", "A 7983-2025")</f>
        <v/>
      </c>
    </row>
    <row r="766" ht="15" customHeight="1">
      <c r="A766" t="inlineStr">
        <is>
          <t>A 9553-2025</t>
        </is>
      </c>
      <c r="B766" s="1" t="n">
        <v>45715</v>
      </c>
      <c r="C766" s="1" t="n">
        <v>45792</v>
      </c>
      <c r="D766" t="inlineStr">
        <is>
          <t>UPPSALA LÄN</t>
        </is>
      </c>
      <c r="E766" t="inlineStr">
        <is>
          <t>KNIVSTA</t>
        </is>
      </c>
      <c r="G766" t="n">
        <v>3.5</v>
      </c>
      <c r="H766" t="n">
        <v>1</v>
      </c>
      <c r="I766" t="n">
        <v>0</v>
      </c>
      <c r="J766" t="n">
        <v>0</v>
      </c>
      <c r="K766" t="n">
        <v>0</v>
      </c>
      <c r="L766" t="n">
        <v>0</v>
      </c>
      <c r="M766" t="n">
        <v>0</v>
      </c>
      <c r="N766" t="n">
        <v>0</v>
      </c>
      <c r="O766" t="n">
        <v>0</v>
      </c>
      <c r="P766" t="n">
        <v>0</v>
      </c>
      <c r="Q766" t="n">
        <v>1</v>
      </c>
      <c r="R766" s="2" t="inlineStr">
        <is>
          <t>Nattviol</t>
        </is>
      </c>
      <c r="S766">
        <f>HYPERLINK("https://klasma.github.io/Logging_030330/artfynd/A 9553-2025 artfynd.xlsx", "A 9553-2025")</f>
        <v/>
      </c>
      <c r="T766">
        <f>HYPERLINK("https://klasma.github.io/Logging_030330/kartor/A 9553-2025 karta.png", "A 9553-2025")</f>
        <v/>
      </c>
      <c r="V766">
        <f>HYPERLINK("https://klasma.github.io/Logging_030330/klagomål/A 9553-2025 FSC-klagomål.docx", "A 9553-2025")</f>
        <v/>
      </c>
      <c r="W766">
        <f>HYPERLINK("https://klasma.github.io/Logging_030330/klagomålsmail/A 9553-2025 FSC-klagomål mail.docx", "A 9553-2025")</f>
        <v/>
      </c>
      <c r="X766">
        <f>HYPERLINK("https://klasma.github.io/Logging_030330/tillsyn/A 9553-2025 tillsynsbegäran.docx", "A 9553-2025")</f>
        <v/>
      </c>
      <c r="Y766">
        <f>HYPERLINK("https://klasma.github.io/Logging_030330/tillsynsmail/A 9553-2025 tillsynsbegäran mail.docx", "A 9553-2025")</f>
        <v/>
      </c>
    </row>
    <row r="767" ht="15" customHeight="1">
      <c r="A767" t="inlineStr">
        <is>
          <t>A 9521-2025</t>
        </is>
      </c>
      <c r="B767" s="1" t="n">
        <v>45715</v>
      </c>
      <c r="C767" s="1" t="n">
        <v>45792</v>
      </c>
      <c r="D767" t="inlineStr">
        <is>
          <t>UPPSALA LÄN</t>
        </is>
      </c>
      <c r="E767" t="inlineStr">
        <is>
          <t>ÄLVKARLEBY</t>
        </is>
      </c>
      <c r="G767" t="n">
        <v>6.3</v>
      </c>
      <c r="H767" t="n">
        <v>0</v>
      </c>
      <c r="I767" t="n">
        <v>1</v>
      </c>
      <c r="J767" t="n">
        <v>0</v>
      </c>
      <c r="K767" t="n">
        <v>0</v>
      </c>
      <c r="L767" t="n">
        <v>0</v>
      </c>
      <c r="M767" t="n">
        <v>0</v>
      </c>
      <c r="N767" t="n">
        <v>0</v>
      </c>
      <c r="O767" t="n">
        <v>0</v>
      </c>
      <c r="P767" t="n">
        <v>0</v>
      </c>
      <c r="Q767" t="n">
        <v>1</v>
      </c>
      <c r="R767" s="2" t="inlineStr">
        <is>
          <t>Rödgul trumpetsvamp</t>
        </is>
      </c>
      <c r="S767">
        <f>HYPERLINK("https://klasma.github.io/Logging_030319/artfynd/A 9521-2025 artfynd.xlsx", "A 9521-2025")</f>
        <v/>
      </c>
      <c r="T767">
        <f>HYPERLINK("https://klasma.github.io/Logging_030319/kartor/A 9521-2025 karta.png", "A 9521-2025")</f>
        <v/>
      </c>
      <c r="V767">
        <f>HYPERLINK("https://klasma.github.io/Logging_030319/klagomål/A 9521-2025 FSC-klagomål.docx", "A 9521-2025")</f>
        <v/>
      </c>
      <c r="W767">
        <f>HYPERLINK("https://klasma.github.io/Logging_030319/klagomålsmail/A 9521-2025 FSC-klagomål mail.docx", "A 9521-2025")</f>
        <v/>
      </c>
      <c r="X767">
        <f>HYPERLINK("https://klasma.github.io/Logging_030319/tillsyn/A 9521-2025 tillsynsbegäran.docx", "A 9521-2025")</f>
        <v/>
      </c>
      <c r="Y767">
        <f>HYPERLINK("https://klasma.github.io/Logging_030319/tillsynsmail/A 9521-2025 tillsynsbegäran mail.docx", "A 9521-2025")</f>
        <v/>
      </c>
    </row>
    <row r="768" ht="15" customHeight="1">
      <c r="A768" t="inlineStr">
        <is>
          <t>A 10671-2025</t>
        </is>
      </c>
      <c r="B768" s="1" t="n">
        <v>45721</v>
      </c>
      <c r="C768" s="1" t="n">
        <v>45792</v>
      </c>
      <c r="D768" t="inlineStr">
        <is>
          <t>UPPSALA LÄN</t>
        </is>
      </c>
      <c r="E768" t="inlineStr">
        <is>
          <t>ENKÖPING</t>
        </is>
      </c>
      <c r="G768" t="n">
        <v>5.1</v>
      </c>
      <c r="H768" t="n">
        <v>1</v>
      </c>
      <c r="I768" t="n">
        <v>1</v>
      </c>
      <c r="J768" t="n">
        <v>0</v>
      </c>
      <c r="K768" t="n">
        <v>0</v>
      </c>
      <c r="L768" t="n">
        <v>0</v>
      </c>
      <c r="M768" t="n">
        <v>0</v>
      </c>
      <c r="N768" t="n">
        <v>0</v>
      </c>
      <c r="O768" t="n">
        <v>0</v>
      </c>
      <c r="P768" t="n">
        <v>0</v>
      </c>
      <c r="Q768" t="n">
        <v>1</v>
      </c>
      <c r="R768" s="2" t="inlineStr">
        <is>
          <t>Korallrot</t>
        </is>
      </c>
      <c r="S768">
        <f>HYPERLINK("https://klasma.github.io/Logging_030381/artfynd/A 10671-2025 artfynd.xlsx", "A 10671-2025")</f>
        <v/>
      </c>
      <c r="T768">
        <f>HYPERLINK("https://klasma.github.io/Logging_030381/kartor/A 10671-2025 karta.png", "A 10671-2025")</f>
        <v/>
      </c>
      <c r="V768">
        <f>HYPERLINK("https://klasma.github.io/Logging_030381/klagomål/A 10671-2025 FSC-klagomål.docx", "A 10671-2025")</f>
        <v/>
      </c>
      <c r="W768">
        <f>HYPERLINK("https://klasma.github.io/Logging_030381/klagomålsmail/A 10671-2025 FSC-klagomål mail.docx", "A 10671-2025")</f>
        <v/>
      </c>
      <c r="X768">
        <f>HYPERLINK("https://klasma.github.io/Logging_030381/tillsyn/A 10671-2025 tillsynsbegäran.docx", "A 10671-2025")</f>
        <v/>
      </c>
      <c r="Y768">
        <f>HYPERLINK("https://klasma.github.io/Logging_030381/tillsynsmail/A 10671-2025 tillsynsbegäran mail.docx", "A 10671-2025")</f>
        <v/>
      </c>
    </row>
    <row r="769" ht="15" customHeight="1">
      <c r="A769" t="inlineStr">
        <is>
          <t>A 10853-2025</t>
        </is>
      </c>
      <c r="B769" s="1" t="n">
        <v>45722</v>
      </c>
      <c r="C769" s="1" t="n">
        <v>45792</v>
      </c>
      <c r="D769" t="inlineStr">
        <is>
          <t>UPPSALA LÄN</t>
        </is>
      </c>
      <c r="E769" t="inlineStr">
        <is>
          <t>TIERP</t>
        </is>
      </c>
      <c r="F769" t="inlineStr">
        <is>
          <t>Bergvik skog öst AB</t>
        </is>
      </c>
      <c r="G769" t="n">
        <v>2.2</v>
      </c>
      <c r="H769" t="n">
        <v>1</v>
      </c>
      <c r="I769" t="n">
        <v>0</v>
      </c>
      <c r="J769" t="n">
        <v>0</v>
      </c>
      <c r="K769" t="n">
        <v>0</v>
      </c>
      <c r="L769" t="n">
        <v>0</v>
      </c>
      <c r="M769" t="n">
        <v>0</v>
      </c>
      <c r="N769" t="n">
        <v>0</v>
      </c>
      <c r="O769" t="n">
        <v>0</v>
      </c>
      <c r="P769" t="n">
        <v>0</v>
      </c>
      <c r="Q769" t="n">
        <v>1</v>
      </c>
      <c r="R769" s="2" t="inlineStr">
        <is>
          <t>Blåsippa</t>
        </is>
      </c>
      <c r="S769">
        <f>HYPERLINK("https://klasma.github.io/Logging_030360/artfynd/A 10853-2025 artfynd.xlsx", "A 10853-2025")</f>
        <v/>
      </c>
      <c r="T769">
        <f>HYPERLINK("https://klasma.github.io/Logging_030360/kartor/A 10853-2025 karta.png", "A 10853-2025")</f>
        <v/>
      </c>
      <c r="V769">
        <f>HYPERLINK("https://klasma.github.io/Logging_030360/klagomål/A 10853-2025 FSC-klagomål.docx", "A 10853-2025")</f>
        <v/>
      </c>
      <c r="W769">
        <f>HYPERLINK("https://klasma.github.io/Logging_030360/klagomålsmail/A 10853-2025 FSC-klagomål mail.docx", "A 10853-2025")</f>
        <v/>
      </c>
      <c r="X769">
        <f>HYPERLINK("https://klasma.github.io/Logging_030360/tillsyn/A 10853-2025 tillsynsbegäran.docx", "A 10853-2025")</f>
        <v/>
      </c>
      <c r="Y769">
        <f>HYPERLINK("https://klasma.github.io/Logging_030360/tillsynsmail/A 10853-2025 tillsynsbegäran mail.docx", "A 10853-2025")</f>
        <v/>
      </c>
    </row>
    <row r="770" ht="15" customHeight="1">
      <c r="A770" t="inlineStr">
        <is>
          <t>A 10844-2025</t>
        </is>
      </c>
      <c r="B770" s="1" t="n">
        <v>45722</v>
      </c>
      <c r="C770" s="1" t="n">
        <v>45792</v>
      </c>
      <c r="D770" t="inlineStr">
        <is>
          <t>UPPSALA LÄN</t>
        </is>
      </c>
      <c r="E770" t="inlineStr">
        <is>
          <t>TIERP</t>
        </is>
      </c>
      <c r="F770" t="inlineStr">
        <is>
          <t>Bergvik skog öst AB</t>
        </is>
      </c>
      <c r="G770" t="n">
        <v>4.3</v>
      </c>
      <c r="H770" t="n">
        <v>1</v>
      </c>
      <c r="I770" t="n">
        <v>0</v>
      </c>
      <c r="J770" t="n">
        <v>0</v>
      </c>
      <c r="K770" t="n">
        <v>0</v>
      </c>
      <c r="L770" t="n">
        <v>0</v>
      </c>
      <c r="M770" t="n">
        <v>0</v>
      </c>
      <c r="N770" t="n">
        <v>0</v>
      </c>
      <c r="O770" t="n">
        <v>0</v>
      </c>
      <c r="P770" t="n">
        <v>0</v>
      </c>
      <c r="Q770" t="n">
        <v>1</v>
      </c>
      <c r="R770" s="2" t="inlineStr">
        <is>
          <t>Blåsippa</t>
        </is>
      </c>
      <c r="S770">
        <f>HYPERLINK("https://klasma.github.io/Logging_030360/artfynd/A 10844-2025 artfynd.xlsx", "A 10844-2025")</f>
        <v/>
      </c>
      <c r="T770">
        <f>HYPERLINK("https://klasma.github.io/Logging_030360/kartor/A 10844-2025 karta.png", "A 10844-2025")</f>
        <v/>
      </c>
      <c r="V770">
        <f>HYPERLINK("https://klasma.github.io/Logging_030360/klagomål/A 10844-2025 FSC-klagomål.docx", "A 10844-2025")</f>
        <v/>
      </c>
      <c r="W770">
        <f>HYPERLINK("https://klasma.github.io/Logging_030360/klagomålsmail/A 10844-2025 FSC-klagomål mail.docx", "A 10844-2025")</f>
        <v/>
      </c>
      <c r="X770">
        <f>HYPERLINK("https://klasma.github.io/Logging_030360/tillsyn/A 10844-2025 tillsynsbegäran.docx", "A 10844-2025")</f>
        <v/>
      </c>
      <c r="Y770">
        <f>HYPERLINK("https://klasma.github.io/Logging_030360/tillsynsmail/A 10844-2025 tillsynsbegäran mail.docx", "A 10844-2025")</f>
        <v/>
      </c>
    </row>
    <row r="771" ht="15" customHeight="1">
      <c r="A771" t="inlineStr">
        <is>
          <t>A 10848-2025</t>
        </is>
      </c>
      <c r="B771" s="1" t="n">
        <v>45722</v>
      </c>
      <c r="C771" s="1" t="n">
        <v>45792</v>
      </c>
      <c r="D771" t="inlineStr">
        <is>
          <t>UPPSALA LÄN</t>
        </is>
      </c>
      <c r="E771" t="inlineStr">
        <is>
          <t>TIERP</t>
        </is>
      </c>
      <c r="F771" t="inlineStr">
        <is>
          <t>Bergvik skog öst AB</t>
        </is>
      </c>
      <c r="G771" t="n">
        <v>1.9</v>
      </c>
      <c r="H771" t="n">
        <v>1</v>
      </c>
      <c r="I771" t="n">
        <v>0</v>
      </c>
      <c r="J771" t="n">
        <v>1</v>
      </c>
      <c r="K771" t="n">
        <v>0</v>
      </c>
      <c r="L771" t="n">
        <v>0</v>
      </c>
      <c r="M771" t="n">
        <v>0</v>
      </c>
      <c r="N771" t="n">
        <v>0</v>
      </c>
      <c r="O771" t="n">
        <v>1</v>
      </c>
      <c r="P771" t="n">
        <v>0</v>
      </c>
      <c r="Q771" t="n">
        <v>1</v>
      </c>
      <c r="R771" s="2" t="inlineStr">
        <is>
          <t>Talltita</t>
        </is>
      </c>
      <c r="S771">
        <f>HYPERLINK("https://klasma.github.io/Logging_030360/artfynd/A 10848-2025 artfynd.xlsx", "A 10848-2025")</f>
        <v/>
      </c>
      <c r="T771">
        <f>HYPERLINK("https://klasma.github.io/Logging_030360/kartor/A 10848-2025 karta.png", "A 10848-2025")</f>
        <v/>
      </c>
      <c r="V771">
        <f>HYPERLINK("https://klasma.github.io/Logging_030360/klagomål/A 10848-2025 FSC-klagomål.docx", "A 10848-2025")</f>
        <v/>
      </c>
      <c r="W771">
        <f>HYPERLINK("https://klasma.github.io/Logging_030360/klagomålsmail/A 10848-2025 FSC-klagomål mail.docx", "A 10848-2025")</f>
        <v/>
      </c>
      <c r="X771">
        <f>HYPERLINK("https://klasma.github.io/Logging_030360/tillsyn/A 10848-2025 tillsynsbegäran.docx", "A 10848-2025")</f>
        <v/>
      </c>
      <c r="Y771">
        <f>HYPERLINK("https://klasma.github.io/Logging_030360/tillsynsmail/A 10848-2025 tillsynsbegäran mail.docx", "A 10848-2025")</f>
        <v/>
      </c>
      <c r="Z771">
        <f>HYPERLINK("https://klasma.github.io/Logging_030360/fåglar/A 10848-2025 prioriterade fågelarter.docx", "A 10848-2025")</f>
        <v/>
      </c>
    </row>
    <row r="772" ht="15" customHeight="1">
      <c r="A772" t="inlineStr">
        <is>
          <t>A 11015-2025</t>
        </is>
      </c>
      <c r="B772" s="1" t="n">
        <v>45723</v>
      </c>
      <c r="C772" s="1" t="n">
        <v>45792</v>
      </c>
      <c r="D772" t="inlineStr">
        <is>
          <t>UPPSALA LÄN</t>
        </is>
      </c>
      <c r="E772" t="inlineStr">
        <is>
          <t>ENKÖPING</t>
        </is>
      </c>
      <c r="G772" t="n">
        <v>1.3</v>
      </c>
      <c r="H772" t="n">
        <v>0</v>
      </c>
      <c r="I772" t="n">
        <v>1</v>
      </c>
      <c r="J772" t="n">
        <v>0</v>
      </c>
      <c r="K772" t="n">
        <v>0</v>
      </c>
      <c r="L772" t="n">
        <v>0</v>
      </c>
      <c r="M772" t="n">
        <v>0</v>
      </c>
      <c r="N772" t="n">
        <v>0</v>
      </c>
      <c r="O772" t="n">
        <v>0</v>
      </c>
      <c r="P772" t="n">
        <v>0</v>
      </c>
      <c r="Q772" t="n">
        <v>1</v>
      </c>
      <c r="R772" s="2" t="inlineStr">
        <is>
          <t>Svart trolldruva</t>
        </is>
      </c>
      <c r="S772">
        <f>HYPERLINK("https://klasma.github.io/Logging_030381/artfynd/A 11015-2025 artfynd.xlsx", "A 11015-2025")</f>
        <v/>
      </c>
      <c r="T772">
        <f>HYPERLINK("https://klasma.github.io/Logging_030381/kartor/A 11015-2025 karta.png", "A 11015-2025")</f>
        <v/>
      </c>
      <c r="V772">
        <f>HYPERLINK("https://klasma.github.io/Logging_030381/klagomål/A 11015-2025 FSC-klagomål.docx", "A 11015-2025")</f>
        <v/>
      </c>
      <c r="W772">
        <f>HYPERLINK("https://klasma.github.io/Logging_030381/klagomålsmail/A 11015-2025 FSC-klagomål mail.docx", "A 11015-2025")</f>
        <v/>
      </c>
      <c r="X772">
        <f>HYPERLINK("https://klasma.github.io/Logging_030381/tillsyn/A 11015-2025 tillsynsbegäran.docx", "A 11015-2025")</f>
        <v/>
      </c>
      <c r="Y772">
        <f>HYPERLINK("https://klasma.github.io/Logging_030381/tillsynsmail/A 11015-2025 tillsynsbegäran mail.docx", "A 11015-2025")</f>
        <v/>
      </c>
    </row>
    <row r="773" ht="15" customHeight="1">
      <c r="A773" t="inlineStr">
        <is>
          <t>A 11018-2025</t>
        </is>
      </c>
      <c r="B773" s="1" t="n">
        <v>45723</v>
      </c>
      <c r="C773" s="1" t="n">
        <v>45792</v>
      </c>
      <c r="D773" t="inlineStr">
        <is>
          <t>UPPSALA LÄN</t>
        </is>
      </c>
      <c r="E773" t="inlineStr">
        <is>
          <t>ENKÖPING</t>
        </is>
      </c>
      <c r="G773" t="n">
        <v>1.6</v>
      </c>
      <c r="H773" t="n">
        <v>0</v>
      </c>
      <c r="I773" t="n">
        <v>0</v>
      </c>
      <c r="J773" t="n">
        <v>0</v>
      </c>
      <c r="K773" t="n">
        <v>0</v>
      </c>
      <c r="L773" t="n">
        <v>1</v>
      </c>
      <c r="M773" t="n">
        <v>0</v>
      </c>
      <c r="N773" t="n">
        <v>0</v>
      </c>
      <c r="O773" t="n">
        <v>1</v>
      </c>
      <c r="P773" t="n">
        <v>1</v>
      </c>
      <c r="Q773" t="n">
        <v>1</v>
      </c>
      <c r="R773" s="2" t="inlineStr">
        <is>
          <t>Ask</t>
        </is>
      </c>
      <c r="S773">
        <f>HYPERLINK("https://klasma.github.io/Logging_030381/artfynd/A 11018-2025 artfynd.xlsx", "A 11018-2025")</f>
        <v/>
      </c>
      <c r="T773">
        <f>HYPERLINK("https://klasma.github.io/Logging_030381/kartor/A 11018-2025 karta.png", "A 11018-2025")</f>
        <v/>
      </c>
      <c r="V773">
        <f>HYPERLINK("https://klasma.github.io/Logging_030381/klagomål/A 11018-2025 FSC-klagomål.docx", "A 11018-2025")</f>
        <v/>
      </c>
      <c r="W773">
        <f>HYPERLINK("https://klasma.github.io/Logging_030381/klagomålsmail/A 11018-2025 FSC-klagomål mail.docx", "A 11018-2025")</f>
        <v/>
      </c>
      <c r="X773">
        <f>HYPERLINK("https://klasma.github.io/Logging_030381/tillsyn/A 11018-2025 tillsynsbegäran.docx", "A 11018-2025")</f>
        <v/>
      </c>
      <c r="Y773">
        <f>HYPERLINK("https://klasma.github.io/Logging_030381/tillsynsmail/A 11018-2025 tillsynsbegäran mail.docx", "A 11018-2025")</f>
        <v/>
      </c>
    </row>
    <row r="774" ht="15" customHeight="1">
      <c r="A774" t="inlineStr">
        <is>
          <t>A 11405-2025</t>
        </is>
      </c>
      <c r="B774" s="1" t="n">
        <v>45726</v>
      </c>
      <c r="C774" s="1" t="n">
        <v>45792</v>
      </c>
      <c r="D774" t="inlineStr">
        <is>
          <t>UPPSALA LÄN</t>
        </is>
      </c>
      <c r="E774" t="inlineStr">
        <is>
          <t>KNIVSTA</t>
        </is>
      </c>
      <c r="G774" t="n">
        <v>1.6</v>
      </c>
      <c r="H774" t="n">
        <v>0</v>
      </c>
      <c r="I774" t="n">
        <v>0</v>
      </c>
      <c r="J774" t="n">
        <v>0</v>
      </c>
      <c r="K774" t="n">
        <v>0</v>
      </c>
      <c r="L774" t="n">
        <v>1</v>
      </c>
      <c r="M774" t="n">
        <v>0</v>
      </c>
      <c r="N774" t="n">
        <v>0</v>
      </c>
      <c r="O774" t="n">
        <v>1</v>
      </c>
      <c r="P774" t="n">
        <v>1</v>
      </c>
      <c r="Q774" t="n">
        <v>1</v>
      </c>
      <c r="R774" s="2" t="inlineStr">
        <is>
          <t>Fältgentiana</t>
        </is>
      </c>
      <c r="S774">
        <f>HYPERLINK("https://klasma.github.io/Logging_030330/artfynd/A 11405-2025 artfynd.xlsx", "A 11405-2025")</f>
        <v/>
      </c>
      <c r="T774">
        <f>HYPERLINK("https://klasma.github.io/Logging_030330/kartor/A 11405-2025 karta.png", "A 11405-2025")</f>
        <v/>
      </c>
      <c r="V774">
        <f>HYPERLINK("https://klasma.github.io/Logging_030330/klagomål/A 11405-2025 FSC-klagomål.docx", "A 11405-2025")</f>
        <v/>
      </c>
      <c r="W774">
        <f>HYPERLINK("https://klasma.github.io/Logging_030330/klagomålsmail/A 11405-2025 FSC-klagomål mail.docx", "A 11405-2025")</f>
        <v/>
      </c>
      <c r="X774">
        <f>HYPERLINK("https://klasma.github.io/Logging_030330/tillsyn/A 11405-2025 tillsynsbegäran.docx", "A 11405-2025")</f>
        <v/>
      </c>
      <c r="Y774">
        <f>HYPERLINK("https://klasma.github.io/Logging_030330/tillsynsmail/A 11405-2025 tillsynsbegäran mail.docx", "A 11405-2025")</f>
        <v/>
      </c>
    </row>
    <row r="775" ht="15" customHeight="1">
      <c r="A775" t="inlineStr">
        <is>
          <t>A 12427-2025</t>
        </is>
      </c>
      <c r="B775" s="1" t="n">
        <v>45730</v>
      </c>
      <c r="C775" s="1" t="n">
        <v>45792</v>
      </c>
      <c r="D775" t="inlineStr">
        <is>
          <t>UPPSALA LÄN</t>
        </is>
      </c>
      <c r="E775" t="inlineStr">
        <is>
          <t>ÄLVKARLEBY</t>
        </is>
      </c>
      <c r="F775" t="inlineStr">
        <is>
          <t>Bergvik skog öst AB</t>
        </is>
      </c>
      <c r="G775" t="n">
        <v>9.300000000000001</v>
      </c>
      <c r="H775" t="n">
        <v>1</v>
      </c>
      <c r="I775" t="n">
        <v>1</v>
      </c>
      <c r="J775" t="n">
        <v>0</v>
      </c>
      <c r="K775" t="n">
        <v>0</v>
      </c>
      <c r="L775" t="n">
        <v>0</v>
      </c>
      <c r="M775" t="n">
        <v>0</v>
      </c>
      <c r="N775" t="n">
        <v>0</v>
      </c>
      <c r="O775" t="n">
        <v>0</v>
      </c>
      <c r="P775" t="n">
        <v>0</v>
      </c>
      <c r="Q775" t="n">
        <v>1</v>
      </c>
      <c r="R775" s="2" t="inlineStr">
        <is>
          <t>Guckusko</t>
        </is>
      </c>
      <c r="S775">
        <f>HYPERLINK("https://klasma.github.io/Logging_030319/artfynd/A 12427-2025 artfynd.xlsx", "A 12427-2025")</f>
        <v/>
      </c>
      <c r="T775">
        <f>HYPERLINK("https://klasma.github.io/Logging_030319/kartor/A 12427-2025 karta.png", "A 12427-2025")</f>
        <v/>
      </c>
      <c r="V775">
        <f>HYPERLINK("https://klasma.github.io/Logging_030319/klagomål/A 12427-2025 FSC-klagomål.docx", "A 12427-2025")</f>
        <v/>
      </c>
      <c r="W775">
        <f>HYPERLINK("https://klasma.github.io/Logging_030319/klagomålsmail/A 12427-2025 FSC-klagomål mail.docx", "A 12427-2025")</f>
        <v/>
      </c>
      <c r="X775">
        <f>HYPERLINK("https://klasma.github.io/Logging_030319/tillsyn/A 12427-2025 tillsynsbegäran.docx", "A 12427-2025")</f>
        <v/>
      </c>
      <c r="Y775">
        <f>HYPERLINK("https://klasma.github.io/Logging_030319/tillsynsmail/A 12427-2025 tillsynsbegäran mail.docx", "A 12427-2025")</f>
        <v/>
      </c>
    </row>
    <row r="776" ht="15" customHeight="1">
      <c r="A776" t="inlineStr">
        <is>
          <t>A 13205-2025</t>
        </is>
      </c>
      <c r="B776" s="1" t="n">
        <v>45735</v>
      </c>
      <c r="C776" s="1" t="n">
        <v>45792</v>
      </c>
      <c r="D776" t="inlineStr">
        <is>
          <t>UPPSALA LÄN</t>
        </is>
      </c>
      <c r="E776" t="inlineStr">
        <is>
          <t>TIERP</t>
        </is>
      </c>
      <c r="G776" t="n">
        <v>8.6</v>
      </c>
      <c r="H776" t="n">
        <v>0</v>
      </c>
      <c r="I776" t="n">
        <v>1</v>
      </c>
      <c r="J776" t="n">
        <v>0</v>
      </c>
      <c r="K776" t="n">
        <v>0</v>
      </c>
      <c r="L776" t="n">
        <v>0</v>
      </c>
      <c r="M776" t="n">
        <v>0</v>
      </c>
      <c r="N776" t="n">
        <v>0</v>
      </c>
      <c r="O776" t="n">
        <v>0</v>
      </c>
      <c r="P776" t="n">
        <v>0</v>
      </c>
      <c r="Q776" t="n">
        <v>1</v>
      </c>
      <c r="R776" s="2" t="inlineStr">
        <is>
          <t>Fjällig taggsvamp s.str.</t>
        </is>
      </c>
      <c r="S776">
        <f>HYPERLINK("https://klasma.github.io/Logging_030360/artfynd/A 13205-2025 artfynd.xlsx", "A 13205-2025")</f>
        <v/>
      </c>
      <c r="T776">
        <f>HYPERLINK("https://klasma.github.io/Logging_030360/kartor/A 13205-2025 karta.png", "A 13205-2025")</f>
        <v/>
      </c>
      <c r="V776">
        <f>HYPERLINK("https://klasma.github.io/Logging_030360/klagomål/A 13205-2025 FSC-klagomål.docx", "A 13205-2025")</f>
        <v/>
      </c>
      <c r="W776">
        <f>HYPERLINK("https://klasma.github.io/Logging_030360/klagomålsmail/A 13205-2025 FSC-klagomål mail.docx", "A 13205-2025")</f>
        <v/>
      </c>
      <c r="X776">
        <f>HYPERLINK("https://klasma.github.io/Logging_030360/tillsyn/A 13205-2025 tillsynsbegäran.docx", "A 13205-2025")</f>
        <v/>
      </c>
      <c r="Y776">
        <f>HYPERLINK("https://klasma.github.io/Logging_030360/tillsynsmail/A 13205-2025 tillsynsbegäran mail.docx", "A 13205-2025")</f>
        <v/>
      </c>
    </row>
    <row r="777" ht="15" customHeight="1">
      <c r="A777" t="inlineStr">
        <is>
          <t>A 13526-2025</t>
        </is>
      </c>
      <c r="B777" s="1" t="n">
        <v>45736</v>
      </c>
      <c r="C777" s="1" t="n">
        <v>45792</v>
      </c>
      <c r="D777" t="inlineStr">
        <is>
          <t>UPPSALA LÄN</t>
        </is>
      </c>
      <c r="E777" t="inlineStr">
        <is>
          <t>UPPSALA</t>
        </is>
      </c>
      <c r="F777" t="inlineStr">
        <is>
          <t>Allmännings- och besparingsskogar</t>
        </is>
      </c>
      <c r="G777" t="n">
        <v>3</v>
      </c>
      <c r="H777" t="n">
        <v>0</v>
      </c>
      <c r="I777" t="n">
        <v>0</v>
      </c>
      <c r="J777" t="n">
        <v>1</v>
      </c>
      <c r="K777" t="n">
        <v>0</v>
      </c>
      <c r="L777" t="n">
        <v>0</v>
      </c>
      <c r="M777" t="n">
        <v>0</v>
      </c>
      <c r="N777" t="n">
        <v>0</v>
      </c>
      <c r="O777" t="n">
        <v>1</v>
      </c>
      <c r="P777" t="n">
        <v>0</v>
      </c>
      <c r="Q777" t="n">
        <v>1</v>
      </c>
      <c r="R777" s="2" t="inlineStr">
        <is>
          <t>Vedtrappmossa</t>
        </is>
      </c>
      <c r="S777">
        <f>HYPERLINK("https://klasma.github.io/Logging_030380/artfynd/A 13526-2025 artfynd.xlsx", "A 13526-2025")</f>
        <v/>
      </c>
      <c r="T777">
        <f>HYPERLINK("https://klasma.github.io/Logging_030380/kartor/A 13526-2025 karta.png", "A 13526-2025")</f>
        <v/>
      </c>
      <c r="V777">
        <f>HYPERLINK("https://klasma.github.io/Logging_030380/klagomål/A 13526-2025 FSC-klagomål.docx", "A 13526-2025")</f>
        <v/>
      </c>
      <c r="W777">
        <f>HYPERLINK("https://klasma.github.io/Logging_030380/klagomålsmail/A 13526-2025 FSC-klagomål mail.docx", "A 13526-2025")</f>
        <v/>
      </c>
      <c r="X777">
        <f>HYPERLINK("https://klasma.github.io/Logging_030380/tillsyn/A 13526-2025 tillsynsbegäran.docx", "A 13526-2025")</f>
        <v/>
      </c>
      <c r="Y777">
        <f>HYPERLINK("https://klasma.github.io/Logging_030380/tillsynsmail/A 13526-2025 tillsynsbegäran mail.docx", "A 13526-2025")</f>
        <v/>
      </c>
    </row>
    <row r="778" ht="15" customHeight="1">
      <c r="A778" t="inlineStr">
        <is>
          <t>A 14515-2025</t>
        </is>
      </c>
      <c r="B778" s="1" t="n">
        <v>45741</v>
      </c>
      <c r="C778" s="1" t="n">
        <v>45792</v>
      </c>
      <c r="D778" t="inlineStr">
        <is>
          <t>UPPSALA LÄN</t>
        </is>
      </c>
      <c r="E778" t="inlineStr">
        <is>
          <t>TIERP</t>
        </is>
      </c>
      <c r="F778" t="inlineStr">
        <is>
          <t>Bergvik skog väst AB</t>
        </is>
      </c>
      <c r="G778" t="n">
        <v>7.7</v>
      </c>
      <c r="H778" t="n">
        <v>1</v>
      </c>
      <c r="I778" t="n">
        <v>0</v>
      </c>
      <c r="J778" t="n">
        <v>1</v>
      </c>
      <c r="K778" t="n">
        <v>0</v>
      </c>
      <c r="L778" t="n">
        <v>0</v>
      </c>
      <c r="M778" t="n">
        <v>0</v>
      </c>
      <c r="N778" t="n">
        <v>0</v>
      </c>
      <c r="O778" t="n">
        <v>1</v>
      </c>
      <c r="P778" t="n">
        <v>0</v>
      </c>
      <c r="Q778" t="n">
        <v>1</v>
      </c>
      <c r="R778" s="2" t="inlineStr">
        <is>
          <t>Talltita</t>
        </is>
      </c>
      <c r="S778">
        <f>HYPERLINK("https://klasma.github.io/Logging_030360/artfynd/A 14515-2025 artfynd.xlsx", "A 14515-2025")</f>
        <v/>
      </c>
      <c r="T778">
        <f>HYPERLINK("https://klasma.github.io/Logging_030360/kartor/A 14515-2025 karta.png", "A 14515-2025")</f>
        <v/>
      </c>
      <c r="V778">
        <f>HYPERLINK("https://klasma.github.io/Logging_030360/klagomål/A 14515-2025 FSC-klagomål.docx", "A 14515-2025")</f>
        <v/>
      </c>
      <c r="W778">
        <f>HYPERLINK("https://klasma.github.io/Logging_030360/klagomålsmail/A 14515-2025 FSC-klagomål mail.docx", "A 14515-2025")</f>
        <v/>
      </c>
      <c r="X778">
        <f>HYPERLINK("https://klasma.github.io/Logging_030360/tillsyn/A 14515-2025 tillsynsbegäran.docx", "A 14515-2025")</f>
        <v/>
      </c>
      <c r="Y778">
        <f>HYPERLINK("https://klasma.github.io/Logging_030360/tillsynsmail/A 14515-2025 tillsynsbegäran mail.docx", "A 14515-2025")</f>
        <v/>
      </c>
      <c r="Z778">
        <f>HYPERLINK("https://klasma.github.io/Logging_030360/fåglar/A 14515-2025 prioriterade fågelarter.docx", "A 14515-2025")</f>
        <v/>
      </c>
    </row>
    <row r="779" ht="15" customHeight="1">
      <c r="A779" t="inlineStr">
        <is>
          <t>A 15680-2025</t>
        </is>
      </c>
      <c r="B779" s="1" t="n">
        <v>45748</v>
      </c>
      <c r="C779" s="1" t="n">
        <v>45792</v>
      </c>
      <c r="D779" t="inlineStr">
        <is>
          <t>UPPSALA LÄN</t>
        </is>
      </c>
      <c r="E779" t="inlineStr">
        <is>
          <t>TIERP</t>
        </is>
      </c>
      <c r="F779" t="inlineStr">
        <is>
          <t>Kyrkan</t>
        </is>
      </c>
      <c r="G779" t="n">
        <v>13.5</v>
      </c>
      <c r="H779" t="n">
        <v>1</v>
      </c>
      <c r="I779" t="n">
        <v>0</v>
      </c>
      <c r="J779" t="n">
        <v>0</v>
      </c>
      <c r="K779" t="n">
        <v>0</v>
      </c>
      <c r="L779" t="n">
        <v>0</v>
      </c>
      <c r="M779" t="n">
        <v>0</v>
      </c>
      <c r="N779" t="n">
        <v>0</v>
      </c>
      <c r="O779" t="n">
        <v>0</v>
      </c>
      <c r="P779" t="n">
        <v>0</v>
      </c>
      <c r="Q779" t="n">
        <v>1</v>
      </c>
      <c r="R779" s="2" t="inlineStr">
        <is>
          <t>Mattlummer</t>
        </is>
      </c>
      <c r="S779">
        <f>HYPERLINK("https://klasma.github.io/Logging_030360/artfynd/A 15680-2025 artfynd.xlsx", "A 15680-2025")</f>
        <v/>
      </c>
      <c r="T779">
        <f>HYPERLINK("https://klasma.github.io/Logging_030360/kartor/A 15680-2025 karta.png", "A 15680-2025")</f>
        <v/>
      </c>
      <c r="V779">
        <f>HYPERLINK("https://klasma.github.io/Logging_030360/klagomål/A 15680-2025 FSC-klagomål.docx", "A 15680-2025")</f>
        <v/>
      </c>
      <c r="W779">
        <f>HYPERLINK("https://klasma.github.io/Logging_030360/klagomålsmail/A 15680-2025 FSC-klagomål mail.docx", "A 15680-2025")</f>
        <v/>
      </c>
      <c r="X779">
        <f>HYPERLINK("https://klasma.github.io/Logging_030360/tillsyn/A 15680-2025 tillsynsbegäran.docx", "A 15680-2025")</f>
        <v/>
      </c>
      <c r="Y779">
        <f>HYPERLINK("https://klasma.github.io/Logging_030360/tillsynsmail/A 15680-2025 tillsynsbegäran mail.docx", "A 15680-2025")</f>
        <v/>
      </c>
    </row>
    <row r="780" ht="15" customHeight="1">
      <c r="A780" t="inlineStr">
        <is>
          <t>A 16407-2025</t>
        </is>
      </c>
      <c r="B780" s="1" t="n">
        <v>45751</v>
      </c>
      <c r="C780" s="1" t="n">
        <v>45792</v>
      </c>
      <c r="D780" t="inlineStr">
        <is>
          <t>UPPSALA LÄN</t>
        </is>
      </c>
      <c r="E780" t="inlineStr">
        <is>
          <t>KNIVSTA</t>
        </is>
      </c>
      <c r="G780" t="n">
        <v>1.1</v>
      </c>
      <c r="H780" t="n">
        <v>1</v>
      </c>
      <c r="I780" t="n">
        <v>0</v>
      </c>
      <c r="J780" t="n">
        <v>0</v>
      </c>
      <c r="K780" t="n">
        <v>0</v>
      </c>
      <c r="L780" t="n">
        <v>0</v>
      </c>
      <c r="M780" t="n">
        <v>0</v>
      </c>
      <c r="N780" t="n">
        <v>0</v>
      </c>
      <c r="O780" t="n">
        <v>0</v>
      </c>
      <c r="P780" t="n">
        <v>0</v>
      </c>
      <c r="Q780" t="n">
        <v>1</v>
      </c>
      <c r="R780" s="2" t="inlineStr">
        <is>
          <t>Blåsippa</t>
        </is>
      </c>
      <c r="S780">
        <f>HYPERLINK("https://klasma.github.io/Logging_030330/artfynd/A 16407-2025 artfynd.xlsx", "A 16407-2025")</f>
        <v/>
      </c>
      <c r="T780">
        <f>HYPERLINK("https://klasma.github.io/Logging_030330/kartor/A 16407-2025 karta.png", "A 16407-2025")</f>
        <v/>
      </c>
      <c r="V780">
        <f>HYPERLINK("https://klasma.github.io/Logging_030330/klagomål/A 16407-2025 FSC-klagomål.docx", "A 16407-2025")</f>
        <v/>
      </c>
      <c r="W780">
        <f>HYPERLINK("https://klasma.github.io/Logging_030330/klagomålsmail/A 16407-2025 FSC-klagomål mail.docx", "A 16407-2025")</f>
        <v/>
      </c>
      <c r="X780">
        <f>HYPERLINK("https://klasma.github.io/Logging_030330/tillsyn/A 16407-2025 tillsynsbegäran.docx", "A 16407-2025")</f>
        <v/>
      </c>
      <c r="Y780">
        <f>HYPERLINK("https://klasma.github.io/Logging_030330/tillsynsmail/A 16407-2025 tillsynsbegäran mail.docx", "A 16407-2025")</f>
        <v/>
      </c>
    </row>
    <row r="781" ht="15" customHeight="1">
      <c r="A781" t="inlineStr">
        <is>
          <t>A 16733-2025</t>
        </is>
      </c>
      <c r="B781" s="1" t="n">
        <v>45754</v>
      </c>
      <c r="C781" s="1" t="n">
        <v>45792</v>
      </c>
      <c r="D781" t="inlineStr">
        <is>
          <t>UPPSALA LÄN</t>
        </is>
      </c>
      <c r="E781" t="inlineStr">
        <is>
          <t>TIERP</t>
        </is>
      </c>
      <c r="F781" t="inlineStr">
        <is>
          <t>Bergvik skog väst AB</t>
        </is>
      </c>
      <c r="G781" t="n">
        <v>4.5</v>
      </c>
      <c r="H781" t="n">
        <v>0</v>
      </c>
      <c r="I781" t="n">
        <v>0</v>
      </c>
      <c r="J781" t="n">
        <v>1</v>
      </c>
      <c r="K781" t="n">
        <v>0</v>
      </c>
      <c r="L781" t="n">
        <v>0</v>
      </c>
      <c r="M781" t="n">
        <v>0</v>
      </c>
      <c r="N781" t="n">
        <v>0</v>
      </c>
      <c r="O781" t="n">
        <v>1</v>
      </c>
      <c r="P781" t="n">
        <v>0</v>
      </c>
      <c r="Q781" t="n">
        <v>1</v>
      </c>
      <c r="R781" s="2" t="inlineStr">
        <is>
          <t>Rödbrun blekspik</t>
        </is>
      </c>
      <c r="S781">
        <f>HYPERLINK("https://klasma.github.io/Logging_030360/artfynd/A 16733-2025 artfynd.xlsx", "A 16733-2025")</f>
        <v/>
      </c>
      <c r="T781">
        <f>HYPERLINK("https://klasma.github.io/Logging_030360/kartor/A 16733-2025 karta.png", "A 16733-2025")</f>
        <v/>
      </c>
      <c r="V781">
        <f>HYPERLINK("https://klasma.github.io/Logging_030360/klagomål/A 16733-2025 FSC-klagomål.docx", "A 16733-2025")</f>
        <v/>
      </c>
      <c r="W781">
        <f>HYPERLINK("https://klasma.github.io/Logging_030360/klagomålsmail/A 16733-2025 FSC-klagomål mail.docx", "A 16733-2025")</f>
        <v/>
      </c>
      <c r="X781">
        <f>HYPERLINK("https://klasma.github.io/Logging_030360/tillsyn/A 16733-2025 tillsynsbegäran.docx", "A 16733-2025")</f>
        <v/>
      </c>
      <c r="Y781">
        <f>HYPERLINK("https://klasma.github.io/Logging_030360/tillsynsmail/A 16733-2025 tillsynsbegäran mail.docx", "A 16733-2025")</f>
        <v/>
      </c>
    </row>
    <row r="782" ht="15" customHeight="1">
      <c r="A782" t="inlineStr">
        <is>
          <t>A 17141-2025</t>
        </is>
      </c>
      <c r="B782" s="1" t="n">
        <v>45755</v>
      </c>
      <c r="C782" s="1" t="n">
        <v>45792</v>
      </c>
      <c r="D782" t="inlineStr">
        <is>
          <t>UPPSALA LÄN</t>
        </is>
      </c>
      <c r="E782" t="inlineStr">
        <is>
          <t>ÖSTHAMMAR</t>
        </is>
      </c>
      <c r="F782" t="inlineStr">
        <is>
          <t>Bergvik skog öst AB</t>
        </is>
      </c>
      <c r="G782" t="n">
        <v>7</v>
      </c>
      <c r="H782" t="n">
        <v>1</v>
      </c>
      <c r="I782" t="n">
        <v>1</v>
      </c>
      <c r="J782" t="n">
        <v>0</v>
      </c>
      <c r="K782" t="n">
        <v>0</v>
      </c>
      <c r="L782" t="n">
        <v>0</v>
      </c>
      <c r="M782" t="n">
        <v>0</v>
      </c>
      <c r="N782" t="n">
        <v>0</v>
      </c>
      <c r="O782" t="n">
        <v>0</v>
      </c>
      <c r="P782" t="n">
        <v>0</v>
      </c>
      <c r="Q782" t="n">
        <v>1</v>
      </c>
      <c r="R782" s="2" t="inlineStr">
        <is>
          <t>Grönkulla</t>
        </is>
      </c>
      <c r="S782">
        <f>HYPERLINK("https://klasma.github.io/Logging_030382/artfynd/A 17141-2025 artfynd.xlsx", "A 17141-2025")</f>
        <v/>
      </c>
      <c r="T782">
        <f>HYPERLINK("https://klasma.github.io/Logging_030382/kartor/A 17141-2025 karta.png", "A 17141-2025")</f>
        <v/>
      </c>
      <c r="V782">
        <f>HYPERLINK("https://klasma.github.io/Logging_030382/klagomål/A 17141-2025 FSC-klagomål.docx", "A 17141-2025")</f>
        <v/>
      </c>
      <c r="W782">
        <f>HYPERLINK("https://klasma.github.io/Logging_030382/klagomålsmail/A 17141-2025 FSC-klagomål mail.docx", "A 17141-2025")</f>
        <v/>
      </c>
      <c r="X782">
        <f>HYPERLINK("https://klasma.github.io/Logging_030382/tillsyn/A 17141-2025 tillsynsbegäran.docx", "A 17141-2025")</f>
        <v/>
      </c>
      <c r="Y782">
        <f>HYPERLINK("https://klasma.github.io/Logging_030382/tillsynsmail/A 17141-2025 tillsynsbegäran mail.docx", "A 17141-2025")</f>
        <v/>
      </c>
    </row>
    <row r="783" ht="15" customHeight="1">
      <c r="A783" t="inlineStr">
        <is>
          <t>A 17484-2025</t>
        </is>
      </c>
      <c r="B783" s="1" t="n">
        <v>45757</v>
      </c>
      <c r="C783" s="1" t="n">
        <v>45792</v>
      </c>
      <c r="D783" t="inlineStr">
        <is>
          <t>UPPSALA LÄN</t>
        </is>
      </c>
      <c r="E783" t="inlineStr">
        <is>
          <t>UPPSALA</t>
        </is>
      </c>
      <c r="G783" t="n">
        <v>13.1</v>
      </c>
      <c r="H783" t="n">
        <v>1</v>
      </c>
      <c r="I783" t="n">
        <v>0</v>
      </c>
      <c r="J783" t="n">
        <v>0</v>
      </c>
      <c r="K783" t="n">
        <v>0</v>
      </c>
      <c r="L783" t="n">
        <v>0</v>
      </c>
      <c r="M783" t="n">
        <v>0</v>
      </c>
      <c r="N783" t="n">
        <v>0</v>
      </c>
      <c r="O783" t="n">
        <v>0</v>
      </c>
      <c r="P783" t="n">
        <v>0</v>
      </c>
      <c r="Q783" t="n">
        <v>1</v>
      </c>
      <c r="R783" s="2" t="inlineStr">
        <is>
          <t>Fläcknycklar</t>
        </is>
      </c>
      <c r="S783">
        <f>HYPERLINK("https://klasma.github.io/Logging_030380/artfynd/A 17484-2025 artfynd.xlsx", "A 17484-2025")</f>
        <v/>
      </c>
      <c r="T783">
        <f>HYPERLINK("https://klasma.github.io/Logging_030380/kartor/A 17484-2025 karta.png", "A 17484-2025")</f>
        <v/>
      </c>
      <c r="V783">
        <f>HYPERLINK("https://klasma.github.io/Logging_030380/klagomål/A 17484-2025 FSC-klagomål.docx", "A 17484-2025")</f>
        <v/>
      </c>
      <c r="W783">
        <f>HYPERLINK("https://klasma.github.io/Logging_030380/klagomålsmail/A 17484-2025 FSC-klagomål mail.docx", "A 17484-2025")</f>
        <v/>
      </c>
      <c r="X783">
        <f>HYPERLINK("https://klasma.github.io/Logging_030380/tillsyn/A 17484-2025 tillsynsbegäran.docx", "A 17484-2025")</f>
        <v/>
      </c>
      <c r="Y783">
        <f>HYPERLINK("https://klasma.github.io/Logging_030380/tillsynsmail/A 17484-2025 tillsynsbegäran mail.docx", "A 17484-2025")</f>
        <v/>
      </c>
    </row>
    <row r="784" ht="15" customHeight="1">
      <c r="A784" t="inlineStr">
        <is>
          <t>A 18405-2025</t>
        </is>
      </c>
      <c r="B784" s="1" t="n">
        <v>45762</v>
      </c>
      <c r="C784" s="1" t="n">
        <v>45792</v>
      </c>
      <c r="D784" t="inlineStr">
        <is>
          <t>UPPSALA LÄN</t>
        </is>
      </c>
      <c r="E784" t="inlineStr">
        <is>
          <t>UPPSALA</t>
        </is>
      </c>
      <c r="G784" t="n">
        <v>1.3</v>
      </c>
      <c r="H784" t="n">
        <v>0</v>
      </c>
      <c r="I784" t="n">
        <v>0</v>
      </c>
      <c r="J784" t="n">
        <v>1</v>
      </c>
      <c r="K784" t="n">
        <v>0</v>
      </c>
      <c r="L784" t="n">
        <v>0</v>
      </c>
      <c r="M784" t="n">
        <v>0</v>
      </c>
      <c r="N784" t="n">
        <v>0</v>
      </c>
      <c r="O784" t="n">
        <v>1</v>
      </c>
      <c r="P784" t="n">
        <v>0</v>
      </c>
      <c r="Q784" t="n">
        <v>1</v>
      </c>
      <c r="R784" s="2" t="inlineStr">
        <is>
          <t>Tallticka</t>
        </is>
      </c>
      <c r="S784">
        <f>HYPERLINK("https://klasma.github.io/Logging_030380/artfynd/A 18405-2025 artfynd.xlsx", "A 18405-2025")</f>
        <v/>
      </c>
      <c r="T784">
        <f>HYPERLINK("https://klasma.github.io/Logging_030380/kartor/A 18405-2025 karta.png", "A 18405-2025")</f>
        <v/>
      </c>
      <c r="V784">
        <f>HYPERLINK("https://klasma.github.io/Logging_030380/klagomål/A 18405-2025 FSC-klagomål.docx", "A 18405-2025")</f>
        <v/>
      </c>
      <c r="W784">
        <f>HYPERLINK("https://klasma.github.io/Logging_030380/klagomålsmail/A 18405-2025 FSC-klagomål mail.docx", "A 18405-2025")</f>
        <v/>
      </c>
      <c r="X784">
        <f>HYPERLINK("https://klasma.github.io/Logging_030380/tillsyn/A 18405-2025 tillsynsbegäran.docx", "A 18405-2025")</f>
        <v/>
      </c>
      <c r="Y784">
        <f>HYPERLINK("https://klasma.github.io/Logging_030380/tillsynsmail/A 18405-2025 tillsynsbegäran mail.docx", "A 18405-2025")</f>
        <v/>
      </c>
    </row>
    <row r="785" ht="15" customHeight="1">
      <c r="A785" t="inlineStr">
        <is>
          <t>A 18373-2025</t>
        </is>
      </c>
      <c r="B785" s="1" t="n">
        <v>45762</v>
      </c>
      <c r="C785" s="1" t="n">
        <v>45792</v>
      </c>
      <c r="D785" t="inlineStr">
        <is>
          <t>UPPSALA LÄN</t>
        </is>
      </c>
      <c r="E785" t="inlineStr">
        <is>
          <t>UPPSALA</t>
        </is>
      </c>
      <c r="G785" t="n">
        <v>9.5</v>
      </c>
      <c r="H785" t="n">
        <v>0</v>
      </c>
      <c r="I785" t="n">
        <v>0</v>
      </c>
      <c r="J785" t="n">
        <v>1</v>
      </c>
      <c r="K785" t="n">
        <v>0</v>
      </c>
      <c r="L785" t="n">
        <v>0</v>
      </c>
      <c r="M785" t="n">
        <v>0</v>
      </c>
      <c r="N785" t="n">
        <v>0</v>
      </c>
      <c r="O785" t="n">
        <v>1</v>
      </c>
      <c r="P785" t="n">
        <v>0</v>
      </c>
      <c r="Q785" t="n">
        <v>1</v>
      </c>
      <c r="R785" s="2" t="inlineStr">
        <is>
          <t>Ullticka</t>
        </is>
      </c>
      <c r="S785">
        <f>HYPERLINK("https://klasma.github.io/Logging_030380/artfynd/A 18373-2025 artfynd.xlsx", "A 18373-2025")</f>
        <v/>
      </c>
      <c r="T785">
        <f>HYPERLINK("https://klasma.github.io/Logging_030380/kartor/A 18373-2025 karta.png", "A 18373-2025")</f>
        <v/>
      </c>
      <c r="V785">
        <f>HYPERLINK("https://klasma.github.io/Logging_030380/klagomål/A 18373-2025 FSC-klagomål.docx", "A 18373-2025")</f>
        <v/>
      </c>
      <c r="W785">
        <f>HYPERLINK("https://klasma.github.io/Logging_030380/klagomålsmail/A 18373-2025 FSC-klagomål mail.docx", "A 18373-2025")</f>
        <v/>
      </c>
      <c r="X785">
        <f>HYPERLINK("https://klasma.github.io/Logging_030380/tillsyn/A 18373-2025 tillsynsbegäran.docx", "A 18373-2025")</f>
        <v/>
      </c>
      <c r="Y785">
        <f>HYPERLINK("https://klasma.github.io/Logging_030380/tillsynsmail/A 18373-2025 tillsynsbegäran mail.docx", "A 18373-2025")</f>
        <v/>
      </c>
    </row>
    <row r="786" ht="15" customHeight="1">
      <c r="A786" t="inlineStr">
        <is>
          <t>A 18424-2025</t>
        </is>
      </c>
      <c r="B786" s="1" t="n">
        <v>45762</v>
      </c>
      <c r="C786" s="1" t="n">
        <v>45792</v>
      </c>
      <c r="D786" t="inlineStr">
        <is>
          <t>UPPSALA LÄN</t>
        </is>
      </c>
      <c r="E786" t="inlineStr">
        <is>
          <t>HEBY</t>
        </is>
      </c>
      <c r="G786" t="n">
        <v>7.9</v>
      </c>
      <c r="H786" t="n">
        <v>0</v>
      </c>
      <c r="I786" t="n">
        <v>0</v>
      </c>
      <c r="J786" t="n">
        <v>1</v>
      </c>
      <c r="K786" t="n">
        <v>0</v>
      </c>
      <c r="L786" t="n">
        <v>0</v>
      </c>
      <c r="M786" t="n">
        <v>0</v>
      </c>
      <c r="N786" t="n">
        <v>0</v>
      </c>
      <c r="O786" t="n">
        <v>1</v>
      </c>
      <c r="P786" t="n">
        <v>0</v>
      </c>
      <c r="Q786" t="n">
        <v>1</v>
      </c>
      <c r="R786" s="2" t="inlineStr">
        <is>
          <t>Granticka</t>
        </is>
      </c>
      <c r="S786">
        <f>HYPERLINK("https://klasma.github.io/Logging_030331/artfynd/A 18424-2025 artfynd.xlsx", "A 18424-2025")</f>
        <v/>
      </c>
      <c r="T786">
        <f>HYPERLINK("https://klasma.github.io/Logging_030331/kartor/A 18424-2025 karta.png", "A 18424-2025")</f>
        <v/>
      </c>
      <c r="V786">
        <f>HYPERLINK("https://klasma.github.io/Logging_030331/klagomål/A 18424-2025 FSC-klagomål.docx", "A 18424-2025")</f>
        <v/>
      </c>
      <c r="W786">
        <f>HYPERLINK("https://klasma.github.io/Logging_030331/klagomålsmail/A 18424-2025 FSC-klagomål mail.docx", "A 18424-2025")</f>
        <v/>
      </c>
      <c r="X786">
        <f>HYPERLINK("https://klasma.github.io/Logging_030331/tillsyn/A 18424-2025 tillsynsbegäran.docx", "A 18424-2025")</f>
        <v/>
      </c>
      <c r="Y786">
        <f>HYPERLINK("https://klasma.github.io/Logging_030331/tillsynsmail/A 18424-2025 tillsynsbegäran mail.docx", "A 18424-2025")</f>
        <v/>
      </c>
    </row>
    <row r="787" ht="15" customHeight="1">
      <c r="A787" t="inlineStr">
        <is>
          <t>A 18619-2025</t>
        </is>
      </c>
      <c r="B787" s="1" t="n">
        <v>45763</v>
      </c>
      <c r="C787" s="1" t="n">
        <v>45792</v>
      </c>
      <c r="D787" t="inlineStr">
        <is>
          <t>UPPSALA LÄN</t>
        </is>
      </c>
      <c r="E787" t="inlineStr">
        <is>
          <t>TIERP</t>
        </is>
      </c>
      <c r="G787" t="n">
        <v>4.6</v>
      </c>
      <c r="H787" t="n">
        <v>1</v>
      </c>
      <c r="I787" t="n">
        <v>1</v>
      </c>
      <c r="J787" t="n">
        <v>0</v>
      </c>
      <c r="K787" t="n">
        <v>0</v>
      </c>
      <c r="L787" t="n">
        <v>0</v>
      </c>
      <c r="M787" t="n">
        <v>0</v>
      </c>
      <c r="N787" t="n">
        <v>0</v>
      </c>
      <c r="O787" t="n">
        <v>0</v>
      </c>
      <c r="P787" t="n">
        <v>0</v>
      </c>
      <c r="Q787" t="n">
        <v>1</v>
      </c>
      <c r="R787" s="2" t="inlineStr">
        <is>
          <t>Nästrot</t>
        </is>
      </c>
      <c r="S787">
        <f>HYPERLINK("https://klasma.github.io/Logging_030360/artfynd/A 18619-2025 artfynd.xlsx", "A 18619-2025")</f>
        <v/>
      </c>
      <c r="T787">
        <f>HYPERLINK("https://klasma.github.io/Logging_030360/kartor/A 18619-2025 karta.png", "A 18619-2025")</f>
        <v/>
      </c>
      <c r="V787">
        <f>HYPERLINK("https://klasma.github.io/Logging_030360/klagomål/A 18619-2025 FSC-klagomål.docx", "A 18619-2025")</f>
        <v/>
      </c>
      <c r="W787">
        <f>HYPERLINK("https://klasma.github.io/Logging_030360/klagomålsmail/A 18619-2025 FSC-klagomål mail.docx", "A 18619-2025")</f>
        <v/>
      </c>
      <c r="X787">
        <f>HYPERLINK("https://klasma.github.io/Logging_030360/tillsyn/A 18619-2025 tillsynsbegäran.docx", "A 18619-2025")</f>
        <v/>
      </c>
      <c r="Y787">
        <f>HYPERLINK("https://klasma.github.io/Logging_030360/tillsynsmail/A 18619-2025 tillsynsbegäran mail.docx", "A 18619-2025")</f>
        <v/>
      </c>
    </row>
    <row r="788" ht="15" customHeight="1">
      <c r="A788" t="inlineStr">
        <is>
          <t>A 18624-2025</t>
        </is>
      </c>
      <c r="B788" s="1" t="n">
        <v>45763</v>
      </c>
      <c r="C788" s="1" t="n">
        <v>45792</v>
      </c>
      <c r="D788" t="inlineStr">
        <is>
          <t>UPPSALA LÄN</t>
        </is>
      </c>
      <c r="E788" t="inlineStr">
        <is>
          <t>UPPSALA</t>
        </is>
      </c>
      <c r="G788" t="n">
        <v>5</v>
      </c>
      <c r="H788" t="n">
        <v>0</v>
      </c>
      <c r="I788" t="n">
        <v>1</v>
      </c>
      <c r="J788" t="n">
        <v>0</v>
      </c>
      <c r="K788" t="n">
        <v>0</v>
      </c>
      <c r="L788" t="n">
        <v>0</v>
      </c>
      <c r="M788" t="n">
        <v>0</v>
      </c>
      <c r="N788" t="n">
        <v>0</v>
      </c>
      <c r="O788" t="n">
        <v>0</v>
      </c>
      <c r="P788" t="n">
        <v>0</v>
      </c>
      <c r="Q788" t="n">
        <v>1</v>
      </c>
      <c r="R788" s="2" t="inlineStr">
        <is>
          <t>Blåmossa</t>
        </is>
      </c>
      <c r="S788">
        <f>HYPERLINK("https://klasma.github.io/Logging_030380/artfynd/A 18624-2025 artfynd.xlsx", "A 18624-2025")</f>
        <v/>
      </c>
      <c r="T788">
        <f>HYPERLINK("https://klasma.github.io/Logging_030380/kartor/A 18624-2025 karta.png", "A 18624-2025")</f>
        <v/>
      </c>
      <c r="V788">
        <f>HYPERLINK("https://klasma.github.io/Logging_030380/klagomål/A 18624-2025 FSC-klagomål.docx", "A 18624-2025")</f>
        <v/>
      </c>
      <c r="W788">
        <f>HYPERLINK("https://klasma.github.io/Logging_030380/klagomålsmail/A 18624-2025 FSC-klagomål mail.docx", "A 18624-2025")</f>
        <v/>
      </c>
      <c r="X788">
        <f>HYPERLINK("https://klasma.github.io/Logging_030380/tillsyn/A 18624-2025 tillsynsbegäran.docx", "A 18624-2025")</f>
        <v/>
      </c>
      <c r="Y788">
        <f>HYPERLINK("https://klasma.github.io/Logging_030380/tillsynsmail/A 18624-2025 tillsynsbegäran mail.docx", "A 18624-2025")</f>
        <v/>
      </c>
    </row>
    <row r="789" ht="15" customHeight="1">
      <c r="A789" t="inlineStr">
        <is>
          <t>A 19661-2025</t>
        </is>
      </c>
      <c r="B789" s="1" t="n">
        <v>45770</v>
      </c>
      <c r="C789" s="1" t="n">
        <v>45792</v>
      </c>
      <c r="D789" t="inlineStr">
        <is>
          <t>UPPSALA LÄN</t>
        </is>
      </c>
      <c r="E789" t="inlineStr">
        <is>
          <t>TIERP</t>
        </is>
      </c>
      <c r="F789" t="inlineStr">
        <is>
          <t>Bergvik skog öst AB</t>
        </is>
      </c>
      <c r="G789" t="n">
        <v>4.2</v>
      </c>
      <c r="H789" t="n">
        <v>0</v>
      </c>
      <c r="I789" t="n">
        <v>1</v>
      </c>
      <c r="J789" t="n">
        <v>0</v>
      </c>
      <c r="K789" t="n">
        <v>0</v>
      </c>
      <c r="L789" t="n">
        <v>0</v>
      </c>
      <c r="M789" t="n">
        <v>0</v>
      </c>
      <c r="N789" t="n">
        <v>0</v>
      </c>
      <c r="O789" t="n">
        <v>0</v>
      </c>
      <c r="P789" t="n">
        <v>0</v>
      </c>
      <c r="Q789" t="n">
        <v>1</v>
      </c>
      <c r="R789" s="2" t="inlineStr">
        <is>
          <t>Tibast</t>
        </is>
      </c>
      <c r="S789">
        <f>HYPERLINK("https://klasma.github.io/Logging_030360/artfynd/A 19661-2025 artfynd.xlsx", "A 19661-2025")</f>
        <v/>
      </c>
      <c r="T789">
        <f>HYPERLINK("https://klasma.github.io/Logging_030360/kartor/A 19661-2025 karta.png", "A 19661-2025")</f>
        <v/>
      </c>
      <c r="V789">
        <f>HYPERLINK("https://klasma.github.io/Logging_030360/klagomål/A 19661-2025 FSC-klagomål.docx", "A 19661-2025")</f>
        <v/>
      </c>
      <c r="W789">
        <f>HYPERLINK("https://klasma.github.io/Logging_030360/klagomålsmail/A 19661-2025 FSC-klagomål mail.docx", "A 19661-2025")</f>
        <v/>
      </c>
      <c r="X789">
        <f>HYPERLINK("https://klasma.github.io/Logging_030360/tillsyn/A 19661-2025 tillsynsbegäran.docx", "A 19661-2025")</f>
        <v/>
      </c>
      <c r="Y789">
        <f>HYPERLINK("https://klasma.github.io/Logging_030360/tillsynsmail/A 19661-2025 tillsynsbegäran mail.docx", "A 19661-2025")</f>
        <v/>
      </c>
    </row>
    <row r="790" ht="15" customHeight="1">
      <c r="A790" t="inlineStr">
        <is>
          <t>A 21203-2025</t>
        </is>
      </c>
      <c r="B790" s="1" t="n">
        <v>45777</v>
      </c>
      <c r="C790" s="1" t="n">
        <v>45792</v>
      </c>
      <c r="D790" t="inlineStr">
        <is>
          <t>UPPSALA LÄN</t>
        </is>
      </c>
      <c r="E790" t="inlineStr">
        <is>
          <t>HEBY</t>
        </is>
      </c>
      <c r="F790" t="inlineStr">
        <is>
          <t>Bergvik skog väst AB</t>
        </is>
      </c>
      <c r="G790" t="n">
        <v>27.7</v>
      </c>
      <c r="H790" t="n">
        <v>0</v>
      </c>
      <c r="I790" t="n">
        <v>1</v>
      </c>
      <c r="J790" t="n">
        <v>0</v>
      </c>
      <c r="K790" t="n">
        <v>0</v>
      </c>
      <c r="L790" t="n">
        <v>0</v>
      </c>
      <c r="M790" t="n">
        <v>0</v>
      </c>
      <c r="N790" t="n">
        <v>0</v>
      </c>
      <c r="O790" t="n">
        <v>0</v>
      </c>
      <c r="P790" t="n">
        <v>0</v>
      </c>
      <c r="Q790" t="n">
        <v>1</v>
      </c>
      <c r="R790" s="2" t="inlineStr">
        <is>
          <t>Kattfotslav</t>
        </is>
      </c>
      <c r="S790">
        <f>HYPERLINK("https://klasma.github.io/Logging_030331/artfynd/A 21203-2025 artfynd.xlsx", "A 21203-2025")</f>
        <v/>
      </c>
      <c r="T790">
        <f>HYPERLINK("https://klasma.github.io/Logging_030331/kartor/A 21203-2025 karta.png", "A 21203-2025")</f>
        <v/>
      </c>
      <c r="V790">
        <f>HYPERLINK("https://klasma.github.io/Logging_030331/klagomål/A 21203-2025 FSC-klagomål.docx", "A 21203-2025")</f>
        <v/>
      </c>
      <c r="W790">
        <f>HYPERLINK("https://klasma.github.io/Logging_030331/klagomålsmail/A 21203-2025 FSC-klagomål mail.docx", "A 21203-2025")</f>
        <v/>
      </c>
      <c r="X790">
        <f>HYPERLINK("https://klasma.github.io/Logging_030331/tillsyn/A 21203-2025 tillsynsbegäran.docx", "A 21203-2025")</f>
        <v/>
      </c>
      <c r="Y790">
        <f>HYPERLINK("https://klasma.github.io/Logging_030331/tillsynsmail/A 21203-2025 tillsynsbegäran mail.docx", "A 21203-2025")</f>
        <v/>
      </c>
    </row>
    <row r="791" ht="15" customHeight="1">
      <c r="A791" t="inlineStr">
        <is>
          <t>A 21801-2025</t>
        </is>
      </c>
      <c r="B791" s="1" t="n">
        <v>45783</v>
      </c>
      <c r="C791" s="1" t="n">
        <v>45792</v>
      </c>
      <c r="D791" t="inlineStr">
        <is>
          <t>UPPSALA LÄN</t>
        </is>
      </c>
      <c r="E791" t="inlineStr">
        <is>
          <t>UPPSALA</t>
        </is>
      </c>
      <c r="G791" t="n">
        <v>7.9</v>
      </c>
      <c r="H791" t="n">
        <v>1</v>
      </c>
      <c r="I791" t="n">
        <v>0</v>
      </c>
      <c r="J791" t="n">
        <v>0</v>
      </c>
      <c r="K791" t="n">
        <v>0</v>
      </c>
      <c r="L791" t="n">
        <v>0</v>
      </c>
      <c r="M791" t="n">
        <v>0</v>
      </c>
      <c r="N791" t="n">
        <v>0</v>
      </c>
      <c r="O791" t="n">
        <v>0</v>
      </c>
      <c r="P791" t="n">
        <v>0</v>
      </c>
      <c r="Q791" t="n">
        <v>1</v>
      </c>
      <c r="R791" s="2" t="inlineStr">
        <is>
          <t>Mattlummer</t>
        </is>
      </c>
      <c r="S791">
        <f>HYPERLINK("https://klasma.github.io/Logging_030380/artfynd/A 21801-2025 artfynd.xlsx", "A 21801-2025")</f>
        <v/>
      </c>
      <c r="T791">
        <f>HYPERLINK("https://klasma.github.io/Logging_030380/kartor/A 21801-2025 karta.png", "A 21801-2025")</f>
        <v/>
      </c>
      <c r="V791">
        <f>HYPERLINK("https://klasma.github.io/Logging_030380/klagomål/A 21801-2025 FSC-klagomål.docx", "A 21801-2025")</f>
        <v/>
      </c>
      <c r="W791">
        <f>HYPERLINK("https://klasma.github.io/Logging_030380/klagomålsmail/A 21801-2025 FSC-klagomål mail.docx", "A 21801-2025")</f>
        <v/>
      </c>
      <c r="X791">
        <f>HYPERLINK("https://klasma.github.io/Logging_030380/tillsyn/A 21801-2025 tillsynsbegäran.docx", "A 21801-2025")</f>
        <v/>
      </c>
      <c r="Y791">
        <f>HYPERLINK("https://klasma.github.io/Logging_030380/tillsynsmail/A 21801-2025 tillsynsbegäran mail.docx", "A 21801-2025")</f>
        <v/>
      </c>
    </row>
    <row r="792" ht="15" customHeight="1">
      <c r="A792" t="inlineStr">
        <is>
          <t>A 22601-2025</t>
        </is>
      </c>
      <c r="B792" s="1" t="n">
        <v>45789</v>
      </c>
      <c r="C792" s="1" t="n">
        <v>45792</v>
      </c>
      <c r="D792" t="inlineStr">
        <is>
          <t>UPPSALA LÄN</t>
        </is>
      </c>
      <c r="E792" t="inlineStr">
        <is>
          <t>TIERP</t>
        </is>
      </c>
      <c r="F792" t="inlineStr">
        <is>
          <t>Bergvik skog väst AB</t>
        </is>
      </c>
      <c r="G792" t="n">
        <v>5.2</v>
      </c>
      <c r="H792" t="n">
        <v>0</v>
      </c>
      <c r="I792" t="n">
        <v>0</v>
      </c>
      <c r="J792" t="n">
        <v>0</v>
      </c>
      <c r="K792" t="n">
        <v>0</v>
      </c>
      <c r="L792" t="n">
        <v>1</v>
      </c>
      <c r="M792" t="n">
        <v>0</v>
      </c>
      <c r="N792" t="n">
        <v>0</v>
      </c>
      <c r="O792" t="n">
        <v>1</v>
      </c>
      <c r="P792" t="n">
        <v>1</v>
      </c>
      <c r="Q792" t="n">
        <v>1</v>
      </c>
      <c r="R792" s="2" t="inlineStr">
        <is>
          <t>Ask</t>
        </is>
      </c>
      <c r="S792">
        <f>HYPERLINK("https://klasma.github.io/Logging_030360/artfynd/A 22601-2025 artfynd.xlsx", "A 22601-2025")</f>
        <v/>
      </c>
      <c r="T792">
        <f>HYPERLINK("https://klasma.github.io/Logging_030360/kartor/A 22601-2025 karta.png", "A 22601-2025")</f>
        <v/>
      </c>
      <c r="V792">
        <f>HYPERLINK("https://klasma.github.io/Logging_030360/klagomål/A 22601-2025 FSC-klagomål.docx", "A 22601-2025")</f>
        <v/>
      </c>
      <c r="W792">
        <f>HYPERLINK("https://klasma.github.io/Logging_030360/klagomålsmail/A 22601-2025 FSC-klagomål mail.docx", "A 22601-2025")</f>
        <v/>
      </c>
      <c r="X792">
        <f>HYPERLINK("https://klasma.github.io/Logging_030360/tillsyn/A 22601-2025 tillsynsbegäran.docx", "A 22601-2025")</f>
        <v/>
      </c>
      <c r="Y792">
        <f>HYPERLINK("https://klasma.github.io/Logging_030360/tillsynsmail/A 22601-2025 tillsynsbegäran mail.docx", "A 22601-2025")</f>
        <v/>
      </c>
    </row>
    <row r="793" ht="15" customHeight="1">
      <c r="A793" t="inlineStr">
        <is>
          <t>A 22777-2025</t>
        </is>
      </c>
      <c r="B793" s="1" t="n">
        <v>45789</v>
      </c>
      <c r="C793" s="1" t="n">
        <v>45792</v>
      </c>
      <c r="D793" t="inlineStr">
        <is>
          <t>UPPSALA LÄN</t>
        </is>
      </c>
      <c r="E793" t="inlineStr">
        <is>
          <t>TIERP</t>
        </is>
      </c>
      <c r="G793" t="n">
        <v>2</v>
      </c>
      <c r="H793" t="n">
        <v>0</v>
      </c>
      <c r="I793" t="n">
        <v>0</v>
      </c>
      <c r="J793" t="n">
        <v>1</v>
      </c>
      <c r="K793" t="n">
        <v>0</v>
      </c>
      <c r="L793" t="n">
        <v>0</v>
      </c>
      <c r="M793" t="n">
        <v>0</v>
      </c>
      <c r="N793" t="n">
        <v>0</v>
      </c>
      <c r="O793" t="n">
        <v>1</v>
      </c>
      <c r="P793" t="n">
        <v>0</v>
      </c>
      <c r="Q793" t="n">
        <v>1</v>
      </c>
      <c r="R793" s="2" t="inlineStr">
        <is>
          <t>Persiljespindling</t>
        </is>
      </c>
      <c r="S793">
        <f>HYPERLINK("https://klasma.github.io/Logging_030360/artfynd/A 22777-2025 artfynd.xlsx", "A 22777-2025")</f>
        <v/>
      </c>
      <c r="T793">
        <f>HYPERLINK("https://klasma.github.io/Logging_030360/kartor/A 22777-2025 karta.png", "A 22777-2025")</f>
        <v/>
      </c>
      <c r="V793">
        <f>HYPERLINK("https://klasma.github.io/Logging_030360/klagomål/A 22777-2025 FSC-klagomål.docx", "A 22777-2025")</f>
        <v/>
      </c>
      <c r="W793">
        <f>HYPERLINK("https://klasma.github.io/Logging_030360/klagomålsmail/A 22777-2025 FSC-klagomål mail.docx", "A 22777-2025")</f>
        <v/>
      </c>
      <c r="X793">
        <f>HYPERLINK("https://klasma.github.io/Logging_030360/tillsyn/A 22777-2025 tillsynsbegäran.docx", "A 22777-2025")</f>
        <v/>
      </c>
      <c r="Y793">
        <f>HYPERLINK("https://klasma.github.io/Logging_030360/tillsynsmail/A 22777-2025 tillsynsbegäran mail.docx", "A 22777-2025")</f>
        <v/>
      </c>
    </row>
    <row r="794" ht="15" customHeight="1">
      <c r="A794" t="inlineStr">
        <is>
          <t>A 17828-2019</t>
        </is>
      </c>
      <c r="B794" s="1" t="n">
        <v>43556</v>
      </c>
      <c r="C794" s="1" t="n">
        <v>45792</v>
      </c>
      <c r="D794" t="inlineStr">
        <is>
          <t>UPPSALA LÄN</t>
        </is>
      </c>
      <c r="E794" t="inlineStr">
        <is>
          <t>UPPSALA</t>
        </is>
      </c>
      <c r="G794" t="n">
        <v>2.8</v>
      </c>
      <c r="H794" t="n">
        <v>0</v>
      </c>
      <c r="I794" t="n">
        <v>0</v>
      </c>
      <c r="J794" t="n">
        <v>0</v>
      </c>
      <c r="K794" t="n">
        <v>0</v>
      </c>
      <c r="L794" t="n">
        <v>0</v>
      </c>
      <c r="M794" t="n">
        <v>0</v>
      </c>
      <c r="N794" t="n">
        <v>0</v>
      </c>
      <c r="O794" t="n">
        <v>0</v>
      </c>
      <c r="P794" t="n">
        <v>0</v>
      </c>
      <c r="Q794" t="n">
        <v>0</v>
      </c>
      <c r="R794" s="2" t="inlineStr"/>
    </row>
    <row r="795" ht="15" customHeight="1">
      <c r="A795" t="inlineStr">
        <is>
          <t>A 17706-2019</t>
        </is>
      </c>
      <c r="B795" s="1" t="n">
        <v>43556</v>
      </c>
      <c r="C795" s="1" t="n">
        <v>45792</v>
      </c>
      <c r="D795" t="inlineStr">
        <is>
          <t>UPPSALA LÄN</t>
        </is>
      </c>
      <c r="E795" t="inlineStr">
        <is>
          <t>HEBY</t>
        </is>
      </c>
      <c r="G795" t="n">
        <v>2.4</v>
      </c>
      <c r="H795" t="n">
        <v>0</v>
      </c>
      <c r="I795" t="n">
        <v>0</v>
      </c>
      <c r="J795" t="n">
        <v>0</v>
      </c>
      <c r="K795" t="n">
        <v>0</v>
      </c>
      <c r="L795" t="n">
        <v>0</v>
      </c>
      <c r="M795" t="n">
        <v>0</v>
      </c>
      <c r="N795" t="n">
        <v>0</v>
      </c>
      <c r="O795" t="n">
        <v>0</v>
      </c>
      <c r="P795" t="n">
        <v>0</v>
      </c>
      <c r="Q795" t="n">
        <v>0</v>
      </c>
      <c r="R795" s="2" t="inlineStr"/>
    </row>
    <row r="796" ht="15" customHeight="1">
      <c r="A796" t="inlineStr">
        <is>
          <t>A 18148-2019</t>
        </is>
      </c>
      <c r="B796" s="1" t="n">
        <v>43558</v>
      </c>
      <c r="C796" s="1" t="n">
        <v>45792</v>
      </c>
      <c r="D796" t="inlineStr">
        <is>
          <t>UPPSALA LÄN</t>
        </is>
      </c>
      <c r="E796" t="inlineStr">
        <is>
          <t>ENKÖPING</t>
        </is>
      </c>
      <c r="G796" t="n">
        <v>4.5</v>
      </c>
      <c r="H796" t="n">
        <v>0</v>
      </c>
      <c r="I796" t="n">
        <v>0</v>
      </c>
      <c r="J796" t="n">
        <v>0</v>
      </c>
      <c r="K796" t="n">
        <v>0</v>
      </c>
      <c r="L796" t="n">
        <v>0</v>
      </c>
      <c r="M796" t="n">
        <v>0</v>
      </c>
      <c r="N796" t="n">
        <v>0</v>
      </c>
      <c r="O796" t="n">
        <v>0</v>
      </c>
      <c r="P796" t="n">
        <v>0</v>
      </c>
      <c r="Q796" t="n">
        <v>0</v>
      </c>
      <c r="R796" s="2" t="inlineStr"/>
    </row>
    <row r="797" ht="15" customHeight="1">
      <c r="A797" t="inlineStr">
        <is>
          <t>A 18264-2019</t>
        </is>
      </c>
      <c r="B797" s="1" t="n">
        <v>43558</v>
      </c>
      <c r="C797" s="1" t="n">
        <v>45792</v>
      </c>
      <c r="D797" t="inlineStr">
        <is>
          <t>UPPSALA LÄN</t>
        </is>
      </c>
      <c r="E797" t="inlineStr">
        <is>
          <t>HÅBO</t>
        </is>
      </c>
      <c r="G797" t="n">
        <v>5.6</v>
      </c>
      <c r="H797" t="n">
        <v>0</v>
      </c>
      <c r="I797" t="n">
        <v>0</v>
      </c>
      <c r="J797" t="n">
        <v>0</v>
      </c>
      <c r="K797" t="n">
        <v>0</v>
      </c>
      <c r="L797" t="n">
        <v>0</v>
      </c>
      <c r="M797" t="n">
        <v>0</v>
      </c>
      <c r="N797" t="n">
        <v>0</v>
      </c>
      <c r="O797" t="n">
        <v>0</v>
      </c>
      <c r="P797" t="n">
        <v>0</v>
      </c>
      <c r="Q797" t="n">
        <v>0</v>
      </c>
      <c r="R797" s="2" t="inlineStr"/>
    </row>
    <row r="798" ht="15" customHeight="1">
      <c r="A798" t="inlineStr">
        <is>
          <t>A 18323-2019</t>
        </is>
      </c>
      <c r="B798" s="1" t="n">
        <v>43559</v>
      </c>
      <c r="C798" s="1" t="n">
        <v>45792</v>
      </c>
      <c r="D798" t="inlineStr">
        <is>
          <t>UPPSALA LÄN</t>
        </is>
      </c>
      <c r="E798" t="inlineStr">
        <is>
          <t>HEBY</t>
        </is>
      </c>
      <c r="G798" t="n">
        <v>3.3</v>
      </c>
      <c r="H798" t="n">
        <v>0</v>
      </c>
      <c r="I798" t="n">
        <v>0</v>
      </c>
      <c r="J798" t="n">
        <v>0</v>
      </c>
      <c r="K798" t="n">
        <v>0</v>
      </c>
      <c r="L798" t="n">
        <v>0</v>
      </c>
      <c r="M798" t="n">
        <v>0</v>
      </c>
      <c r="N798" t="n">
        <v>0</v>
      </c>
      <c r="O798" t="n">
        <v>0</v>
      </c>
      <c r="P798" t="n">
        <v>0</v>
      </c>
      <c r="Q798" t="n">
        <v>0</v>
      </c>
      <c r="R798" s="2" t="inlineStr"/>
    </row>
    <row r="799" ht="15" customHeight="1">
      <c r="A799" t="inlineStr">
        <is>
          <t>A 18446-2019</t>
        </is>
      </c>
      <c r="B799" s="1" t="n">
        <v>43559</v>
      </c>
      <c r="C799" s="1" t="n">
        <v>45792</v>
      </c>
      <c r="D799" t="inlineStr">
        <is>
          <t>UPPSALA LÄN</t>
        </is>
      </c>
      <c r="E799" t="inlineStr">
        <is>
          <t>UPPSALA</t>
        </is>
      </c>
      <c r="G799" t="n">
        <v>9.1</v>
      </c>
      <c r="H799" t="n">
        <v>0</v>
      </c>
      <c r="I799" t="n">
        <v>0</v>
      </c>
      <c r="J799" t="n">
        <v>0</v>
      </c>
      <c r="K799" t="n">
        <v>0</v>
      </c>
      <c r="L799" t="n">
        <v>0</v>
      </c>
      <c r="M799" t="n">
        <v>0</v>
      </c>
      <c r="N799" t="n">
        <v>0</v>
      </c>
      <c r="O799" t="n">
        <v>0</v>
      </c>
      <c r="P799" t="n">
        <v>0</v>
      </c>
      <c r="Q799" t="n">
        <v>0</v>
      </c>
      <c r="R799" s="2" t="inlineStr"/>
    </row>
    <row r="800" ht="15" customHeight="1">
      <c r="A800" t="inlineStr">
        <is>
          <t>A 18466-2019</t>
        </is>
      </c>
      <c r="B800" s="1" t="n">
        <v>43559</v>
      </c>
      <c r="C800" s="1" t="n">
        <v>45792</v>
      </c>
      <c r="D800" t="inlineStr">
        <is>
          <t>UPPSALA LÄN</t>
        </is>
      </c>
      <c r="E800" t="inlineStr">
        <is>
          <t>TIERP</t>
        </is>
      </c>
      <c r="G800" t="n">
        <v>2.5</v>
      </c>
      <c r="H800" t="n">
        <v>0</v>
      </c>
      <c r="I800" t="n">
        <v>0</v>
      </c>
      <c r="J800" t="n">
        <v>0</v>
      </c>
      <c r="K800" t="n">
        <v>0</v>
      </c>
      <c r="L800" t="n">
        <v>0</v>
      </c>
      <c r="M800" t="n">
        <v>0</v>
      </c>
      <c r="N800" t="n">
        <v>0</v>
      </c>
      <c r="O800" t="n">
        <v>0</v>
      </c>
      <c r="P800" t="n">
        <v>0</v>
      </c>
      <c r="Q800" t="n">
        <v>0</v>
      </c>
      <c r="R800" s="2" t="inlineStr"/>
    </row>
    <row r="801" ht="15" customHeight="1">
      <c r="A801" t="inlineStr">
        <is>
          <t>A 18506-2019</t>
        </is>
      </c>
      <c r="B801" s="1" t="n">
        <v>43559</v>
      </c>
      <c r="C801" s="1" t="n">
        <v>45792</v>
      </c>
      <c r="D801" t="inlineStr">
        <is>
          <t>UPPSALA LÄN</t>
        </is>
      </c>
      <c r="E801" t="inlineStr">
        <is>
          <t>KNIVSTA</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18503-2019</t>
        </is>
      </c>
      <c r="B802" s="1" t="n">
        <v>43559</v>
      </c>
      <c r="C802" s="1" t="n">
        <v>45792</v>
      </c>
      <c r="D802" t="inlineStr">
        <is>
          <t>UPPSALA LÄN</t>
        </is>
      </c>
      <c r="E802" t="inlineStr">
        <is>
          <t>KNIVSTA</t>
        </is>
      </c>
      <c r="F802" t="inlineStr">
        <is>
          <t>Holmen skog AB</t>
        </is>
      </c>
      <c r="G802" t="n">
        <v>2.7</v>
      </c>
      <c r="H802" t="n">
        <v>0</v>
      </c>
      <c r="I802" t="n">
        <v>0</v>
      </c>
      <c r="J802" t="n">
        <v>0</v>
      </c>
      <c r="K802" t="n">
        <v>0</v>
      </c>
      <c r="L802" t="n">
        <v>0</v>
      </c>
      <c r="M802" t="n">
        <v>0</v>
      </c>
      <c r="N802" t="n">
        <v>0</v>
      </c>
      <c r="O802" t="n">
        <v>0</v>
      </c>
      <c r="P802" t="n">
        <v>0</v>
      </c>
      <c r="Q802" t="n">
        <v>0</v>
      </c>
      <c r="R802" s="2" t="inlineStr"/>
    </row>
    <row r="803" ht="15" customHeight="1">
      <c r="A803" t="inlineStr">
        <is>
          <t>A 18554-2019</t>
        </is>
      </c>
      <c r="B803" s="1" t="n">
        <v>43559</v>
      </c>
      <c r="C803" s="1" t="n">
        <v>45792</v>
      </c>
      <c r="D803" t="inlineStr">
        <is>
          <t>UPPSALA LÄN</t>
        </is>
      </c>
      <c r="E803" t="inlineStr">
        <is>
          <t>UPPSALA</t>
        </is>
      </c>
      <c r="G803" t="n">
        <v>5.6</v>
      </c>
      <c r="H803" t="n">
        <v>0</v>
      </c>
      <c r="I803" t="n">
        <v>0</v>
      </c>
      <c r="J803" t="n">
        <v>0</v>
      </c>
      <c r="K803" t="n">
        <v>0</v>
      </c>
      <c r="L803" t="n">
        <v>0</v>
      </c>
      <c r="M803" t="n">
        <v>0</v>
      </c>
      <c r="N803" t="n">
        <v>0</v>
      </c>
      <c r="O803" t="n">
        <v>0</v>
      </c>
      <c r="P803" t="n">
        <v>0</v>
      </c>
      <c r="Q803" t="n">
        <v>0</v>
      </c>
      <c r="R803" s="2" t="inlineStr"/>
    </row>
    <row r="804" ht="15" customHeight="1">
      <c r="A804" t="inlineStr">
        <is>
          <t>A 18699-2019</t>
        </is>
      </c>
      <c r="B804" s="1" t="n">
        <v>43560</v>
      </c>
      <c r="C804" s="1" t="n">
        <v>45792</v>
      </c>
      <c r="D804" t="inlineStr">
        <is>
          <t>UPPSALA LÄN</t>
        </is>
      </c>
      <c r="E804" t="inlineStr">
        <is>
          <t>HEBY</t>
        </is>
      </c>
      <c r="G804" t="n">
        <v>1.9</v>
      </c>
      <c r="H804" t="n">
        <v>0</v>
      </c>
      <c r="I804" t="n">
        <v>0</v>
      </c>
      <c r="J804" t="n">
        <v>0</v>
      </c>
      <c r="K804" t="n">
        <v>0</v>
      </c>
      <c r="L804" t="n">
        <v>0</v>
      </c>
      <c r="M804" t="n">
        <v>0</v>
      </c>
      <c r="N804" t="n">
        <v>0</v>
      </c>
      <c r="O804" t="n">
        <v>0</v>
      </c>
      <c r="P804" t="n">
        <v>0</v>
      </c>
      <c r="Q804" t="n">
        <v>0</v>
      </c>
      <c r="R804" s="2" t="inlineStr"/>
    </row>
    <row r="805" ht="15" customHeight="1">
      <c r="A805" t="inlineStr">
        <is>
          <t>A 18716-2019</t>
        </is>
      </c>
      <c r="B805" s="1" t="n">
        <v>43560</v>
      </c>
      <c r="C805" s="1" t="n">
        <v>45792</v>
      </c>
      <c r="D805" t="inlineStr">
        <is>
          <t>UPPSALA LÄN</t>
        </is>
      </c>
      <c r="E805" t="inlineStr">
        <is>
          <t>HEBY</t>
        </is>
      </c>
      <c r="G805" t="n">
        <v>4.7</v>
      </c>
      <c r="H805" t="n">
        <v>0</v>
      </c>
      <c r="I805" t="n">
        <v>0</v>
      </c>
      <c r="J805" t="n">
        <v>0</v>
      </c>
      <c r="K805" t="n">
        <v>0</v>
      </c>
      <c r="L805" t="n">
        <v>0</v>
      </c>
      <c r="M805" t="n">
        <v>0</v>
      </c>
      <c r="N805" t="n">
        <v>0</v>
      </c>
      <c r="O805" t="n">
        <v>0</v>
      </c>
      <c r="P805" t="n">
        <v>0</v>
      </c>
      <c r="Q805" t="n">
        <v>0</v>
      </c>
      <c r="R805" s="2" t="inlineStr"/>
    </row>
    <row r="806" ht="15" customHeight="1">
      <c r="A806" t="inlineStr">
        <is>
          <t>A 18810-2019</t>
        </is>
      </c>
      <c r="B806" s="1" t="n">
        <v>43560</v>
      </c>
      <c r="C806" s="1" t="n">
        <v>45792</v>
      </c>
      <c r="D806" t="inlineStr">
        <is>
          <t>UPPSALA LÄN</t>
        </is>
      </c>
      <c r="E806" t="inlineStr">
        <is>
          <t>UPPSALA</t>
        </is>
      </c>
      <c r="G806" t="n">
        <v>4</v>
      </c>
      <c r="H806" t="n">
        <v>0</v>
      </c>
      <c r="I806" t="n">
        <v>0</v>
      </c>
      <c r="J806" t="n">
        <v>0</v>
      </c>
      <c r="K806" t="n">
        <v>0</v>
      </c>
      <c r="L806" t="n">
        <v>0</v>
      </c>
      <c r="M806" t="n">
        <v>0</v>
      </c>
      <c r="N806" t="n">
        <v>0</v>
      </c>
      <c r="O806" t="n">
        <v>0</v>
      </c>
      <c r="P806" t="n">
        <v>0</v>
      </c>
      <c r="Q806" t="n">
        <v>0</v>
      </c>
      <c r="R806" s="2" t="inlineStr"/>
    </row>
    <row r="807" ht="15" customHeight="1">
      <c r="A807" t="inlineStr">
        <is>
          <t>A 18596-2019</t>
        </is>
      </c>
      <c r="B807" s="1" t="n">
        <v>43560</v>
      </c>
      <c r="C807" s="1" t="n">
        <v>45792</v>
      </c>
      <c r="D807" t="inlineStr">
        <is>
          <t>UPPSALA LÄN</t>
        </is>
      </c>
      <c r="E807" t="inlineStr">
        <is>
          <t>ÖSTHAMMAR</t>
        </is>
      </c>
      <c r="G807" t="n">
        <v>1.2</v>
      </c>
      <c r="H807" t="n">
        <v>0</v>
      </c>
      <c r="I807" t="n">
        <v>0</v>
      </c>
      <c r="J807" t="n">
        <v>0</v>
      </c>
      <c r="K807" t="n">
        <v>0</v>
      </c>
      <c r="L807" t="n">
        <v>0</v>
      </c>
      <c r="M807" t="n">
        <v>0</v>
      </c>
      <c r="N807" t="n">
        <v>0</v>
      </c>
      <c r="O807" t="n">
        <v>0</v>
      </c>
      <c r="P807" t="n">
        <v>0</v>
      </c>
      <c r="Q807" t="n">
        <v>0</v>
      </c>
      <c r="R807" s="2" t="inlineStr"/>
    </row>
    <row r="808" ht="15" customHeight="1">
      <c r="A808" t="inlineStr">
        <is>
          <t>A 18781-2019</t>
        </is>
      </c>
      <c r="B808" s="1" t="n">
        <v>43561</v>
      </c>
      <c r="C808" s="1" t="n">
        <v>45792</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18792-2019</t>
        </is>
      </c>
      <c r="B809" s="1" t="n">
        <v>43562</v>
      </c>
      <c r="C809" s="1" t="n">
        <v>45792</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18800-2019</t>
        </is>
      </c>
      <c r="B810" s="1" t="n">
        <v>43562</v>
      </c>
      <c r="C810" s="1" t="n">
        <v>45792</v>
      </c>
      <c r="D810" t="inlineStr">
        <is>
          <t>UPPSALA LÄN</t>
        </is>
      </c>
      <c r="E810" t="inlineStr">
        <is>
          <t>ÖSTHAMMAR</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18799-2019</t>
        </is>
      </c>
      <c r="B811" s="1" t="n">
        <v>43562</v>
      </c>
      <c r="C811" s="1" t="n">
        <v>45792</v>
      </c>
      <c r="D811" t="inlineStr">
        <is>
          <t>UPPSALA LÄN</t>
        </is>
      </c>
      <c r="E811" t="inlineStr">
        <is>
          <t>HEBY</t>
        </is>
      </c>
      <c r="G811" t="n">
        <v>5.8</v>
      </c>
      <c r="H811" t="n">
        <v>0</v>
      </c>
      <c r="I811" t="n">
        <v>0</v>
      </c>
      <c r="J811" t="n">
        <v>0</v>
      </c>
      <c r="K811" t="n">
        <v>0</v>
      </c>
      <c r="L811" t="n">
        <v>0</v>
      </c>
      <c r="M811" t="n">
        <v>0</v>
      </c>
      <c r="N811" t="n">
        <v>0</v>
      </c>
      <c r="O811" t="n">
        <v>0</v>
      </c>
      <c r="P811" t="n">
        <v>0</v>
      </c>
      <c r="Q811" t="n">
        <v>0</v>
      </c>
      <c r="R811" s="2" t="inlineStr"/>
    </row>
    <row r="812" ht="15" customHeight="1">
      <c r="A812" t="inlineStr">
        <is>
          <t>A 18997-2019</t>
        </is>
      </c>
      <c r="B812" s="1" t="n">
        <v>43563</v>
      </c>
      <c r="C812" s="1" t="n">
        <v>45792</v>
      </c>
      <c r="D812" t="inlineStr">
        <is>
          <t>UPPSALA LÄN</t>
        </is>
      </c>
      <c r="E812" t="inlineStr">
        <is>
          <t>HEBY</t>
        </is>
      </c>
      <c r="G812" t="n">
        <v>2.6</v>
      </c>
      <c r="H812" t="n">
        <v>0</v>
      </c>
      <c r="I812" t="n">
        <v>0</v>
      </c>
      <c r="J812" t="n">
        <v>0</v>
      </c>
      <c r="K812" t="n">
        <v>0</v>
      </c>
      <c r="L812" t="n">
        <v>0</v>
      </c>
      <c r="M812" t="n">
        <v>0</v>
      </c>
      <c r="N812" t="n">
        <v>0</v>
      </c>
      <c r="O812" t="n">
        <v>0</v>
      </c>
      <c r="P812" t="n">
        <v>0</v>
      </c>
      <c r="Q812" t="n">
        <v>0</v>
      </c>
      <c r="R812" s="2" t="inlineStr"/>
    </row>
    <row r="813" ht="15" customHeight="1">
      <c r="A813" t="inlineStr">
        <is>
          <t>A 19512-2019</t>
        </is>
      </c>
      <c r="B813" s="1" t="n">
        <v>43565</v>
      </c>
      <c r="C813" s="1" t="n">
        <v>45792</v>
      </c>
      <c r="D813" t="inlineStr">
        <is>
          <t>UPPSALA LÄN</t>
        </is>
      </c>
      <c r="E813" t="inlineStr">
        <is>
          <t>KNIVSTA</t>
        </is>
      </c>
      <c r="G813" t="n">
        <v>5.6</v>
      </c>
      <c r="H813" t="n">
        <v>0</v>
      </c>
      <c r="I813" t="n">
        <v>0</v>
      </c>
      <c r="J813" t="n">
        <v>0</v>
      </c>
      <c r="K813" t="n">
        <v>0</v>
      </c>
      <c r="L813" t="n">
        <v>0</v>
      </c>
      <c r="M813" t="n">
        <v>0</v>
      </c>
      <c r="N813" t="n">
        <v>0</v>
      </c>
      <c r="O813" t="n">
        <v>0</v>
      </c>
      <c r="P813" t="n">
        <v>0</v>
      </c>
      <c r="Q813" t="n">
        <v>0</v>
      </c>
      <c r="R813" s="2" t="inlineStr"/>
    </row>
    <row r="814" ht="15" customHeight="1">
      <c r="A814" t="inlineStr">
        <is>
          <t>A 19791-2019</t>
        </is>
      </c>
      <c r="B814" s="1" t="n">
        <v>43567</v>
      </c>
      <c r="C814" s="1" t="n">
        <v>45792</v>
      </c>
      <c r="D814" t="inlineStr">
        <is>
          <t>UPPSALA LÄN</t>
        </is>
      </c>
      <c r="E814" t="inlineStr">
        <is>
          <t>TIERP</t>
        </is>
      </c>
      <c r="G814" t="n">
        <v>6.2</v>
      </c>
      <c r="H814" t="n">
        <v>0</v>
      </c>
      <c r="I814" t="n">
        <v>0</v>
      </c>
      <c r="J814" t="n">
        <v>0</v>
      </c>
      <c r="K814" t="n">
        <v>0</v>
      </c>
      <c r="L814" t="n">
        <v>0</v>
      </c>
      <c r="M814" t="n">
        <v>0</v>
      </c>
      <c r="N814" t="n">
        <v>0</v>
      </c>
      <c r="O814" t="n">
        <v>0</v>
      </c>
      <c r="P814" t="n">
        <v>0</v>
      </c>
      <c r="Q814" t="n">
        <v>0</v>
      </c>
      <c r="R814" s="2" t="inlineStr"/>
    </row>
    <row r="815" ht="15" customHeight="1">
      <c r="A815" t="inlineStr">
        <is>
          <t>A 19779-2019</t>
        </is>
      </c>
      <c r="B815" s="1" t="n">
        <v>43567</v>
      </c>
      <c r="C815" s="1" t="n">
        <v>45792</v>
      </c>
      <c r="D815" t="inlineStr">
        <is>
          <t>UPPSALA LÄN</t>
        </is>
      </c>
      <c r="E815" t="inlineStr">
        <is>
          <t>HEBY</t>
        </is>
      </c>
      <c r="G815" t="n">
        <v>3.3</v>
      </c>
      <c r="H815" t="n">
        <v>0</v>
      </c>
      <c r="I815" t="n">
        <v>0</v>
      </c>
      <c r="J815" t="n">
        <v>0</v>
      </c>
      <c r="K815" t="n">
        <v>0</v>
      </c>
      <c r="L815" t="n">
        <v>0</v>
      </c>
      <c r="M815" t="n">
        <v>0</v>
      </c>
      <c r="N815" t="n">
        <v>0</v>
      </c>
      <c r="O815" t="n">
        <v>0</v>
      </c>
      <c r="P815" t="n">
        <v>0</v>
      </c>
      <c r="Q815" t="n">
        <v>0</v>
      </c>
      <c r="R815" s="2" t="inlineStr"/>
    </row>
    <row r="816" ht="15" customHeight="1">
      <c r="A816" t="inlineStr">
        <is>
          <t>A 19969-2019</t>
        </is>
      </c>
      <c r="B816" s="1" t="n">
        <v>43570</v>
      </c>
      <c r="C816" s="1" t="n">
        <v>45792</v>
      </c>
      <c r="D816" t="inlineStr">
        <is>
          <t>UPPSALA LÄN</t>
        </is>
      </c>
      <c r="E816" t="inlineStr">
        <is>
          <t>ÄLVKARLEBY</t>
        </is>
      </c>
      <c r="F816" t="inlineStr">
        <is>
          <t>Bergvik skog väst AB</t>
        </is>
      </c>
      <c r="G816" t="n">
        <v>3.6</v>
      </c>
      <c r="H816" t="n">
        <v>0</v>
      </c>
      <c r="I816" t="n">
        <v>0</v>
      </c>
      <c r="J816" t="n">
        <v>0</v>
      </c>
      <c r="K816" t="n">
        <v>0</v>
      </c>
      <c r="L816" t="n">
        <v>0</v>
      </c>
      <c r="M816" t="n">
        <v>0</v>
      </c>
      <c r="N816" t="n">
        <v>0</v>
      </c>
      <c r="O816" t="n">
        <v>0</v>
      </c>
      <c r="P816" t="n">
        <v>0</v>
      </c>
      <c r="Q816" t="n">
        <v>0</v>
      </c>
      <c r="R816" s="2" t="inlineStr"/>
    </row>
    <row r="817" ht="15" customHeight="1">
      <c r="A817" t="inlineStr">
        <is>
          <t>A 20157-2019</t>
        </is>
      </c>
      <c r="B817" s="1" t="n">
        <v>43570</v>
      </c>
      <c r="C817" s="1" t="n">
        <v>45792</v>
      </c>
      <c r="D817" t="inlineStr">
        <is>
          <t>UPPSALA LÄN</t>
        </is>
      </c>
      <c r="E817" t="inlineStr">
        <is>
          <t>HEBY</t>
        </is>
      </c>
      <c r="G817" t="n">
        <v>4.5</v>
      </c>
      <c r="H817" t="n">
        <v>0</v>
      </c>
      <c r="I817" t="n">
        <v>0</v>
      </c>
      <c r="J817" t="n">
        <v>0</v>
      </c>
      <c r="K817" t="n">
        <v>0</v>
      </c>
      <c r="L817" t="n">
        <v>0</v>
      </c>
      <c r="M817" t="n">
        <v>0</v>
      </c>
      <c r="N817" t="n">
        <v>0</v>
      </c>
      <c r="O817" t="n">
        <v>0</v>
      </c>
      <c r="P817" t="n">
        <v>0</v>
      </c>
      <c r="Q817" t="n">
        <v>0</v>
      </c>
      <c r="R817" s="2" t="inlineStr"/>
    </row>
    <row r="818" ht="15" customHeight="1">
      <c r="A818" t="inlineStr">
        <is>
          <t>A 20011-2019</t>
        </is>
      </c>
      <c r="B818" s="1" t="n">
        <v>43570</v>
      </c>
      <c r="C818" s="1" t="n">
        <v>45792</v>
      </c>
      <c r="D818" t="inlineStr">
        <is>
          <t>UPPSALA LÄN</t>
        </is>
      </c>
      <c r="E818" t="inlineStr">
        <is>
          <t>UPPSALA</t>
        </is>
      </c>
      <c r="G818" t="n">
        <v>6.3</v>
      </c>
      <c r="H818" t="n">
        <v>0</v>
      </c>
      <c r="I818" t="n">
        <v>0</v>
      </c>
      <c r="J818" t="n">
        <v>0</v>
      </c>
      <c r="K818" t="n">
        <v>0</v>
      </c>
      <c r="L818" t="n">
        <v>0</v>
      </c>
      <c r="M818" t="n">
        <v>0</v>
      </c>
      <c r="N818" t="n">
        <v>0</v>
      </c>
      <c r="O818" t="n">
        <v>0</v>
      </c>
      <c r="P818" t="n">
        <v>0</v>
      </c>
      <c r="Q818" t="n">
        <v>0</v>
      </c>
      <c r="R818" s="2" t="inlineStr"/>
    </row>
    <row r="819" ht="15" customHeight="1">
      <c r="A819" t="inlineStr">
        <is>
          <t>A 19989-2019</t>
        </is>
      </c>
      <c r="B819" s="1" t="n">
        <v>43570</v>
      </c>
      <c r="C819" s="1" t="n">
        <v>45792</v>
      </c>
      <c r="D819" t="inlineStr">
        <is>
          <t>UPPSALA LÄN</t>
        </is>
      </c>
      <c r="E819" t="inlineStr">
        <is>
          <t>HEBY</t>
        </is>
      </c>
      <c r="G819" t="n">
        <v>2.7</v>
      </c>
      <c r="H819" t="n">
        <v>0</v>
      </c>
      <c r="I819" t="n">
        <v>0</v>
      </c>
      <c r="J819" t="n">
        <v>0</v>
      </c>
      <c r="K819" t="n">
        <v>0</v>
      </c>
      <c r="L819" t="n">
        <v>0</v>
      </c>
      <c r="M819" t="n">
        <v>0</v>
      </c>
      <c r="N819" t="n">
        <v>0</v>
      </c>
      <c r="O819" t="n">
        <v>0</v>
      </c>
      <c r="P819" t="n">
        <v>0</v>
      </c>
      <c r="Q819" t="n">
        <v>0</v>
      </c>
      <c r="R819" s="2" t="inlineStr"/>
    </row>
    <row r="820" ht="15" customHeight="1">
      <c r="A820" t="inlineStr">
        <is>
          <t>A 20683-2019</t>
        </is>
      </c>
      <c r="B820" s="1" t="n">
        <v>43573</v>
      </c>
      <c r="C820" s="1" t="n">
        <v>45792</v>
      </c>
      <c r="D820" t="inlineStr">
        <is>
          <t>UPPSALA LÄN</t>
        </is>
      </c>
      <c r="E820" t="inlineStr">
        <is>
          <t>ÖSTHAMMAR</t>
        </is>
      </c>
      <c r="G820" t="n">
        <v>2.6</v>
      </c>
      <c r="H820" t="n">
        <v>0</v>
      </c>
      <c r="I820" t="n">
        <v>0</v>
      </c>
      <c r="J820" t="n">
        <v>0</v>
      </c>
      <c r="K820" t="n">
        <v>0</v>
      </c>
      <c r="L820" t="n">
        <v>0</v>
      </c>
      <c r="M820" t="n">
        <v>0</v>
      </c>
      <c r="N820" t="n">
        <v>0</v>
      </c>
      <c r="O820" t="n">
        <v>0</v>
      </c>
      <c r="P820" t="n">
        <v>0</v>
      </c>
      <c r="Q820" t="n">
        <v>0</v>
      </c>
      <c r="R820" s="2" t="inlineStr"/>
    </row>
    <row r="821" ht="15" customHeight="1">
      <c r="A821" t="inlineStr">
        <is>
          <t>A 21087-2019</t>
        </is>
      </c>
      <c r="B821" s="1" t="n">
        <v>43578</v>
      </c>
      <c r="C821" s="1" t="n">
        <v>45792</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21082-2019</t>
        </is>
      </c>
      <c r="B822" s="1" t="n">
        <v>43578</v>
      </c>
      <c r="C822" s="1" t="n">
        <v>45792</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21566-2019</t>
        </is>
      </c>
      <c r="B823" s="1" t="n">
        <v>43580</v>
      </c>
      <c r="C823" s="1" t="n">
        <v>45792</v>
      </c>
      <c r="D823" t="inlineStr">
        <is>
          <t>UPPSALA LÄN</t>
        </is>
      </c>
      <c r="E823" t="inlineStr">
        <is>
          <t>HEBY</t>
        </is>
      </c>
      <c r="G823" t="n">
        <v>2.1</v>
      </c>
      <c r="H823" t="n">
        <v>0</v>
      </c>
      <c r="I823" t="n">
        <v>0</v>
      </c>
      <c r="J823" t="n">
        <v>0</v>
      </c>
      <c r="K823" t="n">
        <v>0</v>
      </c>
      <c r="L823" t="n">
        <v>0</v>
      </c>
      <c r="M823" t="n">
        <v>0</v>
      </c>
      <c r="N823" t="n">
        <v>0</v>
      </c>
      <c r="O823" t="n">
        <v>0</v>
      </c>
      <c r="P823" t="n">
        <v>0</v>
      </c>
      <c r="Q823" t="n">
        <v>0</v>
      </c>
      <c r="R823" s="2" t="inlineStr"/>
    </row>
    <row r="824" ht="15" customHeight="1">
      <c r="A824" t="inlineStr">
        <is>
          <t>A 21565-2019</t>
        </is>
      </c>
      <c r="B824" s="1" t="n">
        <v>43580</v>
      </c>
      <c r="C824" s="1" t="n">
        <v>45792</v>
      </c>
      <c r="D824" t="inlineStr">
        <is>
          <t>UPPSALA LÄN</t>
        </is>
      </c>
      <c r="E824" t="inlineStr">
        <is>
          <t>HEBY</t>
        </is>
      </c>
      <c r="G824" t="n">
        <v>1.1</v>
      </c>
      <c r="H824" t="n">
        <v>0</v>
      </c>
      <c r="I824" t="n">
        <v>0</v>
      </c>
      <c r="J824" t="n">
        <v>0</v>
      </c>
      <c r="K824" t="n">
        <v>0</v>
      </c>
      <c r="L824" t="n">
        <v>0</v>
      </c>
      <c r="M824" t="n">
        <v>0</v>
      </c>
      <c r="N824" t="n">
        <v>0</v>
      </c>
      <c r="O824" t="n">
        <v>0</v>
      </c>
      <c r="P824" t="n">
        <v>0</v>
      </c>
      <c r="Q824" t="n">
        <v>0</v>
      </c>
      <c r="R824" s="2" t="inlineStr"/>
    </row>
    <row r="825" ht="15" customHeight="1">
      <c r="A825" t="inlineStr">
        <is>
          <t>A 21471-2019</t>
        </is>
      </c>
      <c r="B825" s="1" t="n">
        <v>43580</v>
      </c>
      <c r="C825" s="1" t="n">
        <v>45792</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21760-2019</t>
        </is>
      </c>
      <c r="B826" s="1" t="n">
        <v>43581</v>
      </c>
      <c r="C826" s="1" t="n">
        <v>45792</v>
      </c>
      <c r="D826" t="inlineStr">
        <is>
          <t>UPPSALA LÄN</t>
        </is>
      </c>
      <c r="E826" t="inlineStr">
        <is>
          <t>HEBY</t>
        </is>
      </c>
      <c r="F826" t="inlineStr">
        <is>
          <t>Övriga Aktiebolag</t>
        </is>
      </c>
      <c r="G826" t="n">
        <v>12.3</v>
      </c>
      <c r="H826" t="n">
        <v>0</v>
      </c>
      <c r="I826" t="n">
        <v>0</v>
      </c>
      <c r="J826" t="n">
        <v>0</v>
      </c>
      <c r="K826" t="n">
        <v>0</v>
      </c>
      <c r="L826" t="n">
        <v>0</v>
      </c>
      <c r="M826" t="n">
        <v>0</v>
      </c>
      <c r="N826" t="n">
        <v>0</v>
      </c>
      <c r="O826" t="n">
        <v>0</v>
      </c>
      <c r="P826" t="n">
        <v>0</v>
      </c>
      <c r="Q826" t="n">
        <v>0</v>
      </c>
      <c r="R826" s="2" t="inlineStr"/>
    </row>
    <row r="827" ht="15" customHeight="1">
      <c r="A827" t="inlineStr">
        <is>
          <t>A 22153-2019</t>
        </is>
      </c>
      <c r="B827" s="1" t="n">
        <v>43585</v>
      </c>
      <c r="C827" s="1" t="n">
        <v>45792</v>
      </c>
      <c r="D827" t="inlineStr">
        <is>
          <t>UPPSALA LÄN</t>
        </is>
      </c>
      <c r="E827" t="inlineStr">
        <is>
          <t>UPPSALA</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22750-2019</t>
        </is>
      </c>
      <c r="B828" s="1" t="n">
        <v>43588</v>
      </c>
      <c r="C828" s="1" t="n">
        <v>45792</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22800-2019</t>
        </is>
      </c>
      <c r="B829" s="1" t="n">
        <v>43590</v>
      </c>
      <c r="C829" s="1" t="n">
        <v>45792</v>
      </c>
      <c r="D829" t="inlineStr">
        <is>
          <t>UPPSALA LÄN</t>
        </is>
      </c>
      <c r="E829" t="inlineStr">
        <is>
          <t>ÖSTHAMMAR</t>
        </is>
      </c>
      <c r="G829" t="n">
        <v>1.5</v>
      </c>
      <c r="H829" t="n">
        <v>0</v>
      </c>
      <c r="I829" t="n">
        <v>0</v>
      </c>
      <c r="J829" t="n">
        <v>0</v>
      </c>
      <c r="K829" t="n">
        <v>0</v>
      </c>
      <c r="L829" t="n">
        <v>0</v>
      </c>
      <c r="M829" t="n">
        <v>0</v>
      </c>
      <c r="N829" t="n">
        <v>0</v>
      </c>
      <c r="O829" t="n">
        <v>0</v>
      </c>
      <c r="P829" t="n">
        <v>0</v>
      </c>
      <c r="Q829" t="n">
        <v>0</v>
      </c>
      <c r="R829" s="2" t="inlineStr"/>
      <c r="U829">
        <f>HYPERLINK("https://klasma.github.io/Logging_0382/knärot/A 22800-2019 karta knärot.png", "A 22800-2019")</f>
        <v/>
      </c>
      <c r="V829">
        <f>HYPERLINK("https://klasma.github.io/Logging_0382/klagomål/A 22800-2019 FSC-klagomål.docx", "A 22800-2019")</f>
        <v/>
      </c>
      <c r="W829">
        <f>HYPERLINK("https://klasma.github.io/Logging_0382/klagomålsmail/A 22800-2019 FSC-klagomål mail.docx", "A 22800-2019")</f>
        <v/>
      </c>
      <c r="X829">
        <f>HYPERLINK("https://klasma.github.io/Logging_0382/tillsyn/A 22800-2019 tillsynsbegäran.docx", "A 22800-2019")</f>
        <v/>
      </c>
      <c r="Y829">
        <f>HYPERLINK("https://klasma.github.io/Logging_0382/tillsynsmail/A 22800-2019 tillsynsbegäran mail.docx", "A 22800-2019")</f>
        <v/>
      </c>
    </row>
    <row r="830" ht="15" customHeight="1">
      <c r="A830" t="inlineStr">
        <is>
          <t>A 22801-2019</t>
        </is>
      </c>
      <c r="B830" s="1" t="n">
        <v>43590</v>
      </c>
      <c r="C830" s="1" t="n">
        <v>45792</v>
      </c>
      <c r="D830" t="inlineStr">
        <is>
          <t>UPPSALA LÄN</t>
        </is>
      </c>
      <c r="E830" t="inlineStr">
        <is>
          <t>ÖSTHAMMAR</t>
        </is>
      </c>
      <c r="G830" t="n">
        <v>2.2</v>
      </c>
      <c r="H830" t="n">
        <v>0</v>
      </c>
      <c r="I830" t="n">
        <v>0</v>
      </c>
      <c r="J830" t="n">
        <v>0</v>
      </c>
      <c r="K830" t="n">
        <v>0</v>
      </c>
      <c r="L830" t="n">
        <v>0</v>
      </c>
      <c r="M830" t="n">
        <v>0</v>
      </c>
      <c r="N830" t="n">
        <v>0</v>
      </c>
      <c r="O830" t="n">
        <v>0</v>
      </c>
      <c r="P830" t="n">
        <v>0</v>
      </c>
      <c r="Q830" t="n">
        <v>0</v>
      </c>
      <c r="R830" s="2" t="inlineStr"/>
    </row>
    <row r="831" ht="15" customHeight="1">
      <c r="A831" t="inlineStr">
        <is>
          <t>A 23042-2019</t>
        </is>
      </c>
      <c r="B831" s="1" t="n">
        <v>43591</v>
      </c>
      <c r="C831" s="1" t="n">
        <v>45792</v>
      </c>
      <c r="D831" t="inlineStr">
        <is>
          <t>UPPSALA LÄN</t>
        </is>
      </c>
      <c r="E831" t="inlineStr">
        <is>
          <t>UPPSALA</t>
        </is>
      </c>
      <c r="G831" t="n">
        <v>2.7</v>
      </c>
      <c r="H831" t="n">
        <v>0</v>
      </c>
      <c r="I831" t="n">
        <v>0</v>
      </c>
      <c r="J831" t="n">
        <v>0</v>
      </c>
      <c r="K831" t="n">
        <v>0</v>
      </c>
      <c r="L831" t="n">
        <v>0</v>
      </c>
      <c r="M831" t="n">
        <v>0</v>
      </c>
      <c r="N831" t="n">
        <v>0</v>
      </c>
      <c r="O831" t="n">
        <v>0</v>
      </c>
      <c r="P831" t="n">
        <v>0</v>
      </c>
      <c r="Q831" t="n">
        <v>0</v>
      </c>
      <c r="R831" s="2" t="inlineStr"/>
    </row>
    <row r="832" ht="15" customHeight="1">
      <c r="A832" t="inlineStr">
        <is>
          <t>A 23051-2019</t>
        </is>
      </c>
      <c r="B832" s="1" t="n">
        <v>43591</v>
      </c>
      <c r="C832" s="1" t="n">
        <v>45792</v>
      </c>
      <c r="D832" t="inlineStr">
        <is>
          <t>UPPSALA LÄN</t>
        </is>
      </c>
      <c r="E832" t="inlineStr">
        <is>
          <t>KNIVSTA</t>
        </is>
      </c>
      <c r="G832" t="n">
        <v>1.5</v>
      </c>
      <c r="H832" t="n">
        <v>0</v>
      </c>
      <c r="I832" t="n">
        <v>0</v>
      </c>
      <c r="J832" t="n">
        <v>0</v>
      </c>
      <c r="K832" t="n">
        <v>0</v>
      </c>
      <c r="L832" t="n">
        <v>0</v>
      </c>
      <c r="M832" t="n">
        <v>0</v>
      </c>
      <c r="N832" t="n">
        <v>0</v>
      </c>
      <c r="O832" t="n">
        <v>0</v>
      </c>
      <c r="P832" t="n">
        <v>0</v>
      </c>
      <c r="Q832" t="n">
        <v>0</v>
      </c>
      <c r="R832" s="2" t="inlineStr"/>
    </row>
    <row r="833" ht="15" customHeight="1">
      <c r="A833" t="inlineStr">
        <is>
          <t>A 23008-2019</t>
        </is>
      </c>
      <c r="B833" s="1" t="n">
        <v>43591</v>
      </c>
      <c r="C833" s="1" t="n">
        <v>45792</v>
      </c>
      <c r="D833" t="inlineStr">
        <is>
          <t>UPPSALA LÄN</t>
        </is>
      </c>
      <c r="E833" t="inlineStr">
        <is>
          <t>ÖSTHAMMAR</t>
        </is>
      </c>
      <c r="G833" t="n">
        <v>4.5</v>
      </c>
      <c r="H833" t="n">
        <v>0</v>
      </c>
      <c r="I833" t="n">
        <v>0</v>
      </c>
      <c r="J833" t="n">
        <v>0</v>
      </c>
      <c r="K833" t="n">
        <v>0</v>
      </c>
      <c r="L833" t="n">
        <v>0</v>
      </c>
      <c r="M833" t="n">
        <v>0</v>
      </c>
      <c r="N833" t="n">
        <v>0</v>
      </c>
      <c r="O833" t="n">
        <v>0</v>
      </c>
      <c r="P833" t="n">
        <v>0</v>
      </c>
      <c r="Q833" t="n">
        <v>0</v>
      </c>
      <c r="R833" s="2" t="inlineStr"/>
    </row>
    <row r="834" ht="15" customHeight="1">
      <c r="A834" t="inlineStr">
        <is>
          <t>A 23262-2019</t>
        </is>
      </c>
      <c r="B834" s="1" t="n">
        <v>43592</v>
      </c>
      <c r="C834" s="1" t="n">
        <v>45792</v>
      </c>
      <c r="D834" t="inlineStr">
        <is>
          <t>UPPSALA LÄN</t>
        </is>
      </c>
      <c r="E834" t="inlineStr">
        <is>
          <t>UPPSALA</t>
        </is>
      </c>
      <c r="F834" t="inlineStr">
        <is>
          <t>Kyrkan</t>
        </is>
      </c>
      <c r="G834" t="n">
        <v>7.6</v>
      </c>
      <c r="H834" t="n">
        <v>0</v>
      </c>
      <c r="I834" t="n">
        <v>0</v>
      </c>
      <c r="J834" t="n">
        <v>0</v>
      </c>
      <c r="K834" t="n">
        <v>0</v>
      </c>
      <c r="L834" t="n">
        <v>0</v>
      </c>
      <c r="M834" t="n">
        <v>0</v>
      </c>
      <c r="N834" t="n">
        <v>0</v>
      </c>
      <c r="O834" t="n">
        <v>0</v>
      </c>
      <c r="P834" t="n">
        <v>0</v>
      </c>
      <c r="Q834" t="n">
        <v>0</v>
      </c>
      <c r="R834" s="2" t="inlineStr"/>
    </row>
    <row r="835" ht="15" customHeight="1">
      <c r="A835" t="inlineStr">
        <is>
          <t>A 23328-2019</t>
        </is>
      </c>
      <c r="B835" s="1" t="n">
        <v>43593</v>
      </c>
      <c r="C835" s="1" t="n">
        <v>45792</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24105-2019</t>
        </is>
      </c>
      <c r="B836" s="1" t="n">
        <v>43598</v>
      </c>
      <c r="C836" s="1" t="n">
        <v>45792</v>
      </c>
      <c r="D836" t="inlineStr">
        <is>
          <t>UPPSALA LÄN</t>
        </is>
      </c>
      <c r="E836" t="inlineStr">
        <is>
          <t>ÄLVKARLEBY</t>
        </is>
      </c>
      <c r="F836" t="inlineStr">
        <is>
          <t>Kyrkan</t>
        </is>
      </c>
      <c r="G836" t="n">
        <v>0.6</v>
      </c>
      <c r="H836" t="n">
        <v>0</v>
      </c>
      <c r="I836" t="n">
        <v>0</v>
      </c>
      <c r="J836" t="n">
        <v>0</v>
      </c>
      <c r="K836" t="n">
        <v>0</v>
      </c>
      <c r="L836" t="n">
        <v>0</v>
      </c>
      <c r="M836" t="n">
        <v>0</v>
      </c>
      <c r="N836" t="n">
        <v>0</v>
      </c>
      <c r="O836" t="n">
        <v>0</v>
      </c>
      <c r="P836" t="n">
        <v>0</v>
      </c>
      <c r="Q836" t="n">
        <v>0</v>
      </c>
      <c r="R836" s="2" t="inlineStr"/>
    </row>
    <row r="837" ht="15" customHeight="1">
      <c r="A837" t="inlineStr">
        <is>
          <t>A 24039-2019</t>
        </is>
      </c>
      <c r="B837" s="1" t="n">
        <v>43598</v>
      </c>
      <c r="C837" s="1" t="n">
        <v>45792</v>
      </c>
      <c r="D837" t="inlineStr">
        <is>
          <t>UPPSALA LÄN</t>
        </is>
      </c>
      <c r="E837" t="inlineStr">
        <is>
          <t>HEBY</t>
        </is>
      </c>
      <c r="G837" t="n">
        <v>1.1</v>
      </c>
      <c r="H837" t="n">
        <v>0</v>
      </c>
      <c r="I837" t="n">
        <v>0</v>
      </c>
      <c r="J837" t="n">
        <v>0</v>
      </c>
      <c r="K837" t="n">
        <v>0</v>
      </c>
      <c r="L837" t="n">
        <v>0</v>
      </c>
      <c r="M837" t="n">
        <v>0</v>
      </c>
      <c r="N837" t="n">
        <v>0</v>
      </c>
      <c r="O837" t="n">
        <v>0</v>
      </c>
      <c r="P837" t="n">
        <v>0</v>
      </c>
      <c r="Q837" t="n">
        <v>0</v>
      </c>
      <c r="R837" s="2" t="inlineStr"/>
    </row>
    <row r="838" ht="15" customHeight="1">
      <c r="A838" t="inlineStr">
        <is>
          <t>A 24297-2019</t>
        </is>
      </c>
      <c r="B838" s="1" t="n">
        <v>43598</v>
      </c>
      <c r="C838" s="1" t="n">
        <v>45792</v>
      </c>
      <c r="D838" t="inlineStr">
        <is>
          <t>UPPSALA LÄN</t>
        </is>
      </c>
      <c r="E838" t="inlineStr">
        <is>
          <t>HEBY</t>
        </is>
      </c>
      <c r="G838" t="n">
        <v>1.9</v>
      </c>
      <c r="H838" t="n">
        <v>0</v>
      </c>
      <c r="I838" t="n">
        <v>0</v>
      </c>
      <c r="J838" t="n">
        <v>0</v>
      </c>
      <c r="K838" t="n">
        <v>0</v>
      </c>
      <c r="L838" t="n">
        <v>0</v>
      </c>
      <c r="M838" t="n">
        <v>0</v>
      </c>
      <c r="N838" t="n">
        <v>0</v>
      </c>
      <c r="O838" t="n">
        <v>0</v>
      </c>
      <c r="P838" t="n">
        <v>0</v>
      </c>
      <c r="Q838" t="n">
        <v>0</v>
      </c>
      <c r="R838" s="2" t="inlineStr"/>
    </row>
    <row r="839" ht="15" customHeight="1">
      <c r="A839" t="inlineStr">
        <is>
          <t>A 24998-2019</t>
        </is>
      </c>
      <c r="B839" s="1" t="n">
        <v>43600</v>
      </c>
      <c r="C839" s="1" t="n">
        <v>45792</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25164-2019</t>
        </is>
      </c>
      <c r="B840" s="1" t="n">
        <v>43605</v>
      </c>
      <c r="C840" s="1" t="n">
        <v>45792</v>
      </c>
      <c r="D840" t="inlineStr">
        <is>
          <t>UPPSALA LÄN</t>
        </is>
      </c>
      <c r="E840" t="inlineStr">
        <is>
          <t>UPPSALA</t>
        </is>
      </c>
      <c r="G840" t="n">
        <v>1.6</v>
      </c>
      <c r="H840" t="n">
        <v>0</v>
      </c>
      <c r="I840" t="n">
        <v>0</v>
      </c>
      <c r="J840" t="n">
        <v>0</v>
      </c>
      <c r="K840" t="n">
        <v>0</v>
      </c>
      <c r="L840" t="n">
        <v>0</v>
      </c>
      <c r="M840" t="n">
        <v>0</v>
      </c>
      <c r="N840" t="n">
        <v>0</v>
      </c>
      <c r="O840" t="n">
        <v>0</v>
      </c>
      <c r="P840" t="n">
        <v>0</v>
      </c>
      <c r="Q840" t="n">
        <v>0</v>
      </c>
      <c r="R840" s="2" t="inlineStr"/>
    </row>
    <row r="841" ht="15" customHeight="1">
      <c r="A841" t="inlineStr">
        <is>
          <t>A 25157-2019</t>
        </is>
      </c>
      <c r="B841" s="1" t="n">
        <v>43605</v>
      </c>
      <c r="C841" s="1" t="n">
        <v>45792</v>
      </c>
      <c r="D841" t="inlineStr">
        <is>
          <t>UPPSALA LÄN</t>
        </is>
      </c>
      <c r="E841" t="inlineStr">
        <is>
          <t>UPPSALA</t>
        </is>
      </c>
      <c r="G841" t="n">
        <v>3</v>
      </c>
      <c r="H841" t="n">
        <v>0</v>
      </c>
      <c r="I841" t="n">
        <v>0</v>
      </c>
      <c r="J841" t="n">
        <v>0</v>
      </c>
      <c r="K841" t="n">
        <v>0</v>
      </c>
      <c r="L841" t="n">
        <v>0</v>
      </c>
      <c r="M841" t="n">
        <v>0</v>
      </c>
      <c r="N841" t="n">
        <v>0</v>
      </c>
      <c r="O841" t="n">
        <v>0</v>
      </c>
      <c r="P841" t="n">
        <v>0</v>
      </c>
      <c r="Q841" t="n">
        <v>0</v>
      </c>
      <c r="R841" s="2" t="inlineStr"/>
    </row>
    <row r="842" ht="15" customHeight="1">
      <c r="A842" t="inlineStr">
        <is>
          <t>A 25874-2019</t>
        </is>
      </c>
      <c r="B842" s="1" t="n">
        <v>43605</v>
      </c>
      <c r="C842" s="1" t="n">
        <v>45792</v>
      </c>
      <c r="D842" t="inlineStr">
        <is>
          <t>UPPSALA LÄN</t>
        </is>
      </c>
      <c r="E842" t="inlineStr">
        <is>
          <t>ÖSTHAMMAR</t>
        </is>
      </c>
      <c r="G842" t="n">
        <v>1.1</v>
      </c>
      <c r="H842" t="n">
        <v>0</v>
      </c>
      <c r="I842" t="n">
        <v>0</v>
      </c>
      <c r="J842" t="n">
        <v>0</v>
      </c>
      <c r="K842" t="n">
        <v>0</v>
      </c>
      <c r="L842" t="n">
        <v>0</v>
      </c>
      <c r="M842" t="n">
        <v>0</v>
      </c>
      <c r="N842" t="n">
        <v>0</v>
      </c>
      <c r="O842" t="n">
        <v>0</v>
      </c>
      <c r="P842" t="n">
        <v>0</v>
      </c>
      <c r="Q842" t="n">
        <v>0</v>
      </c>
      <c r="R842" s="2" t="inlineStr"/>
    </row>
    <row r="843" ht="15" customHeight="1">
      <c r="A843" t="inlineStr">
        <is>
          <t>A 25317-2019</t>
        </is>
      </c>
      <c r="B843" s="1" t="n">
        <v>43606</v>
      </c>
      <c r="C843" s="1" t="n">
        <v>45792</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25498-2019</t>
        </is>
      </c>
      <c r="B844" s="1" t="n">
        <v>43606</v>
      </c>
      <c r="C844" s="1" t="n">
        <v>45792</v>
      </c>
      <c r="D844" t="inlineStr">
        <is>
          <t>UPPSALA LÄN</t>
        </is>
      </c>
      <c r="E844" t="inlineStr">
        <is>
          <t>TIERP</t>
        </is>
      </c>
      <c r="G844" t="n">
        <v>1</v>
      </c>
      <c r="H844" t="n">
        <v>0</v>
      </c>
      <c r="I844" t="n">
        <v>0</v>
      </c>
      <c r="J844" t="n">
        <v>0</v>
      </c>
      <c r="K844" t="n">
        <v>0</v>
      </c>
      <c r="L844" t="n">
        <v>0</v>
      </c>
      <c r="M844" t="n">
        <v>0</v>
      </c>
      <c r="N844" t="n">
        <v>0</v>
      </c>
      <c r="O844" t="n">
        <v>0</v>
      </c>
      <c r="P844" t="n">
        <v>0</v>
      </c>
      <c r="Q844" t="n">
        <v>0</v>
      </c>
      <c r="R844" s="2" t="inlineStr"/>
    </row>
    <row r="845" ht="15" customHeight="1">
      <c r="A845" t="inlineStr">
        <is>
          <t>A 25340-2019</t>
        </is>
      </c>
      <c r="B845" s="1" t="n">
        <v>43606</v>
      </c>
      <c r="C845" s="1" t="n">
        <v>45792</v>
      </c>
      <c r="D845" t="inlineStr">
        <is>
          <t>UPPSALA LÄN</t>
        </is>
      </c>
      <c r="E845" t="inlineStr">
        <is>
          <t>ÄLVKARLEBY</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25502-2019</t>
        </is>
      </c>
      <c r="B846" s="1" t="n">
        <v>43606</v>
      </c>
      <c r="C846" s="1" t="n">
        <v>45792</v>
      </c>
      <c r="D846" t="inlineStr">
        <is>
          <t>UPPSALA LÄN</t>
        </is>
      </c>
      <c r="E846" t="inlineStr">
        <is>
          <t>TIERP</t>
        </is>
      </c>
      <c r="G846" t="n">
        <v>2.2</v>
      </c>
      <c r="H846" t="n">
        <v>0</v>
      </c>
      <c r="I846" t="n">
        <v>0</v>
      </c>
      <c r="J846" t="n">
        <v>0</v>
      </c>
      <c r="K846" t="n">
        <v>0</v>
      </c>
      <c r="L846" t="n">
        <v>0</v>
      </c>
      <c r="M846" t="n">
        <v>0</v>
      </c>
      <c r="N846" t="n">
        <v>0</v>
      </c>
      <c r="O846" t="n">
        <v>0</v>
      </c>
      <c r="P846" t="n">
        <v>0</v>
      </c>
      <c r="Q846" t="n">
        <v>0</v>
      </c>
      <c r="R846" s="2" t="inlineStr"/>
    </row>
    <row r="847" ht="15" customHeight="1">
      <c r="A847" t="inlineStr">
        <is>
          <t>A 25703-2019</t>
        </is>
      </c>
      <c r="B847" s="1" t="n">
        <v>43607</v>
      </c>
      <c r="C847" s="1" t="n">
        <v>45792</v>
      </c>
      <c r="D847" t="inlineStr">
        <is>
          <t>UPPSALA LÄN</t>
        </is>
      </c>
      <c r="E847" t="inlineStr">
        <is>
          <t>ÖSTHAMMAR</t>
        </is>
      </c>
      <c r="F847" t="inlineStr">
        <is>
          <t>Bergvik skog öst AB</t>
        </is>
      </c>
      <c r="G847" t="n">
        <v>2.2</v>
      </c>
      <c r="H847" t="n">
        <v>0</v>
      </c>
      <c r="I847" t="n">
        <v>0</v>
      </c>
      <c r="J847" t="n">
        <v>0</v>
      </c>
      <c r="K847" t="n">
        <v>0</v>
      </c>
      <c r="L847" t="n">
        <v>0</v>
      </c>
      <c r="M847" t="n">
        <v>0</v>
      </c>
      <c r="N847" t="n">
        <v>0</v>
      </c>
      <c r="O847" t="n">
        <v>0</v>
      </c>
      <c r="P847" t="n">
        <v>0</v>
      </c>
      <c r="Q847" t="n">
        <v>0</v>
      </c>
      <c r="R847" s="2" t="inlineStr"/>
    </row>
    <row r="848" ht="15" customHeight="1">
      <c r="A848" t="inlineStr">
        <is>
          <t>A 25667-2019</t>
        </is>
      </c>
      <c r="B848" s="1" t="n">
        <v>43607</v>
      </c>
      <c r="C848" s="1" t="n">
        <v>45792</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25708-2019</t>
        </is>
      </c>
      <c r="B849" s="1" t="n">
        <v>43607</v>
      </c>
      <c r="C849" s="1" t="n">
        <v>45792</v>
      </c>
      <c r="D849" t="inlineStr">
        <is>
          <t>UPPSALA LÄN</t>
        </is>
      </c>
      <c r="E849" t="inlineStr">
        <is>
          <t>ÖSTHAMMAR</t>
        </is>
      </c>
      <c r="F849" t="inlineStr">
        <is>
          <t>Bergvik skog öst AB</t>
        </is>
      </c>
      <c r="G849" t="n">
        <v>1.3</v>
      </c>
      <c r="H849" t="n">
        <v>0</v>
      </c>
      <c r="I849" t="n">
        <v>0</v>
      </c>
      <c r="J849" t="n">
        <v>0</v>
      </c>
      <c r="K849" t="n">
        <v>0</v>
      </c>
      <c r="L849" t="n">
        <v>0</v>
      </c>
      <c r="M849" t="n">
        <v>0</v>
      </c>
      <c r="N849" t="n">
        <v>0</v>
      </c>
      <c r="O849" t="n">
        <v>0</v>
      </c>
      <c r="P849" t="n">
        <v>0</v>
      </c>
      <c r="Q849" t="n">
        <v>0</v>
      </c>
      <c r="R849" s="2" t="inlineStr"/>
    </row>
    <row r="850" ht="15" customHeight="1">
      <c r="A850" t="inlineStr">
        <is>
          <t>A 25706-2019</t>
        </is>
      </c>
      <c r="B850" s="1" t="n">
        <v>43607</v>
      </c>
      <c r="C850" s="1" t="n">
        <v>45792</v>
      </c>
      <c r="D850" t="inlineStr">
        <is>
          <t>UPPSALA LÄN</t>
        </is>
      </c>
      <c r="E850" t="inlineStr">
        <is>
          <t>ÖSTHAMMAR</t>
        </is>
      </c>
      <c r="F850" t="inlineStr">
        <is>
          <t>Bergvik skog öst AB</t>
        </is>
      </c>
      <c r="G850" t="n">
        <v>0.8</v>
      </c>
      <c r="H850" t="n">
        <v>0</v>
      </c>
      <c r="I850" t="n">
        <v>0</v>
      </c>
      <c r="J850" t="n">
        <v>0</v>
      </c>
      <c r="K850" t="n">
        <v>0</v>
      </c>
      <c r="L850" t="n">
        <v>0</v>
      </c>
      <c r="M850" t="n">
        <v>0</v>
      </c>
      <c r="N850" t="n">
        <v>0</v>
      </c>
      <c r="O850" t="n">
        <v>0</v>
      </c>
      <c r="P850" t="n">
        <v>0</v>
      </c>
      <c r="Q850" t="n">
        <v>0</v>
      </c>
      <c r="R850" s="2" t="inlineStr"/>
    </row>
    <row r="851" ht="15" customHeight="1">
      <c r="A851" t="inlineStr">
        <is>
          <t>A 25672-2019</t>
        </is>
      </c>
      <c r="B851" s="1" t="n">
        <v>43607</v>
      </c>
      <c r="C851" s="1" t="n">
        <v>45792</v>
      </c>
      <c r="D851" t="inlineStr">
        <is>
          <t>UPPSALA LÄN</t>
        </is>
      </c>
      <c r="E851" t="inlineStr">
        <is>
          <t>HEBY</t>
        </is>
      </c>
      <c r="G851" t="n">
        <v>1.7</v>
      </c>
      <c r="H851" t="n">
        <v>0</v>
      </c>
      <c r="I851" t="n">
        <v>0</v>
      </c>
      <c r="J851" t="n">
        <v>0</v>
      </c>
      <c r="K851" t="n">
        <v>0</v>
      </c>
      <c r="L851" t="n">
        <v>0</v>
      </c>
      <c r="M851" t="n">
        <v>0</v>
      </c>
      <c r="N851" t="n">
        <v>0</v>
      </c>
      <c r="O851" t="n">
        <v>0</v>
      </c>
      <c r="P851" t="n">
        <v>0</v>
      </c>
      <c r="Q851" t="n">
        <v>0</v>
      </c>
      <c r="R851" s="2" t="inlineStr"/>
    </row>
    <row r="852" ht="15" customHeight="1">
      <c r="A852" t="inlineStr">
        <is>
          <t>A 25791-2019</t>
        </is>
      </c>
      <c r="B852" s="1" t="n">
        <v>43608</v>
      </c>
      <c r="C852" s="1" t="n">
        <v>45792</v>
      </c>
      <c r="D852" t="inlineStr">
        <is>
          <t>UPPSALA LÄN</t>
        </is>
      </c>
      <c r="E852" t="inlineStr">
        <is>
          <t>HEBY</t>
        </is>
      </c>
      <c r="G852" t="n">
        <v>2.2</v>
      </c>
      <c r="H852" t="n">
        <v>0</v>
      </c>
      <c r="I852" t="n">
        <v>0</v>
      </c>
      <c r="J852" t="n">
        <v>0</v>
      </c>
      <c r="K852" t="n">
        <v>0</v>
      </c>
      <c r="L852" t="n">
        <v>0</v>
      </c>
      <c r="M852" t="n">
        <v>0</v>
      </c>
      <c r="N852" t="n">
        <v>0</v>
      </c>
      <c r="O852" t="n">
        <v>0</v>
      </c>
      <c r="P852" t="n">
        <v>0</v>
      </c>
      <c r="Q852" t="n">
        <v>0</v>
      </c>
      <c r="R852" s="2" t="inlineStr"/>
    </row>
    <row r="853" ht="15" customHeight="1">
      <c r="A853" t="inlineStr">
        <is>
          <t>A 26060-2019</t>
        </is>
      </c>
      <c r="B853" s="1" t="n">
        <v>43609</v>
      </c>
      <c r="C853" s="1" t="n">
        <v>45792</v>
      </c>
      <c r="D853" t="inlineStr">
        <is>
          <t>UPPSALA LÄN</t>
        </is>
      </c>
      <c r="E853" t="inlineStr">
        <is>
          <t>HEBY</t>
        </is>
      </c>
      <c r="G853" t="n">
        <v>1.7</v>
      </c>
      <c r="H853" t="n">
        <v>0</v>
      </c>
      <c r="I853" t="n">
        <v>0</v>
      </c>
      <c r="J853" t="n">
        <v>0</v>
      </c>
      <c r="K853" t="n">
        <v>0</v>
      </c>
      <c r="L853" t="n">
        <v>0</v>
      </c>
      <c r="M853" t="n">
        <v>0</v>
      </c>
      <c r="N853" t="n">
        <v>0</v>
      </c>
      <c r="O853" t="n">
        <v>0</v>
      </c>
      <c r="P853" t="n">
        <v>0</v>
      </c>
      <c r="Q853" t="n">
        <v>0</v>
      </c>
      <c r="R853" s="2" t="inlineStr"/>
    </row>
    <row r="854" ht="15" customHeight="1">
      <c r="A854" t="inlineStr">
        <is>
          <t>A 26366-2019</t>
        </is>
      </c>
      <c r="B854" s="1" t="n">
        <v>43612</v>
      </c>
      <c r="C854" s="1" t="n">
        <v>45792</v>
      </c>
      <c r="D854" t="inlineStr">
        <is>
          <t>UPPSALA LÄN</t>
        </is>
      </c>
      <c r="E854" t="inlineStr">
        <is>
          <t>TIERP</t>
        </is>
      </c>
      <c r="G854" t="n">
        <v>2.2</v>
      </c>
      <c r="H854" t="n">
        <v>0</v>
      </c>
      <c r="I854" t="n">
        <v>0</v>
      </c>
      <c r="J854" t="n">
        <v>0</v>
      </c>
      <c r="K854" t="n">
        <v>0</v>
      </c>
      <c r="L854" t="n">
        <v>0</v>
      </c>
      <c r="M854" t="n">
        <v>0</v>
      </c>
      <c r="N854" t="n">
        <v>0</v>
      </c>
      <c r="O854" t="n">
        <v>0</v>
      </c>
      <c r="P854" t="n">
        <v>0</v>
      </c>
      <c r="Q854" t="n">
        <v>0</v>
      </c>
      <c r="R854" s="2" t="inlineStr"/>
    </row>
    <row r="855" ht="15" customHeight="1">
      <c r="A855" t="inlineStr">
        <is>
          <t>A 26562-2019</t>
        </is>
      </c>
      <c r="B855" s="1" t="n">
        <v>43612</v>
      </c>
      <c r="C855" s="1" t="n">
        <v>45792</v>
      </c>
      <c r="D855" t="inlineStr">
        <is>
          <t>UPPSALA LÄN</t>
        </is>
      </c>
      <c r="E855" t="inlineStr">
        <is>
          <t>ÖSTHAMMAR</t>
        </is>
      </c>
      <c r="G855" t="n">
        <v>3.2</v>
      </c>
      <c r="H855" t="n">
        <v>0</v>
      </c>
      <c r="I855" t="n">
        <v>0</v>
      </c>
      <c r="J855" t="n">
        <v>0</v>
      </c>
      <c r="K855" t="n">
        <v>0</v>
      </c>
      <c r="L855" t="n">
        <v>0</v>
      </c>
      <c r="M855" t="n">
        <v>0</v>
      </c>
      <c r="N855" t="n">
        <v>0</v>
      </c>
      <c r="O855" t="n">
        <v>0</v>
      </c>
      <c r="P855" t="n">
        <v>0</v>
      </c>
      <c r="Q855" t="n">
        <v>0</v>
      </c>
      <c r="R855" s="2" t="inlineStr"/>
    </row>
    <row r="856" ht="15" customHeight="1">
      <c r="A856" t="inlineStr">
        <is>
          <t>A 26371-2019</t>
        </is>
      </c>
      <c r="B856" s="1" t="n">
        <v>43612</v>
      </c>
      <c r="C856" s="1" t="n">
        <v>45792</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26926-2019</t>
        </is>
      </c>
      <c r="B857" s="1" t="n">
        <v>43613</v>
      </c>
      <c r="C857" s="1" t="n">
        <v>45792</v>
      </c>
      <c r="D857" t="inlineStr">
        <is>
          <t>UPPSALA LÄN</t>
        </is>
      </c>
      <c r="E857" t="inlineStr">
        <is>
          <t>ENKÖPING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26724-2019</t>
        </is>
      </c>
      <c r="B858" s="1" t="n">
        <v>43613</v>
      </c>
      <c r="C858" s="1" t="n">
        <v>45792</v>
      </c>
      <c r="D858" t="inlineStr">
        <is>
          <t>UPPSALA LÄN</t>
        </is>
      </c>
      <c r="E858" t="inlineStr">
        <is>
          <t>ÖSTHAMMAR</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26796-2019</t>
        </is>
      </c>
      <c r="B859" s="1" t="n">
        <v>43613</v>
      </c>
      <c r="C859" s="1" t="n">
        <v>45792</v>
      </c>
      <c r="D859" t="inlineStr">
        <is>
          <t>UPPSALA LÄN</t>
        </is>
      </c>
      <c r="E859" t="inlineStr">
        <is>
          <t>ÖSTHAMMAR</t>
        </is>
      </c>
      <c r="F859" t="inlineStr">
        <is>
          <t>Bergvik skog öst AB</t>
        </is>
      </c>
      <c r="G859" t="n">
        <v>4.4</v>
      </c>
      <c r="H859" t="n">
        <v>0</v>
      </c>
      <c r="I859" t="n">
        <v>0</v>
      </c>
      <c r="J859" t="n">
        <v>0</v>
      </c>
      <c r="K859" t="n">
        <v>0</v>
      </c>
      <c r="L859" t="n">
        <v>0</v>
      </c>
      <c r="M859" t="n">
        <v>0</v>
      </c>
      <c r="N859" t="n">
        <v>0</v>
      </c>
      <c r="O859" t="n">
        <v>0</v>
      </c>
      <c r="P859" t="n">
        <v>0</v>
      </c>
      <c r="Q859" t="n">
        <v>0</v>
      </c>
      <c r="R859" s="2" t="inlineStr"/>
    </row>
    <row r="860" ht="15" customHeight="1">
      <c r="A860" t="inlineStr">
        <is>
          <t>A 27277-2019</t>
        </is>
      </c>
      <c r="B860" s="1" t="n">
        <v>43615</v>
      </c>
      <c r="C860" s="1" t="n">
        <v>45792</v>
      </c>
      <c r="D860" t="inlineStr">
        <is>
          <t>UPPSALA LÄN</t>
        </is>
      </c>
      <c r="E860" t="inlineStr">
        <is>
          <t>HEBY</t>
        </is>
      </c>
      <c r="G860" t="n">
        <v>1.5</v>
      </c>
      <c r="H860" t="n">
        <v>0</v>
      </c>
      <c r="I860" t="n">
        <v>0</v>
      </c>
      <c r="J860" t="n">
        <v>0</v>
      </c>
      <c r="K860" t="n">
        <v>0</v>
      </c>
      <c r="L860" t="n">
        <v>0</v>
      </c>
      <c r="M860" t="n">
        <v>0</v>
      </c>
      <c r="N860" t="n">
        <v>0</v>
      </c>
      <c r="O860" t="n">
        <v>0</v>
      </c>
      <c r="P860" t="n">
        <v>0</v>
      </c>
      <c r="Q860" t="n">
        <v>0</v>
      </c>
      <c r="R860" s="2" t="inlineStr"/>
    </row>
    <row r="861" ht="15" customHeight="1">
      <c r="A861" t="inlineStr">
        <is>
          <t>A 27458-2019</t>
        </is>
      </c>
      <c r="B861" s="1" t="n">
        <v>43618</v>
      </c>
      <c r="C861" s="1" t="n">
        <v>45792</v>
      </c>
      <c r="D861" t="inlineStr">
        <is>
          <t>UPPSALA LÄN</t>
        </is>
      </c>
      <c r="E861" t="inlineStr">
        <is>
          <t>ÖSTHAMMAR</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28134-2019</t>
        </is>
      </c>
      <c r="B862" s="1" t="n">
        <v>43621</v>
      </c>
      <c r="C862" s="1" t="n">
        <v>45792</v>
      </c>
      <c r="D862" t="inlineStr">
        <is>
          <t>UPPSALA LÄN</t>
        </is>
      </c>
      <c r="E862" t="inlineStr">
        <is>
          <t>ENKÖPING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29204-2019</t>
        </is>
      </c>
      <c r="B863" s="1" t="n">
        <v>43623</v>
      </c>
      <c r="C863" s="1" t="n">
        <v>45792</v>
      </c>
      <c r="D863" t="inlineStr">
        <is>
          <t>UPPSALA LÄN</t>
        </is>
      </c>
      <c r="E863" t="inlineStr">
        <is>
          <t>ÖSTHAMMAR</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28551-2019</t>
        </is>
      </c>
      <c r="B864" s="1" t="n">
        <v>43626</v>
      </c>
      <c r="C864" s="1" t="n">
        <v>45792</v>
      </c>
      <c r="D864" t="inlineStr">
        <is>
          <t>UPPSALA LÄN</t>
        </is>
      </c>
      <c r="E864" t="inlineStr">
        <is>
          <t>KNIVSTA</t>
        </is>
      </c>
      <c r="G864" t="n">
        <v>11.1</v>
      </c>
      <c r="H864" t="n">
        <v>0</v>
      </c>
      <c r="I864" t="n">
        <v>0</v>
      </c>
      <c r="J864" t="n">
        <v>0</v>
      </c>
      <c r="K864" t="n">
        <v>0</v>
      </c>
      <c r="L864" t="n">
        <v>0</v>
      </c>
      <c r="M864" t="n">
        <v>0</v>
      </c>
      <c r="N864" t="n">
        <v>0</v>
      </c>
      <c r="O864" t="n">
        <v>0</v>
      </c>
      <c r="P864" t="n">
        <v>0</v>
      </c>
      <c r="Q864" t="n">
        <v>0</v>
      </c>
      <c r="R864" s="2" t="inlineStr"/>
    </row>
    <row r="865" ht="15" customHeight="1">
      <c r="A865" t="inlineStr">
        <is>
          <t>A 29105-2019</t>
        </is>
      </c>
      <c r="B865" s="1" t="n">
        <v>43628</v>
      </c>
      <c r="C865" s="1" t="n">
        <v>45792</v>
      </c>
      <c r="D865" t="inlineStr">
        <is>
          <t>UPPSALA LÄN</t>
        </is>
      </c>
      <c r="E865" t="inlineStr">
        <is>
          <t>UPPSALA</t>
        </is>
      </c>
      <c r="G865" t="n">
        <v>2.1</v>
      </c>
      <c r="H865" t="n">
        <v>0</v>
      </c>
      <c r="I865" t="n">
        <v>0</v>
      </c>
      <c r="J865" t="n">
        <v>0</v>
      </c>
      <c r="K865" t="n">
        <v>0</v>
      </c>
      <c r="L865" t="n">
        <v>0</v>
      </c>
      <c r="M865" t="n">
        <v>0</v>
      </c>
      <c r="N865" t="n">
        <v>0</v>
      </c>
      <c r="O865" t="n">
        <v>0</v>
      </c>
      <c r="P865" t="n">
        <v>0</v>
      </c>
      <c r="Q865" t="n">
        <v>0</v>
      </c>
      <c r="R865" s="2" t="inlineStr"/>
    </row>
    <row r="866" ht="15" customHeight="1">
      <c r="A866" t="inlineStr">
        <is>
          <t>A 29183-2019</t>
        </is>
      </c>
      <c r="B866" s="1" t="n">
        <v>43628</v>
      </c>
      <c r="C866" s="1" t="n">
        <v>45792</v>
      </c>
      <c r="D866" t="inlineStr">
        <is>
          <t>UPPSALA LÄN</t>
        </is>
      </c>
      <c r="E866" t="inlineStr">
        <is>
          <t>UPPSALA</t>
        </is>
      </c>
      <c r="F866" t="inlineStr">
        <is>
          <t>Allmännings- och besparingsskogar</t>
        </is>
      </c>
      <c r="G866" t="n">
        <v>6.3</v>
      </c>
      <c r="H866" t="n">
        <v>0</v>
      </c>
      <c r="I866" t="n">
        <v>0</v>
      </c>
      <c r="J866" t="n">
        <v>0</v>
      </c>
      <c r="K866" t="n">
        <v>0</v>
      </c>
      <c r="L866" t="n">
        <v>0</v>
      </c>
      <c r="M866" t="n">
        <v>0</v>
      </c>
      <c r="N866" t="n">
        <v>0</v>
      </c>
      <c r="O866" t="n">
        <v>0</v>
      </c>
      <c r="P866" t="n">
        <v>0</v>
      </c>
      <c r="Q866" t="n">
        <v>0</v>
      </c>
      <c r="R866" s="2" t="inlineStr"/>
    </row>
    <row r="867" ht="15" customHeight="1">
      <c r="A867" t="inlineStr">
        <is>
          <t>A 29081-2019</t>
        </is>
      </c>
      <c r="B867" s="1" t="n">
        <v>43628</v>
      </c>
      <c r="C867" s="1" t="n">
        <v>45792</v>
      </c>
      <c r="D867" t="inlineStr">
        <is>
          <t>UPPSALA LÄN</t>
        </is>
      </c>
      <c r="E867" t="inlineStr">
        <is>
          <t>UPPSALA</t>
        </is>
      </c>
      <c r="G867" t="n">
        <v>8.4</v>
      </c>
      <c r="H867" t="n">
        <v>0</v>
      </c>
      <c r="I867" t="n">
        <v>0</v>
      </c>
      <c r="J867" t="n">
        <v>0</v>
      </c>
      <c r="K867" t="n">
        <v>0</v>
      </c>
      <c r="L867" t="n">
        <v>0</v>
      </c>
      <c r="M867" t="n">
        <v>0</v>
      </c>
      <c r="N867" t="n">
        <v>0</v>
      </c>
      <c r="O867" t="n">
        <v>0</v>
      </c>
      <c r="P867" t="n">
        <v>0</v>
      </c>
      <c r="Q867" t="n">
        <v>0</v>
      </c>
      <c r="R867" s="2" t="inlineStr"/>
    </row>
    <row r="868" ht="15" customHeight="1">
      <c r="A868" t="inlineStr">
        <is>
          <t>A 29637-2019</t>
        </is>
      </c>
      <c r="B868" s="1" t="n">
        <v>43628</v>
      </c>
      <c r="C868" s="1" t="n">
        <v>45792</v>
      </c>
      <c r="D868" t="inlineStr">
        <is>
          <t>UPPSALA LÄN</t>
        </is>
      </c>
      <c r="E868" t="inlineStr">
        <is>
          <t>HEBY</t>
        </is>
      </c>
      <c r="G868" t="n">
        <v>2.4</v>
      </c>
      <c r="H868" t="n">
        <v>0</v>
      </c>
      <c r="I868" t="n">
        <v>0</v>
      </c>
      <c r="J868" t="n">
        <v>0</v>
      </c>
      <c r="K868" t="n">
        <v>0</v>
      </c>
      <c r="L868" t="n">
        <v>0</v>
      </c>
      <c r="M868" t="n">
        <v>0</v>
      </c>
      <c r="N868" t="n">
        <v>0</v>
      </c>
      <c r="O868" t="n">
        <v>0</v>
      </c>
      <c r="P868" t="n">
        <v>0</v>
      </c>
      <c r="Q868" t="n">
        <v>0</v>
      </c>
      <c r="R868" s="2" t="inlineStr"/>
    </row>
    <row r="869" ht="15" customHeight="1">
      <c r="A869" t="inlineStr">
        <is>
          <t>A 29719-2019</t>
        </is>
      </c>
      <c r="B869" s="1" t="n">
        <v>43630</v>
      </c>
      <c r="C869" s="1" t="n">
        <v>45792</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29713-2019</t>
        </is>
      </c>
      <c r="B870" s="1" t="n">
        <v>43630</v>
      </c>
      <c r="C870" s="1" t="n">
        <v>45792</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29792-2019</t>
        </is>
      </c>
      <c r="B871" s="1" t="n">
        <v>43633</v>
      </c>
      <c r="C871" s="1" t="n">
        <v>45792</v>
      </c>
      <c r="D871" t="inlineStr">
        <is>
          <t>UPPSALA LÄN</t>
        </is>
      </c>
      <c r="E871" t="inlineStr">
        <is>
          <t>TIERP</t>
        </is>
      </c>
      <c r="F871" t="inlineStr">
        <is>
          <t>Bergvik skog väst AB</t>
        </is>
      </c>
      <c r="G871" t="n">
        <v>0.9</v>
      </c>
      <c r="H871" t="n">
        <v>0</v>
      </c>
      <c r="I871" t="n">
        <v>0</v>
      </c>
      <c r="J871" t="n">
        <v>0</v>
      </c>
      <c r="K871" t="n">
        <v>0</v>
      </c>
      <c r="L871" t="n">
        <v>0</v>
      </c>
      <c r="M871" t="n">
        <v>0</v>
      </c>
      <c r="N871" t="n">
        <v>0</v>
      </c>
      <c r="O871" t="n">
        <v>0</v>
      </c>
      <c r="P871" t="n">
        <v>0</v>
      </c>
      <c r="Q871" t="n">
        <v>0</v>
      </c>
      <c r="R871" s="2" t="inlineStr"/>
    </row>
    <row r="872" ht="15" customHeight="1">
      <c r="A872" t="inlineStr">
        <is>
          <t>A 29954-2019</t>
        </is>
      </c>
      <c r="B872" s="1" t="n">
        <v>43633</v>
      </c>
      <c r="C872" s="1" t="n">
        <v>45792</v>
      </c>
      <c r="D872" t="inlineStr">
        <is>
          <t>UPPSALA LÄN</t>
        </is>
      </c>
      <c r="E872" t="inlineStr">
        <is>
          <t>HEBY</t>
        </is>
      </c>
      <c r="F872" t="inlineStr">
        <is>
          <t>Bergvik skog väst AB</t>
        </is>
      </c>
      <c r="G872" t="n">
        <v>4.8</v>
      </c>
      <c r="H872" t="n">
        <v>0</v>
      </c>
      <c r="I872" t="n">
        <v>0</v>
      </c>
      <c r="J872" t="n">
        <v>0</v>
      </c>
      <c r="K872" t="n">
        <v>0</v>
      </c>
      <c r="L872" t="n">
        <v>0</v>
      </c>
      <c r="M872" t="n">
        <v>0</v>
      </c>
      <c r="N872" t="n">
        <v>0</v>
      </c>
      <c r="O872" t="n">
        <v>0</v>
      </c>
      <c r="P872" t="n">
        <v>0</v>
      </c>
      <c r="Q872" t="n">
        <v>0</v>
      </c>
      <c r="R872" s="2" t="inlineStr"/>
    </row>
    <row r="873" ht="15" customHeight="1">
      <c r="A873" t="inlineStr">
        <is>
          <t>A 30036-2019</t>
        </is>
      </c>
      <c r="B873" s="1" t="n">
        <v>43633</v>
      </c>
      <c r="C873" s="1" t="n">
        <v>45792</v>
      </c>
      <c r="D873" t="inlineStr">
        <is>
          <t>UPPSALA LÄN</t>
        </is>
      </c>
      <c r="E873" t="inlineStr">
        <is>
          <t>ENKÖPING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29979-2019</t>
        </is>
      </c>
      <c r="B874" s="1" t="n">
        <v>43633</v>
      </c>
      <c r="C874" s="1" t="n">
        <v>45792</v>
      </c>
      <c r="D874" t="inlineStr">
        <is>
          <t>UPPSALA LÄN</t>
        </is>
      </c>
      <c r="E874" t="inlineStr">
        <is>
          <t>ENKÖPING</t>
        </is>
      </c>
      <c r="G874" t="n">
        <v>2.3</v>
      </c>
      <c r="H874" t="n">
        <v>0</v>
      </c>
      <c r="I874" t="n">
        <v>0</v>
      </c>
      <c r="J874" t="n">
        <v>0</v>
      </c>
      <c r="K874" t="n">
        <v>0</v>
      </c>
      <c r="L874" t="n">
        <v>0</v>
      </c>
      <c r="M874" t="n">
        <v>0</v>
      </c>
      <c r="N874" t="n">
        <v>0</v>
      </c>
      <c r="O874" t="n">
        <v>0</v>
      </c>
      <c r="P874" t="n">
        <v>0</v>
      </c>
      <c r="Q874" t="n">
        <v>0</v>
      </c>
      <c r="R874" s="2" t="inlineStr"/>
    </row>
    <row r="875" ht="15" customHeight="1">
      <c r="A875" t="inlineStr">
        <is>
          <t>A 31106-2019</t>
        </is>
      </c>
      <c r="B875" s="1" t="n">
        <v>43635</v>
      </c>
      <c r="C875" s="1" t="n">
        <v>45792</v>
      </c>
      <c r="D875" t="inlineStr">
        <is>
          <t>UPPSALA LÄN</t>
        </is>
      </c>
      <c r="E875" t="inlineStr">
        <is>
          <t>ÖSTHAMMAR</t>
        </is>
      </c>
      <c r="F875" t="inlineStr">
        <is>
          <t>Övriga statliga verk och myndigheter</t>
        </is>
      </c>
      <c r="G875" t="n">
        <v>1.5</v>
      </c>
      <c r="H875" t="n">
        <v>0</v>
      </c>
      <c r="I875" t="n">
        <v>0</v>
      </c>
      <c r="J875" t="n">
        <v>0</v>
      </c>
      <c r="K875" t="n">
        <v>0</v>
      </c>
      <c r="L875" t="n">
        <v>0</v>
      </c>
      <c r="M875" t="n">
        <v>0</v>
      </c>
      <c r="N875" t="n">
        <v>0</v>
      </c>
      <c r="O875" t="n">
        <v>0</v>
      </c>
      <c r="P875" t="n">
        <v>0</v>
      </c>
      <c r="Q875" t="n">
        <v>0</v>
      </c>
      <c r="R875" s="2" t="inlineStr"/>
    </row>
    <row r="876" ht="15" customHeight="1">
      <c r="A876" t="inlineStr">
        <is>
          <t>A 30838-2019</t>
        </is>
      </c>
      <c r="B876" s="1" t="n">
        <v>43636</v>
      </c>
      <c r="C876" s="1" t="n">
        <v>45792</v>
      </c>
      <c r="D876" t="inlineStr">
        <is>
          <t>UPPSALA LÄN</t>
        </is>
      </c>
      <c r="E876" t="inlineStr">
        <is>
          <t>HEBY</t>
        </is>
      </c>
      <c r="G876" t="n">
        <v>5.4</v>
      </c>
      <c r="H876" t="n">
        <v>0</v>
      </c>
      <c r="I876" t="n">
        <v>0</v>
      </c>
      <c r="J876" t="n">
        <v>0</v>
      </c>
      <c r="K876" t="n">
        <v>0</v>
      </c>
      <c r="L876" t="n">
        <v>0</v>
      </c>
      <c r="M876" t="n">
        <v>0</v>
      </c>
      <c r="N876" t="n">
        <v>0</v>
      </c>
      <c r="O876" t="n">
        <v>0</v>
      </c>
      <c r="P876" t="n">
        <v>0</v>
      </c>
      <c r="Q876" t="n">
        <v>0</v>
      </c>
      <c r="R876" s="2" t="inlineStr"/>
    </row>
    <row r="877" ht="15" customHeight="1">
      <c r="A877" t="inlineStr">
        <is>
          <t>A 31081-2019</t>
        </is>
      </c>
      <c r="B877" s="1" t="n">
        <v>43640</v>
      </c>
      <c r="C877" s="1" t="n">
        <v>45792</v>
      </c>
      <c r="D877" t="inlineStr">
        <is>
          <t>UPPSALA LÄN</t>
        </is>
      </c>
      <c r="E877" t="inlineStr">
        <is>
          <t>ENKÖPING</t>
        </is>
      </c>
      <c r="G877" t="n">
        <v>3.1</v>
      </c>
      <c r="H877" t="n">
        <v>0</v>
      </c>
      <c r="I877" t="n">
        <v>0</v>
      </c>
      <c r="J877" t="n">
        <v>0</v>
      </c>
      <c r="K877" t="n">
        <v>0</v>
      </c>
      <c r="L877" t="n">
        <v>0</v>
      </c>
      <c r="M877" t="n">
        <v>0</v>
      </c>
      <c r="N877" t="n">
        <v>0</v>
      </c>
      <c r="O877" t="n">
        <v>0</v>
      </c>
      <c r="P877" t="n">
        <v>0</v>
      </c>
      <c r="Q877" t="n">
        <v>0</v>
      </c>
      <c r="R877" s="2" t="inlineStr"/>
    </row>
    <row r="878" ht="15" customHeight="1">
      <c r="A878" t="inlineStr">
        <is>
          <t>A 31074-2019</t>
        </is>
      </c>
      <c r="B878" s="1" t="n">
        <v>43640</v>
      </c>
      <c r="C878" s="1" t="n">
        <v>45792</v>
      </c>
      <c r="D878" t="inlineStr">
        <is>
          <t>UPPSALA LÄN</t>
        </is>
      </c>
      <c r="E878" t="inlineStr">
        <is>
          <t>ENKÖPING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31438-2019</t>
        </is>
      </c>
      <c r="B879" s="1" t="n">
        <v>43641</v>
      </c>
      <c r="C879" s="1" t="n">
        <v>45792</v>
      </c>
      <c r="D879" t="inlineStr">
        <is>
          <t>UPPSALA LÄN</t>
        </is>
      </c>
      <c r="E879" t="inlineStr">
        <is>
          <t>HEBY</t>
        </is>
      </c>
      <c r="G879" t="n">
        <v>1.6</v>
      </c>
      <c r="H879" t="n">
        <v>0</v>
      </c>
      <c r="I879" t="n">
        <v>0</v>
      </c>
      <c r="J879" t="n">
        <v>0</v>
      </c>
      <c r="K879" t="n">
        <v>0</v>
      </c>
      <c r="L879" t="n">
        <v>0</v>
      </c>
      <c r="M879" t="n">
        <v>0</v>
      </c>
      <c r="N879" t="n">
        <v>0</v>
      </c>
      <c r="O879" t="n">
        <v>0</v>
      </c>
      <c r="P879" t="n">
        <v>0</v>
      </c>
      <c r="Q879" t="n">
        <v>0</v>
      </c>
      <c r="R879" s="2" t="inlineStr"/>
    </row>
    <row r="880" ht="15" customHeight="1">
      <c r="A880" t="inlineStr">
        <is>
          <t>A 31319-2019</t>
        </is>
      </c>
      <c r="B880" s="1" t="n">
        <v>43641</v>
      </c>
      <c r="C880" s="1" t="n">
        <v>45792</v>
      </c>
      <c r="D880" t="inlineStr">
        <is>
          <t>UPPSALA LÄN</t>
        </is>
      </c>
      <c r="E880" t="inlineStr">
        <is>
          <t>TIERP</t>
        </is>
      </c>
      <c r="F880" t="inlineStr">
        <is>
          <t>Bergvik skog väst AB</t>
        </is>
      </c>
      <c r="G880" t="n">
        <v>0.6</v>
      </c>
      <c r="H880" t="n">
        <v>0</v>
      </c>
      <c r="I880" t="n">
        <v>0</v>
      </c>
      <c r="J880" t="n">
        <v>0</v>
      </c>
      <c r="K880" t="n">
        <v>0</v>
      </c>
      <c r="L880" t="n">
        <v>0</v>
      </c>
      <c r="M880" t="n">
        <v>0</v>
      </c>
      <c r="N880" t="n">
        <v>0</v>
      </c>
      <c r="O880" t="n">
        <v>0</v>
      </c>
      <c r="P880" t="n">
        <v>0</v>
      </c>
      <c r="Q880" t="n">
        <v>0</v>
      </c>
      <c r="R880" s="2" t="inlineStr"/>
    </row>
    <row r="881" ht="15" customHeight="1">
      <c r="A881" t="inlineStr">
        <is>
          <t>A 31436-2019</t>
        </is>
      </c>
      <c r="B881" s="1" t="n">
        <v>43641</v>
      </c>
      <c r="C881" s="1" t="n">
        <v>45792</v>
      </c>
      <c r="D881" t="inlineStr">
        <is>
          <t>UPPSALA LÄN</t>
        </is>
      </c>
      <c r="E881" t="inlineStr">
        <is>
          <t>HEBY</t>
        </is>
      </c>
      <c r="F881" t="inlineStr">
        <is>
          <t>Bergvik skog öst AB</t>
        </is>
      </c>
      <c r="G881" t="n">
        <v>1.6</v>
      </c>
      <c r="H881" t="n">
        <v>0</v>
      </c>
      <c r="I881" t="n">
        <v>0</v>
      </c>
      <c r="J881" t="n">
        <v>0</v>
      </c>
      <c r="K881" t="n">
        <v>0</v>
      </c>
      <c r="L881" t="n">
        <v>0</v>
      </c>
      <c r="M881" t="n">
        <v>0</v>
      </c>
      <c r="N881" t="n">
        <v>0</v>
      </c>
      <c r="O881" t="n">
        <v>0</v>
      </c>
      <c r="P881" t="n">
        <v>0</v>
      </c>
      <c r="Q881" t="n">
        <v>0</v>
      </c>
      <c r="R881" s="2" t="inlineStr"/>
    </row>
    <row r="882" ht="15" customHeight="1">
      <c r="A882" t="inlineStr">
        <is>
          <t>A 31716-2019</t>
        </is>
      </c>
      <c r="B882" s="1" t="n">
        <v>43642</v>
      </c>
      <c r="C882" s="1" t="n">
        <v>45792</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31882-2019</t>
        </is>
      </c>
      <c r="B883" s="1" t="n">
        <v>43642</v>
      </c>
      <c r="C883" s="1" t="n">
        <v>45792</v>
      </c>
      <c r="D883" t="inlineStr">
        <is>
          <t>UPPSALA LÄN</t>
        </is>
      </c>
      <c r="E883" t="inlineStr">
        <is>
          <t>ÖSTHAMMAR</t>
        </is>
      </c>
      <c r="G883" t="n">
        <v>3.5</v>
      </c>
      <c r="H883" t="n">
        <v>0</v>
      </c>
      <c r="I883" t="n">
        <v>0</v>
      </c>
      <c r="J883" t="n">
        <v>0</v>
      </c>
      <c r="K883" t="n">
        <v>0</v>
      </c>
      <c r="L883" t="n">
        <v>0</v>
      </c>
      <c r="M883" t="n">
        <v>0</v>
      </c>
      <c r="N883" t="n">
        <v>0</v>
      </c>
      <c r="O883" t="n">
        <v>0</v>
      </c>
      <c r="P883" t="n">
        <v>0</v>
      </c>
      <c r="Q883" t="n">
        <v>0</v>
      </c>
      <c r="R883" s="2" t="inlineStr"/>
    </row>
    <row r="884" ht="15" customHeight="1">
      <c r="A884" t="inlineStr">
        <is>
          <t>A 31884-2019</t>
        </is>
      </c>
      <c r="B884" s="1" t="n">
        <v>43642</v>
      </c>
      <c r="C884" s="1" t="n">
        <v>45792</v>
      </c>
      <c r="D884" t="inlineStr">
        <is>
          <t>UPPSALA LÄN</t>
        </is>
      </c>
      <c r="E884" t="inlineStr">
        <is>
          <t>TIERP</t>
        </is>
      </c>
      <c r="G884" t="n">
        <v>1.9</v>
      </c>
      <c r="H884" t="n">
        <v>0</v>
      </c>
      <c r="I884" t="n">
        <v>0</v>
      </c>
      <c r="J884" t="n">
        <v>0</v>
      </c>
      <c r="K884" t="n">
        <v>0</v>
      </c>
      <c r="L884" t="n">
        <v>0</v>
      </c>
      <c r="M884" t="n">
        <v>0</v>
      </c>
      <c r="N884" t="n">
        <v>0</v>
      </c>
      <c r="O884" t="n">
        <v>0</v>
      </c>
      <c r="P884" t="n">
        <v>0</v>
      </c>
      <c r="Q884" t="n">
        <v>0</v>
      </c>
      <c r="R884" s="2" t="inlineStr"/>
    </row>
    <row r="885" ht="15" customHeight="1">
      <c r="A885" t="inlineStr">
        <is>
          <t>A 32299-2019</t>
        </is>
      </c>
      <c r="B885" s="1" t="n">
        <v>43644</v>
      </c>
      <c r="C885" s="1" t="n">
        <v>45792</v>
      </c>
      <c r="D885" t="inlineStr">
        <is>
          <t>UPPSALA LÄN</t>
        </is>
      </c>
      <c r="E885" t="inlineStr">
        <is>
          <t>HEBY</t>
        </is>
      </c>
      <c r="G885" t="n">
        <v>12.8</v>
      </c>
      <c r="H885" t="n">
        <v>0</v>
      </c>
      <c r="I885" t="n">
        <v>0</v>
      </c>
      <c r="J885" t="n">
        <v>0</v>
      </c>
      <c r="K885" t="n">
        <v>0</v>
      </c>
      <c r="L885" t="n">
        <v>0</v>
      </c>
      <c r="M885" t="n">
        <v>0</v>
      </c>
      <c r="N885" t="n">
        <v>0</v>
      </c>
      <c r="O885" t="n">
        <v>0</v>
      </c>
      <c r="P885" t="n">
        <v>0</v>
      </c>
      <c r="Q885" t="n">
        <v>0</v>
      </c>
      <c r="R885" s="2" t="inlineStr"/>
    </row>
    <row r="886" ht="15" customHeight="1">
      <c r="A886" t="inlineStr">
        <is>
          <t>A 32310-2019</t>
        </is>
      </c>
      <c r="B886" s="1" t="n">
        <v>43644</v>
      </c>
      <c r="C886" s="1" t="n">
        <v>45792</v>
      </c>
      <c r="D886" t="inlineStr">
        <is>
          <t>UPPSALA LÄN</t>
        </is>
      </c>
      <c r="E886" t="inlineStr">
        <is>
          <t>ENKÖPING</t>
        </is>
      </c>
      <c r="G886" t="n">
        <v>2.7</v>
      </c>
      <c r="H886" t="n">
        <v>0</v>
      </c>
      <c r="I886" t="n">
        <v>0</v>
      </c>
      <c r="J886" t="n">
        <v>0</v>
      </c>
      <c r="K886" t="n">
        <v>0</v>
      </c>
      <c r="L886" t="n">
        <v>0</v>
      </c>
      <c r="M886" t="n">
        <v>0</v>
      </c>
      <c r="N886" t="n">
        <v>0</v>
      </c>
      <c r="O886" t="n">
        <v>0</v>
      </c>
      <c r="P886" t="n">
        <v>0</v>
      </c>
      <c r="Q886" t="n">
        <v>0</v>
      </c>
      <c r="R886" s="2" t="inlineStr"/>
    </row>
    <row r="887" ht="15" customHeight="1">
      <c r="A887" t="inlineStr">
        <is>
          <t>A 32558-2019</t>
        </is>
      </c>
      <c r="B887" s="1" t="n">
        <v>43647</v>
      </c>
      <c r="C887" s="1" t="n">
        <v>45792</v>
      </c>
      <c r="D887" t="inlineStr">
        <is>
          <t>UPPSALA LÄN</t>
        </is>
      </c>
      <c r="E887" t="inlineStr">
        <is>
          <t>UPPSALA</t>
        </is>
      </c>
      <c r="G887" t="n">
        <v>4.2</v>
      </c>
      <c r="H887" t="n">
        <v>0</v>
      </c>
      <c r="I887" t="n">
        <v>0</v>
      </c>
      <c r="J887" t="n">
        <v>0</v>
      </c>
      <c r="K887" t="n">
        <v>0</v>
      </c>
      <c r="L887" t="n">
        <v>0</v>
      </c>
      <c r="M887" t="n">
        <v>0</v>
      </c>
      <c r="N887" t="n">
        <v>0</v>
      </c>
      <c r="O887" t="n">
        <v>0</v>
      </c>
      <c r="P887" t="n">
        <v>0</v>
      </c>
      <c r="Q887" t="n">
        <v>0</v>
      </c>
      <c r="R887" s="2" t="inlineStr"/>
    </row>
    <row r="888" ht="15" customHeight="1">
      <c r="A888" t="inlineStr">
        <is>
          <t>A 32640-2019</t>
        </is>
      </c>
      <c r="B888" s="1" t="n">
        <v>43647</v>
      </c>
      <c r="C888" s="1" t="n">
        <v>45792</v>
      </c>
      <c r="D888" t="inlineStr">
        <is>
          <t>UPPSALA LÄN</t>
        </is>
      </c>
      <c r="E888" t="inlineStr">
        <is>
          <t>ENKÖPING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32718-2019</t>
        </is>
      </c>
      <c r="B889" s="1" t="n">
        <v>43647</v>
      </c>
      <c r="C889" s="1" t="n">
        <v>45792</v>
      </c>
      <c r="D889" t="inlineStr">
        <is>
          <t>UPPSALA LÄN</t>
        </is>
      </c>
      <c r="E889" t="inlineStr">
        <is>
          <t>ÖSTHAMMAR</t>
        </is>
      </c>
      <c r="G889" t="n">
        <v>0.5</v>
      </c>
      <c r="H889" t="n">
        <v>0</v>
      </c>
      <c r="I889" t="n">
        <v>0</v>
      </c>
      <c r="J889" t="n">
        <v>0</v>
      </c>
      <c r="K889" t="n">
        <v>0</v>
      </c>
      <c r="L889" t="n">
        <v>0</v>
      </c>
      <c r="M889" t="n">
        <v>0</v>
      </c>
      <c r="N889" t="n">
        <v>0</v>
      </c>
      <c r="O889" t="n">
        <v>0</v>
      </c>
      <c r="P889" t="n">
        <v>0</v>
      </c>
      <c r="Q889" t="n">
        <v>0</v>
      </c>
      <c r="R889" s="2" t="inlineStr"/>
    </row>
    <row r="890" ht="15" customHeight="1">
      <c r="A890" t="inlineStr">
        <is>
          <t>A 34560-2019</t>
        </is>
      </c>
      <c r="B890" s="1" t="n">
        <v>43647</v>
      </c>
      <c r="C890" s="1" t="n">
        <v>45792</v>
      </c>
      <c r="D890" t="inlineStr">
        <is>
          <t>UPPSALA LÄN</t>
        </is>
      </c>
      <c r="E890" t="inlineStr">
        <is>
          <t>UPPSALA</t>
        </is>
      </c>
      <c r="G890" t="n">
        <v>8.6</v>
      </c>
      <c r="H890" t="n">
        <v>0</v>
      </c>
      <c r="I890" t="n">
        <v>0</v>
      </c>
      <c r="J890" t="n">
        <v>0</v>
      </c>
      <c r="K890" t="n">
        <v>0</v>
      </c>
      <c r="L890" t="n">
        <v>0</v>
      </c>
      <c r="M890" t="n">
        <v>0</v>
      </c>
      <c r="N890" t="n">
        <v>0</v>
      </c>
      <c r="O890" t="n">
        <v>0</v>
      </c>
      <c r="P890" t="n">
        <v>0</v>
      </c>
      <c r="Q890" t="n">
        <v>0</v>
      </c>
      <c r="R890" s="2" t="inlineStr"/>
    </row>
    <row r="891" ht="15" customHeight="1">
      <c r="A891" t="inlineStr">
        <is>
          <t>A 32830-2019</t>
        </is>
      </c>
      <c r="B891" s="1" t="n">
        <v>43648</v>
      </c>
      <c r="C891" s="1" t="n">
        <v>45792</v>
      </c>
      <c r="D891" t="inlineStr">
        <is>
          <t>UPPSALA LÄN</t>
        </is>
      </c>
      <c r="E891" t="inlineStr">
        <is>
          <t>UPPSALA</t>
        </is>
      </c>
      <c r="G891" t="n">
        <v>13.6</v>
      </c>
      <c r="H891" t="n">
        <v>0</v>
      </c>
      <c r="I891" t="n">
        <v>0</v>
      </c>
      <c r="J891" t="n">
        <v>0</v>
      </c>
      <c r="K891" t="n">
        <v>0</v>
      </c>
      <c r="L891" t="n">
        <v>0</v>
      </c>
      <c r="M891" t="n">
        <v>0</v>
      </c>
      <c r="N891" t="n">
        <v>0</v>
      </c>
      <c r="O891" t="n">
        <v>0</v>
      </c>
      <c r="P891" t="n">
        <v>0</v>
      </c>
      <c r="Q891" t="n">
        <v>0</v>
      </c>
      <c r="R891" s="2" t="inlineStr"/>
    </row>
    <row r="892" ht="15" customHeight="1">
      <c r="A892" t="inlineStr">
        <is>
          <t>A 33339-2019</t>
        </is>
      </c>
      <c r="B892" s="1" t="n">
        <v>43650</v>
      </c>
      <c r="C892" s="1" t="n">
        <v>45792</v>
      </c>
      <c r="D892" t="inlineStr">
        <is>
          <t>UPPSALA LÄN</t>
        </is>
      </c>
      <c r="E892" t="inlineStr">
        <is>
          <t>ENKÖPING</t>
        </is>
      </c>
      <c r="G892" t="n">
        <v>3.3</v>
      </c>
      <c r="H892" t="n">
        <v>0</v>
      </c>
      <c r="I892" t="n">
        <v>0</v>
      </c>
      <c r="J892" t="n">
        <v>0</v>
      </c>
      <c r="K892" t="n">
        <v>0</v>
      </c>
      <c r="L892" t="n">
        <v>0</v>
      </c>
      <c r="M892" t="n">
        <v>0</v>
      </c>
      <c r="N892" t="n">
        <v>0</v>
      </c>
      <c r="O892" t="n">
        <v>0</v>
      </c>
      <c r="P892" t="n">
        <v>0</v>
      </c>
      <c r="Q892" t="n">
        <v>0</v>
      </c>
      <c r="R892" s="2" t="inlineStr"/>
    </row>
    <row r="893" ht="15" customHeight="1">
      <c r="A893" t="inlineStr">
        <is>
          <t>A 33532-2019</t>
        </is>
      </c>
      <c r="B893" s="1" t="n">
        <v>43651</v>
      </c>
      <c r="C893" s="1" t="n">
        <v>45792</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33544-2019</t>
        </is>
      </c>
      <c r="B894" s="1" t="n">
        <v>43651</v>
      </c>
      <c r="C894" s="1" t="n">
        <v>45792</v>
      </c>
      <c r="D894" t="inlineStr">
        <is>
          <t>UPPSALA LÄN</t>
        </is>
      </c>
      <c r="E894" t="inlineStr">
        <is>
          <t>ÖSTHAMMAR</t>
        </is>
      </c>
      <c r="G894" t="n">
        <v>4.3</v>
      </c>
      <c r="H894" t="n">
        <v>0</v>
      </c>
      <c r="I894" t="n">
        <v>0</v>
      </c>
      <c r="J894" t="n">
        <v>0</v>
      </c>
      <c r="K894" t="n">
        <v>0</v>
      </c>
      <c r="L894" t="n">
        <v>0</v>
      </c>
      <c r="M894" t="n">
        <v>0</v>
      </c>
      <c r="N894" t="n">
        <v>0</v>
      </c>
      <c r="O894" t="n">
        <v>0</v>
      </c>
      <c r="P894" t="n">
        <v>0</v>
      </c>
      <c r="Q894" t="n">
        <v>0</v>
      </c>
      <c r="R894" s="2" t="inlineStr"/>
    </row>
    <row r="895" ht="15" customHeight="1">
      <c r="A895" t="inlineStr">
        <is>
          <t>A 33602-2019</t>
        </is>
      </c>
      <c r="B895" s="1" t="n">
        <v>43651</v>
      </c>
      <c r="C895" s="1" t="n">
        <v>45792</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33539-2019</t>
        </is>
      </c>
      <c r="B896" s="1" t="n">
        <v>43651</v>
      </c>
      <c r="C896" s="1" t="n">
        <v>45792</v>
      </c>
      <c r="D896" t="inlineStr">
        <is>
          <t>UPPSALA LÄN</t>
        </is>
      </c>
      <c r="E896" t="inlineStr">
        <is>
          <t>ÖSTHAMMAR</t>
        </is>
      </c>
      <c r="G896" t="n">
        <v>4.6</v>
      </c>
      <c r="H896" t="n">
        <v>0</v>
      </c>
      <c r="I896" t="n">
        <v>0</v>
      </c>
      <c r="J896" t="n">
        <v>0</v>
      </c>
      <c r="K896" t="n">
        <v>0</v>
      </c>
      <c r="L896" t="n">
        <v>0</v>
      </c>
      <c r="M896" t="n">
        <v>0</v>
      </c>
      <c r="N896" t="n">
        <v>0</v>
      </c>
      <c r="O896" t="n">
        <v>0</v>
      </c>
      <c r="P896" t="n">
        <v>0</v>
      </c>
      <c r="Q896" t="n">
        <v>0</v>
      </c>
      <c r="R896" s="2" t="inlineStr"/>
    </row>
    <row r="897" ht="15" customHeight="1">
      <c r="A897" t="inlineStr">
        <is>
          <t>A 33551-2019</t>
        </is>
      </c>
      <c r="B897" s="1" t="n">
        <v>43651</v>
      </c>
      <c r="C897" s="1" t="n">
        <v>45792</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33575-2019</t>
        </is>
      </c>
      <c r="B898" s="1" t="n">
        <v>43651</v>
      </c>
      <c r="C898" s="1" t="n">
        <v>45792</v>
      </c>
      <c r="D898" t="inlineStr">
        <is>
          <t>UPPSALA LÄN</t>
        </is>
      </c>
      <c r="E898" t="inlineStr">
        <is>
          <t>HEBY</t>
        </is>
      </c>
      <c r="G898" t="n">
        <v>0.8</v>
      </c>
      <c r="H898" t="n">
        <v>0</v>
      </c>
      <c r="I898" t="n">
        <v>0</v>
      </c>
      <c r="J898" t="n">
        <v>0</v>
      </c>
      <c r="K898" t="n">
        <v>0</v>
      </c>
      <c r="L898" t="n">
        <v>0</v>
      </c>
      <c r="M898" t="n">
        <v>0</v>
      </c>
      <c r="N898" t="n">
        <v>0</v>
      </c>
      <c r="O898" t="n">
        <v>0</v>
      </c>
      <c r="P898" t="n">
        <v>0</v>
      </c>
      <c r="Q898" t="n">
        <v>0</v>
      </c>
      <c r="R898" s="2" t="inlineStr"/>
    </row>
    <row r="899" ht="15" customHeight="1">
      <c r="A899" t="inlineStr">
        <is>
          <t>A 33584-2019</t>
        </is>
      </c>
      <c r="B899" s="1" t="n">
        <v>43651</v>
      </c>
      <c r="C899" s="1" t="n">
        <v>45792</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33614-2019</t>
        </is>
      </c>
      <c r="B900" s="1" t="n">
        <v>43651</v>
      </c>
      <c r="C900" s="1" t="n">
        <v>45792</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33670-2019</t>
        </is>
      </c>
      <c r="B901" s="1" t="n">
        <v>43651</v>
      </c>
      <c r="C901" s="1" t="n">
        <v>45792</v>
      </c>
      <c r="D901" t="inlineStr">
        <is>
          <t>UPPSALA LÄN</t>
        </is>
      </c>
      <c r="E901" t="inlineStr">
        <is>
          <t>TIERP</t>
        </is>
      </c>
      <c r="F901" t="inlineStr">
        <is>
          <t>Bergvik skog öst AB</t>
        </is>
      </c>
      <c r="G901" t="n">
        <v>1.9</v>
      </c>
      <c r="H901" t="n">
        <v>0</v>
      </c>
      <c r="I901" t="n">
        <v>0</v>
      </c>
      <c r="J901" t="n">
        <v>0</v>
      </c>
      <c r="K901" t="n">
        <v>0</v>
      </c>
      <c r="L901" t="n">
        <v>0</v>
      </c>
      <c r="M901" t="n">
        <v>0</v>
      </c>
      <c r="N901" t="n">
        <v>0</v>
      </c>
      <c r="O901" t="n">
        <v>0</v>
      </c>
      <c r="P901" t="n">
        <v>0</v>
      </c>
      <c r="Q901" t="n">
        <v>0</v>
      </c>
      <c r="R901" s="2" t="inlineStr"/>
    </row>
    <row r="902" ht="15" customHeight="1">
      <c r="A902" t="inlineStr">
        <is>
          <t>A 33615-2019</t>
        </is>
      </c>
      <c r="B902" s="1" t="n">
        <v>43651</v>
      </c>
      <c r="C902" s="1" t="n">
        <v>45792</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33596-2019</t>
        </is>
      </c>
      <c r="B903" s="1" t="n">
        <v>43651</v>
      </c>
      <c r="C903" s="1" t="n">
        <v>45792</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33784-2019</t>
        </is>
      </c>
      <c r="B904" s="1" t="n">
        <v>43651</v>
      </c>
      <c r="C904" s="1" t="n">
        <v>45792</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33932-2019</t>
        </is>
      </c>
      <c r="B905" s="1" t="n">
        <v>43654</v>
      </c>
      <c r="C905" s="1" t="n">
        <v>45792</v>
      </c>
      <c r="D905" t="inlineStr">
        <is>
          <t>UPPSALA LÄN</t>
        </is>
      </c>
      <c r="E905" t="inlineStr">
        <is>
          <t>HEBY</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34007-2019</t>
        </is>
      </c>
      <c r="B906" s="1" t="n">
        <v>43654</v>
      </c>
      <c r="C906" s="1" t="n">
        <v>45792</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34063-2019</t>
        </is>
      </c>
      <c r="B907" s="1" t="n">
        <v>43654</v>
      </c>
      <c r="C907" s="1" t="n">
        <v>45792</v>
      </c>
      <c r="D907" t="inlineStr">
        <is>
          <t>UPPSALA LÄN</t>
        </is>
      </c>
      <c r="E907" t="inlineStr">
        <is>
          <t>UPPSALA</t>
        </is>
      </c>
      <c r="G907" t="n">
        <v>1.5</v>
      </c>
      <c r="H907" t="n">
        <v>0</v>
      </c>
      <c r="I907" t="n">
        <v>0</v>
      </c>
      <c r="J907" t="n">
        <v>0</v>
      </c>
      <c r="K907" t="n">
        <v>0</v>
      </c>
      <c r="L907" t="n">
        <v>0</v>
      </c>
      <c r="M907" t="n">
        <v>0</v>
      </c>
      <c r="N907" t="n">
        <v>0</v>
      </c>
      <c r="O907" t="n">
        <v>0</v>
      </c>
      <c r="P907" t="n">
        <v>0</v>
      </c>
      <c r="Q907" t="n">
        <v>0</v>
      </c>
      <c r="R907" s="2" t="inlineStr"/>
    </row>
    <row r="908" ht="15" customHeight="1">
      <c r="A908" t="inlineStr">
        <is>
          <t>A 34386-2019</t>
        </is>
      </c>
      <c r="B908" s="1" t="n">
        <v>43656</v>
      </c>
      <c r="C908" s="1" t="n">
        <v>45792</v>
      </c>
      <c r="D908" t="inlineStr">
        <is>
          <t>UPPSALA LÄN</t>
        </is>
      </c>
      <c r="E908" t="inlineStr">
        <is>
          <t>TIERP</t>
        </is>
      </c>
      <c r="G908" t="n">
        <v>1.5</v>
      </c>
      <c r="H908" t="n">
        <v>0</v>
      </c>
      <c r="I908" t="n">
        <v>0</v>
      </c>
      <c r="J908" t="n">
        <v>0</v>
      </c>
      <c r="K908" t="n">
        <v>0</v>
      </c>
      <c r="L908" t="n">
        <v>0</v>
      </c>
      <c r="M908" t="n">
        <v>0</v>
      </c>
      <c r="N908" t="n">
        <v>0</v>
      </c>
      <c r="O908" t="n">
        <v>0</v>
      </c>
      <c r="P908" t="n">
        <v>0</v>
      </c>
      <c r="Q908" t="n">
        <v>0</v>
      </c>
      <c r="R908" s="2" t="inlineStr"/>
    </row>
    <row r="909" ht="15" customHeight="1">
      <c r="A909" t="inlineStr">
        <is>
          <t>A 34331-2019</t>
        </is>
      </c>
      <c r="B909" s="1" t="n">
        <v>43656</v>
      </c>
      <c r="C909" s="1" t="n">
        <v>45792</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35811-2019</t>
        </is>
      </c>
      <c r="B910" s="1" t="n">
        <v>43656</v>
      </c>
      <c r="C910" s="1" t="n">
        <v>45792</v>
      </c>
      <c r="D910" t="inlineStr">
        <is>
          <t>UPPSALA LÄN</t>
        </is>
      </c>
      <c r="E910" t="inlineStr">
        <is>
          <t>HEBY</t>
        </is>
      </c>
      <c r="F910" t="inlineStr">
        <is>
          <t>Allmännings- och besparingsskogar</t>
        </is>
      </c>
      <c r="G910" t="n">
        <v>16.5</v>
      </c>
      <c r="H910" t="n">
        <v>0</v>
      </c>
      <c r="I910" t="n">
        <v>0</v>
      </c>
      <c r="J910" t="n">
        <v>0</v>
      </c>
      <c r="K910" t="n">
        <v>0</v>
      </c>
      <c r="L910" t="n">
        <v>0</v>
      </c>
      <c r="M910" t="n">
        <v>0</v>
      </c>
      <c r="N910" t="n">
        <v>0</v>
      </c>
      <c r="O910" t="n">
        <v>0</v>
      </c>
      <c r="P910" t="n">
        <v>0</v>
      </c>
      <c r="Q910" t="n">
        <v>0</v>
      </c>
      <c r="R910" s="2" t="inlineStr"/>
    </row>
    <row r="911" ht="15" customHeight="1">
      <c r="A911" t="inlineStr">
        <is>
          <t>A 34392-2019</t>
        </is>
      </c>
      <c r="B911" s="1" t="n">
        <v>43656</v>
      </c>
      <c r="C911" s="1" t="n">
        <v>45792</v>
      </c>
      <c r="D911" t="inlineStr">
        <is>
          <t>UPPSALA LÄN</t>
        </is>
      </c>
      <c r="E911" t="inlineStr">
        <is>
          <t>TIERP</t>
        </is>
      </c>
      <c r="G911" t="n">
        <v>2.8</v>
      </c>
      <c r="H911" t="n">
        <v>0</v>
      </c>
      <c r="I911" t="n">
        <v>0</v>
      </c>
      <c r="J911" t="n">
        <v>0</v>
      </c>
      <c r="K911" t="n">
        <v>0</v>
      </c>
      <c r="L911" t="n">
        <v>0</v>
      </c>
      <c r="M911" t="n">
        <v>0</v>
      </c>
      <c r="N911" t="n">
        <v>0</v>
      </c>
      <c r="O911" t="n">
        <v>0</v>
      </c>
      <c r="P911" t="n">
        <v>0</v>
      </c>
      <c r="Q911" t="n">
        <v>0</v>
      </c>
      <c r="R911" s="2" t="inlineStr"/>
    </row>
    <row r="912" ht="15" customHeight="1">
      <c r="A912" t="inlineStr">
        <is>
          <t>A 35059-2019</t>
        </is>
      </c>
      <c r="B912" s="1" t="n">
        <v>43661</v>
      </c>
      <c r="C912" s="1" t="n">
        <v>45792</v>
      </c>
      <c r="D912" t="inlineStr">
        <is>
          <t>UPPSALA LÄN</t>
        </is>
      </c>
      <c r="E912" t="inlineStr">
        <is>
          <t>KNIVSTA</t>
        </is>
      </c>
      <c r="G912" t="n">
        <v>1.3</v>
      </c>
      <c r="H912" t="n">
        <v>0</v>
      </c>
      <c r="I912" t="n">
        <v>0</v>
      </c>
      <c r="J912" t="n">
        <v>0</v>
      </c>
      <c r="K912" t="n">
        <v>0</v>
      </c>
      <c r="L912" t="n">
        <v>0</v>
      </c>
      <c r="M912" t="n">
        <v>0</v>
      </c>
      <c r="N912" t="n">
        <v>0</v>
      </c>
      <c r="O912" t="n">
        <v>0</v>
      </c>
      <c r="P912" t="n">
        <v>0</v>
      </c>
      <c r="Q912" t="n">
        <v>0</v>
      </c>
      <c r="R912" s="2" t="inlineStr"/>
    </row>
    <row r="913" ht="15" customHeight="1">
      <c r="A913" t="inlineStr">
        <is>
          <t>A 36345-2019</t>
        </is>
      </c>
      <c r="B913" s="1" t="n">
        <v>43661</v>
      </c>
      <c r="C913" s="1" t="n">
        <v>45792</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36394-2019</t>
        </is>
      </c>
      <c r="B914" s="1" t="n">
        <v>43663</v>
      </c>
      <c r="C914" s="1" t="n">
        <v>45792</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35752-2019</t>
        </is>
      </c>
      <c r="B915" s="1" t="n">
        <v>43665</v>
      </c>
      <c r="C915" s="1" t="n">
        <v>45792</v>
      </c>
      <c r="D915" t="inlineStr">
        <is>
          <t>UPPSALA LÄN</t>
        </is>
      </c>
      <c r="E915" t="inlineStr">
        <is>
          <t>ENKÖPING</t>
        </is>
      </c>
      <c r="G915" t="n">
        <v>2.9</v>
      </c>
      <c r="H915" t="n">
        <v>0</v>
      </c>
      <c r="I915" t="n">
        <v>0</v>
      </c>
      <c r="J915" t="n">
        <v>0</v>
      </c>
      <c r="K915" t="n">
        <v>0</v>
      </c>
      <c r="L915" t="n">
        <v>0</v>
      </c>
      <c r="M915" t="n">
        <v>0</v>
      </c>
      <c r="N915" t="n">
        <v>0</v>
      </c>
      <c r="O915" t="n">
        <v>0</v>
      </c>
      <c r="P915" t="n">
        <v>0</v>
      </c>
      <c r="Q915" t="n">
        <v>0</v>
      </c>
      <c r="R915" s="2" t="inlineStr"/>
    </row>
    <row r="916" ht="15" customHeight="1">
      <c r="A916" t="inlineStr">
        <is>
          <t>A 36019-2019</t>
        </is>
      </c>
      <c r="B916" s="1" t="n">
        <v>43668</v>
      </c>
      <c r="C916" s="1" t="n">
        <v>45792</v>
      </c>
      <c r="D916" t="inlineStr">
        <is>
          <t>UPPSALA LÄN</t>
        </is>
      </c>
      <c r="E916" t="inlineStr">
        <is>
          <t>TIERP</t>
        </is>
      </c>
      <c r="F916" t="inlineStr">
        <is>
          <t>Bergvik skog väst AB</t>
        </is>
      </c>
      <c r="G916" t="n">
        <v>1.6</v>
      </c>
      <c r="H916" t="n">
        <v>0</v>
      </c>
      <c r="I916" t="n">
        <v>0</v>
      </c>
      <c r="J916" t="n">
        <v>0</v>
      </c>
      <c r="K916" t="n">
        <v>0</v>
      </c>
      <c r="L916" t="n">
        <v>0</v>
      </c>
      <c r="M916" t="n">
        <v>0</v>
      </c>
      <c r="N916" t="n">
        <v>0</v>
      </c>
      <c r="O916" t="n">
        <v>0</v>
      </c>
      <c r="P916" t="n">
        <v>0</v>
      </c>
      <c r="Q916" t="n">
        <v>0</v>
      </c>
      <c r="R916" s="2" t="inlineStr"/>
    </row>
    <row r="917" ht="15" customHeight="1">
      <c r="A917" t="inlineStr">
        <is>
          <t>A 36370-2019</t>
        </is>
      </c>
      <c r="B917" s="1" t="n">
        <v>43670</v>
      </c>
      <c r="C917" s="1" t="n">
        <v>45792</v>
      </c>
      <c r="D917" t="inlineStr">
        <is>
          <t>UPPSALA LÄN</t>
        </is>
      </c>
      <c r="E917" t="inlineStr">
        <is>
          <t>ENKÖPING</t>
        </is>
      </c>
      <c r="G917" t="n">
        <v>26.9</v>
      </c>
      <c r="H917" t="n">
        <v>0</v>
      </c>
      <c r="I917" t="n">
        <v>0</v>
      </c>
      <c r="J917" t="n">
        <v>0</v>
      </c>
      <c r="K917" t="n">
        <v>0</v>
      </c>
      <c r="L917" t="n">
        <v>0</v>
      </c>
      <c r="M917" t="n">
        <v>0</v>
      </c>
      <c r="N917" t="n">
        <v>0</v>
      </c>
      <c r="O917" t="n">
        <v>0</v>
      </c>
      <c r="P917" t="n">
        <v>0</v>
      </c>
      <c r="Q917" t="n">
        <v>0</v>
      </c>
      <c r="R917" s="2" t="inlineStr"/>
    </row>
    <row r="918" ht="15" customHeight="1">
      <c r="A918" t="inlineStr">
        <is>
          <t>A 36733-2019</t>
        </is>
      </c>
      <c r="B918" s="1" t="n">
        <v>43672</v>
      </c>
      <c r="C918" s="1" t="n">
        <v>45792</v>
      </c>
      <c r="D918" t="inlineStr">
        <is>
          <t>UPPSALA LÄN</t>
        </is>
      </c>
      <c r="E918" t="inlineStr">
        <is>
          <t>ENKÖPING</t>
        </is>
      </c>
      <c r="G918" t="n">
        <v>1.5</v>
      </c>
      <c r="H918" t="n">
        <v>0</v>
      </c>
      <c r="I918" t="n">
        <v>0</v>
      </c>
      <c r="J918" t="n">
        <v>0</v>
      </c>
      <c r="K918" t="n">
        <v>0</v>
      </c>
      <c r="L918" t="n">
        <v>0</v>
      </c>
      <c r="M918" t="n">
        <v>0</v>
      </c>
      <c r="N918" t="n">
        <v>0</v>
      </c>
      <c r="O918" t="n">
        <v>0</v>
      </c>
      <c r="P918" t="n">
        <v>0</v>
      </c>
      <c r="Q918" t="n">
        <v>0</v>
      </c>
      <c r="R918" s="2" t="inlineStr"/>
    </row>
    <row r="919" ht="15" customHeight="1">
      <c r="A919" t="inlineStr">
        <is>
          <t>A 37114-2019</t>
        </is>
      </c>
      <c r="B919" s="1" t="n">
        <v>43676</v>
      </c>
      <c r="C919" s="1" t="n">
        <v>45792</v>
      </c>
      <c r="D919" t="inlineStr">
        <is>
          <t>UPPSALA LÄN</t>
        </is>
      </c>
      <c r="E919" t="inlineStr">
        <is>
          <t>TIERP</t>
        </is>
      </c>
      <c r="G919" t="n">
        <v>1.9</v>
      </c>
      <c r="H919" t="n">
        <v>0</v>
      </c>
      <c r="I919" t="n">
        <v>0</v>
      </c>
      <c r="J919" t="n">
        <v>0</v>
      </c>
      <c r="K919" t="n">
        <v>0</v>
      </c>
      <c r="L919" t="n">
        <v>0</v>
      </c>
      <c r="M919" t="n">
        <v>0</v>
      </c>
      <c r="N919" t="n">
        <v>0</v>
      </c>
      <c r="O919" t="n">
        <v>0</v>
      </c>
      <c r="P919" t="n">
        <v>0</v>
      </c>
      <c r="Q919" t="n">
        <v>0</v>
      </c>
      <c r="R919" s="2" t="inlineStr"/>
    </row>
    <row r="920" ht="15" customHeight="1">
      <c r="A920" t="inlineStr">
        <is>
          <t>A 37092-2019</t>
        </is>
      </c>
      <c r="B920" s="1" t="n">
        <v>43676</v>
      </c>
      <c r="C920" s="1" t="n">
        <v>45792</v>
      </c>
      <c r="D920" t="inlineStr">
        <is>
          <t>UPPSALA LÄN</t>
        </is>
      </c>
      <c r="E920" t="inlineStr">
        <is>
          <t>HEBY</t>
        </is>
      </c>
      <c r="G920" t="n">
        <v>4.6</v>
      </c>
      <c r="H920" t="n">
        <v>0</v>
      </c>
      <c r="I920" t="n">
        <v>0</v>
      </c>
      <c r="J920" t="n">
        <v>0</v>
      </c>
      <c r="K920" t="n">
        <v>0</v>
      </c>
      <c r="L920" t="n">
        <v>0</v>
      </c>
      <c r="M920" t="n">
        <v>0</v>
      </c>
      <c r="N920" t="n">
        <v>0</v>
      </c>
      <c r="O920" t="n">
        <v>0</v>
      </c>
      <c r="P920" t="n">
        <v>0</v>
      </c>
      <c r="Q920" t="n">
        <v>0</v>
      </c>
      <c r="R920" s="2" t="inlineStr"/>
    </row>
    <row r="921" ht="15" customHeight="1">
      <c r="A921" t="inlineStr">
        <is>
          <t>A 37234-2019</t>
        </is>
      </c>
      <c r="B921" s="1" t="n">
        <v>43677</v>
      </c>
      <c r="C921" s="1" t="n">
        <v>45792</v>
      </c>
      <c r="D921" t="inlineStr">
        <is>
          <t>UPPSALA LÄN</t>
        </is>
      </c>
      <c r="E921" t="inlineStr">
        <is>
          <t>UPPSALA</t>
        </is>
      </c>
      <c r="G921" t="n">
        <v>3.2</v>
      </c>
      <c r="H921" t="n">
        <v>0</v>
      </c>
      <c r="I921" t="n">
        <v>0</v>
      </c>
      <c r="J921" t="n">
        <v>0</v>
      </c>
      <c r="K921" t="n">
        <v>0</v>
      </c>
      <c r="L921" t="n">
        <v>0</v>
      </c>
      <c r="M921" t="n">
        <v>0</v>
      </c>
      <c r="N921" t="n">
        <v>0</v>
      </c>
      <c r="O921" t="n">
        <v>0</v>
      </c>
      <c r="P921" t="n">
        <v>0</v>
      </c>
      <c r="Q921" t="n">
        <v>0</v>
      </c>
      <c r="R921" s="2" t="inlineStr"/>
    </row>
    <row r="922" ht="15" customHeight="1">
      <c r="A922" t="inlineStr">
        <is>
          <t>A 37519-2019</t>
        </is>
      </c>
      <c r="B922" s="1" t="n">
        <v>43679</v>
      </c>
      <c r="C922" s="1" t="n">
        <v>45792</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37702-2019</t>
        </is>
      </c>
      <c r="B923" s="1" t="n">
        <v>43682</v>
      </c>
      <c r="C923" s="1" t="n">
        <v>45792</v>
      </c>
      <c r="D923" t="inlineStr">
        <is>
          <t>UPPSALA LÄN</t>
        </is>
      </c>
      <c r="E923" t="inlineStr">
        <is>
          <t>ENKÖPING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37711-2019</t>
        </is>
      </c>
      <c r="B924" s="1" t="n">
        <v>43682</v>
      </c>
      <c r="C924" s="1" t="n">
        <v>45792</v>
      </c>
      <c r="D924" t="inlineStr">
        <is>
          <t>UPPSALA LÄN</t>
        </is>
      </c>
      <c r="E924" t="inlineStr">
        <is>
          <t>UPPSALA</t>
        </is>
      </c>
      <c r="G924" t="n">
        <v>4</v>
      </c>
      <c r="H924" t="n">
        <v>0</v>
      </c>
      <c r="I924" t="n">
        <v>0</v>
      </c>
      <c r="J924" t="n">
        <v>0</v>
      </c>
      <c r="K924" t="n">
        <v>0</v>
      </c>
      <c r="L924" t="n">
        <v>0</v>
      </c>
      <c r="M924" t="n">
        <v>0</v>
      </c>
      <c r="N924" t="n">
        <v>0</v>
      </c>
      <c r="O924" t="n">
        <v>0</v>
      </c>
      <c r="P924" t="n">
        <v>0</v>
      </c>
      <c r="Q924" t="n">
        <v>0</v>
      </c>
      <c r="R924" s="2" t="inlineStr"/>
    </row>
    <row r="925" ht="15" customHeight="1">
      <c r="A925" t="inlineStr">
        <is>
          <t>A 37700-2019</t>
        </is>
      </c>
      <c r="B925" s="1" t="n">
        <v>43682</v>
      </c>
      <c r="C925" s="1" t="n">
        <v>45792</v>
      </c>
      <c r="D925" t="inlineStr">
        <is>
          <t>UPPSALA LÄN</t>
        </is>
      </c>
      <c r="E925" t="inlineStr">
        <is>
          <t>ENKÖPING</t>
        </is>
      </c>
      <c r="G925" t="n">
        <v>2.9</v>
      </c>
      <c r="H925" t="n">
        <v>0</v>
      </c>
      <c r="I925" t="n">
        <v>0</v>
      </c>
      <c r="J925" t="n">
        <v>0</v>
      </c>
      <c r="K925" t="n">
        <v>0</v>
      </c>
      <c r="L925" t="n">
        <v>0</v>
      </c>
      <c r="M925" t="n">
        <v>0</v>
      </c>
      <c r="N925" t="n">
        <v>0</v>
      </c>
      <c r="O925" t="n">
        <v>0</v>
      </c>
      <c r="P925" t="n">
        <v>0</v>
      </c>
      <c r="Q925" t="n">
        <v>0</v>
      </c>
      <c r="R925" s="2" t="inlineStr"/>
    </row>
    <row r="926" ht="15" customHeight="1">
      <c r="A926" t="inlineStr">
        <is>
          <t>A 37936-2019</t>
        </is>
      </c>
      <c r="B926" s="1" t="n">
        <v>43683</v>
      </c>
      <c r="C926" s="1" t="n">
        <v>45792</v>
      </c>
      <c r="D926" t="inlineStr">
        <is>
          <t>UPPSALA LÄN</t>
        </is>
      </c>
      <c r="E926" t="inlineStr">
        <is>
          <t>ENKÖPING</t>
        </is>
      </c>
      <c r="G926" t="n">
        <v>0.9</v>
      </c>
      <c r="H926" t="n">
        <v>0</v>
      </c>
      <c r="I926" t="n">
        <v>0</v>
      </c>
      <c r="J926" t="n">
        <v>0</v>
      </c>
      <c r="K926" t="n">
        <v>0</v>
      </c>
      <c r="L926" t="n">
        <v>0</v>
      </c>
      <c r="M926" t="n">
        <v>0</v>
      </c>
      <c r="N926" t="n">
        <v>0</v>
      </c>
      <c r="O926" t="n">
        <v>0</v>
      </c>
      <c r="P926" t="n">
        <v>0</v>
      </c>
      <c r="Q926" t="n">
        <v>0</v>
      </c>
      <c r="R926" s="2" t="inlineStr"/>
    </row>
    <row r="927" ht="15" customHeight="1">
      <c r="A927" t="inlineStr">
        <is>
          <t>A 38204-2019</t>
        </is>
      </c>
      <c r="B927" s="1" t="n">
        <v>43683</v>
      </c>
      <c r="C927" s="1" t="n">
        <v>45792</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38189-2019</t>
        </is>
      </c>
      <c r="B928" s="1" t="n">
        <v>43684</v>
      </c>
      <c r="C928" s="1" t="n">
        <v>45792</v>
      </c>
      <c r="D928" t="inlineStr">
        <is>
          <t>UPPSALA LÄN</t>
        </is>
      </c>
      <c r="E928" t="inlineStr">
        <is>
          <t>ENKÖPING</t>
        </is>
      </c>
      <c r="G928" t="n">
        <v>1.3</v>
      </c>
      <c r="H928" t="n">
        <v>0</v>
      </c>
      <c r="I928" t="n">
        <v>0</v>
      </c>
      <c r="J928" t="n">
        <v>0</v>
      </c>
      <c r="K928" t="n">
        <v>0</v>
      </c>
      <c r="L928" t="n">
        <v>0</v>
      </c>
      <c r="M928" t="n">
        <v>0</v>
      </c>
      <c r="N928" t="n">
        <v>0</v>
      </c>
      <c r="O928" t="n">
        <v>0</v>
      </c>
      <c r="P928" t="n">
        <v>0</v>
      </c>
      <c r="Q928" t="n">
        <v>0</v>
      </c>
      <c r="R928" s="2" t="inlineStr"/>
    </row>
    <row r="929" ht="15" customHeight="1">
      <c r="A929" t="inlineStr">
        <is>
          <t>A 38205-2019</t>
        </is>
      </c>
      <c r="B929" s="1" t="n">
        <v>43684</v>
      </c>
      <c r="C929" s="1" t="n">
        <v>45792</v>
      </c>
      <c r="D929" t="inlineStr">
        <is>
          <t>UPPSALA LÄN</t>
        </is>
      </c>
      <c r="E929" t="inlineStr">
        <is>
          <t>ENKÖPING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40148-2019</t>
        </is>
      </c>
      <c r="B930" s="1" t="n">
        <v>43684</v>
      </c>
      <c r="C930" s="1" t="n">
        <v>45792</v>
      </c>
      <c r="D930" t="inlineStr">
        <is>
          <t>UPPSALA LÄN</t>
        </is>
      </c>
      <c r="E930" t="inlineStr">
        <is>
          <t>HÅBO</t>
        </is>
      </c>
      <c r="G930" t="n">
        <v>1.5</v>
      </c>
      <c r="H930" t="n">
        <v>0</v>
      </c>
      <c r="I930" t="n">
        <v>0</v>
      </c>
      <c r="J930" t="n">
        <v>0</v>
      </c>
      <c r="K930" t="n">
        <v>0</v>
      </c>
      <c r="L930" t="n">
        <v>0</v>
      </c>
      <c r="M930" t="n">
        <v>0</v>
      </c>
      <c r="N930" t="n">
        <v>0</v>
      </c>
      <c r="O930" t="n">
        <v>0</v>
      </c>
      <c r="P930" t="n">
        <v>0</v>
      </c>
      <c r="Q930" t="n">
        <v>0</v>
      </c>
      <c r="R930" s="2" t="inlineStr"/>
    </row>
    <row r="931" ht="15" customHeight="1">
      <c r="A931" t="inlineStr">
        <is>
          <t>A 38475-2019</t>
        </is>
      </c>
      <c r="B931" s="1" t="n">
        <v>43685</v>
      </c>
      <c r="C931" s="1" t="n">
        <v>45792</v>
      </c>
      <c r="D931" t="inlineStr">
        <is>
          <t>UPPSALA LÄN</t>
        </is>
      </c>
      <c r="E931" t="inlineStr">
        <is>
          <t>ENKÖPING</t>
        </is>
      </c>
      <c r="G931" t="n">
        <v>1.9</v>
      </c>
      <c r="H931" t="n">
        <v>0</v>
      </c>
      <c r="I931" t="n">
        <v>0</v>
      </c>
      <c r="J931" t="n">
        <v>0</v>
      </c>
      <c r="K931" t="n">
        <v>0</v>
      </c>
      <c r="L931" t="n">
        <v>0</v>
      </c>
      <c r="M931" t="n">
        <v>0</v>
      </c>
      <c r="N931" t="n">
        <v>0</v>
      </c>
      <c r="O931" t="n">
        <v>0</v>
      </c>
      <c r="P931" t="n">
        <v>0</v>
      </c>
      <c r="Q931" t="n">
        <v>0</v>
      </c>
      <c r="R931" s="2" t="inlineStr"/>
    </row>
    <row r="932" ht="15" customHeight="1">
      <c r="A932" t="inlineStr">
        <is>
          <t>A 38684-2019</t>
        </is>
      </c>
      <c r="B932" s="1" t="n">
        <v>43686</v>
      </c>
      <c r="C932" s="1" t="n">
        <v>45792</v>
      </c>
      <c r="D932" t="inlineStr">
        <is>
          <t>UPPSALA LÄN</t>
        </is>
      </c>
      <c r="E932" t="inlineStr">
        <is>
          <t>UPPSALA</t>
        </is>
      </c>
      <c r="G932" t="n">
        <v>0.4</v>
      </c>
      <c r="H932" t="n">
        <v>0</v>
      </c>
      <c r="I932" t="n">
        <v>0</v>
      </c>
      <c r="J932" t="n">
        <v>0</v>
      </c>
      <c r="K932" t="n">
        <v>0</v>
      </c>
      <c r="L932" t="n">
        <v>0</v>
      </c>
      <c r="M932" t="n">
        <v>0</v>
      </c>
      <c r="N932" t="n">
        <v>0</v>
      </c>
      <c r="O932" t="n">
        <v>0</v>
      </c>
      <c r="P932" t="n">
        <v>0</v>
      </c>
      <c r="Q932" t="n">
        <v>0</v>
      </c>
      <c r="R932" s="2" t="inlineStr"/>
    </row>
    <row r="933" ht="15" customHeight="1">
      <c r="A933" t="inlineStr">
        <is>
          <t>A 39554-2019</t>
        </is>
      </c>
      <c r="B933" s="1" t="n">
        <v>43686</v>
      </c>
      <c r="C933" s="1" t="n">
        <v>45792</v>
      </c>
      <c r="D933" t="inlineStr">
        <is>
          <t>UPPSALA LÄN</t>
        </is>
      </c>
      <c r="E933" t="inlineStr">
        <is>
          <t>TIERP</t>
        </is>
      </c>
      <c r="G933" t="n">
        <v>2.6</v>
      </c>
      <c r="H933" t="n">
        <v>0</v>
      </c>
      <c r="I933" t="n">
        <v>0</v>
      </c>
      <c r="J933" t="n">
        <v>0</v>
      </c>
      <c r="K933" t="n">
        <v>0</v>
      </c>
      <c r="L933" t="n">
        <v>0</v>
      </c>
      <c r="M933" t="n">
        <v>0</v>
      </c>
      <c r="N933" t="n">
        <v>0</v>
      </c>
      <c r="O933" t="n">
        <v>0</v>
      </c>
      <c r="P933" t="n">
        <v>0</v>
      </c>
      <c r="Q933" t="n">
        <v>0</v>
      </c>
      <c r="R933" s="2" t="inlineStr"/>
    </row>
    <row r="934" ht="15" customHeight="1">
      <c r="A934" t="inlineStr">
        <is>
          <t>A 39582-2019</t>
        </is>
      </c>
      <c r="B934" s="1" t="n">
        <v>43686</v>
      </c>
      <c r="C934" s="1" t="n">
        <v>45792</v>
      </c>
      <c r="D934" t="inlineStr">
        <is>
          <t>UPPSALA LÄN</t>
        </is>
      </c>
      <c r="E934" t="inlineStr">
        <is>
          <t>ÖSTHAMMAR</t>
        </is>
      </c>
      <c r="G934" t="n">
        <v>12.2</v>
      </c>
      <c r="H934" t="n">
        <v>0</v>
      </c>
      <c r="I934" t="n">
        <v>0</v>
      </c>
      <c r="J934" t="n">
        <v>0</v>
      </c>
      <c r="K934" t="n">
        <v>0</v>
      </c>
      <c r="L934" t="n">
        <v>0</v>
      </c>
      <c r="M934" t="n">
        <v>0</v>
      </c>
      <c r="N934" t="n">
        <v>0</v>
      </c>
      <c r="O934" t="n">
        <v>0</v>
      </c>
      <c r="P934" t="n">
        <v>0</v>
      </c>
      <c r="Q934" t="n">
        <v>0</v>
      </c>
      <c r="R934" s="2" t="inlineStr"/>
    </row>
    <row r="935" ht="15" customHeight="1">
      <c r="A935" t="inlineStr">
        <is>
          <t>A 38896-2019</t>
        </is>
      </c>
      <c r="B935" s="1" t="n">
        <v>43689</v>
      </c>
      <c r="C935" s="1" t="n">
        <v>45792</v>
      </c>
      <c r="D935" t="inlineStr">
        <is>
          <t>UPPSALA LÄN</t>
        </is>
      </c>
      <c r="E935" t="inlineStr">
        <is>
          <t>ENKÖPING</t>
        </is>
      </c>
      <c r="G935" t="n">
        <v>0.9</v>
      </c>
      <c r="H935" t="n">
        <v>0</v>
      </c>
      <c r="I935" t="n">
        <v>0</v>
      </c>
      <c r="J935" t="n">
        <v>0</v>
      </c>
      <c r="K935" t="n">
        <v>0</v>
      </c>
      <c r="L935" t="n">
        <v>0</v>
      </c>
      <c r="M935" t="n">
        <v>0</v>
      </c>
      <c r="N935" t="n">
        <v>0</v>
      </c>
      <c r="O935" t="n">
        <v>0</v>
      </c>
      <c r="P935" t="n">
        <v>0</v>
      </c>
      <c r="Q935" t="n">
        <v>0</v>
      </c>
      <c r="R935" s="2" t="inlineStr"/>
    </row>
    <row r="936" ht="15" customHeight="1">
      <c r="A936" t="inlineStr">
        <is>
          <t>A 39918-2019</t>
        </is>
      </c>
      <c r="B936" s="1" t="n">
        <v>43689</v>
      </c>
      <c r="C936" s="1" t="n">
        <v>45792</v>
      </c>
      <c r="D936" t="inlineStr">
        <is>
          <t>UPPSALA LÄN</t>
        </is>
      </c>
      <c r="E936" t="inlineStr">
        <is>
          <t>HEBY</t>
        </is>
      </c>
      <c r="G936" t="n">
        <v>4.1</v>
      </c>
      <c r="H936" t="n">
        <v>0</v>
      </c>
      <c r="I936" t="n">
        <v>0</v>
      </c>
      <c r="J936" t="n">
        <v>0</v>
      </c>
      <c r="K936" t="n">
        <v>0</v>
      </c>
      <c r="L936" t="n">
        <v>0</v>
      </c>
      <c r="M936" t="n">
        <v>0</v>
      </c>
      <c r="N936" t="n">
        <v>0</v>
      </c>
      <c r="O936" t="n">
        <v>0</v>
      </c>
      <c r="P936" t="n">
        <v>0</v>
      </c>
      <c r="Q936" t="n">
        <v>0</v>
      </c>
      <c r="R936" s="2" t="inlineStr"/>
    </row>
    <row r="937" ht="15" customHeight="1">
      <c r="A937" t="inlineStr">
        <is>
          <t>A 39087-2019</t>
        </is>
      </c>
      <c r="B937" s="1" t="n">
        <v>43689</v>
      </c>
      <c r="C937" s="1" t="n">
        <v>45792</v>
      </c>
      <c r="D937" t="inlineStr">
        <is>
          <t>UPPSALA LÄN</t>
        </is>
      </c>
      <c r="E937" t="inlineStr">
        <is>
          <t>HEBY</t>
        </is>
      </c>
      <c r="G937" t="n">
        <v>1.2</v>
      </c>
      <c r="H937" t="n">
        <v>0</v>
      </c>
      <c r="I937" t="n">
        <v>0</v>
      </c>
      <c r="J937" t="n">
        <v>0</v>
      </c>
      <c r="K937" t="n">
        <v>0</v>
      </c>
      <c r="L937" t="n">
        <v>0</v>
      </c>
      <c r="M937" t="n">
        <v>0</v>
      </c>
      <c r="N937" t="n">
        <v>0</v>
      </c>
      <c r="O937" t="n">
        <v>0</v>
      </c>
      <c r="P937" t="n">
        <v>0</v>
      </c>
      <c r="Q937" t="n">
        <v>0</v>
      </c>
      <c r="R937" s="2" t="inlineStr"/>
    </row>
    <row r="938" ht="15" customHeight="1">
      <c r="A938" t="inlineStr">
        <is>
          <t>A 38899-2019</t>
        </is>
      </c>
      <c r="B938" s="1" t="n">
        <v>43689</v>
      </c>
      <c r="C938" s="1" t="n">
        <v>45792</v>
      </c>
      <c r="D938" t="inlineStr">
        <is>
          <t>UPPSALA LÄN</t>
        </is>
      </c>
      <c r="E938" t="inlineStr">
        <is>
          <t>ENKÖPING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39911-2019</t>
        </is>
      </c>
      <c r="B939" s="1" t="n">
        <v>43692</v>
      </c>
      <c r="C939" s="1" t="n">
        <v>45792</v>
      </c>
      <c r="D939" t="inlineStr">
        <is>
          <t>UPPSALA LÄN</t>
        </is>
      </c>
      <c r="E939" t="inlineStr">
        <is>
          <t>TIERP</t>
        </is>
      </c>
      <c r="G939" t="n">
        <v>5.2</v>
      </c>
      <c r="H939" t="n">
        <v>0</v>
      </c>
      <c r="I939" t="n">
        <v>0</v>
      </c>
      <c r="J939" t="n">
        <v>0</v>
      </c>
      <c r="K939" t="n">
        <v>0</v>
      </c>
      <c r="L939" t="n">
        <v>0</v>
      </c>
      <c r="M939" t="n">
        <v>0</v>
      </c>
      <c r="N939" t="n">
        <v>0</v>
      </c>
      <c r="O939" t="n">
        <v>0</v>
      </c>
      <c r="P939" t="n">
        <v>0</v>
      </c>
      <c r="Q939" t="n">
        <v>0</v>
      </c>
      <c r="R939" s="2" t="inlineStr"/>
    </row>
    <row r="940" ht="15" customHeight="1">
      <c r="A940" t="inlineStr">
        <is>
          <t>A 39914-2019</t>
        </is>
      </c>
      <c r="B940" s="1" t="n">
        <v>43692</v>
      </c>
      <c r="C940" s="1" t="n">
        <v>45792</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39910-2019</t>
        </is>
      </c>
      <c r="B941" s="1" t="n">
        <v>43692</v>
      </c>
      <c r="C941" s="1" t="n">
        <v>45792</v>
      </c>
      <c r="D941" t="inlineStr">
        <is>
          <t>UPPSALA LÄN</t>
        </is>
      </c>
      <c r="E941" t="inlineStr">
        <is>
          <t>ÖSTHAMMAR</t>
        </is>
      </c>
      <c r="G941" t="n">
        <v>3.9</v>
      </c>
      <c r="H941" t="n">
        <v>0</v>
      </c>
      <c r="I941" t="n">
        <v>0</v>
      </c>
      <c r="J941" t="n">
        <v>0</v>
      </c>
      <c r="K941" t="n">
        <v>0</v>
      </c>
      <c r="L941" t="n">
        <v>0</v>
      </c>
      <c r="M941" t="n">
        <v>0</v>
      </c>
      <c r="N941" t="n">
        <v>0</v>
      </c>
      <c r="O941" t="n">
        <v>0</v>
      </c>
      <c r="P941" t="n">
        <v>0</v>
      </c>
      <c r="Q941" t="n">
        <v>0</v>
      </c>
      <c r="R941" s="2" t="inlineStr"/>
    </row>
    <row r="942" ht="15" customHeight="1">
      <c r="A942" t="inlineStr">
        <is>
          <t>A 40151-2019</t>
        </is>
      </c>
      <c r="B942" s="1" t="n">
        <v>43693</v>
      </c>
      <c r="C942" s="1" t="n">
        <v>45792</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40247-2019</t>
        </is>
      </c>
      <c r="B943" s="1" t="n">
        <v>43695</v>
      </c>
      <c r="C943" s="1" t="n">
        <v>45792</v>
      </c>
      <c r="D943" t="inlineStr">
        <is>
          <t>UPPSALA LÄN</t>
        </is>
      </c>
      <c r="E943" t="inlineStr">
        <is>
          <t>ENKÖPING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40336-2019</t>
        </is>
      </c>
      <c r="B944" s="1" t="n">
        <v>43696</v>
      </c>
      <c r="C944" s="1" t="n">
        <v>45792</v>
      </c>
      <c r="D944" t="inlineStr">
        <is>
          <t>UPPSALA LÄN</t>
        </is>
      </c>
      <c r="E944" t="inlineStr">
        <is>
          <t>HEBY</t>
        </is>
      </c>
      <c r="G944" t="n">
        <v>2.2</v>
      </c>
      <c r="H944" t="n">
        <v>0</v>
      </c>
      <c r="I944" t="n">
        <v>0</v>
      </c>
      <c r="J944" t="n">
        <v>0</v>
      </c>
      <c r="K944" t="n">
        <v>0</v>
      </c>
      <c r="L944" t="n">
        <v>0</v>
      </c>
      <c r="M944" t="n">
        <v>0</v>
      </c>
      <c r="N944" t="n">
        <v>0</v>
      </c>
      <c r="O944" t="n">
        <v>0</v>
      </c>
      <c r="P944" t="n">
        <v>0</v>
      </c>
      <c r="Q944" t="n">
        <v>0</v>
      </c>
      <c r="R944" s="2" t="inlineStr"/>
    </row>
    <row r="945" ht="15" customHeight="1">
      <c r="A945" t="inlineStr">
        <is>
          <t>A 41609-2019</t>
        </is>
      </c>
      <c r="B945" s="1" t="n">
        <v>43696</v>
      </c>
      <c r="C945" s="1" t="n">
        <v>45792</v>
      </c>
      <c r="D945" t="inlineStr">
        <is>
          <t>UPPSALA LÄN</t>
        </is>
      </c>
      <c r="E945" t="inlineStr">
        <is>
          <t>UPPSALA</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41653-2019</t>
        </is>
      </c>
      <c r="B946" s="1" t="n">
        <v>43696</v>
      </c>
      <c r="C946" s="1" t="n">
        <v>45792</v>
      </c>
      <c r="D946" t="inlineStr">
        <is>
          <t>UPPSALA LÄN</t>
        </is>
      </c>
      <c r="E946" t="inlineStr">
        <is>
          <t>UPPSALA</t>
        </is>
      </c>
      <c r="G946" t="n">
        <v>5.2</v>
      </c>
      <c r="H946" t="n">
        <v>0</v>
      </c>
      <c r="I946" t="n">
        <v>0</v>
      </c>
      <c r="J946" t="n">
        <v>0</v>
      </c>
      <c r="K946" t="n">
        <v>0</v>
      </c>
      <c r="L946" t="n">
        <v>0</v>
      </c>
      <c r="M946" t="n">
        <v>0</v>
      </c>
      <c r="N946" t="n">
        <v>0</v>
      </c>
      <c r="O946" t="n">
        <v>0</v>
      </c>
      <c r="P946" t="n">
        <v>0</v>
      </c>
      <c r="Q946" t="n">
        <v>0</v>
      </c>
      <c r="R946" s="2" t="inlineStr"/>
    </row>
    <row r="947" ht="15" customHeight="1">
      <c r="A947" t="inlineStr">
        <is>
          <t>A 40792-2019</t>
        </is>
      </c>
      <c r="B947" s="1" t="n">
        <v>43697</v>
      </c>
      <c r="C947" s="1" t="n">
        <v>45792</v>
      </c>
      <c r="D947" t="inlineStr">
        <is>
          <t>UPPSALA LÄN</t>
        </is>
      </c>
      <c r="E947" t="inlineStr">
        <is>
          <t>HEBY</t>
        </is>
      </c>
      <c r="G947" t="n">
        <v>1.1</v>
      </c>
      <c r="H947" t="n">
        <v>0</v>
      </c>
      <c r="I947" t="n">
        <v>0</v>
      </c>
      <c r="J947" t="n">
        <v>0</v>
      </c>
      <c r="K947" t="n">
        <v>0</v>
      </c>
      <c r="L947" t="n">
        <v>0</v>
      </c>
      <c r="M947" t="n">
        <v>0</v>
      </c>
      <c r="N947" t="n">
        <v>0</v>
      </c>
      <c r="O947" t="n">
        <v>0</v>
      </c>
      <c r="P947" t="n">
        <v>0</v>
      </c>
      <c r="Q947" t="n">
        <v>0</v>
      </c>
      <c r="R947" s="2" t="inlineStr"/>
    </row>
    <row r="948" ht="15" customHeight="1">
      <c r="A948" t="inlineStr">
        <is>
          <t>A 40839-2019</t>
        </is>
      </c>
      <c r="B948" s="1" t="n">
        <v>43697</v>
      </c>
      <c r="C948" s="1" t="n">
        <v>45792</v>
      </c>
      <c r="D948" t="inlineStr">
        <is>
          <t>UPPSALA LÄN</t>
        </is>
      </c>
      <c r="E948" t="inlineStr">
        <is>
          <t>ENKÖPING</t>
        </is>
      </c>
      <c r="G948" t="n">
        <v>1.9</v>
      </c>
      <c r="H948" t="n">
        <v>0</v>
      </c>
      <c r="I948" t="n">
        <v>0</v>
      </c>
      <c r="J948" t="n">
        <v>0</v>
      </c>
      <c r="K948" t="n">
        <v>0</v>
      </c>
      <c r="L948" t="n">
        <v>0</v>
      </c>
      <c r="M948" t="n">
        <v>0</v>
      </c>
      <c r="N948" t="n">
        <v>0</v>
      </c>
      <c r="O948" t="n">
        <v>0</v>
      </c>
      <c r="P948" t="n">
        <v>0</v>
      </c>
      <c r="Q948" t="n">
        <v>0</v>
      </c>
      <c r="R948" s="2" t="inlineStr"/>
    </row>
    <row r="949" ht="15" customHeight="1">
      <c r="A949" t="inlineStr">
        <is>
          <t>A 40843-2019</t>
        </is>
      </c>
      <c r="B949" s="1" t="n">
        <v>43697</v>
      </c>
      <c r="C949" s="1" t="n">
        <v>45792</v>
      </c>
      <c r="D949" t="inlineStr">
        <is>
          <t>UPPSALA LÄN</t>
        </is>
      </c>
      <c r="E949" t="inlineStr">
        <is>
          <t>ENKÖPING</t>
        </is>
      </c>
      <c r="G949" t="n">
        <v>1.6</v>
      </c>
      <c r="H949" t="n">
        <v>0</v>
      </c>
      <c r="I949" t="n">
        <v>0</v>
      </c>
      <c r="J949" t="n">
        <v>0</v>
      </c>
      <c r="K949" t="n">
        <v>0</v>
      </c>
      <c r="L949" t="n">
        <v>0</v>
      </c>
      <c r="M949" t="n">
        <v>0</v>
      </c>
      <c r="N949" t="n">
        <v>0</v>
      </c>
      <c r="O949" t="n">
        <v>0</v>
      </c>
      <c r="P949" t="n">
        <v>0</v>
      </c>
      <c r="Q949" t="n">
        <v>0</v>
      </c>
      <c r="R949" s="2" t="inlineStr"/>
    </row>
    <row r="950" ht="15" customHeight="1">
      <c r="A950" t="inlineStr">
        <is>
          <t>A 41512-2019</t>
        </is>
      </c>
      <c r="B950" s="1" t="n">
        <v>43699</v>
      </c>
      <c r="C950" s="1" t="n">
        <v>45792</v>
      </c>
      <c r="D950" t="inlineStr">
        <is>
          <t>UPPSALA LÄN</t>
        </is>
      </c>
      <c r="E950" t="inlineStr">
        <is>
          <t>ENKÖPING</t>
        </is>
      </c>
      <c r="G950" t="n">
        <v>5.8</v>
      </c>
      <c r="H950" t="n">
        <v>0</v>
      </c>
      <c r="I950" t="n">
        <v>0</v>
      </c>
      <c r="J950" t="n">
        <v>0</v>
      </c>
      <c r="K950" t="n">
        <v>0</v>
      </c>
      <c r="L950" t="n">
        <v>0</v>
      </c>
      <c r="M950" t="n">
        <v>0</v>
      </c>
      <c r="N950" t="n">
        <v>0</v>
      </c>
      <c r="O950" t="n">
        <v>0</v>
      </c>
      <c r="P950" t="n">
        <v>0</v>
      </c>
      <c r="Q950" t="n">
        <v>0</v>
      </c>
      <c r="R950" s="2" t="inlineStr"/>
    </row>
    <row r="951" ht="15" customHeight="1">
      <c r="A951" t="inlineStr">
        <is>
          <t>A 41697-2019</t>
        </is>
      </c>
      <c r="B951" s="1" t="n">
        <v>43699</v>
      </c>
      <c r="C951" s="1" t="n">
        <v>45792</v>
      </c>
      <c r="D951" t="inlineStr">
        <is>
          <t>UPPSALA LÄN</t>
        </is>
      </c>
      <c r="E951" t="inlineStr">
        <is>
          <t>ÖSTHAMMAR</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41524-2019</t>
        </is>
      </c>
      <c r="B952" s="1" t="n">
        <v>43699</v>
      </c>
      <c r="C952" s="1" t="n">
        <v>45792</v>
      </c>
      <c r="D952" t="inlineStr">
        <is>
          <t>UPPSALA LÄN</t>
        </is>
      </c>
      <c r="E952" t="inlineStr">
        <is>
          <t>UPPSALA</t>
        </is>
      </c>
      <c r="G952" t="n">
        <v>2.4</v>
      </c>
      <c r="H952" t="n">
        <v>0</v>
      </c>
      <c r="I952" t="n">
        <v>0</v>
      </c>
      <c r="J952" t="n">
        <v>0</v>
      </c>
      <c r="K952" t="n">
        <v>0</v>
      </c>
      <c r="L952" t="n">
        <v>0</v>
      </c>
      <c r="M952" t="n">
        <v>0</v>
      </c>
      <c r="N952" t="n">
        <v>0</v>
      </c>
      <c r="O952" t="n">
        <v>0</v>
      </c>
      <c r="P952" t="n">
        <v>0</v>
      </c>
      <c r="Q952" t="n">
        <v>0</v>
      </c>
      <c r="R952" s="2" t="inlineStr"/>
    </row>
    <row r="953" ht="15" customHeight="1">
      <c r="A953" t="inlineStr">
        <is>
          <t>A 41539-2019</t>
        </is>
      </c>
      <c r="B953" s="1" t="n">
        <v>43699</v>
      </c>
      <c r="C953" s="1" t="n">
        <v>45792</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41535-2019</t>
        </is>
      </c>
      <c r="B954" s="1" t="n">
        <v>43699</v>
      </c>
      <c r="C954" s="1" t="n">
        <v>45792</v>
      </c>
      <c r="D954" t="inlineStr">
        <is>
          <t>UPPSALA LÄN</t>
        </is>
      </c>
      <c r="E954" t="inlineStr">
        <is>
          <t>UPPSALA</t>
        </is>
      </c>
      <c r="G954" t="n">
        <v>2.2</v>
      </c>
      <c r="H954" t="n">
        <v>0</v>
      </c>
      <c r="I954" t="n">
        <v>0</v>
      </c>
      <c r="J954" t="n">
        <v>0</v>
      </c>
      <c r="K954" t="n">
        <v>0</v>
      </c>
      <c r="L954" t="n">
        <v>0</v>
      </c>
      <c r="M954" t="n">
        <v>0</v>
      </c>
      <c r="N954" t="n">
        <v>0</v>
      </c>
      <c r="O954" t="n">
        <v>0</v>
      </c>
      <c r="P954" t="n">
        <v>0</v>
      </c>
      <c r="Q954" t="n">
        <v>0</v>
      </c>
      <c r="R954" s="2" t="inlineStr"/>
    </row>
    <row r="955" ht="15" customHeight="1">
      <c r="A955" t="inlineStr">
        <is>
          <t>A 41695-2019</t>
        </is>
      </c>
      <c r="B955" s="1" t="n">
        <v>43699</v>
      </c>
      <c r="C955" s="1" t="n">
        <v>45792</v>
      </c>
      <c r="D955" t="inlineStr">
        <is>
          <t>UPPSALA LÄN</t>
        </is>
      </c>
      <c r="E955" t="inlineStr">
        <is>
          <t>UPPSALA</t>
        </is>
      </c>
      <c r="G955" t="n">
        <v>3.1</v>
      </c>
      <c r="H955" t="n">
        <v>0</v>
      </c>
      <c r="I955" t="n">
        <v>0</v>
      </c>
      <c r="J955" t="n">
        <v>0</v>
      </c>
      <c r="K955" t="n">
        <v>0</v>
      </c>
      <c r="L955" t="n">
        <v>0</v>
      </c>
      <c r="M955" t="n">
        <v>0</v>
      </c>
      <c r="N955" t="n">
        <v>0</v>
      </c>
      <c r="O955" t="n">
        <v>0</v>
      </c>
      <c r="P955" t="n">
        <v>0</v>
      </c>
      <c r="Q955" t="n">
        <v>0</v>
      </c>
      <c r="R955" s="2" t="inlineStr"/>
    </row>
    <row r="956" ht="15" customHeight="1">
      <c r="A956" t="inlineStr">
        <is>
          <t>A 42350-2019</t>
        </is>
      </c>
      <c r="B956" s="1" t="n">
        <v>43703</v>
      </c>
      <c r="C956" s="1" t="n">
        <v>45792</v>
      </c>
      <c r="D956" t="inlineStr">
        <is>
          <t>UPPSALA LÄN</t>
        </is>
      </c>
      <c r="E956" t="inlineStr">
        <is>
          <t>ENKÖPING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42111-2019</t>
        </is>
      </c>
      <c r="B957" s="1" t="n">
        <v>43703</v>
      </c>
      <c r="C957" s="1" t="n">
        <v>45792</v>
      </c>
      <c r="D957" t="inlineStr">
        <is>
          <t>UPPSALA LÄN</t>
        </is>
      </c>
      <c r="E957" t="inlineStr">
        <is>
          <t>UPPSALA</t>
        </is>
      </c>
      <c r="G957" t="n">
        <v>2.7</v>
      </c>
      <c r="H957" t="n">
        <v>0</v>
      </c>
      <c r="I957" t="n">
        <v>0</v>
      </c>
      <c r="J957" t="n">
        <v>0</v>
      </c>
      <c r="K957" t="n">
        <v>0</v>
      </c>
      <c r="L957" t="n">
        <v>0</v>
      </c>
      <c r="M957" t="n">
        <v>0</v>
      </c>
      <c r="N957" t="n">
        <v>0</v>
      </c>
      <c r="O957" t="n">
        <v>0</v>
      </c>
      <c r="P957" t="n">
        <v>0</v>
      </c>
      <c r="Q957" t="n">
        <v>0</v>
      </c>
      <c r="R957" s="2" t="inlineStr"/>
    </row>
    <row r="958" ht="15" customHeight="1">
      <c r="A958" t="inlineStr">
        <is>
          <t>A 42624-2019</t>
        </is>
      </c>
      <c r="B958" s="1" t="n">
        <v>43704</v>
      </c>
      <c r="C958" s="1" t="n">
        <v>45792</v>
      </c>
      <c r="D958" t="inlineStr">
        <is>
          <t>UPPSALA LÄN</t>
        </is>
      </c>
      <c r="E958" t="inlineStr">
        <is>
          <t>ENKÖPING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42986-2019</t>
        </is>
      </c>
      <c r="B959" s="1" t="n">
        <v>43705</v>
      </c>
      <c r="C959" s="1" t="n">
        <v>45792</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42841-2019</t>
        </is>
      </c>
      <c r="B960" s="1" t="n">
        <v>43705</v>
      </c>
      <c r="C960" s="1" t="n">
        <v>45792</v>
      </c>
      <c r="D960" t="inlineStr">
        <is>
          <t>UPPSALA LÄN</t>
        </is>
      </c>
      <c r="E960" t="inlineStr">
        <is>
          <t>HEBY</t>
        </is>
      </c>
      <c r="G960" t="n">
        <v>1.2</v>
      </c>
      <c r="H960" t="n">
        <v>0</v>
      </c>
      <c r="I960" t="n">
        <v>0</v>
      </c>
      <c r="J960" t="n">
        <v>0</v>
      </c>
      <c r="K960" t="n">
        <v>0</v>
      </c>
      <c r="L960" t="n">
        <v>0</v>
      </c>
      <c r="M960" t="n">
        <v>0</v>
      </c>
      <c r="N960" t="n">
        <v>0</v>
      </c>
      <c r="O960" t="n">
        <v>0</v>
      </c>
      <c r="P960" t="n">
        <v>0</v>
      </c>
      <c r="Q960" t="n">
        <v>0</v>
      </c>
      <c r="R960" s="2" t="inlineStr"/>
    </row>
    <row r="961" ht="15" customHeight="1">
      <c r="A961" t="inlineStr">
        <is>
          <t>A 43039-2019</t>
        </is>
      </c>
      <c r="B961" s="1" t="n">
        <v>43705</v>
      </c>
      <c r="C961" s="1" t="n">
        <v>45792</v>
      </c>
      <c r="D961" t="inlineStr">
        <is>
          <t>UPPSALA LÄN</t>
        </is>
      </c>
      <c r="E961" t="inlineStr">
        <is>
          <t>HEBY</t>
        </is>
      </c>
      <c r="G961" t="n">
        <v>1.4</v>
      </c>
      <c r="H961" t="n">
        <v>0</v>
      </c>
      <c r="I961" t="n">
        <v>0</v>
      </c>
      <c r="J961" t="n">
        <v>0</v>
      </c>
      <c r="K961" t="n">
        <v>0</v>
      </c>
      <c r="L961" t="n">
        <v>0</v>
      </c>
      <c r="M961" t="n">
        <v>0</v>
      </c>
      <c r="N961" t="n">
        <v>0</v>
      </c>
      <c r="O961" t="n">
        <v>0</v>
      </c>
      <c r="P961" t="n">
        <v>0</v>
      </c>
      <c r="Q961" t="n">
        <v>0</v>
      </c>
      <c r="R961" s="2" t="inlineStr"/>
    </row>
    <row r="962" ht="15" customHeight="1">
      <c r="A962" t="inlineStr">
        <is>
          <t>A 42829-2019</t>
        </is>
      </c>
      <c r="B962" s="1" t="n">
        <v>43705</v>
      </c>
      <c r="C962" s="1" t="n">
        <v>45792</v>
      </c>
      <c r="D962" t="inlineStr">
        <is>
          <t>UPPSALA LÄN</t>
        </is>
      </c>
      <c r="E962" t="inlineStr">
        <is>
          <t>ENKÖPING</t>
        </is>
      </c>
      <c r="G962" t="n">
        <v>6.7</v>
      </c>
      <c r="H962" t="n">
        <v>0</v>
      </c>
      <c r="I962" t="n">
        <v>0</v>
      </c>
      <c r="J962" t="n">
        <v>0</v>
      </c>
      <c r="K962" t="n">
        <v>0</v>
      </c>
      <c r="L962" t="n">
        <v>0</v>
      </c>
      <c r="M962" t="n">
        <v>0</v>
      </c>
      <c r="N962" t="n">
        <v>0</v>
      </c>
      <c r="O962" t="n">
        <v>0</v>
      </c>
      <c r="P962" t="n">
        <v>0</v>
      </c>
      <c r="Q962" t="n">
        <v>0</v>
      </c>
      <c r="R962" s="2" t="inlineStr"/>
    </row>
    <row r="963" ht="15" customHeight="1">
      <c r="A963" t="inlineStr">
        <is>
          <t>A 43222-2019</t>
        </is>
      </c>
      <c r="B963" s="1" t="n">
        <v>43706</v>
      </c>
      <c r="C963" s="1" t="n">
        <v>45792</v>
      </c>
      <c r="D963" t="inlineStr">
        <is>
          <t>UPPSALA LÄN</t>
        </is>
      </c>
      <c r="E963" t="inlineStr">
        <is>
          <t>UPPSALA</t>
        </is>
      </c>
      <c r="F963" t="inlineStr">
        <is>
          <t>Bergvik skog öst AB</t>
        </is>
      </c>
      <c r="G963" t="n">
        <v>3.6</v>
      </c>
      <c r="H963" t="n">
        <v>0</v>
      </c>
      <c r="I963" t="n">
        <v>0</v>
      </c>
      <c r="J963" t="n">
        <v>0</v>
      </c>
      <c r="K963" t="n">
        <v>0</v>
      </c>
      <c r="L963" t="n">
        <v>0</v>
      </c>
      <c r="M963" t="n">
        <v>0</v>
      </c>
      <c r="N963" t="n">
        <v>0</v>
      </c>
      <c r="O963" t="n">
        <v>0</v>
      </c>
      <c r="P963" t="n">
        <v>0</v>
      </c>
      <c r="Q963" t="n">
        <v>0</v>
      </c>
      <c r="R963" s="2" t="inlineStr"/>
    </row>
    <row r="964" ht="15" customHeight="1">
      <c r="A964" t="inlineStr">
        <is>
          <t>A 43426-2019</t>
        </is>
      </c>
      <c r="B964" s="1" t="n">
        <v>43706</v>
      </c>
      <c r="C964" s="1" t="n">
        <v>45792</v>
      </c>
      <c r="D964" t="inlineStr">
        <is>
          <t>UPPSALA LÄN</t>
        </is>
      </c>
      <c r="E964" t="inlineStr">
        <is>
          <t>ÖSTHAMMAR</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43410-2019</t>
        </is>
      </c>
      <c r="B965" s="1" t="n">
        <v>43706</v>
      </c>
      <c r="C965" s="1" t="n">
        <v>45792</v>
      </c>
      <c r="D965" t="inlineStr">
        <is>
          <t>UPPSALA LÄN</t>
        </is>
      </c>
      <c r="E965" t="inlineStr">
        <is>
          <t>UPPSALA</t>
        </is>
      </c>
      <c r="F965" t="inlineStr">
        <is>
          <t>Övriga statliga verk och myndigheter</t>
        </is>
      </c>
      <c r="G965" t="n">
        <v>8.6</v>
      </c>
      <c r="H965" t="n">
        <v>0</v>
      </c>
      <c r="I965" t="n">
        <v>0</v>
      </c>
      <c r="J965" t="n">
        <v>0</v>
      </c>
      <c r="K965" t="n">
        <v>0</v>
      </c>
      <c r="L965" t="n">
        <v>0</v>
      </c>
      <c r="M965" t="n">
        <v>0</v>
      </c>
      <c r="N965" t="n">
        <v>0</v>
      </c>
      <c r="O965" t="n">
        <v>0</v>
      </c>
      <c r="P965" t="n">
        <v>0</v>
      </c>
      <c r="Q965" t="n">
        <v>0</v>
      </c>
      <c r="R965" s="2" t="inlineStr"/>
    </row>
    <row r="966" ht="15" customHeight="1">
      <c r="A966" t="inlineStr">
        <is>
          <t>A 43715-2019</t>
        </is>
      </c>
      <c r="B966" s="1" t="n">
        <v>43706</v>
      </c>
      <c r="C966" s="1" t="n">
        <v>45792</v>
      </c>
      <c r="D966" t="inlineStr">
        <is>
          <t>UPPSALA LÄN</t>
        </is>
      </c>
      <c r="E966" t="inlineStr">
        <is>
          <t>UPPSALA</t>
        </is>
      </c>
      <c r="F966" t="inlineStr">
        <is>
          <t>Övriga statliga verk och myndigheter</t>
        </is>
      </c>
      <c r="G966" t="n">
        <v>0.8</v>
      </c>
      <c r="H966" t="n">
        <v>0</v>
      </c>
      <c r="I966" t="n">
        <v>0</v>
      </c>
      <c r="J966" t="n">
        <v>0</v>
      </c>
      <c r="K966" t="n">
        <v>0</v>
      </c>
      <c r="L966" t="n">
        <v>0</v>
      </c>
      <c r="M966" t="n">
        <v>0</v>
      </c>
      <c r="N966" t="n">
        <v>0</v>
      </c>
      <c r="O966" t="n">
        <v>0</v>
      </c>
      <c r="P966" t="n">
        <v>0</v>
      </c>
      <c r="Q966" t="n">
        <v>0</v>
      </c>
      <c r="R966" s="2" t="inlineStr"/>
    </row>
    <row r="967" ht="15" customHeight="1">
      <c r="A967" t="inlineStr">
        <is>
          <t>A 43535-2019</t>
        </is>
      </c>
      <c r="B967" s="1" t="n">
        <v>43706</v>
      </c>
      <c r="C967" s="1" t="n">
        <v>45792</v>
      </c>
      <c r="D967" t="inlineStr">
        <is>
          <t>UPPSALA LÄN</t>
        </is>
      </c>
      <c r="E967" t="inlineStr">
        <is>
          <t>TIERP</t>
        </is>
      </c>
      <c r="G967" t="n">
        <v>2.8</v>
      </c>
      <c r="H967" t="n">
        <v>0</v>
      </c>
      <c r="I967" t="n">
        <v>0</v>
      </c>
      <c r="J967" t="n">
        <v>0</v>
      </c>
      <c r="K967" t="n">
        <v>0</v>
      </c>
      <c r="L967" t="n">
        <v>0</v>
      </c>
      <c r="M967" t="n">
        <v>0</v>
      </c>
      <c r="N967" t="n">
        <v>0</v>
      </c>
      <c r="O967" t="n">
        <v>0</v>
      </c>
      <c r="P967" t="n">
        <v>0</v>
      </c>
      <c r="Q967" t="n">
        <v>0</v>
      </c>
      <c r="R967" s="2" t="inlineStr"/>
    </row>
    <row r="968" ht="15" customHeight="1">
      <c r="A968" t="inlineStr">
        <is>
          <t>A 43224-2019</t>
        </is>
      </c>
      <c r="B968" s="1" t="n">
        <v>43706</v>
      </c>
      <c r="C968" s="1" t="n">
        <v>45792</v>
      </c>
      <c r="D968" t="inlineStr">
        <is>
          <t>UPPSALA LÄN</t>
        </is>
      </c>
      <c r="E968" t="inlineStr">
        <is>
          <t>UPPSALA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43435-2019</t>
        </is>
      </c>
      <c r="B969" s="1" t="n">
        <v>43706</v>
      </c>
      <c r="C969" s="1" t="n">
        <v>45792</v>
      </c>
      <c r="D969" t="inlineStr">
        <is>
          <t>UPPSALA LÄN</t>
        </is>
      </c>
      <c r="E969" t="inlineStr">
        <is>
          <t>UPPSALA</t>
        </is>
      </c>
      <c r="G969" t="n">
        <v>5.4</v>
      </c>
      <c r="H969" t="n">
        <v>0</v>
      </c>
      <c r="I969" t="n">
        <v>0</v>
      </c>
      <c r="J969" t="n">
        <v>0</v>
      </c>
      <c r="K969" t="n">
        <v>0</v>
      </c>
      <c r="L969" t="n">
        <v>0</v>
      </c>
      <c r="M969" t="n">
        <v>0</v>
      </c>
      <c r="N969" t="n">
        <v>0</v>
      </c>
      <c r="O969" t="n">
        <v>0</v>
      </c>
      <c r="P969" t="n">
        <v>0</v>
      </c>
      <c r="Q969" t="n">
        <v>0</v>
      </c>
      <c r="R969" s="2" t="inlineStr"/>
    </row>
    <row r="970" ht="15" customHeight="1">
      <c r="A970" t="inlineStr">
        <is>
          <t>A 43722-2019</t>
        </is>
      </c>
      <c r="B970" s="1" t="n">
        <v>43706</v>
      </c>
      <c r="C970" s="1" t="n">
        <v>45792</v>
      </c>
      <c r="D970" t="inlineStr">
        <is>
          <t>UPPSALA LÄN</t>
        </is>
      </c>
      <c r="E970" t="inlineStr">
        <is>
          <t>UPPSALA</t>
        </is>
      </c>
      <c r="F970" t="inlineStr">
        <is>
          <t>Övriga statliga verk och myndigheter</t>
        </is>
      </c>
      <c r="G970" t="n">
        <v>0.6</v>
      </c>
      <c r="H970" t="n">
        <v>0</v>
      </c>
      <c r="I970" t="n">
        <v>0</v>
      </c>
      <c r="J970" t="n">
        <v>0</v>
      </c>
      <c r="K970" t="n">
        <v>0</v>
      </c>
      <c r="L970" t="n">
        <v>0</v>
      </c>
      <c r="M970" t="n">
        <v>0</v>
      </c>
      <c r="N970" t="n">
        <v>0</v>
      </c>
      <c r="O970" t="n">
        <v>0</v>
      </c>
      <c r="P970" t="n">
        <v>0</v>
      </c>
      <c r="Q970" t="n">
        <v>0</v>
      </c>
      <c r="R970" s="2" t="inlineStr"/>
    </row>
    <row r="971" ht="15" customHeight="1">
      <c r="A971" t="inlineStr">
        <is>
          <t>A 43308-2019</t>
        </is>
      </c>
      <c r="B971" s="1" t="n">
        <v>43706</v>
      </c>
      <c r="C971" s="1" t="n">
        <v>45792</v>
      </c>
      <c r="D971" t="inlineStr">
        <is>
          <t>UPPSALA LÄN</t>
        </is>
      </c>
      <c r="E971" t="inlineStr">
        <is>
          <t>ENKÖPING</t>
        </is>
      </c>
      <c r="G971" t="n">
        <v>3.3</v>
      </c>
      <c r="H971" t="n">
        <v>0</v>
      </c>
      <c r="I971" t="n">
        <v>0</v>
      </c>
      <c r="J971" t="n">
        <v>0</v>
      </c>
      <c r="K971" t="n">
        <v>0</v>
      </c>
      <c r="L971" t="n">
        <v>0</v>
      </c>
      <c r="M971" t="n">
        <v>0</v>
      </c>
      <c r="N971" t="n">
        <v>0</v>
      </c>
      <c r="O971" t="n">
        <v>0</v>
      </c>
      <c r="P971" t="n">
        <v>0</v>
      </c>
      <c r="Q971" t="n">
        <v>0</v>
      </c>
      <c r="R971" s="2" t="inlineStr"/>
    </row>
    <row r="972" ht="15" customHeight="1">
      <c r="A972" t="inlineStr">
        <is>
          <t>A 43625-2019</t>
        </is>
      </c>
      <c r="B972" s="1" t="n">
        <v>43707</v>
      </c>
      <c r="C972" s="1" t="n">
        <v>45792</v>
      </c>
      <c r="D972" t="inlineStr">
        <is>
          <t>UPPSALA LÄN</t>
        </is>
      </c>
      <c r="E972" t="inlineStr">
        <is>
          <t>TIERP</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43704-2019</t>
        </is>
      </c>
      <c r="B973" s="1" t="n">
        <v>43707</v>
      </c>
      <c r="C973" s="1" t="n">
        <v>45792</v>
      </c>
      <c r="D973" t="inlineStr">
        <is>
          <t>UPPSALA LÄN</t>
        </is>
      </c>
      <c r="E973" t="inlineStr">
        <is>
          <t>UPPSALA</t>
        </is>
      </c>
      <c r="F973" t="inlineStr">
        <is>
          <t>Bergvik skog öst AB</t>
        </is>
      </c>
      <c r="G973" t="n">
        <v>2.7</v>
      </c>
      <c r="H973" t="n">
        <v>0</v>
      </c>
      <c r="I973" t="n">
        <v>0</v>
      </c>
      <c r="J973" t="n">
        <v>0</v>
      </c>
      <c r="K973" t="n">
        <v>0</v>
      </c>
      <c r="L973" t="n">
        <v>0</v>
      </c>
      <c r="M973" t="n">
        <v>0</v>
      </c>
      <c r="N973" t="n">
        <v>0</v>
      </c>
      <c r="O973" t="n">
        <v>0</v>
      </c>
      <c r="P973" t="n">
        <v>0</v>
      </c>
      <c r="Q973" t="n">
        <v>0</v>
      </c>
      <c r="R973" s="2" t="inlineStr"/>
    </row>
    <row r="974" ht="15" customHeight="1">
      <c r="A974" t="inlineStr">
        <is>
          <t>A 43725-2019</t>
        </is>
      </c>
      <c r="B974" s="1" t="n">
        <v>43707</v>
      </c>
      <c r="C974" s="1" t="n">
        <v>45792</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44109-2019</t>
        </is>
      </c>
      <c r="B975" s="1" t="n">
        <v>43707</v>
      </c>
      <c r="C975" s="1" t="n">
        <v>45792</v>
      </c>
      <c r="D975" t="inlineStr">
        <is>
          <t>UPPSALA LÄN</t>
        </is>
      </c>
      <c r="E975" t="inlineStr">
        <is>
          <t>UPPSALA</t>
        </is>
      </c>
      <c r="F975" t="inlineStr">
        <is>
          <t>Allmännings- och besparingsskogar</t>
        </is>
      </c>
      <c r="G975" t="n">
        <v>81.3</v>
      </c>
      <c r="H975" t="n">
        <v>0</v>
      </c>
      <c r="I975" t="n">
        <v>0</v>
      </c>
      <c r="J975" t="n">
        <v>0</v>
      </c>
      <c r="K975" t="n">
        <v>0</v>
      </c>
      <c r="L975" t="n">
        <v>0</v>
      </c>
      <c r="M975" t="n">
        <v>0</v>
      </c>
      <c r="N975" t="n">
        <v>0</v>
      </c>
      <c r="O975" t="n">
        <v>0</v>
      </c>
      <c r="P975" t="n">
        <v>0</v>
      </c>
      <c r="Q975" t="n">
        <v>0</v>
      </c>
      <c r="R975" s="2" t="inlineStr"/>
    </row>
    <row r="976" ht="15" customHeight="1">
      <c r="A976" t="inlineStr">
        <is>
          <t>A 43713-2019</t>
        </is>
      </c>
      <c r="B976" s="1" t="n">
        <v>43707</v>
      </c>
      <c r="C976" s="1" t="n">
        <v>45792</v>
      </c>
      <c r="D976" t="inlineStr">
        <is>
          <t>UPPSALA LÄN</t>
        </is>
      </c>
      <c r="E976" t="inlineStr">
        <is>
          <t>UPPSALA</t>
        </is>
      </c>
      <c r="F976" t="inlineStr">
        <is>
          <t>Bergvik skog öst AB</t>
        </is>
      </c>
      <c r="G976" t="n">
        <v>7.9</v>
      </c>
      <c r="H976" t="n">
        <v>0</v>
      </c>
      <c r="I976" t="n">
        <v>0</v>
      </c>
      <c r="J976" t="n">
        <v>0</v>
      </c>
      <c r="K976" t="n">
        <v>0</v>
      </c>
      <c r="L976" t="n">
        <v>0</v>
      </c>
      <c r="M976" t="n">
        <v>0</v>
      </c>
      <c r="N976" t="n">
        <v>0</v>
      </c>
      <c r="O976" t="n">
        <v>0</v>
      </c>
      <c r="P976" t="n">
        <v>0</v>
      </c>
      <c r="Q976" t="n">
        <v>0</v>
      </c>
      <c r="R976" s="2" t="inlineStr"/>
    </row>
    <row r="977" ht="15" customHeight="1">
      <c r="A977" t="inlineStr">
        <is>
          <t>A 43853-2019</t>
        </is>
      </c>
      <c r="B977" s="1" t="n">
        <v>43707</v>
      </c>
      <c r="C977" s="1" t="n">
        <v>45792</v>
      </c>
      <c r="D977" t="inlineStr">
        <is>
          <t>UPPSALA LÄN</t>
        </is>
      </c>
      <c r="E977" t="inlineStr">
        <is>
          <t>UPPSALA</t>
        </is>
      </c>
      <c r="F977" t="inlineStr">
        <is>
          <t>Övriga statliga verk och myndigheter</t>
        </is>
      </c>
      <c r="G977" t="n">
        <v>1.8</v>
      </c>
      <c r="H977" t="n">
        <v>0</v>
      </c>
      <c r="I977" t="n">
        <v>0</v>
      </c>
      <c r="J977" t="n">
        <v>0</v>
      </c>
      <c r="K977" t="n">
        <v>0</v>
      </c>
      <c r="L977" t="n">
        <v>0</v>
      </c>
      <c r="M977" t="n">
        <v>0</v>
      </c>
      <c r="N977" t="n">
        <v>0</v>
      </c>
      <c r="O977" t="n">
        <v>0</v>
      </c>
      <c r="P977" t="n">
        <v>0</v>
      </c>
      <c r="Q977" t="n">
        <v>0</v>
      </c>
      <c r="R977" s="2" t="inlineStr"/>
    </row>
    <row r="978" ht="15" customHeight="1">
      <c r="A978" t="inlineStr">
        <is>
          <t>A 43998-2019</t>
        </is>
      </c>
      <c r="B978" s="1" t="n">
        <v>43709</v>
      </c>
      <c r="C978" s="1" t="n">
        <v>45792</v>
      </c>
      <c r="D978" t="inlineStr">
        <is>
          <t>UPPSALA LÄN</t>
        </is>
      </c>
      <c r="E978" t="inlineStr">
        <is>
          <t>ENKÖPING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43999-2019</t>
        </is>
      </c>
      <c r="B979" s="1" t="n">
        <v>43709</v>
      </c>
      <c r="C979" s="1" t="n">
        <v>45792</v>
      </c>
      <c r="D979" t="inlineStr">
        <is>
          <t>UPPSALA LÄN</t>
        </is>
      </c>
      <c r="E979" t="inlineStr">
        <is>
          <t>ENKÖPING</t>
        </is>
      </c>
      <c r="G979" t="n">
        <v>0.1</v>
      </c>
      <c r="H979" t="n">
        <v>0</v>
      </c>
      <c r="I979" t="n">
        <v>0</v>
      </c>
      <c r="J979" t="n">
        <v>0</v>
      </c>
      <c r="K979" t="n">
        <v>0</v>
      </c>
      <c r="L979" t="n">
        <v>0</v>
      </c>
      <c r="M979" t="n">
        <v>0</v>
      </c>
      <c r="N979" t="n">
        <v>0</v>
      </c>
      <c r="O979" t="n">
        <v>0</v>
      </c>
      <c r="P979" t="n">
        <v>0</v>
      </c>
      <c r="Q979" t="n">
        <v>0</v>
      </c>
      <c r="R979" s="2" t="inlineStr"/>
    </row>
    <row r="980" ht="15" customHeight="1">
      <c r="A980" t="inlineStr">
        <is>
          <t>A 44141-2019</t>
        </is>
      </c>
      <c r="B980" s="1" t="n">
        <v>43710</v>
      </c>
      <c r="C980" s="1" t="n">
        <v>45792</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45500-2019</t>
        </is>
      </c>
      <c r="B981" s="1" t="n">
        <v>43710</v>
      </c>
      <c r="C981" s="1" t="n">
        <v>45792</v>
      </c>
      <c r="D981" t="inlineStr">
        <is>
          <t>UPPSALA LÄN</t>
        </is>
      </c>
      <c r="E981" t="inlineStr">
        <is>
          <t>HEBY</t>
        </is>
      </c>
      <c r="G981" t="n">
        <v>4</v>
      </c>
      <c r="H981" t="n">
        <v>0</v>
      </c>
      <c r="I981" t="n">
        <v>0</v>
      </c>
      <c r="J981" t="n">
        <v>0</v>
      </c>
      <c r="K981" t="n">
        <v>0</v>
      </c>
      <c r="L981" t="n">
        <v>0</v>
      </c>
      <c r="M981" t="n">
        <v>0</v>
      </c>
      <c r="N981" t="n">
        <v>0</v>
      </c>
      <c r="O981" t="n">
        <v>0</v>
      </c>
      <c r="P981" t="n">
        <v>0</v>
      </c>
      <c r="Q981" t="n">
        <v>0</v>
      </c>
      <c r="R981" s="2" t="inlineStr"/>
    </row>
    <row r="982" ht="15" customHeight="1">
      <c r="A982" t="inlineStr">
        <is>
          <t>A 45493-2019</t>
        </is>
      </c>
      <c r="B982" s="1" t="n">
        <v>43710</v>
      </c>
      <c r="C982" s="1" t="n">
        <v>45792</v>
      </c>
      <c r="D982" t="inlineStr">
        <is>
          <t>UPPSALA LÄN</t>
        </is>
      </c>
      <c r="E982" t="inlineStr">
        <is>
          <t>HEBY</t>
        </is>
      </c>
      <c r="G982" t="n">
        <v>3.4</v>
      </c>
      <c r="H982" t="n">
        <v>0</v>
      </c>
      <c r="I982" t="n">
        <v>0</v>
      </c>
      <c r="J982" t="n">
        <v>0</v>
      </c>
      <c r="K982" t="n">
        <v>0</v>
      </c>
      <c r="L982" t="n">
        <v>0</v>
      </c>
      <c r="M982" t="n">
        <v>0</v>
      </c>
      <c r="N982" t="n">
        <v>0</v>
      </c>
      <c r="O982" t="n">
        <v>0</v>
      </c>
      <c r="P982" t="n">
        <v>0</v>
      </c>
      <c r="Q982" t="n">
        <v>0</v>
      </c>
      <c r="R982" s="2" t="inlineStr"/>
    </row>
    <row r="983" ht="15" customHeight="1">
      <c r="A983" t="inlineStr">
        <is>
          <t>A 44497-2019</t>
        </is>
      </c>
      <c r="B983" s="1" t="n">
        <v>43711</v>
      </c>
      <c r="C983" s="1" t="n">
        <v>45792</v>
      </c>
      <c r="D983" t="inlineStr">
        <is>
          <t>UPPSALA LÄN</t>
        </is>
      </c>
      <c r="E983" t="inlineStr">
        <is>
          <t>HEBY</t>
        </is>
      </c>
      <c r="G983" t="n">
        <v>0.5</v>
      </c>
      <c r="H983" t="n">
        <v>0</v>
      </c>
      <c r="I983" t="n">
        <v>0</v>
      </c>
      <c r="J983" t="n">
        <v>0</v>
      </c>
      <c r="K983" t="n">
        <v>0</v>
      </c>
      <c r="L983" t="n">
        <v>0</v>
      </c>
      <c r="M983" t="n">
        <v>0</v>
      </c>
      <c r="N983" t="n">
        <v>0</v>
      </c>
      <c r="O983" t="n">
        <v>0</v>
      </c>
      <c r="P983" t="n">
        <v>0</v>
      </c>
      <c r="Q983" t="n">
        <v>0</v>
      </c>
      <c r="R983" s="2" t="inlineStr"/>
    </row>
    <row r="984" ht="15" customHeight="1">
      <c r="A984" t="inlineStr">
        <is>
          <t>A 44569-2019</t>
        </is>
      </c>
      <c r="B984" s="1" t="n">
        <v>43711</v>
      </c>
      <c r="C984" s="1" t="n">
        <v>45792</v>
      </c>
      <c r="D984" t="inlineStr">
        <is>
          <t>UPPSALA LÄN</t>
        </is>
      </c>
      <c r="E984" t="inlineStr">
        <is>
          <t>TIERP</t>
        </is>
      </c>
      <c r="F984" t="inlineStr">
        <is>
          <t>Bergvik skog öst AB</t>
        </is>
      </c>
      <c r="G984" t="n">
        <v>3.3</v>
      </c>
      <c r="H984" t="n">
        <v>0</v>
      </c>
      <c r="I984" t="n">
        <v>0</v>
      </c>
      <c r="J984" t="n">
        <v>0</v>
      </c>
      <c r="K984" t="n">
        <v>0</v>
      </c>
      <c r="L984" t="n">
        <v>0</v>
      </c>
      <c r="M984" t="n">
        <v>0</v>
      </c>
      <c r="N984" t="n">
        <v>0</v>
      </c>
      <c r="O984" t="n">
        <v>0</v>
      </c>
      <c r="P984" t="n">
        <v>0</v>
      </c>
      <c r="Q984" t="n">
        <v>0</v>
      </c>
      <c r="R984" s="2" t="inlineStr"/>
    </row>
    <row r="985" ht="15" customHeight="1">
      <c r="A985" t="inlineStr">
        <is>
          <t>A 44457-2019</t>
        </is>
      </c>
      <c r="B985" s="1" t="n">
        <v>43711</v>
      </c>
      <c r="C985" s="1" t="n">
        <v>45792</v>
      </c>
      <c r="D985" t="inlineStr">
        <is>
          <t>UPPSALA LÄN</t>
        </is>
      </c>
      <c r="E985" t="inlineStr">
        <is>
          <t>ÄLVKARLEBY</t>
        </is>
      </c>
      <c r="F985" t="inlineStr">
        <is>
          <t>Bergvik skog väst AB</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44749-2019</t>
        </is>
      </c>
      <c r="B986" s="1" t="n">
        <v>43712</v>
      </c>
      <c r="C986" s="1" t="n">
        <v>45792</v>
      </c>
      <c r="D986" t="inlineStr">
        <is>
          <t>UPPSALA LÄN</t>
        </is>
      </c>
      <c r="E986" t="inlineStr">
        <is>
          <t>ENKÖPING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44701-2019</t>
        </is>
      </c>
      <c r="B987" s="1" t="n">
        <v>43712</v>
      </c>
      <c r="C987" s="1" t="n">
        <v>45792</v>
      </c>
      <c r="D987" t="inlineStr">
        <is>
          <t>UPPSALA LÄN</t>
        </is>
      </c>
      <c r="E987" t="inlineStr">
        <is>
          <t>UPPSALA</t>
        </is>
      </c>
      <c r="G987" t="n">
        <v>3.4</v>
      </c>
      <c r="H987" t="n">
        <v>0</v>
      </c>
      <c r="I987" t="n">
        <v>0</v>
      </c>
      <c r="J987" t="n">
        <v>0</v>
      </c>
      <c r="K987" t="n">
        <v>0</v>
      </c>
      <c r="L987" t="n">
        <v>0</v>
      </c>
      <c r="M987" t="n">
        <v>0</v>
      </c>
      <c r="N987" t="n">
        <v>0</v>
      </c>
      <c r="O987" t="n">
        <v>0</v>
      </c>
      <c r="P987" t="n">
        <v>0</v>
      </c>
      <c r="Q987" t="n">
        <v>0</v>
      </c>
      <c r="R987" s="2" t="inlineStr"/>
    </row>
    <row r="988" ht="15" customHeight="1">
      <c r="A988" t="inlineStr">
        <is>
          <t>A 44687-2019</t>
        </is>
      </c>
      <c r="B988" s="1" t="n">
        <v>43712</v>
      </c>
      <c r="C988" s="1" t="n">
        <v>45792</v>
      </c>
      <c r="D988" t="inlineStr">
        <is>
          <t>UPPSALA LÄN</t>
        </is>
      </c>
      <c r="E988" t="inlineStr">
        <is>
          <t>UPPSALA</t>
        </is>
      </c>
      <c r="G988" t="n">
        <v>3.3</v>
      </c>
      <c r="H988" t="n">
        <v>0</v>
      </c>
      <c r="I988" t="n">
        <v>0</v>
      </c>
      <c r="J988" t="n">
        <v>0</v>
      </c>
      <c r="K988" t="n">
        <v>0</v>
      </c>
      <c r="L988" t="n">
        <v>0</v>
      </c>
      <c r="M988" t="n">
        <v>0</v>
      </c>
      <c r="N988" t="n">
        <v>0</v>
      </c>
      <c r="O988" t="n">
        <v>0</v>
      </c>
      <c r="P988" t="n">
        <v>0</v>
      </c>
      <c r="Q988" t="n">
        <v>0</v>
      </c>
      <c r="R988" s="2" t="inlineStr"/>
    </row>
    <row r="989" ht="15" customHeight="1">
      <c r="A989" t="inlineStr">
        <is>
          <t>A 45010-2019</t>
        </is>
      </c>
      <c r="B989" s="1" t="n">
        <v>43713</v>
      </c>
      <c r="C989" s="1" t="n">
        <v>45792</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45140-2019</t>
        </is>
      </c>
      <c r="B990" s="1" t="n">
        <v>43713</v>
      </c>
      <c r="C990" s="1" t="n">
        <v>45792</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45007-2019</t>
        </is>
      </c>
      <c r="B991" s="1" t="n">
        <v>43713</v>
      </c>
      <c r="C991" s="1" t="n">
        <v>45792</v>
      </c>
      <c r="D991" t="inlineStr">
        <is>
          <t>UPPSALA LÄN</t>
        </is>
      </c>
      <c r="E991" t="inlineStr">
        <is>
          <t>ENKÖPING</t>
        </is>
      </c>
      <c r="G991" t="n">
        <v>0.8</v>
      </c>
      <c r="H991" t="n">
        <v>0</v>
      </c>
      <c r="I991" t="n">
        <v>0</v>
      </c>
      <c r="J991" t="n">
        <v>0</v>
      </c>
      <c r="K991" t="n">
        <v>0</v>
      </c>
      <c r="L991" t="n">
        <v>0</v>
      </c>
      <c r="M991" t="n">
        <v>0</v>
      </c>
      <c r="N991" t="n">
        <v>0</v>
      </c>
      <c r="O991" t="n">
        <v>0</v>
      </c>
      <c r="P991" t="n">
        <v>0</v>
      </c>
      <c r="Q991" t="n">
        <v>0</v>
      </c>
      <c r="R991" s="2" t="inlineStr"/>
    </row>
    <row r="992" ht="15" customHeight="1">
      <c r="A992" t="inlineStr">
        <is>
          <t>A 44991-2019</t>
        </is>
      </c>
      <c r="B992" s="1" t="n">
        <v>43713</v>
      </c>
      <c r="C992" s="1" t="n">
        <v>45792</v>
      </c>
      <c r="D992" t="inlineStr">
        <is>
          <t>UPPSALA LÄN</t>
        </is>
      </c>
      <c r="E992" t="inlineStr">
        <is>
          <t>HEBY</t>
        </is>
      </c>
      <c r="G992" t="n">
        <v>0.6</v>
      </c>
      <c r="H992" t="n">
        <v>0</v>
      </c>
      <c r="I992" t="n">
        <v>0</v>
      </c>
      <c r="J992" t="n">
        <v>0</v>
      </c>
      <c r="K992" t="n">
        <v>0</v>
      </c>
      <c r="L992" t="n">
        <v>0</v>
      </c>
      <c r="M992" t="n">
        <v>0</v>
      </c>
      <c r="N992" t="n">
        <v>0</v>
      </c>
      <c r="O992" t="n">
        <v>0</v>
      </c>
      <c r="P992" t="n">
        <v>0</v>
      </c>
      <c r="Q992" t="n">
        <v>0</v>
      </c>
      <c r="R992" s="2" t="inlineStr"/>
    </row>
    <row r="993" ht="15" customHeight="1">
      <c r="A993" t="inlineStr">
        <is>
          <t>A 45481-2019</t>
        </is>
      </c>
      <c r="B993" s="1" t="n">
        <v>43714</v>
      </c>
      <c r="C993" s="1" t="n">
        <v>45792</v>
      </c>
      <c r="D993" t="inlineStr">
        <is>
          <t>UPPSALA LÄN</t>
        </is>
      </c>
      <c r="E993" t="inlineStr">
        <is>
          <t>ENKÖPING</t>
        </is>
      </c>
      <c r="G993" t="n">
        <v>2</v>
      </c>
      <c r="H993" t="n">
        <v>0</v>
      </c>
      <c r="I993" t="n">
        <v>0</v>
      </c>
      <c r="J993" t="n">
        <v>0</v>
      </c>
      <c r="K993" t="n">
        <v>0</v>
      </c>
      <c r="L993" t="n">
        <v>0</v>
      </c>
      <c r="M993" t="n">
        <v>0</v>
      </c>
      <c r="N993" t="n">
        <v>0</v>
      </c>
      <c r="O993" t="n">
        <v>0</v>
      </c>
      <c r="P993" t="n">
        <v>0</v>
      </c>
      <c r="Q993" t="n">
        <v>0</v>
      </c>
      <c r="R993" s="2" t="inlineStr"/>
    </row>
    <row r="994" ht="15" customHeight="1">
      <c r="A994" t="inlineStr">
        <is>
          <t>A 45574-2019</t>
        </is>
      </c>
      <c r="B994" s="1" t="n">
        <v>43716</v>
      </c>
      <c r="C994" s="1" t="n">
        <v>45792</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45681-2019</t>
        </is>
      </c>
      <c r="B995" s="1" t="n">
        <v>43717</v>
      </c>
      <c r="C995" s="1" t="n">
        <v>45792</v>
      </c>
      <c r="D995" t="inlineStr">
        <is>
          <t>UPPSALA LÄN</t>
        </is>
      </c>
      <c r="E995" t="inlineStr">
        <is>
          <t>ÖSTHAMMAR</t>
        </is>
      </c>
      <c r="F995" t="inlineStr">
        <is>
          <t>Bergvik skog öst AB</t>
        </is>
      </c>
      <c r="G995" t="n">
        <v>3</v>
      </c>
      <c r="H995" t="n">
        <v>0</v>
      </c>
      <c r="I995" t="n">
        <v>0</v>
      </c>
      <c r="J995" t="n">
        <v>0</v>
      </c>
      <c r="K995" t="n">
        <v>0</v>
      </c>
      <c r="L995" t="n">
        <v>0</v>
      </c>
      <c r="M995" t="n">
        <v>0</v>
      </c>
      <c r="N995" t="n">
        <v>0</v>
      </c>
      <c r="O995" t="n">
        <v>0</v>
      </c>
      <c r="P995" t="n">
        <v>0</v>
      </c>
      <c r="Q995" t="n">
        <v>0</v>
      </c>
      <c r="R995" s="2" t="inlineStr"/>
    </row>
    <row r="996" ht="15" customHeight="1">
      <c r="A996" t="inlineStr">
        <is>
          <t>A 45729-2019</t>
        </is>
      </c>
      <c r="B996" s="1" t="n">
        <v>43717</v>
      </c>
      <c r="C996" s="1" t="n">
        <v>45792</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45767-2019</t>
        </is>
      </c>
      <c r="B997" s="1" t="n">
        <v>43717</v>
      </c>
      <c r="C997" s="1" t="n">
        <v>45792</v>
      </c>
      <c r="D997" t="inlineStr">
        <is>
          <t>UPPSALA LÄN</t>
        </is>
      </c>
      <c r="E997" t="inlineStr">
        <is>
          <t>ENKÖPING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45784-2019</t>
        </is>
      </c>
      <c r="B998" s="1" t="n">
        <v>43717</v>
      </c>
      <c r="C998" s="1" t="n">
        <v>45792</v>
      </c>
      <c r="D998" t="inlineStr">
        <is>
          <t>UPPSALA LÄN</t>
        </is>
      </c>
      <c r="E998" t="inlineStr">
        <is>
          <t>ENKÖPING</t>
        </is>
      </c>
      <c r="G998" t="n">
        <v>0.5</v>
      </c>
      <c r="H998" t="n">
        <v>0</v>
      </c>
      <c r="I998" t="n">
        <v>0</v>
      </c>
      <c r="J998" t="n">
        <v>0</v>
      </c>
      <c r="K998" t="n">
        <v>0</v>
      </c>
      <c r="L998" t="n">
        <v>0</v>
      </c>
      <c r="M998" t="n">
        <v>0</v>
      </c>
      <c r="N998" t="n">
        <v>0</v>
      </c>
      <c r="O998" t="n">
        <v>0</v>
      </c>
      <c r="P998" t="n">
        <v>0</v>
      </c>
      <c r="Q998" t="n">
        <v>0</v>
      </c>
      <c r="R998" s="2" t="inlineStr"/>
    </row>
    <row r="999" ht="15" customHeight="1">
      <c r="A999" t="inlineStr">
        <is>
          <t>A 45667-2019</t>
        </is>
      </c>
      <c r="B999" s="1" t="n">
        <v>43717</v>
      </c>
      <c r="C999" s="1" t="n">
        <v>45792</v>
      </c>
      <c r="D999" t="inlineStr">
        <is>
          <t>UPPSALA LÄN</t>
        </is>
      </c>
      <c r="E999" t="inlineStr">
        <is>
          <t>HEBY</t>
        </is>
      </c>
      <c r="G999" t="n">
        <v>0.8</v>
      </c>
      <c r="H999" t="n">
        <v>0</v>
      </c>
      <c r="I999" t="n">
        <v>0</v>
      </c>
      <c r="J999" t="n">
        <v>0</v>
      </c>
      <c r="K999" t="n">
        <v>0</v>
      </c>
      <c r="L999" t="n">
        <v>0</v>
      </c>
      <c r="M999" t="n">
        <v>0</v>
      </c>
      <c r="N999" t="n">
        <v>0</v>
      </c>
      <c r="O999" t="n">
        <v>0</v>
      </c>
      <c r="P999" t="n">
        <v>0</v>
      </c>
      <c r="Q999" t="n">
        <v>0</v>
      </c>
      <c r="R999" s="2" t="inlineStr"/>
    </row>
    <row r="1000" ht="15" customHeight="1">
      <c r="A1000" t="inlineStr">
        <is>
          <t>A 46292-2019</t>
        </is>
      </c>
      <c r="B1000" s="1" t="n">
        <v>43718</v>
      </c>
      <c r="C1000" s="1" t="n">
        <v>45792</v>
      </c>
      <c r="D1000" t="inlineStr">
        <is>
          <t>UPPSALA LÄN</t>
        </is>
      </c>
      <c r="E1000" t="inlineStr">
        <is>
          <t>ENKÖPING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46274-2019</t>
        </is>
      </c>
      <c r="B1001" s="1" t="n">
        <v>43718</v>
      </c>
      <c r="C1001" s="1" t="n">
        <v>45792</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46311-2019</t>
        </is>
      </c>
      <c r="B1002" s="1" t="n">
        <v>43718</v>
      </c>
      <c r="C1002" s="1" t="n">
        <v>45792</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46307-2019</t>
        </is>
      </c>
      <c r="B1003" s="1" t="n">
        <v>43718</v>
      </c>
      <c r="C1003" s="1" t="n">
        <v>45792</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46151-2019</t>
        </is>
      </c>
      <c r="B1004" s="1" t="n">
        <v>43718</v>
      </c>
      <c r="C1004" s="1" t="n">
        <v>45792</v>
      </c>
      <c r="D1004" t="inlineStr">
        <is>
          <t>UPPSALA LÄN</t>
        </is>
      </c>
      <c r="E1004" t="inlineStr">
        <is>
          <t>UPPSALA</t>
        </is>
      </c>
      <c r="F1004" t="inlineStr">
        <is>
          <t>Övriga Aktiebolag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46157-2019</t>
        </is>
      </c>
      <c r="B1005" s="1" t="n">
        <v>43718</v>
      </c>
      <c r="C1005" s="1" t="n">
        <v>45792</v>
      </c>
      <c r="D1005" t="inlineStr">
        <is>
          <t>UPPSALA LÄN</t>
        </is>
      </c>
      <c r="E1005" t="inlineStr">
        <is>
          <t>UPPSALA</t>
        </is>
      </c>
      <c r="F1005" t="inlineStr">
        <is>
          <t>Övriga Aktiebolag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46310-2019</t>
        </is>
      </c>
      <c r="B1006" s="1" t="n">
        <v>43718</v>
      </c>
      <c r="C1006" s="1" t="n">
        <v>45792</v>
      </c>
      <c r="D1006" t="inlineStr">
        <is>
          <t>UPPSALA LÄN</t>
        </is>
      </c>
      <c r="E1006" t="inlineStr">
        <is>
          <t>UPPSALA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46147-2019</t>
        </is>
      </c>
      <c r="B1007" s="1" t="n">
        <v>43718</v>
      </c>
      <c r="C1007" s="1" t="n">
        <v>45792</v>
      </c>
      <c r="D1007" t="inlineStr">
        <is>
          <t>UPPSALA LÄN</t>
        </is>
      </c>
      <c r="E1007" t="inlineStr">
        <is>
          <t>UPPSALA</t>
        </is>
      </c>
      <c r="F1007" t="inlineStr">
        <is>
          <t>Övriga Aktiebolag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46563-2019</t>
        </is>
      </c>
      <c r="B1008" s="1" t="n">
        <v>43719</v>
      </c>
      <c r="C1008" s="1" t="n">
        <v>45792</v>
      </c>
      <c r="D1008" t="inlineStr">
        <is>
          <t>UPPSALA LÄN</t>
        </is>
      </c>
      <c r="E1008" t="inlineStr">
        <is>
          <t>HEBY</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46545-2019</t>
        </is>
      </c>
      <c r="B1009" s="1" t="n">
        <v>43719</v>
      </c>
      <c r="C1009" s="1" t="n">
        <v>45792</v>
      </c>
      <c r="D1009" t="inlineStr">
        <is>
          <t>UPPSALA LÄN</t>
        </is>
      </c>
      <c r="E1009" t="inlineStr">
        <is>
          <t>HEBY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46877-2019</t>
        </is>
      </c>
      <c r="B1010" s="1" t="n">
        <v>43720</v>
      </c>
      <c r="C1010" s="1" t="n">
        <v>45792</v>
      </c>
      <c r="D1010" t="inlineStr">
        <is>
          <t>UPPSALA LÄN</t>
        </is>
      </c>
      <c r="E1010" t="inlineStr">
        <is>
          <t>UPPSALA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46896-2019</t>
        </is>
      </c>
      <c r="B1011" s="1" t="n">
        <v>43720</v>
      </c>
      <c r="C1011" s="1" t="n">
        <v>45792</v>
      </c>
      <c r="D1011" t="inlineStr">
        <is>
          <t>UPPSALA LÄN</t>
        </is>
      </c>
      <c r="E1011" t="inlineStr">
        <is>
          <t>UPPSALA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46971-2019</t>
        </is>
      </c>
      <c r="B1012" s="1" t="n">
        <v>43720</v>
      </c>
      <c r="C1012" s="1" t="n">
        <v>45792</v>
      </c>
      <c r="D1012" t="inlineStr">
        <is>
          <t>UPPSALA LÄN</t>
        </is>
      </c>
      <c r="E1012" t="inlineStr">
        <is>
          <t>ENKÖPING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47039-2019</t>
        </is>
      </c>
      <c r="B1013" s="1" t="n">
        <v>43720</v>
      </c>
      <c r="C1013" s="1" t="n">
        <v>45792</v>
      </c>
      <c r="D1013" t="inlineStr">
        <is>
          <t>UPPSALA LÄN</t>
        </is>
      </c>
      <c r="E1013" t="inlineStr">
        <is>
          <t>ENKÖPING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47368-2019</t>
        </is>
      </c>
      <c r="B1014" s="1" t="n">
        <v>43721</v>
      </c>
      <c r="C1014" s="1" t="n">
        <v>45792</v>
      </c>
      <c r="D1014" t="inlineStr">
        <is>
          <t>UPPSALA LÄN</t>
        </is>
      </c>
      <c r="E1014" t="inlineStr">
        <is>
          <t>ENKÖPING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47440-2019</t>
        </is>
      </c>
      <c r="B1015" s="1" t="n">
        <v>43723</v>
      </c>
      <c r="C1015" s="1" t="n">
        <v>45792</v>
      </c>
      <c r="D1015" t="inlineStr">
        <is>
          <t>UPPSALA LÄN</t>
        </is>
      </c>
      <c r="E1015" t="inlineStr">
        <is>
          <t>ÖSTHAMMAR</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47436-2019</t>
        </is>
      </c>
      <c r="B1016" s="1" t="n">
        <v>43723</v>
      </c>
      <c r="C1016" s="1" t="n">
        <v>45792</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47476-2019</t>
        </is>
      </c>
      <c r="B1017" s="1" t="n">
        <v>43724</v>
      </c>
      <c r="C1017" s="1" t="n">
        <v>45792</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48086-2019</t>
        </is>
      </c>
      <c r="B1018" s="1" t="n">
        <v>43725</v>
      </c>
      <c r="C1018" s="1" t="n">
        <v>45792</v>
      </c>
      <c r="D1018" t="inlineStr">
        <is>
          <t>UPPSALA LÄN</t>
        </is>
      </c>
      <c r="E1018" t="inlineStr">
        <is>
          <t>HEBY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48098-2019</t>
        </is>
      </c>
      <c r="B1019" s="1" t="n">
        <v>43725</v>
      </c>
      <c r="C1019" s="1" t="n">
        <v>45792</v>
      </c>
      <c r="D1019" t="inlineStr">
        <is>
          <t>UPPSALA LÄN</t>
        </is>
      </c>
      <c r="E1019" t="inlineStr">
        <is>
          <t>ENKÖPING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48095-2019</t>
        </is>
      </c>
      <c r="B1020" s="1" t="n">
        <v>43725</v>
      </c>
      <c r="C1020" s="1" t="n">
        <v>45792</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48096-2019</t>
        </is>
      </c>
      <c r="B1021" s="1" t="n">
        <v>43725</v>
      </c>
      <c r="C1021" s="1" t="n">
        <v>45792</v>
      </c>
      <c r="D1021" t="inlineStr">
        <is>
          <t>UPPSALA LÄN</t>
        </is>
      </c>
      <c r="E1021" t="inlineStr">
        <is>
          <t>ENKÖPING</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48515-2019</t>
        </is>
      </c>
      <c r="B1022" s="1" t="n">
        <v>43727</v>
      </c>
      <c r="C1022" s="1" t="n">
        <v>45792</v>
      </c>
      <c r="D1022" t="inlineStr">
        <is>
          <t>UPPSALA LÄN</t>
        </is>
      </c>
      <c r="E1022" t="inlineStr">
        <is>
          <t>ENKÖPING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48485-2019</t>
        </is>
      </c>
      <c r="B1023" s="1" t="n">
        <v>43727</v>
      </c>
      <c r="C1023" s="1" t="n">
        <v>45792</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48511-2019</t>
        </is>
      </c>
      <c r="B1024" s="1" t="n">
        <v>43727</v>
      </c>
      <c r="C1024" s="1" t="n">
        <v>45792</v>
      </c>
      <c r="D1024" t="inlineStr">
        <is>
          <t>UPPSALA LÄN</t>
        </is>
      </c>
      <c r="E1024" t="inlineStr">
        <is>
          <t>ENKÖPING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49567-2019</t>
        </is>
      </c>
      <c r="B1025" s="1" t="n">
        <v>43730</v>
      </c>
      <c r="C1025" s="1" t="n">
        <v>45792</v>
      </c>
      <c r="D1025" t="inlineStr">
        <is>
          <t>UPPSALA LÄN</t>
        </is>
      </c>
      <c r="E1025" t="inlineStr">
        <is>
          <t>UPPSALA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49082-2019</t>
        </is>
      </c>
      <c r="B1026" s="1" t="n">
        <v>43731</v>
      </c>
      <c r="C1026" s="1" t="n">
        <v>45792</v>
      </c>
      <c r="D1026" t="inlineStr">
        <is>
          <t>UPPSALA LÄN</t>
        </is>
      </c>
      <c r="E1026" t="inlineStr">
        <is>
          <t>KNIVSTA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50358-2019</t>
        </is>
      </c>
      <c r="B1027" s="1" t="n">
        <v>43731</v>
      </c>
      <c r="C1027" s="1" t="n">
        <v>45792</v>
      </c>
      <c r="D1027" t="inlineStr">
        <is>
          <t>UPPSALA LÄN</t>
        </is>
      </c>
      <c r="E1027" t="inlineStr">
        <is>
          <t>HEBY</t>
        </is>
      </c>
      <c r="F1027" t="inlineStr">
        <is>
          <t>Bergvik skog väst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50414-2019</t>
        </is>
      </c>
      <c r="B1028" s="1" t="n">
        <v>43731</v>
      </c>
      <c r="C1028" s="1" t="n">
        <v>45792</v>
      </c>
      <c r="D1028" t="inlineStr">
        <is>
          <t>UPPSALA LÄN</t>
        </is>
      </c>
      <c r="E1028" t="inlineStr">
        <is>
          <t>HEBY</t>
        </is>
      </c>
      <c r="F1028" t="inlineStr">
        <is>
          <t>Bergvik skog väst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49568-2019</t>
        </is>
      </c>
      <c r="B1029" s="1" t="n">
        <v>43732</v>
      </c>
      <c r="C1029" s="1" t="n">
        <v>45792</v>
      </c>
      <c r="D1029" t="inlineStr">
        <is>
          <t>UPPSALA LÄN</t>
        </is>
      </c>
      <c r="E1029" t="inlineStr">
        <is>
          <t>HÅBO</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49856-2019</t>
        </is>
      </c>
      <c r="B1030" s="1" t="n">
        <v>43733</v>
      </c>
      <c r="C1030" s="1" t="n">
        <v>45792</v>
      </c>
      <c r="D1030" t="inlineStr">
        <is>
          <t>UPPSALA LÄN</t>
        </is>
      </c>
      <c r="E1030" t="inlineStr">
        <is>
          <t>ENKÖPING</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49877-2019</t>
        </is>
      </c>
      <c r="B1031" s="1" t="n">
        <v>43733</v>
      </c>
      <c r="C1031" s="1" t="n">
        <v>45792</v>
      </c>
      <c r="D1031" t="inlineStr">
        <is>
          <t>UPPSALA LÄN</t>
        </is>
      </c>
      <c r="E1031" t="inlineStr">
        <is>
          <t>TIERP</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50180-2019</t>
        </is>
      </c>
      <c r="B1032" s="1" t="n">
        <v>43733</v>
      </c>
      <c r="C1032" s="1" t="n">
        <v>45792</v>
      </c>
      <c r="D1032" t="inlineStr">
        <is>
          <t>UPPSALA LÄN</t>
        </is>
      </c>
      <c r="E1032" t="inlineStr">
        <is>
          <t>UPPSALA</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49900-2019</t>
        </is>
      </c>
      <c r="B1033" s="1" t="n">
        <v>43733</v>
      </c>
      <c r="C1033" s="1" t="n">
        <v>45792</v>
      </c>
      <c r="D1033" t="inlineStr">
        <is>
          <t>UPPSALA LÄN</t>
        </is>
      </c>
      <c r="E1033" t="inlineStr">
        <is>
          <t>TIERP</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49941-2019</t>
        </is>
      </c>
      <c r="B1034" s="1" t="n">
        <v>43733</v>
      </c>
      <c r="C1034" s="1" t="n">
        <v>45792</v>
      </c>
      <c r="D1034" t="inlineStr">
        <is>
          <t>UPPSALA LÄN</t>
        </is>
      </c>
      <c r="E1034" t="inlineStr">
        <is>
          <t>ENKÖPING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50156-2019</t>
        </is>
      </c>
      <c r="B1035" s="1" t="n">
        <v>43734</v>
      </c>
      <c r="C1035" s="1" t="n">
        <v>45792</v>
      </c>
      <c r="D1035" t="inlineStr">
        <is>
          <t>UPPSALA LÄN</t>
        </is>
      </c>
      <c r="E1035" t="inlineStr">
        <is>
          <t>TIERP</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50348-2019</t>
        </is>
      </c>
      <c r="B1036" s="1" t="n">
        <v>43735</v>
      </c>
      <c r="C1036" s="1" t="n">
        <v>45792</v>
      </c>
      <c r="D1036" t="inlineStr">
        <is>
          <t>UPPSALA LÄN</t>
        </is>
      </c>
      <c r="E1036" t="inlineStr">
        <is>
          <t>HEBY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50361-2019</t>
        </is>
      </c>
      <c r="B1037" s="1" t="n">
        <v>43735</v>
      </c>
      <c r="C1037" s="1" t="n">
        <v>45792</v>
      </c>
      <c r="D1037" t="inlineStr">
        <is>
          <t>UPPSALA LÄN</t>
        </is>
      </c>
      <c r="E1037" t="inlineStr">
        <is>
          <t>HEBY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50346-2019</t>
        </is>
      </c>
      <c r="B1038" s="1" t="n">
        <v>43735</v>
      </c>
      <c r="C1038" s="1" t="n">
        <v>45792</v>
      </c>
      <c r="D1038" t="inlineStr">
        <is>
          <t>UPPSALA LÄN</t>
        </is>
      </c>
      <c r="E1038" t="inlineStr">
        <is>
          <t>HEBY</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50387-2019</t>
        </is>
      </c>
      <c r="B1039" s="1" t="n">
        <v>43735</v>
      </c>
      <c r="C1039" s="1" t="n">
        <v>45792</v>
      </c>
      <c r="D1039" t="inlineStr">
        <is>
          <t>UPPSALA LÄN</t>
        </is>
      </c>
      <c r="E1039" t="inlineStr">
        <is>
          <t>UPPSALA</t>
        </is>
      </c>
      <c r="F1039" t="inlineStr">
        <is>
          <t>Kyrkan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50415-2019</t>
        </is>
      </c>
      <c r="B1040" s="1" t="n">
        <v>43735</v>
      </c>
      <c r="C1040" s="1" t="n">
        <v>45792</v>
      </c>
      <c r="D1040" t="inlineStr">
        <is>
          <t>UPPSALA LÄN</t>
        </is>
      </c>
      <c r="E1040" t="inlineStr">
        <is>
          <t>UPPSALA</t>
        </is>
      </c>
      <c r="F1040" t="inlineStr">
        <is>
          <t>Kyrkan</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50616-2019</t>
        </is>
      </c>
      <c r="B1041" s="1" t="n">
        <v>43736</v>
      </c>
      <c r="C1041" s="1" t="n">
        <v>45792</v>
      </c>
      <c r="D1041" t="inlineStr">
        <is>
          <t>UPPSALA LÄN</t>
        </is>
      </c>
      <c r="E1041" t="inlineStr">
        <is>
          <t>UPPSALA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50785-2019</t>
        </is>
      </c>
      <c r="B1042" s="1" t="n">
        <v>43737</v>
      </c>
      <c r="C1042" s="1" t="n">
        <v>45792</v>
      </c>
      <c r="D1042" t="inlineStr">
        <is>
          <t>UPPSALA LÄN</t>
        </is>
      </c>
      <c r="E1042" t="inlineStr">
        <is>
          <t>HEBY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50858-2019</t>
        </is>
      </c>
      <c r="B1043" s="1" t="n">
        <v>43738</v>
      </c>
      <c r="C1043" s="1" t="n">
        <v>45792</v>
      </c>
      <c r="D1043" t="inlineStr">
        <is>
          <t>UPPSALA LÄN</t>
        </is>
      </c>
      <c r="E1043" t="inlineStr">
        <is>
          <t>TIERP</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50893-2019</t>
        </is>
      </c>
      <c r="B1044" s="1" t="n">
        <v>43738</v>
      </c>
      <c r="C1044" s="1" t="n">
        <v>45792</v>
      </c>
      <c r="D1044" t="inlineStr">
        <is>
          <t>UPPSALA LÄN</t>
        </is>
      </c>
      <c r="E1044" t="inlineStr">
        <is>
          <t>ENKÖPING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50688-2019</t>
        </is>
      </c>
      <c r="B1045" s="1" t="n">
        <v>43738</v>
      </c>
      <c r="C1045" s="1" t="n">
        <v>45792</v>
      </c>
      <c r="D1045" t="inlineStr">
        <is>
          <t>UPPSALA LÄN</t>
        </is>
      </c>
      <c r="E1045" t="inlineStr">
        <is>
          <t>HEBY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52516-2019</t>
        </is>
      </c>
      <c r="B1046" s="1" t="n">
        <v>43738</v>
      </c>
      <c r="C1046" s="1" t="n">
        <v>45792</v>
      </c>
      <c r="D1046" t="inlineStr">
        <is>
          <t>UPPSALA LÄN</t>
        </is>
      </c>
      <c r="E1046" t="inlineStr">
        <is>
          <t>ENKÖPING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51025-2019</t>
        </is>
      </c>
      <c r="B1047" s="1" t="n">
        <v>43739</v>
      </c>
      <c r="C1047" s="1" t="n">
        <v>45792</v>
      </c>
      <c r="D1047" t="inlineStr">
        <is>
          <t>UPPSALA LÄN</t>
        </is>
      </c>
      <c r="E1047" t="inlineStr">
        <is>
          <t>ÖSTHAMMAR</t>
        </is>
      </c>
      <c r="F1047" t="inlineStr">
        <is>
          <t>Bergvik skog öst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51488-2019</t>
        </is>
      </c>
      <c r="B1048" s="1" t="n">
        <v>43740</v>
      </c>
      <c r="C1048" s="1" t="n">
        <v>45792</v>
      </c>
      <c r="D1048" t="inlineStr">
        <is>
          <t>UPPSALA LÄN</t>
        </is>
      </c>
      <c r="E1048" t="inlineStr">
        <is>
          <t>TIERP</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53320-2019</t>
        </is>
      </c>
      <c r="B1049" s="1" t="n">
        <v>43740</v>
      </c>
      <c r="C1049" s="1" t="n">
        <v>45792</v>
      </c>
      <c r="D1049" t="inlineStr">
        <is>
          <t>UPPSALA LÄN</t>
        </is>
      </c>
      <c r="E1049" t="inlineStr">
        <is>
          <t>HEBY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51862-2019</t>
        </is>
      </c>
      <c r="B1050" s="1" t="n">
        <v>43741</v>
      </c>
      <c r="C1050" s="1" t="n">
        <v>45792</v>
      </c>
      <c r="D1050" t="inlineStr">
        <is>
          <t>UPPSALA LÄN</t>
        </is>
      </c>
      <c r="E1050" t="inlineStr">
        <is>
          <t>HEBY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51782-2019</t>
        </is>
      </c>
      <c r="B1051" s="1" t="n">
        <v>43741</v>
      </c>
      <c r="C1051" s="1" t="n">
        <v>45792</v>
      </c>
      <c r="D1051" t="inlineStr">
        <is>
          <t>UPPSALA LÄN</t>
        </is>
      </c>
      <c r="E1051" t="inlineStr">
        <is>
          <t>ENKÖPING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51796-2019</t>
        </is>
      </c>
      <c r="B1052" s="1" t="n">
        <v>43741</v>
      </c>
      <c r="C1052" s="1" t="n">
        <v>45792</v>
      </c>
      <c r="D1052" t="inlineStr">
        <is>
          <t>UPPSALA LÄN</t>
        </is>
      </c>
      <c r="E1052" t="inlineStr">
        <is>
          <t>TIERP</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51802-2019</t>
        </is>
      </c>
      <c r="B1053" s="1" t="n">
        <v>43741</v>
      </c>
      <c r="C1053" s="1" t="n">
        <v>45792</v>
      </c>
      <c r="D1053" t="inlineStr">
        <is>
          <t>UPPSALA LÄN</t>
        </is>
      </c>
      <c r="E1053" t="inlineStr">
        <is>
          <t>ENKÖPING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51836-2019</t>
        </is>
      </c>
      <c r="B1054" s="1" t="n">
        <v>43741</v>
      </c>
      <c r="C1054" s="1" t="n">
        <v>45792</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51805-2019</t>
        </is>
      </c>
      <c r="B1055" s="1" t="n">
        <v>43741</v>
      </c>
      <c r="C1055" s="1" t="n">
        <v>45792</v>
      </c>
      <c r="D1055" t="inlineStr">
        <is>
          <t>UPPSALA LÄN</t>
        </is>
      </c>
      <c r="E1055" t="inlineStr">
        <is>
          <t>ENKÖPING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51905-2019</t>
        </is>
      </c>
      <c r="B1056" s="1" t="n">
        <v>43741</v>
      </c>
      <c r="C1056" s="1" t="n">
        <v>45792</v>
      </c>
      <c r="D1056" t="inlineStr">
        <is>
          <t>UPPSALA LÄN</t>
        </is>
      </c>
      <c r="E1056" t="inlineStr">
        <is>
          <t>ENKÖPING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51912-2019</t>
        </is>
      </c>
      <c r="B1057" s="1" t="n">
        <v>43741</v>
      </c>
      <c r="C1057" s="1" t="n">
        <v>45792</v>
      </c>
      <c r="D1057" t="inlineStr">
        <is>
          <t>UPPSALA LÄN</t>
        </is>
      </c>
      <c r="E1057" t="inlineStr">
        <is>
          <t>ENKÖPING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52187-2019</t>
        </is>
      </c>
      <c r="B1058" s="1" t="n">
        <v>43742</v>
      </c>
      <c r="C1058" s="1" t="n">
        <v>45792</v>
      </c>
      <c r="D1058" t="inlineStr">
        <is>
          <t>UPPSALA LÄN</t>
        </is>
      </c>
      <c r="E1058" t="inlineStr">
        <is>
          <t>HEBY</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52386-2019</t>
        </is>
      </c>
      <c r="B1059" s="1" t="n">
        <v>43745</v>
      </c>
      <c r="C1059" s="1" t="n">
        <v>45792</v>
      </c>
      <c r="D1059" t="inlineStr">
        <is>
          <t>UPPSALA LÄN</t>
        </is>
      </c>
      <c r="E1059" t="inlineStr">
        <is>
          <t>UPPSALA</t>
        </is>
      </c>
      <c r="G1059" t="n">
        <v>15.7</v>
      </c>
      <c r="H1059" t="n">
        <v>0</v>
      </c>
      <c r="I1059" t="n">
        <v>0</v>
      </c>
      <c r="J1059" t="n">
        <v>0</v>
      </c>
      <c r="K1059" t="n">
        <v>0</v>
      </c>
      <c r="L1059" t="n">
        <v>0</v>
      </c>
      <c r="M1059" t="n">
        <v>0</v>
      </c>
      <c r="N1059" t="n">
        <v>0</v>
      </c>
      <c r="O1059" t="n">
        <v>0</v>
      </c>
      <c r="P1059" t="n">
        <v>0</v>
      </c>
      <c r="Q1059" t="n">
        <v>0</v>
      </c>
      <c r="R1059" s="2" t="inlineStr"/>
    </row>
    <row r="1060" ht="15" customHeight="1">
      <c r="A1060" t="inlineStr">
        <is>
          <t>A 52524-2019</t>
        </is>
      </c>
      <c r="B1060" s="1" t="n">
        <v>43745</v>
      </c>
      <c r="C1060" s="1" t="n">
        <v>45792</v>
      </c>
      <c r="D1060" t="inlineStr">
        <is>
          <t>UPPSALA LÄN</t>
        </is>
      </c>
      <c r="E1060" t="inlineStr">
        <is>
          <t>ENKÖPING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52394-2019</t>
        </is>
      </c>
      <c r="B1061" s="1" t="n">
        <v>43745</v>
      </c>
      <c r="C1061" s="1" t="n">
        <v>45792</v>
      </c>
      <c r="D1061" t="inlineStr">
        <is>
          <t>UPPSALA LÄN</t>
        </is>
      </c>
      <c r="E1061" t="inlineStr">
        <is>
          <t>ENKÖPING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52419-2019</t>
        </is>
      </c>
      <c r="B1062" s="1" t="n">
        <v>43745</v>
      </c>
      <c r="C1062" s="1" t="n">
        <v>45792</v>
      </c>
      <c r="D1062" t="inlineStr">
        <is>
          <t>UPPSALA LÄN</t>
        </is>
      </c>
      <c r="E1062" t="inlineStr">
        <is>
          <t>UPPSALA</t>
        </is>
      </c>
      <c r="F1062" t="inlineStr">
        <is>
          <t>Allmännings- och besparingsskogar</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54280-2019</t>
        </is>
      </c>
      <c r="B1063" s="1" t="n">
        <v>43745</v>
      </c>
      <c r="C1063" s="1" t="n">
        <v>45792</v>
      </c>
      <c r="D1063" t="inlineStr">
        <is>
          <t>UPPSALA LÄN</t>
        </is>
      </c>
      <c r="E1063" t="inlineStr">
        <is>
          <t>HEBY</t>
        </is>
      </c>
      <c r="F1063" t="inlineStr">
        <is>
          <t>Bergvik skog väst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54258-2019</t>
        </is>
      </c>
      <c r="B1064" s="1" t="n">
        <v>43745</v>
      </c>
      <c r="C1064" s="1" t="n">
        <v>45792</v>
      </c>
      <c r="D1064" t="inlineStr">
        <is>
          <t>UPPSALA LÄN</t>
        </is>
      </c>
      <c r="E1064" t="inlineStr">
        <is>
          <t>HEBY</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52726-2019</t>
        </is>
      </c>
      <c r="B1065" s="1" t="n">
        <v>43746</v>
      </c>
      <c r="C1065" s="1" t="n">
        <v>45792</v>
      </c>
      <c r="D1065" t="inlineStr">
        <is>
          <t>UPPSALA LÄN</t>
        </is>
      </c>
      <c r="E1065" t="inlineStr">
        <is>
          <t>ENKÖPING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52831-2019</t>
        </is>
      </c>
      <c r="B1066" s="1" t="n">
        <v>43746</v>
      </c>
      <c r="C1066" s="1" t="n">
        <v>45792</v>
      </c>
      <c r="D1066" t="inlineStr">
        <is>
          <t>UPPSALA LÄN</t>
        </is>
      </c>
      <c r="E1066" t="inlineStr">
        <is>
          <t>TIERP</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52955-2019</t>
        </is>
      </c>
      <c r="B1067" s="1" t="n">
        <v>43747</v>
      </c>
      <c r="C1067" s="1" t="n">
        <v>45792</v>
      </c>
      <c r="D1067" t="inlineStr">
        <is>
          <t>UPPSALA LÄN</t>
        </is>
      </c>
      <c r="E1067" t="inlineStr">
        <is>
          <t>TIERP</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52950-2019</t>
        </is>
      </c>
      <c r="B1068" s="1" t="n">
        <v>43747</v>
      </c>
      <c r="C1068" s="1" t="n">
        <v>45792</v>
      </c>
      <c r="D1068" t="inlineStr">
        <is>
          <t>UPPSALA LÄN</t>
        </is>
      </c>
      <c r="E1068" t="inlineStr">
        <is>
          <t>UPPSALA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53303-2019</t>
        </is>
      </c>
      <c r="B1069" s="1" t="n">
        <v>43747</v>
      </c>
      <c r="C1069" s="1" t="n">
        <v>45792</v>
      </c>
      <c r="D1069" t="inlineStr">
        <is>
          <t>UPPSALA LÄN</t>
        </is>
      </c>
      <c r="E1069" t="inlineStr">
        <is>
          <t>UPPSALA</t>
        </is>
      </c>
      <c r="F1069" t="inlineStr">
        <is>
          <t>Allmännings- och besparingsskogar</t>
        </is>
      </c>
      <c r="G1069" t="n">
        <v>17.5</v>
      </c>
      <c r="H1069" t="n">
        <v>0</v>
      </c>
      <c r="I1069" t="n">
        <v>0</v>
      </c>
      <c r="J1069" t="n">
        <v>0</v>
      </c>
      <c r="K1069" t="n">
        <v>0</v>
      </c>
      <c r="L1069" t="n">
        <v>0</v>
      </c>
      <c r="M1069" t="n">
        <v>0</v>
      </c>
      <c r="N1069" t="n">
        <v>0</v>
      </c>
      <c r="O1069" t="n">
        <v>0</v>
      </c>
      <c r="P1069" t="n">
        <v>0</v>
      </c>
      <c r="Q1069" t="n">
        <v>0</v>
      </c>
      <c r="R1069" s="2" t="inlineStr"/>
    </row>
    <row r="1070" ht="15" customHeight="1">
      <c r="A1070" t="inlineStr">
        <is>
          <t>A 54479-2019</t>
        </is>
      </c>
      <c r="B1070" s="1" t="n">
        <v>43747</v>
      </c>
      <c r="C1070" s="1" t="n">
        <v>45792</v>
      </c>
      <c r="D1070" t="inlineStr">
        <is>
          <t>UPPSALA LÄN</t>
        </is>
      </c>
      <c r="E1070" t="inlineStr">
        <is>
          <t>HEBY</t>
        </is>
      </c>
      <c r="F1070" t="inlineStr">
        <is>
          <t>Bergvik skog väst AB</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53316-2019</t>
        </is>
      </c>
      <c r="B1071" s="1" t="n">
        <v>43748</v>
      </c>
      <c r="C1071" s="1" t="n">
        <v>45792</v>
      </c>
      <c r="D1071" t="inlineStr">
        <is>
          <t>UPPSALA LÄN</t>
        </is>
      </c>
      <c r="E1071" t="inlineStr">
        <is>
          <t>UPPSALA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53442-2019</t>
        </is>
      </c>
      <c r="B1072" s="1" t="n">
        <v>43748</v>
      </c>
      <c r="C1072" s="1" t="n">
        <v>45792</v>
      </c>
      <c r="D1072" t="inlineStr">
        <is>
          <t>UPPSALA LÄN</t>
        </is>
      </c>
      <c r="E1072" t="inlineStr">
        <is>
          <t>ÖSTHAMMAR</t>
        </is>
      </c>
      <c r="F1072" t="inlineStr">
        <is>
          <t>Bergvik skog öst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53733-2019</t>
        </is>
      </c>
      <c r="B1073" s="1" t="n">
        <v>43749</v>
      </c>
      <c r="C1073" s="1" t="n">
        <v>45792</v>
      </c>
      <c r="D1073" t="inlineStr">
        <is>
          <t>UPPSALA LÄN</t>
        </is>
      </c>
      <c r="E1073" t="inlineStr">
        <is>
          <t>HEBY</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53738-2019</t>
        </is>
      </c>
      <c r="B1074" s="1" t="n">
        <v>43749</v>
      </c>
      <c r="C1074" s="1" t="n">
        <v>45792</v>
      </c>
      <c r="D1074" t="inlineStr">
        <is>
          <t>UPPSALA LÄN</t>
        </is>
      </c>
      <c r="E1074" t="inlineStr">
        <is>
          <t>HEBY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53840-2019</t>
        </is>
      </c>
      <c r="B1075" s="1" t="n">
        <v>43752</v>
      </c>
      <c r="C1075" s="1" t="n">
        <v>45792</v>
      </c>
      <c r="D1075" t="inlineStr">
        <is>
          <t>UPPSALA LÄN</t>
        </is>
      </c>
      <c r="E1075" t="inlineStr">
        <is>
          <t>ENKÖPING</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55369-2019</t>
        </is>
      </c>
      <c r="B1076" s="1" t="n">
        <v>43754</v>
      </c>
      <c r="C1076" s="1" t="n">
        <v>45792</v>
      </c>
      <c r="D1076" t="inlineStr">
        <is>
          <t>UPPSALA LÄN</t>
        </is>
      </c>
      <c r="E1076" t="inlineStr">
        <is>
          <t>HEBY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54757-2019</t>
        </is>
      </c>
      <c r="B1077" s="1" t="n">
        <v>43755</v>
      </c>
      <c r="C1077" s="1" t="n">
        <v>45792</v>
      </c>
      <c r="D1077" t="inlineStr">
        <is>
          <t>UPPSALA LÄN</t>
        </is>
      </c>
      <c r="E1077" t="inlineStr">
        <is>
          <t>UPPSALA</t>
        </is>
      </c>
      <c r="F1077" t="inlineStr">
        <is>
          <t>Övriga statliga verk och myndigheter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55382-2019</t>
        </is>
      </c>
      <c r="B1078" s="1" t="n">
        <v>43755</v>
      </c>
      <c r="C1078" s="1" t="n">
        <v>45792</v>
      </c>
      <c r="D1078" t="inlineStr">
        <is>
          <t>UPPSALA LÄN</t>
        </is>
      </c>
      <c r="E1078" t="inlineStr">
        <is>
          <t>ÖSTHAMMAR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55170-2019</t>
        </is>
      </c>
      <c r="B1079" s="1" t="n">
        <v>43756</v>
      </c>
      <c r="C1079" s="1" t="n">
        <v>45792</v>
      </c>
      <c r="D1079" t="inlineStr">
        <is>
          <t>UPPSALA LÄN</t>
        </is>
      </c>
      <c r="E1079" t="inlineStr">
        <is>
          <t>KNIVSTA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56380-2019</t>
        </is>
      </c>
      <c r="B1080" s="1" t="n">
        <v>43756</v>
      </c>
      <c r="C1080" s="1" t="n">
        <v>45792</v>
      </c>
      <c r="D1080" t="inlineStr">
        <is>
          <t>UPPSALA LÄN</t>
        </is>
      </c>
      <c r="E1080" t="inlineStr">
        <is>
          <t>TIERP</t>
        </is>
      </c>
      <c r="F1080" t="inlineStr">
        <is>
          <t>Bergvik skog väst AB</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56153-2019</t>
        </is>
      </c>
      <c r="B1081" s="1" t="n">
        <v>43756</v>
      </c>
      <c r="C1081" s="1" t="n">
        <v>45792</v>
      </c>
      <c r="D1081" t="inlineStr">
        <is>
          <t>UPPSALA LÄN</t>
        </is>
      </c>
      <c r="E1081" t="inlineStr">
        <is>
          <t>ENKÖPING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55516-2019</t>
        </is>
      </c>
      <c r="B1082" s="1" t="n">
        <v>43759</v>
      </c>
      <c r="C1082" s="1" t="n">
        <v>45792</v>
      </c>
      <c r="D1082" t="inlineStr">
        <is>
          <t>UPPSALA LÄN</t>
        </is>
      </c>
      <c r="E1082" t="inlineStr">
        <is>
          <t>ENKÖPING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55872-2019</t>
        </is>
      </c>
      <c r="B1083" s="1" t="n">
        <v>43759</v>
      </c>
      <c r="C1083" s="1" t="n">
        <v>45792</v>
      </c>
      <c r="D1083" t="inlineStr">
        <is>
          <t>UPPSALA LÄN</t>
        </is>
      </c>
      <c r="E1083" t="inlineStr">
        <is>
          <t>ENKÖPING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55876-2019</t>
        </is>
      </c>
      <c r="B1084" s="1" t="n">
        <v>43759</v>
      </c>
      <c r="C1084" s="1" t="n">
        <v>45792</v>
      </c>
      <c r="D1084" t="inlineStr">
        <is>
          <t>UPPSALA LÄN</t>
        </is>
      </c>
      <c r="E1084" t="inlineStr">
        <is>
          <t>HÅBO</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55512-2019</t>
        </is>
      </c>
      <c r="B1085" s="1" t="n">
        <v>43759</v>
      </c>
      <c r="C1085" s="1" t="n">
        <v>45792</v>
      </c>
      <c r="D1085" t="inlineStr">
        <is>
          <t>UPPSALA LÄN</t>
        </is>
      </c>
      <c r="E1085" t="inlineStr">
        <is>
          <t>ENKÖPING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56041-2019</t>
        </is>
      </c>
      <c r="B1086" s="1" t="n">
        <v>43759</v>
      </c>
      <c r="C1086" s="1" t="n">
        <v>45792</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55944-2019</t>
        </is>
      </c>
      <c r="B1087" s="1" t="n">
        <v>43761</v>
      </c>
      <c r="C1087" s="1" t="n">
        <v>45792</v>
      </c>
      <c r="D1087" t="inlineStr">
        <is>
          <t>UPPSALA LÄN</t>
        </is>
      </c>
      <c r="E1087" t="inlineStr">
        <is>
          <t>TIERP</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57686-2019</t>
        </is>
      </c>
      <c r="B1088" s="1" t="n">
        <v>43761</v>
      </c>
      <c r="C1088" s="1" t="n">
        <v>45792</v>
      </c>
      <c r="D1088" t="inlineStr">
        <is>
          <t>UPPSALA LÄN</t>
        </is>
      </c>
      <c r="E1088" t="inlineStr">
        <is>
          <t>ÖSTHAMMAR</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56309-2019</t>
        </is>
      </c>
      <c r="B1089" s="1" t="n">
        <v>43762</v>
      </c>
      <c r="C1089" s="1" t="n">
        <v>45792</v>
      </c>
      <c r="D1089" t="inlineStr">
        <is>
          <t>UPPSALA LÄN</t>
        </is>
      </c>
      <c r="E1089" t="inlineStr">
        <is>
          <t>ENKÖPING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56634-2019</t>
        </is>
      </c>
      <c r="B1090" s="1" t="n">
        <v>43763</v>
      </c>
      <c r="C1090" s="1" t="n">
        <v>45792</v>
      </c>
      <c r="D1090" t="inlineStr">
        <is>
          <t>UPPSALA LÄN</t>
        </is>
      </c>
      <c r="E1090" t="inlineStr">
        <is>
          <t>UPPSALA</t>
        </is>
      </c>
      <c r="F1090" t="inlineStr">
        <is>
          <t>Övriga Aktiebolag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56932-2019</t>
        </is>
      </c>
      <c r="B1091" s="1" t="n">
        <v>43766</v>
      </c>
      <c r="C1091" s="1" t="n">
        <v>45792</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56910-2019</t>
        </is>
      </c>
      <c r="B1092" s="1" t="n">
        <v>43766</v>
      </c>
      <c r="C1092" s="1" t="n">
        <v>45792</v>
      </c>
      <c r="D1092" t="inlineStr">
        <is>
          <t>UPPSALA LÄN</t>
        </is>
      </c>
      <c r="E1092" t="inlineStr">
        <is>
          <t>ENKÖPING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57023-2019</t>
        </is>
      </c>
      <c r="B1093" s="1" t="n">
        <v>43766</v>
      </c>
      <c r="C1093" s="1" t="n">
        <v>45792</v>
      </c>
      <c r="D1093" t="inlineStr">
        <is>
          <t>UPPSALA LÄN</t>
        </is>
      </c>
      <c r="E1093" t="inlineStr">
        <is>
          <t>HEBY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57066-2019</t>
        </is>
      </c>
      <c r="B1094" s="1" t="n">
        <v>43766</v>
      </c>
      <c r="C1094" s="1" t="n">
        <v>45792</v>
      </c>
      <c r="D1094" t="inlineStr">
        <is>
          <t>UPPSALA LÄN</t>
        </is>
      </c>
      <c r="E1094" t="inlineStr">
        <is>
          <t>ENKÖPING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56897-2019</t>
        </is>
      </c>
      <c r="B1095" s="1" t="n">
        <v>43766</v>
      </c>
      <c r="C1095" s="1" t="n">
        <v>45792</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57126-2019</t>
        </is>
      </c>
      <c r="B1096" s="1" t="n">
        <v>43766</v>
      </c>
      <c r="C1096" s="1" t="n">
        <v>45792</v>
      </c>
      <c r="D1096" t="inlineStr">
        <is>
          <t>UPPSALA LÄN</t>
        </is>
      </c>
      <c r="E1096" t="inlineStr">
        <is>
          <t>ENKÖPING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57134-2019</t>
        </is>
      </c>
      <c r="B1097" s="1" t="n">
        <v>43766</v>
      </c>
      <c r="C1097" s="1" t="n">
        <v>45792</v>
      </c>
      <c r="D1097" t="inlineStr">
        <is>
          <t>UPPSALA LÄN</t>
        </is>
      </c>
      <c r="E1097" t="inlineStr">
        <is>
          <t>HEBY</t>
        </is>
      </c>
      <c r="G1097" t="n">
        <v>6.9</v>
      </c>
      <c r="H1097" t="n">
        <v>0</v>
      </c>
      <c r="I1097" t="n">
        <v>0</v>
      </c>
      <c r="J1097" t="n">
        <v>0</v>
      </c>
      <c r="K1097" t="n">
        <v>0</v>
      </c>
      <c r="L1097" t="n">
        <v>0</v>
      </c>
      <c r="M1097" t="n">
        <v>0</v>
      </c>
      <c r="N1097" t="n">
        <v>0</v>
      </c>
      <c r="O1097" t="n">
        <v>0</v>
      </c>
      <c r="P1097" t="n">
        <v>0</v>
      </c>
      <c r="Q1097" t="n">
        <v>0</v>
      </c>
      <c r="R1097" s="2" t="inlineStr"/>
      <c r="U1097">
        <f>HYPERLINK("https://klasma.github.io/Logging_0331/knärot/A 57134-2019 karta knärot.png", "A 57134-2019")</f>
        <v/>
      </c>
      <c r="V1097">
        <f>HYPERLINK("https://klasma.github.io/Logging_0331/klagomål/A 57134-2019 FSC-klagomål.docx", "A 57134-2019")</f>
        <v/>
      </c>
      <c r="W1097">
        <f>HYPERLINK("https://klasma.github.io/Logging_0331/klagomålsmail/A 57134-2019 FSC-klagomål mail.docx", "A 57134-2019")</f>
        <v/>
      </c>
      <c r="X1097">
        <f>HYPERLINK("https://klasma.github.io/Logging_0331/tillsyn/A 57134-2019 tillsynsbegäran.docx", "A 57134-2019")</f>
        <v/>
      </c>
      <c r="Y1097">
        <f>HYPERLINK("https://klasma.github.io/Logging_0331/tillsynsmail/A 57134-2019 tillsynsbegäran mail.docx", "A 57134-2019")</f>
        <v/>
      </c>
    </row>
    <row r="1098" ht="15" customHeight="1">
      <c r="A1098" t="inlineStr">
        <is>
          <t>A 57304-2019</t>
        </is>
      </c>
      <c r="B1098" s="1" t="n">
        <v>43767</v>
      </c>
      <c r="C1098" s="1" t="n">
        <v>45792</v>
      </c>
      <c r="D1098" t="inlineStr">
        <is>
          <t>UPPSALA LÄN</t>
        </is>
      </c>
      <c r="E1098" t="inlineStr">
        <is>
          <t>ÖSTHAMMAR</t>
        </is>
      </c>
      <c r="F1098" t="inlineStr">
        <is>
          <t>Bergvik skog öst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57813-2019</t>
        </is>
      </c>
      <c r="B1099" s="1" t="n">
        <v>43768</v>
      </c>
      <c r="C1099" s="1" t="n">
        <v>45792</v>
      </c>
      <c r="D1099" t="inlineStr">
        <is>
          <t>UPPSALA LÄN</t>
        </is>
      </c>
      <c r="E1099" t="inlineStr">
        <is>
          <t>ENKÖPING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57792-2019</t>
        </is>
      </c>
      <c r="B1100" s="1" t="n">
        <v>43768</v>
      </c>
      <c r="C1100" s="1" t="n">
        <v>45792</v>
      </c>
      <c r="D1100" t="inlineStr">
        <is>
          <t>UPPSALA LÄN</t>
        </is>
      </c>
      <c r="E1100" t="inlineStr">
        <is>
          <t>HEBY</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57821-2019</t>
        </is>
      </c>
      <c r="B1101" s="1" t="n">
        <v>43768</v>
      </c>
      <c r="C1101" s="1" t="n">
        <v>45792</v>
      </c>
      <c r="D1101" t="inlineStr">
        <is>
          <t>UPPSALA LÄN</t>
        </is>
      </c>
      <c r="E1101" t="inlineStr">
        <is>
          <t>ENKÖPING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57820-2019</t>
        </is>
      </c>
      <c r="B1102" s="1" t="n">
        <v>43768</v>
      </c>
      <c r="C1102" s="1" t="n">
        <v>45792</v>
      </c>
      <c r="D1102" t="inlineStr">
        <is>
          <t>UPPSALA LÄN</t>
        </is>
      </c>
      <c r="E1102" t="inlineStr">
        <is>
          <t>ENKÖPING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57745-2019</t>
        </is>
      </c>
      <c r="B1103" s="1" t="n">
        <v>43768</v>
      </c>
      <c r="C1103" s="1" t="n">
        <v>45792</v>
      </c>
      <c r="D1103" t="inlineStr">
        <is>
          <t>UPPSALA LÄN</t>
        </is>
      </c>
      <c r="E1103" t="inlineStr">
        <is>
          <t>ÄLVKARLEBY</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58146-2019</t>
        </is>
      </c>
      <c r="B1104" s="1" t="n">
        <v>43769</v>
      </c>
      <c r="C1104" s="1" t="n">
        <v>45792</v>
      </c>
      <c r="D1104" t="inlineStr">
        <is>
          <t>UPPSALA LÄN</t>
        </is>
      </c>
      <c r="E1104" t="inlineStr">
        <is>
          <t>KNIVSTA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59227-2019</t>
        </is>
      </c>
      <c r="B1105" s="1" t="n">
        <v>43770</v>
      </c>
      <c r="C1105" s="1" t="n">
        <v>45792</v>
      </c>
      <c r="D1105" t="inlineStr">
        <is>
          <t>UPPSALA LÄN</t>
        </is>
      </c>
      <c r="E1105" t="inlineStr">
        <is>
          <t>TIERP</t>
        </is>
      </c>
      <c r="F1105" t="inlineStr">
        <is>
          <t>Bergvik skog väst AB</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58276-2019</t>
        </is>
      </c>
      <c r="B1106" s="1" t="n">
        <v>43770</v>
      </c>
      <c r="C1106" s="1" t="n">
        <v>45792</v>
      </c>
      <c r="D1106" t="inlineStr">
        <is>
          <t>UPPSALA LÄN</t>
        </is>
      </c>
      <c r="E1106" t="inlineStr">
        <is>
          <t>TIERP</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58491-2019</t>
        </is>
      </c>
      <c r="B1107" s="1" t="n">
        <v>43773</v>
      </c>
      <c r="C1107" s="1" t="n">
        <v>45792</v>
      </c>
      <c r="D1107" t="inlineStr">
        <is>
          <t>UPPSALA LÄN</t>
        </is>
      </c>
      <c r="E1107" t="inlineStr">
        <is>
          <t>ENKÖPING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58445-2019</t>
        </is>
      </c>
      <c r="B1108" s="1" t="n">
        <v>43773</v>
      </c>
      <c r="C1108" s="1" t="n">
        <v>45792</v>
      </c>
      <c r="D1108" t="inlineStr">
        <is>
          <t>UPPSALA LÄN</t>
        </is>
      </c>
      <c r="E1108" t="inlineStr">
        <is>
          <t>UPPSALA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58527-2019</t>
        </is>
      </c>
      <c r="B1109" s="1" t="n">
        <v>43773</v>
      </c>
      <c r="C1109" s="1" t="n">
        <v>45792</v>
      </c>
      <c r="D1109" t="inlineStr">
        <is>
          <t>UPPSALA LÄN</t>
        </is>
      </c>
      <c r="E1109" t="inlineStr">
        <is>
          <t>UPPSALA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58558-2019</t>
        </is>
      </c>
      <c r="B1110" s="1" t="n">
        <v>43773</v>
      </c>
      <c r="C1110" s="1" t="n">
        <v>45792</v>
      </c>
      <c r="D1110" t="inlineStr">
        <is>
          <t>UPPSALA LÄN</t>
        </is>
      </c>
      <c r="E1110" t="inlineStr">
        <is>
          <t>ENKÖPING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58903-2019</t>
        </is>
      </c>
      <c r="B1111" s="1" t="n">
        <v>43773</v>
      </c>
      <c r="C1111" s="1" t="n">
        <v>45792</v>
      </c>
      <c r="D1111" t="inlineStr">
        <is>
          <t>UPPSALA LÄN</t>
        </is>
      </c>
      <c r="E1111" t="inlineStr">
        <is>
          <t>UPPSALA</t>
        </is>
      </c>
      <c r="F1111" t="inlineStr">
        <is>
          <t>Övriga Aktiebolag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59283-2019</t>
        </is>
      </c>
      <c r="B1112" s="1" t="n">
        <v>43773</v>
      </c>
      <c r="C1112" s="1" t="n">
        <v>45792</v>
      </c>
      <c r="D1112" t="inlineStr">
        <is>
          <t>UPPSALA LÄN</t>
        </is>
      </c>
      <c r="E1112" t="inlineStr">
        <is>
          <t>HÅBO</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58665-2019</t>
        </is>
      </c>
      <c r="B1113" s="1" t="n">
        <v>43773</v>
      </c>
      <c r="C1113" s="1" t="n">
        <v>45792</v>
      </c>
      <c r="D1113" t="inlineStr">
        <is>
          <t>UPPSALA LÄN</t>
        </is>
      </c>
      <c r="E1113" t="inlineStr">
        <is>
          <t>ÖSTHAMMAR</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59058-2019</t>
        </is>
      </c>
      <c r="B1114" s="1" t="n">
        <v>43774</v>
      </c>
      <c r="C1114" s="1" t="n">
        <v>45792</v>
      </c>
      <c r="D1114" t="inlineStr">
        <is>
          <t>UPPSALA LÄN</t>
        </is>
      </c>
      <c r="E1114" t="inlineStr">
        <is>
          <t>TIERP</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59239-2019</t>
        </is>
      </c>
      <c r="B1115" s="1" t="n">
        <v>43775</v>
      </c>
      <c r="C1115" s="1" t="n">
        <v>45792</v>
      </c>
      <c r="D1115" t="inlineStr">
        <is>
          <t>UPPSALA LÄN</t>
        </is>
      </c>
      <c r="E1115" t="inlineStr">
        <is>
          <t>HEBY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60054-2019</t>
        </is>
      </c>
      <c r="B1116" s="1" t="n">
        <v>43775</v>
      </c>
      <c r="C1116" s="1" t="n">
        <v>45792</v>
      </c>
      <c r="D1116" t="inlineStr">
        <is>
          <t>UPPSALA LÄN</t>
        </is>
      </c>
      <c r="E1116" t="inlineStr">
        <is>
          <t>ENKÖPING</t>
        </is>
      </c>
      <c r="G1116" t="n">
        <v>18.4</v>
      </c>
      <c r="H1116" t="n">
        <v>0</v>
      </c>
      <c r="I1116" t="n">
        <v>0</v>
      </c>
      <c r="J1116" t="n">
        <v>0</v>
      </c>
      <c r="K1116" t="n">
        <v>0</v>
      </c>
      <c r="L1116" t="n">
        <v>0</v>
      </c>
      <c r="M1116" t="n">
        <v>0</v>
      </c>
      <c r="N1116" t="n">
        <v>0</v>
      </c>
      <c r="O1116" t="n">
        <v>0</v>
      </c>
      <c r="P1116" t="n">
        <v>0</v>
      </c>
      <c r="Q1116" t="n">
        <v>0</v>
      </c>
      <c r="R1116" s="2" t="inlineStr"/>
    </row>
    <row r="1117" ht="15" customHeight="1">
      <c r="A1117" t="inlineStr">
        <is>
          <t>A 59600-2019</t>
        </is>
      </c>
      <c r="B1117" s="1" t="n">
        <v>43776</v>
      </c>
      <c r="C1117" s="1" t="n">
        <v>45792</v>
      </c>
      <c r="D1117" t="inlineStr">
        <is>
          <t>UPPSALA LÄN</t>
        </is>
      </c>
      <c r="E1117" t="inlineStr">
        <is>
          <t>ENKÖPING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60070-2019</t>
        </is>
      </c>
      <c r="B1118" s="1" t="n">
        <v>43777</v>
      </c>
      <c r="C1118" s="1" t="n">
        <v>45792</v>
      </c>
      <c r="D1118" t="inlineStr">
        <is>
          <t>UPPSALA LÄN</t>
        </is>
      </c>
      <c r="E1118" t="inlineStr">
        <is>
          <t>ENKÖPING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60011-2019</t>
        </is>
      </c>
      <c r="B1119" s="1" t="n">
        <v>43777</v>
      </c>
      <c r="C1119" s="1" t="n">
        <v>45792</v>
      </c>
      <c r="D1119" t="inlineStr">
        <is>
          <t>UPPSALA LÄN</t>
        </is>
      </c>
      <c r="E1119" t="inlineStr">
        <is>
          <t>UPPSALA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60062-2019</t>
        </is>
      </c>
      <c r="B1120" s="1" t="n">
        <v>43777</v>
      </c>
      <c r="C1120" s="1" t="n">
        <v>45792</v>
      </c>
      <c r="D1120" t="inlineStr">
        <is>
          <t>UPPSALA LÄN</t>
        </is>
      </c>
      <c r="E1120" t="inlineStr">
        <is>
          <t>ENKÖPING</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60159-2019</t>
        </is>
      </c>
      <c r="B1121" s="1" t="n">
        <v>43777</v>
      </c>
      <c r="C1121" s="1" t="n">
        <v>45792</v>
      </c>
      <c r="D1121" t="inlineStr">
        <is>
          <t>UPPSALA LÄN</t>
        </is>
      </c>
      <c r="E1121" t="inlineStr">
        <is>
          <t>UPPSALA</t>
        </is>
      </c>
      <c r="F1121" t="inlineStr">
        <is>
          <t>Övriga Aktiebolag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60230-2019</t>
        </is>
      </c>
      <c r="B1122" s="1" t="n">
        <v>43780</v>
      </c>
      <c r="C1122" s="1" t="n">
        <v>45792</v>
      </c>
      <c r="D1122" t="inlineStr">
        <is>
          <t>UPPSALA LÄN</t>
        </is>
      </c>
      <c r="E1122" t="inlineStr">
        <is>
          <t>TIERP</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60163-2019</t>
        </is>
      </c>
      <c r="B1123" s="1" t="n">
        <v>43780</v>
      </c>
      <c r="C1123" s="1" t="n">
        <v>45792</v>
      </c>
      <c r="D1123" t="inlineStr">
        <is>
          <t>UPPSALA LÄN</t>
        </is>
      </c>
      <c r="E1123" t="inlineStr">
        <is>
          <t>UPPSALA</t>
        </is>
      </c>
      <c r="F1123" t="inlineStr">
        <is>
          <t>Övriga Aktiebolag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60222-2019</t>
        </is>
      </c>
      <c r="B1124" s="1" t="n">
        <v>43780</v>
      </c>
      <c r="C1124" s="1" t="n">
        <v>45792</v>
      </c>
      <c r="D1124" t="inlineStr">
        <is>
          <t>UPPSALA LÄN</t>
        </is>
      </c>
      <c r="E1124" t="inlineStr">
        <is>
          <t>TIERP</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61322-2019</t>
        </is>
      </c>
      <c r="B1125" s="1" t="n">
        <v>43780</v>
      </c>
      <c r="C1125" s="1" t="n">
        <v>45792</v>
      </c>
      <c r="D1125" t="inlineStr">
        <is>
          <t>UPPSALA LÄN</t>
        </is>
      </c>
      <c r="E1125" t="inlineStr">
        <is>
          <t>TIERP</t>
        </is>
      </c>
      <c r="F1125" t="inlineStr">
        <is>
          <t>Bergvik skog väst AB</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60579-2019</t>
        </is>
      </c>
      <c r="B1126" s="1" t="n">
        <v>43780</v>
      </c>
      <c r="C1126" s="1" t="n">
        <v>45792</v>
      </c>
      <c r="D1126" t="inlineStr">
        <is>
          <t>UPPSALA LÄN</t>
        </is>
      </c>
      <c r="E1126" t="inlineStr">
        <is>
          <t>UPPSALA</t>
        </is>
      </c>
      <c r="F1126" t="inlineStr">
        <is>
          <t>Övriga Aktiebolag</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60806-2019</t>
        </is>
      </c>
      <c r="B1127" s="1" t="n">
        <v>43781</v>
      </c>
      <c r="C1127" s="1" t="n">
        <v>45792</v>
      </c>
      <c r="D1127" t="inlineStr">
        <is>
          <t>UPPSALA LÄN</t>
        </is>
      </c>
      <c r="E1127" t="inlineStr">
        <is>
          <t>HEBY</t>
        </is>
      </c>
      <c r="F1127" t="inlineStr">
        <is>
          <t>Allmännings- och besparingsskogar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60977-2019</t>
        </is>
      </c>
      <c r="B1128" s="1" t="n">
        <v>43782</v>
      </c>
      <c r="C1128" s="1" t="n">
        <v>45792</v>
      </c>
      <c r="D1128" t="inlineStr">
        <is>
          <t>UPPSALA LÄN</t>
        </is>
      </c>
      <c r="E1128" t="inlineStr">
        <is>
          <t>ÖSTHAMMAR</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61005-2019</t>
        </is>
      </c>
      <c r="B1129" s="1" t="n">
        <v>43782</v>
      </c>
      <c r="C1129" s="1" t="n">
        <v>45792</v>
      </c>
      <c r="D1129" t="inlineStr">
        <is>
          <t>UPPSALA LÄN</t>
        </is>
      </c>
      <c r="E1129" t="inlineStr">
        <is>
          <t>ENKÖPING</t>
        </is>
      </c>
      <c r="G1129" t="n">
        <v>11.8</v>
      </c>
      <c r="H1129" t="n">
        <v>0</v>
      </c>
      <c r="I1129" t="n">
        <v>0</v>
      </c>
      <c r="J1129" t="n">
        <v>0</v>
      </c>
      <c r="K1129" t="n">
        <v>0</v>
      </c>
      <c r="L1129" t="n">
        <v>0</v>
      </c>
      <c r="M1129" t="n">
        <v>0</v>
      </c>
      <c r="N1129" t="n">
        <v>0</v>
      </c>
      <c r="O1129" t="n">
        <v>0</v>
      </c>
      <c r="P1129" t="n">
        <v>0</v>
      </c>
      <c r="Q1129" t="n">
        <v>0</v>
      </c>
      <c r="R1129" s="2" t="inlineStr"/>
    </row>
    <row r="1130" ht="15" customHeight="1">
      <c r="A1130" t="inlineStr">
        <is>
          <t>A 62096-2019</t>
        </is>
      </c>
      <c r="B1130" s="1" t="n">
        <v>43782</v>
      </c>
      <c r="C1130" s="1" t="n">
        <v>45792</v>
      </c>
      <c r="D1130" t="inlineStr">
        <is>
          <t>UPPSALA LÄN</t>
        </is>
      </c>
      <c r="E1130" t="inlineStr">
        <is>
          <t>HEBY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62308-2019</t>
        </is>
      </c>
      <c r="B1131" s="1" t="n">
        <v>43782</v>
      </c>
      <c r="C1131" s="1" t="n">
        <v>45792</v>
      </c>
      <c r="D1131" t="inlineStr">
        <is>
          <t>UPPSALA LÄN</t>
        </is>
      </c>
      <c r="E1131" t="inlineStr">
        <is>
          <t>UPPSALA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61351-2019</t>
        </is>
      </c>
      <c r="B1132" s="1" t="n">
        <v>43783</v>
      </c>
      <c r="C1132" s="1" t="n">
        <v>45792</v>
      </c>
      <c r="D1132" t="inlineStr">
        <is>
          <t>UPPSALA LÄN</t>
        </is>
      </c>
      <c r="E1132" t="inlineStr">
        <is>
          <t>HEBY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61395-2019</t>
        </is>
      </c>
      <c r="B1133" s="1" t="n">
        <v>43783</v>
      </c>
      <c r="C1133" s="1" t="n">
        <v>45792</v>
      </c>
      <c r="D1133" t="inlineStr">
        <is>
          <t>UPPSALA LÄN</t>
        </is>
      </c>
      <c r="E1133" t="inlineStr">
        <is>
          <t>HEBY</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61388-2019</t>
        </is>
      </c>
      <c r="B1134" s="1" t="n">
        <v>43783</v>
      </c>
      <c r="C1134" s="1" t="n">
        <v>45792</v>
      </c>
      <c r="D1134" t="inlineStr">
        <is>
          <t>UPPSALA LÄN</t>
        </is>
      </c>
      <c r="E1134" t="inlineStr">
        <is>
          <t>HEBY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61667-2019</t>
        </is>
      </c>
      <c r="B1135" s="1" t="n">
        <v>43784</v>
      </c>
      <c r="C1135" s="1" t="n">
        <v>45792</v>
      </c>
      <c r="D1135" t="inlineStr">
        <is>
          <t>UPPSALA LÄN</t>
        </is>
      </c>
      <c r="E1135" t="inlineStr">
        <is>
          <t>UPPSALA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61924-2019</t>
        </is>
      </c>
      <c r="B1136" s="1" t="n">
        <v>43787</v>
      </c>
      <c r="C1136" s="1" t="n">
        <v>45792</v>
      </c>
      <c r="D1136" t="inlineStr">
        <is>
          <t>UPPSALA LÄN</t>
        </is>
      </c>
      <c r="E1136" t="inlineStr">
        <is>
          <t>HEBY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61866-2019</t>
        </is>
      </c>
      <c r="B1137" s="1" t="n">
        <v>43787</v>
      </c>
      <c r="C1137" s="1" t="n">
        <v>45792</v>
      </c>
      <c r="D1137" t="inlineStr">
        <is>
          <t>UPPSALA LÄN</t>
        </is>
      </c>
      <c r="E1137" t="inlineStr">
        <is>
          <t>ÖSTHAMMAR</t>
        </is>
      </c>
      <c r="F1137" t="inlineStr">
        <is>
          <t>Bergvik skog öst AB</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62026-2019</t>
        </is>
      </c>
      <c r="B1138" s="1" t="n">
        <v>43787</v>
      </c>
      <c r="C1138" s="1" t="n">
        <v>45792</v>
      </c>
      <c r="D1138" t="inlineStr">
        <is>
          <t>UPPSALA LÄN</t>
        </is>
      </c>
      <c r="E1138" t="inlineStr">
        <is>
          <t>HEBY</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62022-2019</t>
        </is>
      </c>
      <c r="B1139" s="1" t="n">
        <v>43787</v>
      </c>
      <c r="C1139" s="1" t="n">
        <v>45792</v>
      </c>
      <c r="D1139" t="inlineStr">
        <is>
          <t>UPPSALA LÄN</t>
        </is>
      </c>
      <c r="E1139" t="inlineStr">
        <is>
          <t>HEBY</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62808-2019</t>
        </is>
      </c>
      <c r="B1140" s="1" t="n">
        <v>43790</v>
      </c>
      <c r="C1140" s="1" t="n">
        <v>45792</v>
      </c>
      <c r="D1140" t="inlineStr">
        <is>
          <t>UPPSALA LÄN</t>
        </is>
      </c>
      <c r="E1140" t="inlineStr">
        <is>
          <t>ÖSTHAMMAR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62868-2019</t>
        </is>
      </c>
      <c r="B1141" s="1" t="n">
        <v>43790</v>
      </c>
      <c r="C1141" s="1" t="n">
        <v>45792</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63145-2019</t>
        </is>
      </c>
      <c r="B1142" s="1" t="n">
        <v>43791</v>
      </c>
      <c r="C1142" s="1" t="n">
        <v>45792</v>
      </c>
      <c r="D1142" t="inlineStr">
        <is>
          <t>UPPSALA LÄN</t>
        </is>
      </c>
      <c r="E1142" t="inlineStr">
        <is>
          <t>UPPSALA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63091-2019</t>
        </is>
      </c>
      <c r="B1143" s="1" t="n">
        <v>43791</v>
      </c>
      <c r="C1143" s="1" t="n">
        <v>45792</v>
      </c>
      <c r="D1143" t="inlineStr">
        <is>
          <t>UPPSALA LÄN</t>
        </is>
      </c>
      <c r="E1143" t="inlineStr">
        <is>
          <t>UPPSALA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63099-2019</t>
        </is>
      </c>
      <c r="B1144" s="1" t="n">
        <v>43791</v>
      </c>
      <c r="C1144" s="1" t="n">
        <v>45792</v>
      </c>
      <c r="D1144" t="inlineStr">
        <is>
          <t>UPPSALA LÄN</t>
        </is>
      </c>
      <c r="E1144" t="inlineStr">
        <is>
          <t>UPPSALA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63118-2019</t>
        </is>
      </c>
      <c r="B1145" s="1" t="n">
        <v>43791</v>
      </c>
      <c r="C1145" s="1" t="n">
        <v>45792</v>
      </c>
      <c r="D1145" t="inlineStr">
        <is>
          <t>UPPSALA LÄN</t>
        </is>
      </c>
      <c r="E1145" t="inlineStr">
        <is>
          <t>UPPSALA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63376-2019</t>
        </is>
      </c>
      <c r="B1146" s="1" t="n">
        <v>43794</v>
      </c>
      <c r="C1146" s="1" t="n">
        <v>45792</v>
      </c>
      <c r="D1146" t="inlineStr">
        <is>
          <t>UPPSALA LÄN</t>
        </is>
      </c>
      <c r="E1146" t="inlineStr">
        <is>
          <t>HEBY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63589-2019</t>
        </is>
      </c>
      <c r="B1147" s="1" t="n">
        <v>43795</v>
      </c>
      <c r="C1147" s="1" t="n">
        <v>45792</v>
      </c>
      <c r="D1147" t="inlineStr">
        <is>
          <t>UPPSALA LÄN</t>
        </is>
      </c>
      <c r="E1147" t="inlineStr">
        <is>
          <t>UPPSALA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63564-2019</t>
        </is>
      </c>
      <c r="B1148" s="1" t="n">
        <v>43795</v>
      </c>
      <c r="C1148" s="1" t="n">
        <v>45792</v>
      </c>
      <c r="D1148" t="inlineStr">
        <is>
          <t>UPPSALA LÄN</t>
        </is>
      </c>
      <c r="E1148" t="inlineStr">
        <is>
          <t>ÖSTHAMMAR</t>
        </is>
      </c>
      <c r="F1148" t="inlineStr">
        <is>
          <t>Övriga Aktiebolag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63769-2019</t>
        </is>
      </c>
      <c r="B1149" s="1" t="n">
        <v>43795</v>
      </c>
      <c r="C1149" s="1" t="n">
        <v>45792</v>
      </c>
      <c r="D1149" t="inlineStr">
        <is>
          <t>UPPSALA LÄN</t>
        </is>
      </c>
      <c r="E1149" t="inlineStr">
        <is>
          <t>TIERP</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63757-2019</t>
        </is>
      </c>
      <c r="B1150" s="1" t="n">
        <v>43795</v>
      </c>
      <c r="C1150" s="1" t="n">
        <v>45792</v>
      </c>
      <c r="D1150" t="inlineStr">
        <is>
          <t>UPPSALA LÄN</t>
        </is>
      </c>
      <c r="E1150" t="inlineStr">
        <is>
          <t>UPPSALA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63756-2019</t>
        </is>
      </c>
      <c r="B1151" s="1" t="n">
        <v>43795</v>
      </c>
      <c r="C1151" s="1" t="n">
        <v>45792</v>
      </c>
      <c r="D1151" t="inlineStr">
        <is>
          <t>UPPSALA LÄN</t>
        </is>
      </c>
      <c r="E1151" t="inlineStr">
        <is>
          <t>UPPSALA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63872-2019</t>
        </is>
      </c>
      <c r="B1152" s="1" t="n">
        <v>43796</v>
      </c>
      <c r="C1152" s="1" t="n">
        <v>45792</v>
      </c>
      <c r="D1152" t="inlineStr">
        <is>
          <t>UPPSALA LÄN</t>
        </is>
      </c>
      <c r="E1152" t="inlineStr">
        <is>
          <t>TIERP</t>
        </is>
      </c>
      <c r="F1152" t="inlineStr">
        <is>
          <t>Bergvik skog väst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64252-2019</t>
        </is>
      </c>
      <c r="B1153" s="1" t="n">
        <v>43797</v>
      </c>
      <c r="C1153" s="1" t="n">
        <v>45792</v>
      </c>
      <c r="D1153" t="inlineStr">
        <is>
          <t>UPPSALA LÄN</t>
        </is>
      </c>
      <c r="E1153" t="inlineStr">
        <is>
          <t>TIERP</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64250-2019</t>
        </is>
      </c>
      <c r="B1154" s="1" t="n">
        <v>43797</v>
      </c>
      <c r="C1154" s="1" t="n">
        <v>45792</v>
      </c>
      <c r="D1154" t="inlineStr">
        <is>
          <t>UPPSALA LÄN</t>
        </is>
      </c>
      <c r="E1154" t="inlineStr">
        <is>
          <t>HEBY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64271-2019</t>
        </is>
      </c>
      <c r="B1155" s="1" t="n">
        <v>43797</v>
      </c>
      <c r="C1155" s="1" t="n">
        <v>45792</v>
      </c>
      <c r="D1155" t="inlineStr">
        <is>
          <t>UPPSALA LÄN</t>
        </is>
      </c>
      <c r="E1155" t="inlineStr">
        <is>
          <t>TIERP</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64344-2019</t>
        </is>
      </c>
      <c r="B1156" s="1" t="n">
        <v>43797</v>
      </c>
      <c r="C1156" s="1" t="n">
        <v>45792</v>
      </c>
      <c r="D1156" t="inlineStr">
        <is>
          <t>UPPSALA LÄN</t>
        </is>
      </c>
      <c r="E1156" t="inlineStr">
        <is>
          <t>ÖSTHAMMAR</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65903-2019</t>
        </is>
      </c>
      <c r="B1157" s="1" t="n">
        <v>43800</v>
      </c>
      <c r="C1157" s="1" t="n">
        <v>45792</v>
      </c>
      <c r="D1157" t="inlineStr">
        <is>
          <t>UPPSALA LÄN</t>
        </is>
      </c>
      <c r="E1157" t="inlineStr">
        <is>
          <t>KNIVSTA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64836-2019</t>
        </is>
      </c>
      <c r="B1158" s="1" t="n">
        <v>43801</v>
      </c>
      <c r="C1158" s="1" t="n">
        <v>45792</v>
      </c>
      <c r="D1158" t="inlineStr">
        <is>
          <t>UPPSALA LÄN</t>
        </is>
      </c>
      <c r="E1158" t="inlineStr">
        <is>
          <t>UPPSALA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64834-2019</t>
        </is>
      </c>
      <c r="B1159" s="1" t="n">
        <v>43801</v>
      </c>
      <c r="C1159" s="1" t="n">
        <v>45792</v>
      </c>
      <c r="D1159" t="inlineStr">
        <is>
          <t>UPPSALA LÄN</t>
        </is>
      </c>
      <c r="E1159" t="inlineStr">
        <is>
          <t>UPPSALA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64986-2019</t>
        </is>
      </c>
      <c r="B1160" s="1" t="n">
        <v>43801</v>
      </c>
      <c r="C1160" s="1" t="n">
        <v>45792</v>
      </c>
      <c r="D1160" t="inlineStr">
        <is>
          <t>UPPSALA LÄN</t>
        </is>
      </c>
      <c r="E1160" t="inlineStr">
        <is>
          <t>TIERP</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64983-2019</t>
        </is>
      </c>
      <c r="B1161" s="1" t="n">
        <v>43801</v>
      </c>
      <c r="C1161" s="1" t="n">
        <v>45792</v>
      </c>
      <c r="D1161" t="inlineStr">
        <is>
          <t>UPPSALA LÄN</t>
        </is>
      </c>
      <c r="E1161" t="inlineStr">
        <is>
          <t>TIERP</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65087-2019</t>
        </is>
      </c>
      <c r="B1162" s="1" t="n">
        <v>43802</v>
      </c>
      <c r="C1162" s="1" t="n">
        <v>45792</v>
      </c>
      <c r="D1162" t="inlineStr">
        <is>
          <t>UPPSALA LÄN</t>
        </is>
      </c>
      <c r="E1162" t="inlineStr">
        <is>
          <t>TIERP</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65111-2019</t>
        </is>
      </c>
      <c r="B1163" s="1" t="n">
        <v>43802</v>
      </c>
      <c r="C1163" s="1" t="n">
        <v>45792</v>
      </c>
      <c r="D1163" t="inlineStr">
        <is>
          <t>UPPSALA LÄN</t>
        </is>
      </c>
      <c r="E1163" t="inlineStr">
        <is>
          <t>HEBY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65182-2019</t>
        </is>
      </c>
      <c r="B1164" s="1" t="n">
        <v>43802</v>
      </c>
      <c r="C1164" s="1" t="n">
        <v>45792</v>
      </c>
      <c r="D1164" t="inlineStr">
        <is>
          <t>UPPSALA LÄN</t>
        </is>
      </c>
      <c r="E1164" t="inlineStr">
        <is>
          <t>ENKÖPING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65107-2019</t>
        </is>
      </c>
      <c r="B1165" s="1" t="n">
        <v>43802</v>
      </c>
      <c r="C1165" s="1" t="n">
        <v>45792</v>
      </c>
      <c r="D1165" t="inlineStr">
        <is>
          <t>UPPSALA LÄN</t>
        </is>
      </c>
      <c r="E1165" t="inlineStr">
        <is>
          <t>ÖSTHAMMAR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65527-2019</t>
        </is>
      </c>
      <c r="B1166" s="1" t="n">
        <v>43803</v>
      </c>
      <c r="C1166" s="1" t="n">
        <v>45792</v>
      </c>
      <c r="D1166" t="inlineStr">
        <is>
          <t>UPPSALA LÄN</t>
        </is>
      </c>
      <c r="E1166" t="inlineStr">
        <is>
          <t>UPPSALA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66556-2019</t>
        </is>
      </c>
      <c r="B1167" s="1" t="n">
        <v>43803</v>
      </c>
      <c r="C1167" s="1" t="n">
        <v>45792</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65668-2019</t>
        </is>
      </c>
      <c r="B1168" s="1" t="n">
        <v>43804</v>
      </c>
      <c r="C1168" s="1" t="n">
        <v>45792</v>
      </c>
      <c r="D1168" t="inlineStr">
        <is>
          <t>UPPSALA LÄN</t>
        </is>
      </c>
      <c r="E1168" t="inlineStr">
        <is>
          <t>UPPSALA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66125-2019</t>
        </is>
      </c>
      <c r="B1169" s="1" t="n">
        <v>43808</v>
      </c>
      <c r="C1169" s="1" t="n">
        <v>45792</v>
      </c>
      <c r="D1169" t="inlineStr">
        <is>
          <t>UPPSALA LÄN</t>
        </is>
      </c>
      <c r="E1169" t="inlineStr">
        <is>
          <t>HEBY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66167-2019</t>
        </is>
      </c>
      <c r="B1170" s="1" t="n">
        <v>43808</v>
      </c>
      <c r="C1170" s="1" t="n">
        <v>45792</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66270-2019</t>
        </is>
      </c>
      <c r="B1171" s="1" t="n">
        <v>43808</v>
      </c>
      <c r="C1171" s="1" t="n">
        <v>45792</v>
      </c>
      <c r="D1171" t="inlineStr">
        <is>
          <t>UPPSALA LÄN</t>
        </is>
      </c>
      <c r="E1171" t="inlineStr">
        <is>
          <t>UPPSALA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66298-2019</t>
        </is>
      </c>
      <c r="B1172" s="1" t="n">
        <v>43808</v>
      </c>
      <c r="C1172" s="1" t="n">
        <v>45792</v>
      </c>
      <c r="D1172" t="inlineStr">
        <is>
          <t>UPPSALA LÄN</t>
        </is>
      </c>
      <c r="E1172" t="inlineStr">
        <is>
          <t>ENKÖPING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67647-2019</t>
        </is>
      </c>
      <c r="B1173" s="1" t="n">
        <v>43808</v>
      </c>
      <c r="C1173" s="1" t="n">
        <v>45792</v>
      </c>
      <c r="D1173" t="inlineStr">
        <is>
          <t>UPPSALA LÄN</t>
        </is>
      </c>
      <c r="E1173" t="inlineStr">
        <is>
          <t>ÖSTHAMMAR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66641-2019</t>
        </is>
      </c>
      <c r="B1174" s="1" t="n">
        <v>43809</v>
      </c>
      <c r="C1174" s="1" t="n">
        <v>45792</v>
      </c>
      <c r="D1174" t="inlineStr">
        <is>
          <t>UPPSALA LÄN</t>
        </is>
      </c>
      <c r="E1174" t="inlineStr">
        <is>
          <t>TIERP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66640-2019</t>
        </is>
      </c>
      <c r="B1175" s="1" t="n">
        <v>43809</v>
      </c>
      <c r="C1175" s="1" t="n">
        <v>45792</v>
      </c>
      <c r="D1175" t="inlineStr">
        <is>
          <t>UPPSALA LÄN</t>
        </is>
      </c>
      <c r="E1175" t="inlineStr">
        <is>
          <t>TIERP</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66607-2019</t>
        </is>
      </c>
      <c r="B1176" s="1" t="n">
        <v>43809</v>
      </c>
      <c r="C1176" s="1" t="n">
        <v>45792</v>
      </c>
      <c r="D1176" t="inlineStr">
        <is>
          <t>UPPSALA LÄN</t>
        </is>
      </c>
      <c r="E1176" t="inlineStr">
        <is>
          <t>KNIVSTA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66802-2019</t>
        </is>
      </c>
      <c r="B1177" s="1" t="n">
        <v>43810</v>
      </c>
      <c r="C1177" s="1" t="n">
        <v>45792</v>
      </c>
      <c r="D1177" t="inlineStr">
        <is>
          <t>UPPSALA LÄN</t>
        </is>
      </c>
      <c r="E1177" t="inlineStr">
        <is>
          <t>ÖSTHAMMAR</t>
        </is>
      </c>
      <c r="F1177" t="inlineStr">
        <is>
          <t>Bergvik skog öst AB</t>
        </is>
      </c>
      <c r="G1177" t="n">
        <v>34.8</v>
      </c>
      <c r="H1177" t="n">
        <v>0</v>
      </c>
      <c r="I1177" t="n">
        <v>0</v>
      </c>
      <c r="J1177" t="n">
        <v>0</v>
      </c>
      <c r="K1177" t="n">
        <v>0</v>
      </c>
      <c r="L1177" t="n">
        <v>0</v>
      </c>
      <c r="M1177" t="n">
        <v>0</v>
      </c>
      <c r="N1177" t="n">
        <v>0</v>
      </c>
      <c r="O1177" t="n">
        <v>0</v>
      </c>
      <c r="P1177" t="n">
        <v>0</v>
      </c>
      <c r="Q1177" t="n">
        <v>0</v>
      </c>
      <c r="R1177" s="2" t="inlineStr"/>
    </row>
    <row r="1178" ht="15" customHeight="1">
      <c r="A1178" t="inlineStr">
        <is>
          <t>A 67165-2019</t>
        </is>
      </c>
      <c r="B1178" s="1" t="n">
        <v>43811</v>
      </c>
      <c r="C1178" s="1" t="n">
        <v>45792</v>
      </c>
      <c r="D1178" t="inlineStr">
        <is>
          <t>UPPSALA LÄN</t>
        </is>
      </c>
      <c r="E1178" t="inlineStr">
        <is>
          <t>KNIVSTA</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67166-2019</t>
        </is>
      </c>
      <c r="B1179" s="1" t="n">
        <v>43811</v>
      </c>
      <c r="C1179" s="1" t="n">
        <v>45792</v>
      </c>
      <c r="D1179" t="inlineStr">
        <is>
          <t>UPPSALA LÄN</t>
        </is>
      </c>
      <c r="E1179" t="inlineStr">
        <is>
          <t>KNIVSTA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67190-2019</t>
        </is>
      </c>
      <c r="B1180" s="1" t="n">
        <v>43811</v>
      </c>
      <c r="C1180" s="1" t="n">
        <v>45792</v>
      </c>
      <c r="D1180" t="inlineStr">
        <is>
          <t>UPPSALA LÄN</t>
        </is>
      </c>
      <c r="E1180" t="inlineStr">
        <is>
          <t>ENKÖPING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67196-2019</t>
        </is>
      </c>
      <c r="B1181" s="1" t="n">
        <v>43811</v>
      </c>
      <c r="C1181" s="1" t="n">
        <v>45792</v>
      </c>
      <c r="D1181" t="inlineStr">
        <is>
          <t>UPPSALA LÄN</t>
        </is>
      </c>
      <c r="E1181" t="inlineStr">
        <is>
          <t>ENKÖPING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67108-2019</t>
        </is>
      </c>
      <c r="B1182" s="1" t="n">
        <v>43811</v>
      </c>
      <c r="C1182" s="1" t="n">
        <v>45792</v>
      </c>
      <c r="D1182" t="inlineStr">
        <is>
          <t>UPPSALA LÄN</t>
        </is>
      </c>
      <c r="E1182" t="inlineStr">
        <is>
          <t>UPPSALA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67253-2019</t>
        </is>
      </c>
      <c r="B1183" s="1" t="n">
        <v>43812</v>
      </c>
      <c r="C1183" s="1" t="n">
        <v>45792</v>
      </c>
      <c r="D1183" t="inlineStr">
        <is>
          <t>UPPSALA LÄN</t>
        </is>
      </c>
      <c r="E1183" t="inlineStr">
        <is>
          <t>TIERP</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67281-2019</t>
        </is>
      </c>
      <c r="B1184" s="1" t="n">
        <v>43812</v>
      </c>
      <c r="C1184" s="1" t="n">
        <v>45792</v>
      </c>
      <c r="D1184" t="inlineStr">
        <is>
          <t>UPPSALA LÄN</t>
        </is>
      </c>
      <c r="E1184" t="inlineStr">
        <is>
          <t>UPPSALA</t>
        </is>
      </c>
      <c r="F1184" t="inlineStr">
        <is>
          <t>Allmännings- och besparingsskogar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67244-2019</t>
        </is>
      </c>
      <c r="B1185" s="1" t="n">
        <v>43812</v>
      </c>
      <c r="C1185" s="1" t="n">
        <v>45792</v>
      </c>
      <c r="D1185" t="inlineStr">
        <is>
          <t>UPPSALA LÄN</t>
        </is>
      </c>
      <c r="E1185" t="inlineStr">
        <is>
          <t>ENKÖPING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67448-2019</t>
        </is>
      </c>
      <c r="B1186" s="1" t="n">
        <v>43812</v>
      </c>
      <c r="C1186" s="1" t="n">
        <v>45792</v>
      </c>
      <c r="D1186" t="inlineStr">
        <is>
          <t>UPPSALA LÄN</t>
        </is>
      </c>
      <c r="E1186" t="inlineStr">
        <is>
          <t>ENKÖPING</t>
        </is>
      </c>
      <c r="F1186" t="inlineStr">
        <is>
          <t>Allmännings- och besparingsskogar</t>
        </is>
      </c>
      <c r="G1186" t="n">
        <v>15.1</v>
      </c>
      <c r="H1186" t="n">
        <v>0</v>
      </c>
      <c r="I1186" t="n">
        <v>0</v>
      </c>
      <c r="J1186" t="n">
        <v>0</v>
      </c>
      <c r="K1186" t="n">
        <v>0</v>
      </c>
      <c r="L1186" t="n">
        <v>0</v>
      </c>
      <c r="M1186" t="n">
        <v>0</v>
      </c>
      <c r="N1186" t="n">
        <v>0</v>
      </c>
      <c r="O1186" t="n">
        <v>0</v>
      </c>
      <c r="P1186" t="n">
        <v>0</v>
      </c>
      <c r="Q1186" t="n">
        <v>0</v>
      </c>
      <c r="R1186" s="2" t="inlineStr"/>
    </row>
    <row r="1187" ht="15" customHeight="1">
      <c r="A1187" t="inlineStr">
        <is>
          <t>A 67254-2019</t>
        </is>
      </c>
      <c r="B1187" s="1" t="n">
        <v>43812</v>
      </c>
      <c r="C1187" s="1" t="n">
        <v>45792</v>
      </c>
      <c r="D1187" t="inlineStr">
        <is>
          <t>UPPSALA LÄN</t>
        </is>
      </c>
      <c r="E1187" t="inlineStr">
        <is>
          <t>ÖSTHAMMAR</t>
        </is>
      </c>
      <c r="F1187" t="inlineStr">
        <is>
          <t>Allmännings- och besparingsskogar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67508-2019</t>
        </is>
      </c>
      <c r="B1188" s="1" t="n">
        <v>43814</v>
      </c>
      <c r="C1188" s="1" t="n">
        <v>45792</v>
      </c>
      <c r="D1188" t="inlineStr">
        <is>
          <t>UPPSALA LÄN</t>
        </is>
      </c>
      <c r="E1188" t="inlineStr">
        <is>
          <t>UPPSALA</t>
        </is>
      </c>
      <c r="F1188" t="inlineStr">
        <is>
          <t>Allmännings- och besparingsskogar</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67504-2019</t>
        </is>
      </c>
      <c r="B1189" s="1" t="n">
        <v>43814</v>
      </c>
      <c r="C1189" s="1" t="n">
        <v>45792</v>
      </c>
      <c r="D1189" t="inlineStr">
        <is>
          <t>UPPSALA LÄN</t>
        </is>
      </c>
      <c r="E1189" t="inlineStr">
        <is>
          <t>UPPSALA</t>
        </is>
      </c>
      <c r="F1189" t="inlineStr">
        <is>
          <t>Allmännings- och besparingsskogar</t>
        </is>
      </c>
      <c r="G1189" t="n">
        <v>21.9</v>
      </c>
      <c r="H1189" t="n">
        <v>0</v>
      </c>
      <c r="I1189" t="n">
        <v>0</v>
      </c>
      <c r="J1189" t="n">
        <v>0</v>
      </c>
      <c r="K1189" t="n">
        <v>0</v>
      </c>
      <c r="L1189" t="n">
        <v>0</v>
      </c>
      <c r="M1189" t="n">
        <v>0</v>
      </c>
      <c r="N1189" t="n">
        <v>0</v>
      </c>
      <c r="O1189" t="n">
        <v>0</v>
      </c>
      <c r="P1189" t="n">
        <v>0</v>
      </c>
      <c r="Q1189" t="n">
        <v>0</v>
      </c>
      <c r="R1189" s="2" t="inlineStr"/>
    </row>
    <row r="1190" ht="15" customHeight="1">
      <c r="A1190" t="inlineStr">
        <is>
          <t>A 67720-2019</t>
        </is>
      </c>
      <c r="B1190" s="1" t="n">
        <v>43815</v>
      </c>
      <c r="C1190" s="1" t="n">
        <v>45792</v>
      </c>
      <c r="D1190" t="inlineStr">
        <is>
          <t>UPPSALA LÄN</t>
        </is>
      </c>
      <c r="E1190" t="inlineStr">
        <is>
          <t>UPPSALA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67592-2019</t>
        </is>
      </c>
      <c r="B1191" s="1" t="n">
        <v>43815</v>
      </c>
      <c r="C1191" s="1" t="n">
        <v>45792</v>
      </c>
      <c r="D1191" t="inlineStr">
        <is>
          <t>UPPSALA LÄN</t>
        </is>
      </c>
      <c r="E1191" t="inlineStr">
        <is>
          <t>UPPSALA</t>
        </is>
      </c>
      <c r="F1191" t="inlineStr">
        <is>
          <t>Övriga statliga verk och myndigheter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67598-2019</t>
        </is>
      </c>
      <c r="B1192" s="1" t="n">
        <v>43815</v>
      </c>
      <c r="C1192" s="1" t="n">
        <v>45792</v>
      </c>
      <c r="D1192" t="inlineStr">
        <is>
          <t>UPPSALA LÄN</t>
        </is>
      </c>
      <c r="E1192" t="inlineStr">
        <is>
          <t>KNIVSTA</t>
        </is>
      </c>
      <c r="F1192" t="inlineStr">
        <is>
          <t>Övriga Aktiebolag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68196-2019</t>
        </is>
      </c>
      <c r="B1193" s="1" t="n">
        <v>43817</v>
      </c>
      <c r="C1193" s="1" t="n">
        <v>45792</v>
      </c>
      <c r="D1193" t="inlineStr">
        <is>
          <t>UPPSALA LÄN</t>
        </is>
      </c>
      <c r="E1193" t="inlineStr">
        <is>
          <t>HEBY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618-2020</t>
        </is>
      </c>
      <c r="B1194" s="1" t="n">
        <v>43817</v>
      </c>
      <c r="C1194" s="1" t="n">
        <v>45792</v>
      </c>
      <c r="D1194" t="inlineStr">
        <is>
          <t>UPPSALA LÄN</t>
        </is>
      </c>
      <c r="E1194" t="inlineStr">
        <is>
          <t>ÖSTHAMMAR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68186-2019</t>
        </is>
      </c>
      <c r="B1195" s="1" t="n">
        <v>43817</v>
      </c>
      <c r="C1195" s="1" t="n">
        <v>45792</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68188-2019</t>
        </is>
      </c>
      <c r="B1196" s="1" t="n">
        <v>43817</v>
      </c>
      <c r="C1196" s="1" t="n">
        <v>45792</v>
      </c>
      <c r="D1196" t="inlineStr">
        <is>
          <t>UPPSALA LÄN</t>
        </is>
      </c>
      <c r="E1196" t="inlineStr">
        <is>
          <t>ENKÖPING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68264-2019</t>
        </is>
      </c>
      <c r="B1197" s="1" t="n">
        <v>43817</v>
      </c>
      <c r="C1197" s="1" t="n">
        <v>45792</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68265-2019</t>
        </is>
      </c>
      <c r="B1198" s="1" t="n">
        <v>43817</v>
      </c>
      <c r="C1198" s="1" t="n">
        <v>45792</v>
      </c>
      <c r="D1198" t="inlineStr">
        <is>
          <t>UPPSALA LÄN</t>
        </is>
      </c>
      <c r="E1198" t="inlineStr">
        <is>
          <t>UPPSALA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68317-2019</t>
        </is>
      </c>
      <c r="B1199" s="1" t="n">
        <v>43818</v>
      </c>
      <c r="C1199" s="1" t="n">
        <v>45792</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68412-2019</t>
        </is>
      </c>
      <c r="B1200" s="1" t="n">
        <v>43818</v>
      </c>
      <c r="C1200" s="1" t="n">
        <v>45792</v>
      </c>
      <c r="D1200" t="inlineStr">
        <is>
          <t>UPPSALA LÄN</t>
        </is>
      </c>
      <c r="E1200" t="inlineStr">
        <is>
          <t>HEBY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68316-2019</t>
        </is>
      </c>
      <c r="B1201" s="1" t="n">
        <v>43818</v>
      </c>
      <c r="C1201" s="1" t="n">
        <v>45792</v>
      </c>
      <c r="D1201" t="inlineStr">
        <is>
          <t>UPPSALA LÄN</t>
        </is>
      </c>
      <c r="E1201" t="inlineStr">
        <is>
          <t>UPPSALA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68870-2019</t>
        </is>
      </c>
      <c r="B1202" s="1" t="n">
        <v>43821</v>
      </c>
      <c r="C1202" s="1" t="n">
        <v>45792</v>
      </c>
      <c r="D1202" t="inlineStr">
        <is>
          <t>UPPSALA LÄN</t>
        </is>
      </c>
      <c r="E1202" t="inlineStr">
        <is>
          <t>ÖSTHAMMAR</t>
        </is>
      </c>
      <c r="F1202" t="inlineStr">
        <is>
          <t>Bergvik skog öst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68871-2019</t>
        </is>
      </c>
      <c r="B1203" s="1" t="n">
        <v>43821</v>
      </c>
      <c r="C1203" s="1" t="n">
        <v>45792</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68868-2019</t>
        </is>
      </c>
      <c r="B1204" s="1" t="n">
        <v>43821</v>
      </c>
      <c r="C1204" s="1" t="n">
        <v>45792</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68908-2019</t>
        </is>
      </c>
      <c r="B1205" s="1" t="n">
        <v>43822</v>
      </c>
      <c r="C1205" s="1" t="n">
        <v>45792</v>
      </c>
      <c r="D1205" t="inlineStr">
        <is>
          <t>UPPSALA LÄN</t>
        </is>
      </c>
      <c r="E1205" t="inlineStr">
        <is>
          <t>UPPSALA</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69015-2019</t>
        </is>
      </c>
      <c r="B1206" s="1" t="n">
        <v>43826</v>
      </c>
      <c r="C1206" s="1" t="n">
        <v>45792</v>
      </c>
      <c r="D1206" t="inlineStr">
        <is>
          <t>UPPSALA LÄN</t>
        </is>
      </c>
      <c r="E1206" t="inlineStr">
        <is>
          <t>ENKÖPING</t>
        </is>
      </c>
      <c r="G1206" t="n">
        <v>15.7</v>
      </c>
      <c r="H1206" t="n">
        <v>0</v>
      </c>
      <c r="I1206" t="n">
        <v>0</v>
      </c>
      <c r="J1206" t="n">
        <v>0</v>
      </c>
      <c r="K1206" t="n">
        <v>0</v>
      </c>
      <c r="L1206" t="n">
        <v>0</v>
      </c>
      <c r="M1206" t="n">
        <v>0</v>
      </c>
      <c r="N1206" t="n">
        <v>0</v>
      </c>
      <c r="O1206" t="n">
        <v>0</v>
      </c>
      <c r="P1206" t="n">
        <v>0</v>
      </c>
      <c r="Q1206" t="n">
        <v>0</v>
      </c>
      <c r="R1206" s="2" t="inlineStr"/>
    </row>
    <row r="1207" ht="15" customHeight="1">
      <c r="A1207" t="inlineStr">
        <is>
          <t>A 69029-2019</t>
        </is>
      </c>
      <c r="B1207" s="1" t="n">
        <v>43826</v>
      </c>
      <c r="C1207" s="1" t="n">
        <v>45792</v>
      </c>
      <c r="D1207" t="inlineStr">
        <is>
          <t>UPPSALA LÄN</t>
        </is>
      </c>
      <c r="E1207" t="inlineStr">
        <is>
          <t>ENKÖPING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69016-2019</t>
        </is>
      </c>
      <c r="B1208" s="1" t="n">
        <v>43826</v>
      </c>
      <c r="C1208" s="1" t="n">
        <v>45792</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69020-2019</t>
        </is>
      </c>
      <c r="B1209" s="1" t="n">
        <v>43826</v>
      </c>
      <c r="C1209" s="1" t="n">
        <v>45792</v>
      </c>
      <c r="D1209" t="inlineStr">
        <is>
          <t>UPPSALA LÄN</t>
        </is>
      </c>
      <c r="E1209" t="inlineStr">
        <is>
          <t>ENKÖPING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69141-2019</t>
        </is>
      </c>
      <c r="B1210" s="1" t="n">
        <v>43829</v>
      </c>
      <c r="C1210" s="1" t="n">
        <v>45792</v>
      </c>
      <c r="D1210" t="inlineStr">
        <is>
          <t>UPPSALA LÄN</t>
        </is>
      </c>
      <c r="E1210" t="inlineStr">
        <is>
          <t>TIERP</t>
        </is>
      </c>
      <c r="F1210" t="inlineStr">
        <is>
          <t>Bergvik skog väst AB</t>
        </is>
      </c>
      <c r="G1210" t="n">
        <v>20.5</v>
      </c>
      <c r="H1210" t="n">
        <v>0</v>
      </c>
      <c r="I1210" t="n">
        <v>0</v>
      </c>
      <c r="J1210" t="n">
        <v>0</v>
      </c>
      <c r="K1210" t="n">
        <v>0</v>
      </c>
      <c r="L1210" t="n">
        <v>0</v>
      </c>
      <c r="M1210" t="n">
        <v>0</v>
      </c>
      <c r="N1210" t="n">
        <v>0</v>
      </c>
      <c r="O1210" t="n">
        <v>0</v>
      </c>
      <c r="P1210" t="n">
        <v>0</v>
      </c>
      <c r="Q1210" t="n">
        <v>0</v>
      </c>
      <c r="R1210" s="2" t="inlineStr"/>
    </row>
    <row r="1211" ht="15" customHeight="1">
      <c r="A1211" t="inlineStr">
        <is>
          <t>A 38-2020</t>
        </is>
      </c>
      <c r="B1211" s="1" t="n">
        <v>43832</v>
      </c>
      <c r="C1211" s="1" t="n">
        <v>45792</v>
      </c>
      <c r="D1211" t="inlineStr">
        <is>
          <t>UPPSALA LÄN</t>
        </is>
      </c>
      <c r="E1211" t="inlineStr">
        <is>
          <t>ENKÖPING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529-2020</t>
        </is>
      </c>
      <c r="B1212" s="1" t="n">
        <v>43837</v>
      </c>
      <c r="C1212" s="1" t="n">
        <v>45792</v>
      </c>
      <c r="D1212" t="inlineStr">
        <is>
          <t>UPPSALA LÄN</t>
        </is>
      </c>
      <c r="E1212" t="inlineStr">
        <is>
          <t>UPPSALA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499-2020</t>
        </is>
      </c>
      <c r="B1213" s="1" t="n">
        <v>43837</v>
      </c>
      <c r="C1213" s="1" t="n">
        <v>45792</v>
      </c>
      <c r="D1213" t="inlineStr">
        <is>
          <t>UPPSALA LÄN</t>
        </is>
      </c>
      <c r="E1213" t="inlineStr">
        <is>
          <t>ENKÖPING</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1891-2020</t>
        </is>
      </c>
      <c r="B1214" s="1" t="n">
        <v>43837</v>
      </c>
      <c r="C1214" s="1" t="n">
        <v>45792</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701-2020</t>
        </is>
      </c>
      <c r="B1215" s="1" t="n">
        <v>43838</v>
      </c>
      <c r="C1215" s="1" t="n">
        <v>45792</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685-2020</t>
        </is>
      </c>
      <c r="B1216" s="1" t="n">
        <v>43838</v>
      </c>
      <c r="C1216" s="1" t="n">
        <v>45792</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724-2020</t>
        </is>
      </c>
      <c r="B1217" s="1" t="n">
        <v>43838</v>
      </c>
      <c r="C1217" s="1" t="n">
        <v>45792</v>
      </c>
      <c r="D1217" t="inlineStr">
        <is>
          <t>UPPSALA LÄN</t>
        </is>
      </c>
      <c r="E1217" t="inlineStr">
        <is>
          <t>ENKÖPING</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962-2020</t>
        </is>
      </c>
      <c r="B1218" s="1" t="n">
        <v>43839</v>
      </c>
      <c r="C1218" s="1" t="n">
        <v>45792</v>
      </c>
      <c r="D1218" t="inlineStr">
        <is>
          <t>UPPSALA LÄN</t>
        </is>
      </c>
      <c r="E1218" t="inlineStr">
        <is>
          <t>TIERP</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892-2020</t>
        </is>
      </c>
      <c r="B1219" s="1" t="n">
        <v>43839</v>
      </c>
      <c r="C1219" s="1" t="n">
        <v>45792</v>
      </c>
      <c r="D1219" t="inlineStr">
        <is>
          <t>UPPSALA LÄN</t>
        </is>
      </c>
      <c r="E1219" t="inlineStr">
        <is>
          <t>ENKÖPING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1171-2020</t>
        </is>
      </c>
      <c r="B1220" s="1" t="n">
        <v>43840</v>
      </c>
      <c r="C1220" s="1" t="n">
        <v>45792</v>
      </c>
      <c r="D1220" t="inlineStr">
        <is>
          <t>UPPSALA LÄN</t>
        </is>
      </c>
      <c r="E1220" t="inlineStr">
        <is>
          <t>UPPSALA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1348-2020</t>
        </is>
      </c>
      <c r="B1221" s="1" t="n">
        <v>43843</v>
      </c>
      <c r="C1221" s="1" t="n">
        <v>45792</v>
      </c>
      <c r="D1221" t="inlineStr">
        <is>
          <t>UPPSALA LÄN</t>
        </is>
      </c>
      <c r="E1221" t="inlineStr">
        <is>
          <t>ENKÖPING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1387-2020</t>
        </is>
      </c>
      <c r="B1222" s="1" t="n">
        <v>43843</v>
      </c>
      <c r="C1222" s="1" t="n">
        <v>45792</v>
      </c>
      <c r="D1222" t="inlineStr">
        <is>
          <t>UPPSALA LÄN</t>
        </is>
      </c>
      <c r="E1222" t="inlineStr">
        <is>
          <t>HEBY</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1432-2020</t>
        </is>
      </c>
      <c r="B1223" s="1" t="n">
        <v>43843</v>
      </c>
      <c r="C1223" s="1" t="n">
        <v>45792</v>
      </c>
      <c r="D1223" t="inlineStr">
        <is>
          <t>UPPSALA LÄN</t>
        </is>
      </c>
      <c r="E1223" t="inlineStr">
        <is>
          <t>TIERP</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1685-2020</t>
        </is>
      </c>
      <c r="B1224" s="1" t="n">
        <v>43844</v>
      </c>
      <c r="C1224" s="1" t="n">
        <v>45792</v>
      </c>
      <c r="D1224" t="inlineStr">
        <is>
          <t>UPPSALA LÄN</t>
        </is>
      </c>
      <c r="E1224" t="inlineStr">
        <is>
          <t>ÖSTHAMMAR</t>
        </is>
      </c>
      <c r="F1224" t="inlineStr">
        <is>
          <t>Övriga Aktiebolag</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1681-2020</t>
        </is>
      </c>
      <c r="B1225" s="1" t="n">
        <v>43844</v>
      </c>
      <c r="C1225" s="1" t="n">
        <v>45792</v>
      </c>
      <c r="D1225" t="inlineStr">
        <is>
          <t>UPPSALA LÄN</t>
        </is>
      </c>
      <c r="E1225" t="inlineStr">
        <is>
          <t>ÖSTHAMMAR</t>
        </is>
      </c>
      <c r="F1225" t="inlineStr">
        <is>
          <t>Övriga Aktiebolag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1717-2020</t>
        </is>
      </c>
      <c r="B1226" s="1" t="n">
        <v>43844</v>
      </c>
      <c r="C1226" s="1" t="n">
        <v>45792</v>
      </c>
      <c r="D1226" t="inlineStr">
        <is>
          <t>UPPSALA LÄN</t>
        </is>
      </c>
      <c r="E1226" t="inlineStr">
        <is>
          <t>HEBY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1688-2020</t>
        </is>
      </c>
      <c r="B1227" s="1" t="n">
        <v>43844</v>
      </c>
      <c r="C1227" s="1" t="n">
        <v>45792</v>
      </c>
      <c r="D1227" t="inlineStr">
        <is>
          <t>UPPSALA LÄN</t>
        </is>
      </c>
      <c r="E1227" t="inlineStr">
        <is>
          <t>UPPSALA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1929-2020</t>
        </is>
      </c>
      <c r="B1228" s="1" t="n">
        <v>43845</v>
      </c>
      <c r="C1228" s="1" t="n">
        <v>45792</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2182-2020</t>
        </is>
      </c>
      <c r="B1229" s="1" t="n">
        <v>43846</v>
      </c>
      <c r="C1229" s="1" t="n">
        <v>45792</v>
      </c>
      <c r="D1229" t="inlineStr">
        <is>
          <t>UPPSALA LÄN</t>
        </is>
      </c>
      <c r="E1229" t="inlineStr">
        <is>
          <t>ENKÖPING</t>
        </is>
      </c>
      <c r="F1229" t="inlineStr">
        <is>
          <t>Övriga statliga verk och myndigheter</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2205-2020</t>
        </is>
      </c>
      <c r="B1230" s="1" t="n">
        <v>43846</v>
      </c>
      <c r="C1230" s="1" t="n">
        <v>45792</v>
      </c>
      <c r="D1230" t="inlineStr">
        <is>
          <t>UPPSALA LÄN</t>
        </is>
      </c>
      <c r="E1230" t="inlineStr">
        <is>
          <t>ENKÖPING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2162-2020</t>
        </is>
      </c>
      <c r="B1231" s="1" t="n">
        <v>43846</v>
      </c>
      <c r="C1231" s="1" t="n">
        <v>45792</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2177-2020</t>
        </is>
      </c>
      <c r="B1232" s="1" t="n">
        <v>43846</v>
      </c>
      <c r="C1232" s="1" t="n">
        <v>45792</v>
      </c>
      <c r="D1232" t="inlineStr">
        <is>
          <t>UPPSALA LÄN</t>
        </is>
      </c>
      <c r="E1232" t="inlineStr">
        <is>
          <t>ENKÖPING</t>
        </is>
      </c>
      <c r="F1232" t="inlineStr">
        <is>
          <t>Övriga statliga verk och myndigheter</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2220-2020</t>
        </is>
      </c>
      <c r="B1233" s="1" t="n">
        <v>43846</v>
      </c>
      <c r="C1233" s="1" t="n">
        <v>45792</v>
      </c>
      <c r="D1233" t="inlineStr">
        <is>
          <t>UPPSALA LÄN</t>
        </is>
      </c>
      <c r="E1233" t="inlineStr">
        <is>
          <t>ENKÖPING</t>
        </is>
      </c>
      <c r="F1233" t="inlineStr">
        <is>
          <t>Övriga statliga verk och myndigheter</t>
        </is>
      </c>
      <c r="G1233" t="n">
        <v>11.8</v>
      </c>
      <c r="H1233" t="n">
        <v>0</v>
      </c>
      <c r="I1233" t="n">
        <v>0</v>
      </c>
      <c r="J1233" t="n">
        <v>0</v>
      </c>
      <c r="K1233" t="n">
        <v>0</v>
      </c>
      <c r="L1233" t="n">
        <v>0</v>
      </c>
      <c r="M1233" t="n">
        <v>0</v>
      </c>
      <c r="N1233" t="n">
        <v>0</v>
      </c>
      <c r="O1233" t="n">
        <v>0</v>
      </c>
      <c r="P1233" t="n">
        <v>0</v>
      </c>
      <c r="Q1233" t="n">
        <v>0</v>
      </c>
      <c r="R1233" s="2" t="inlineStr"/>
    </row>
    <row r="1234" ht="15" customHeight="1">
      <c r="A1234" t="inlineStr">
        <is>
          <t>A 2186-2020</t>
        </is>
      </c>
      <c r="B1234" s="1" t="n">
        <v>43846</v>
      </c>
      <c r="C1234" s="1" t="n">
        <v>45792</v>
      </c>
      <c r="D1234" t="inlineStr">
        <is>
          <t>UPPSALA LÄN</t>
        </is>
      </c>
      <c r="E1234" t="inlineStr">
        <is>
          <t>ENKÖPING</t>
        </is>
      </c>
      <c r="F1234" t="inlineStr">
        <is>
          <t>Övriga statliga verk och myndigheter</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2225-2020</t>
        </is>
      </c>
      <c r="B1235" s="1" t="n">
        <v>43846</v>
      </c>
      <c r="C1235" s="1" t="n">
        <v>45792</v>
      </c>
      <c r="D1235" t="inlineStr">
        <is>
          <t>UPPSALA LÄN</t>
        </is>
      </c>
      <c r="E1235" t="inlineStr">
        <is>
          <t>ENKÖPING</t>
        </is>
      </c>
      <c r="F1235" t="inlineStr">
        <is>
          <t>Övriga statliga verk och myndigheter</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2306-2020</t>
        </is>
      </c>
      <c r="B1236" s="1" t="n">
        <v>43846</v>
      </c>
      <c r="C1236" s="1" t="n">
        <v>45792</v>
      </c>
      <c r="D1236" t="inlineStr">
        <is>
          <t>UPPSALA LÄN</t>
        </is>
      </c>
      <c r="E1236" t="inlineStr">
        <is>
          <t>HEBY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2315-2020</t>
        </is>
      </c>
      <c r="B1237" s="1" t="n">
        <v>43846</v>
      </c>
      <c r="C1237" s="1" t="n">
        <v>45792</v>
      </c>
      <c r="D1237" t="inlineStr">
        <is>
          <t>UPPSALA LÄN</t>
        </is>
      </c>
      <c r="E1237" t="inlineStr">
        <is>
          <t>HEBY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2217-2020</t>
        </is>
      </c>
      <c r="B1238" s="1" t="n">
        <v>43846</v>
      </c>
      <c r="C1238" s="1" t="n">
        <v>45792</v>
      </c>
      <c r="D1238" t="inlineStr">
        <is>
          <t>UPPSALA LÄN</t>
        </is>
      </c>
      <c r="E1238" t="inlineStr">
        <is>
          <t>ENKÖPING</t>
        </is>
      </c>
      <c r="F1238" t="inlineStr">
        <is>
          <t>Övriga statliga verk och myndigheter</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2222-2020</t>
        </is>
      </c>
      <c r="B1239" s="1" t="n">
        <v>43846</v>
      </c>
      <c r="C1239" s="1" t="n">
        <v>45792</v>
      </c>
      <c r="D1239" t="inlineStr">
        <is>
          <t>UPPSALA LÄN</t>
        </is>
      </c>
      <c r="E1239" t="inlineStr">
        <is>
          <t>ENKÖPING</t>
        </is>
      </c>
      <c r="F1239" t="inlineStr">
        <is>
          <t>Övriga statliga verk och myndigheter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2499-2020</t>
        </is>
      </c>
      <c r="B1240" s="1" t="n">
        <v>43847</v>
      </c>
      <c r="C1240" s="1" t="n">
        <v>45792</v>
      </c>
      <c r="D1240" t="inlineStr">
        <is>
          <t>UPPSALA LÄN</t>
        </is>
      </c>
      <c r="E1240" t="inlineStr">
        <is>
          <t>HEBY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4265-2020</t>
        </is>
      </c>
      <c r="B1241" s="1" t="n">
        <v>43847</v>
      </c>
      <c r="C1241" s="1" t="n">
        <v>45792</v>
      </c>
      <c r="D1241" t="inlineStr">
        <is>
          <t>UPPSALA LÄN</t>
        </is>
      </c>
      <c r="E1241" t="inlineStr">
        <is>
          <t>HÅBO</t>
        </is>
      </c>
      <c r="F1241" t="inlineStr">
        <is>
          <t>Övriga statliga verk och myndigheter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2663-2020</t>
        </is>
      </c>
      <c r="B1242" s="1" t="n">
        <v>43849</v>
      </c>
      <c r="C1242" s="1" t="n">
        <v>45792</v>
      </c>
      <c r="D1242" t="inlineStr">
        <is>
          <t>UPPSALA LÄN</t>
        </is>
      </c>
      <c r="E1242" t="inlineStr">
        <is>
          <t>KNIVSTA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2895-2020</t>
        </is>
      </c>
      <c r="B1243" s="1" t="n">
        <v>43850</v>
      </c>
      <c r="C1243" s="1" t="n">
        <v>45792</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4473-2020</t>
        </is>
      </c>
      <c r="B1244" s="1" t="n">
        <v>43850</v>
      </c>
      <c r="C1244" s="1" t="n">
        <v>45792</v>
      </c>
      <c r="D1244" t="inlineStr">
        <is>
          <t>UPPSALA LÄN</t>
        </is>
      </c>
      <c r="E1244" t="inlineStr">
        <is>
          <t>ÖSTHAMMAR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3276-2020</t>
        </is>
      </c>
      <c r="B1245" s="1" t="n">
        <v>43852</v>
      </c>
      <c r="C1245" s="1" t="n">
        <v>45792</v>
      </c>
      <c r="D1245" t="inlineStr">
        <is>
          <t>UPPSALA LÄN</t>
        </is>
      </c>
      <c r="E1245" t="inlineStr">
        <is>
          <t>HEBY</t>
        </is>
      </c>
      <c r="F1245" t="inlineStr">
        <is>
          <t>Bergvik skog väst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3242-2020</t>
        </is>
      </c>
      <c r="B1246" s="1" t="n">
        <v>43852</v>
      </c>
      <c r="C1246" s="1" t="n">
        <v>45792</v>
      </c>
      <c r="D1246" t="inlineStr">
        <is>
          <t>UPPSALA LÄN</t>
        </is>
      </c>
      <c r="E1246" t="inlineStr">
        <is>
          <t>HEBY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3334-2020</t>
        </is>
      </c>
      <c r="B1247" s="1" t="n">
        <v>43852</v>
      </c>
      <c r="C1247" s="1" t="n">
        <v>45792</v>
      </c>
      <c r="D1247" t="inlineStr">
        <is>
          <t>UPPSALA LÄN</t>
        </is>
      </c>
      <c r="E1247" t="inlineStr">
        <is>
          <t>ÖSTHAMMAR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3522-2020</t>
        </is>
      </c>
      <c r="B1248" s="1" t="n">
        <v>43853</v>
      </c>
      <c r="C1248" s="1" t="n">
        <v>45792</v>
      </c>
      <c r="D1248" t="inlineStr">
        <is>
          <t>UPPSALA LÄN</t>
        </is>
      </c>
      <c r="E1248" t="inlineStr">
        <is>
          <t>TIERP</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3693-2020</t>
        </is>
      </c>
      <c r="B1249" s="1" t="n">
        <v>43853</v>
      </c>
      <c r="C1249" s="1" t="n">
        <v>45792</v>
      </c>
      <c r="D1249" t="inlineStr">
        <is>
          <t>UPPSALA LÄN</t>
        </is>
      </c>
      <c r="E1249" t="inlineStr">
        <is>
          <t>UPPSALA</t>
        </is>
      </c>
      <c r="F1249" t="inlineStr">
        <is>
          <t>Bergvik skog öst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3734-2020</t>
        </is>
      </c>
      <c r="B1250" s="1" t="n">
        <v>43853</v>
      </c>
      <c r="C1250" s="1" t="n">
        <v>45792</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3516-2020</t>
        </is>
      </c>
      <c r="B1251" s="1" t="n">
        <v>43853</v>
      </c>
      <c r="C1251" s="1" t="n">
        <v>45792</v>
      </c>
      <c r="D1251" t="inlineStr">
        <is>
          <t>UPPSALA LÄN</t>
        </is>
      </c>
      <c r="E1251" t="inlineStr">
        <is>
          <t>UPPSALA</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3984-2020</t>
        </is>
      </c>
      <c r="B1252" s="1" t="n">
        <v>43855</v>
      </c>
      <c r="C1252" s="1" t="n">
        <v>45792</v>
      </c>
      <c r="D1252" t="inlineStr">
        <is>
          <t>UPPSALA LÄN</t>
        </is>
      </c>
      <c r="E1252" t="inlineStr">
        <is>
          <t>ÖSTHAMMAR</t>
        </is>
      </c>
      <c r="F1252" t="inlineStr">
        <is>
          <t>Bergvik skog öst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4073-2020</t>
        </is>
      </c>
      <c r="B1253" s="1" t="n">
        <v>43857</v>
      </c>
      <c r="C1253" s="1" t="n">
        <v>45792</v>
      </c>
      <c r="D1253" t="inlineStr">
        <is>
          <t>UPPSALA LÄN</t>
        </is>
      </c>
      <c r="E1253" t="inlineStr">
        <is>
          <t>ENKÖPING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4549-2020</t>
        </is>
      </c>
      <c r="B1254" s="1" t="n">
        <v>43858</v>
      </c>
      <c r="C1254" s="1" t="n">
        <v>45792</v>
      </c>
      <c r="D1254" t="inlineStr">
        <is>
          <t>UPPSALA LÄN</t>
        </is>
      </c>
      <c r="E1254" t="inlineStr">
        <is>
          <t>HEBY</t>
        </is>
      </c>
      <c r="F1254" t="inlineStr">
        <is>
          <t>Kyrkan</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4567-2020</t>
        </is>
      </c>
      <c r="B1255" s="1" t="n">
        <v>43858</v>
      </c>
      <c r="C1255" s="1" t="n">
        <v>45792</v>
      </c>
      <c r="D1255" t="inlineStr">
        <is>
          <t>UPPSALA LÄN</t>
        </is>
      </c>
      <c r="E1255" t="inlineStr">
        <is>
          <t>KNIVSTA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4899-2020</t>
        </is>
      </c>
      <c r="B1256" s="1" t="n">
        <v>43859</v>
      </c>
      <c r="C1256" s="1" t="n">
        <v>45792</v>
      </c>
      <c r="D1256" t="inlineStr">
        <is>
          <t>UPPSALA LÄN</t>
        </is>
      </c>
      <c r="E1256" t="inlineStr">
        <is>
          <t>TIERP</t>
        </is>
      </c>
      <c r="F1256" t="inlineStr">
        <is>
          <t>Bergvik skog väst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5032-2020</t>
        </is>
      </c>
      <c r="B1257" s="1" t="n">
        <v>43859</v>
      </c>
      <c r="C1257" s="1" t="n">
        <v>45792</v>
      </c>
      <c r="D1257" t="inlineStr">
        <is>
          <t>UPPSALA LÄN</t>
        </is>
      </c>
      <c r="E1257" t="inlineStr">
        <is>
          <t>ENKÖPING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5048-2020</t>
        </is>
      </c>
      <c r="B1258" s="1" t="n">
        <v>43859</v>
      </c>
      <c r="C1258" s="1" t="n">
        <v>45792</v>
      </c>
      <c r="D1258" t="inlineStr">
        <is>
          <t>UPPSALA LÄN</t>
        </is>
      </c>
      <c r="E1258" t="inlineStr">
        <is>
          <t>TIERP</t>
        </is>
      </c>
      <c r="F1258" t="inlineStr">
        <is>
          <t>Bergvik skog öst AB</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5395-2020</t>
        </is>
      </c>
      <c r="B1259" s="1" t="n">
        <v>43860</v>
      </c>
      <c r="C1259" s="1" t="n">
        <v>45792</v>
      </c>
      <c r="D1259" t="inlineStr">
        <is>
          <t>UPPSALA LÄN</t>
        </is>
      </c>
      <c r="E1259" t="inlineStr">
        <is>
          <t>HEBY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5345-2020</t>
        </is>
      </c>
      <c r="B1260" s="1" t="n">
        <v>43860</v>
      </c>
      <c r="C1260" s="1" t="n">
        <v>45792</v>
      </c>
      <c r="D1260" t="inlineStr">
        <is>
          <t>UPPSALA LÄN</t>
        </is>
      </c>
      <c r="E1260" t="inlineStr">
        <is>
          <t>ENKÖPING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5178-2020</t>
        </is>
      </c>
      <c r="B1261" s="1" t="n">
        <v>43860</v>
      </c>
      <c r="C1261" s="1" t="n">
        <v>45792</v>
      </c>
      <c r="D1261" t="inlineStr">
        <is>
          <t>UPPSALA LÄN</t>
        </is>
      </c>
      <c r="E1261" t="inlineStr">
        <is>
          <t>ENKÖPING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5511-2020</t>
        </is>
      </c>
      <c r="B1262" s="1" t="n">
        <v>43861</v>
      </c>
      <c r="C1262" s="1" t="n">
        <v>45792</v>
      </c>
      <c r="D1262" t="inlineStr">
        <is>
          <t>UPPSALA LÄN</t>
        </is>
      </c>
      <c r="E1262" t="inlineStr">
        <is>
          <t>ÄLVKARLEBY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5539-2020</t>
        </is>
      </c>
      <c r="B1263" s="1" t="n">
        <v>43861</v>
      </c>
      <c r="C1263" s="1" t="n">
        <v>45792</v>
      </c>
      <c r="D1263" t="inlineStr">
        <is>
          <t>UPPSALA LÄN</t>
        </is>
      </c>
      <c r="E1263" t="inlineStr">
        <is>
          <t>HEBY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5740-2020</t>
        </is>
      </c>
      <c r="B1264" s="1" t="n">
        <v>43863</v>
      </c>
      <c r="C1264" s="1" t="n">
        <v>45792</v>
      </c>
      <c r="D1264" t="inlineStr">
        <is>
          <t>UPPSALA LÄN</t>
        </is>
      </c>
      <c r="E1264" t="inlineStr">
        <is>
          <t>HEBY</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5774-2020</t>
        </is>
      </c>
      <c r="B1265" s="1" t="n">
        <v>43864</v>
      </c>
      <c r="C1265" s="1" t="n">
        <v>45792</v>
      </c>
      <c r="D1265" t="inlineStr">
        <is>
          <t>UPPSALA LÄN</t>
        </is>
      </c>
      <c r="E1265" t="inlineStr">
        <is>
          <t>HEBY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6052-2020</t>
        </is>
      </c>
      <c r="B1266" s="1" t="n">
        <v>43864</v>
      </c>
      <c r="C1266" s="1" t="n">
        <v>45792</v>
      </c>
      <c r="D1266" t="inlineStr">
        <is>
          <t>UPPSALA LÄN</t>
        </is>
      </c>
      <c r="E1266" t="inlineStr">
        <is>
          <t>ÖSTHAMMAR</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5759-2020</t>
        </is>
      </c>
      <c r="B1267" s="1" t="n">
        <v>43864</v>
      </c>
      <c r="C1267" s="1" t="n">
        <v>45792</v>
      </c>
      <c r="D1267" t="inlineStr">
        <is>
          <t>UPPSALA LÄN</t>
        </is>
      </c>
      <c r="E1267" t="inlineStr">
        <is>
          <t>HEBY</t>
        </is>
      </c>
      <c r="F1267" t="inlineStr">
        <is>
          <t>Övriga Aktiebolag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6026-2020</t>
        </is>
      </c>
      <c r="B1268" s="1" t="n">
        <v>43865</v>
      </c>
      <c r="C1268" s="1" t="n">
        <v>45792</v>
      </c>
      <c r="D1268" t="inlineStr">
        <is>
          <t>UPPSALA LÄN</t>
        </is>
      </c>
      <c r="E1268" t="inlineStr">
        <is>
          <t>ÖSTHAMMAR</t>
        </is>
      </c>
      <c r="F1268" t="inlineStr">
        <is>
          <t>Övriga Aktiebolag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6045-2020</t>
        </is>
      </c>
      <c r="B1269" s="1" t="n">
        <v>43865</v>
      </c>
      <c r="C1269" s="1" t="n">
        <v>45792</v>
      </c>
      <c r="D1269" t="inlineStr">
        <is>
          <t>UPPSALA LÄN</t>
        </is>
      </c>
      <c r="E1269" t="inlineStr">
        <is>
          <t>ENKÖPING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6313-2020</t>
        </is>
      </c>
      <c r="B1270" s="1" t="n">
        <v>43866</v>
      </c>
      <c r="C1270" s="1" t="n">
        <v>45792</v>
      </c>
      <c r="D1270" t="inlineStr">
        <is>
          <t>UPPSALA LÄN</t>
        </is>
      </c>
      <c r="E1270" t="inlineStr">
        <is>
          <t>UPPSALA</t>
        </is>
      </c>
      <c r="F1270" t="inlineStr">
        <is>
          <t>Övriga statliga verk och myndigheter</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6315-2020</t>
        </is>
      </c>
      <c r="B1271" s="1" t="n">
        <v>43866</v>
      </c>
      <c r="C1271" s="1" t="n">
        <v>45792</v>
      </c>
      <c r="D1271" t="inlineStr">
        <is>
          <t>UPPSALA LÄN</t>
        </is>
      </c>
      <c r="E1271" t="inlineStr">
        <is>
          <t>UPPSALA</t>
        </is>
      </c>
      <c r="F1271" t="inlineStr">
        <is>
          <t>Övriga statliga verk och myndigheter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6320-2020</t>
        </is>
      </c>
      <c r="B1272" s="1" t="n">
        <v>43866</v>
      </c>
      <c r="C1272" s="1" t="n">
        <v>45792</v>
      </c>
      <c r="D1272" t="inlineStr">
        <is>
          <t>UPPSALA LÄN</t>
        </is>
      </c>
      <c r="E1272" t="inlineStr">
        <is>
          <t>ENKÖPING</t>
        </is>
      </c>
      <c r="F1272" t="inlineStr">
        <is>
          <t>Övriga statliga verk och myndigheter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6345-2020</t>
        </is>
      </c>
      <c r="B1273" s="1" t="n">
        <v>43866</v>
      </c>
      <c r="C1273" s="1" t="n">
        <v>45792</v>
      </c>
      <c r="D1273" t="inlineStr">
        <is>
          <t>UPPSALA LÄN</t>
        </is>
      </c>
      <c r="E1273" t="inlineStr">
        <is>
          <t>ENKÖPING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6754-2020</t>
        </is>
      </c>
      <c r="B1274" s="1" t="n">
        <v>43866</v>
      </c>
      <c r="C1274" s="1" t="n">
        <v>45792</v>
      </c>
      <c r="D1274" t="inlineStr">
        <is>
          <t>UPPSALA LÄN</t>
        </is>
      </c>
      <c r="E1274" t="inlineStr">
        <is>
          <t>HEBY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6700-2020</t>
        </is>
      </c>
      <c r="B1275" s="1" t="n">
        <v>43866</v>
      </c>
      <c r="C1275" s="1" t="n">
        <v>45792</v>
      </c>
      <c r="D1275" t="inlineStr">
        <is>
          <t>UPPSALA LÄN</t>
        </is>
      </c>
      <c r="E1275" t="inlineStr">
        <is>
          <t>ENKÖPING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6434-2020</t>
        </is>
      </c>
      <c r="B1276" s="1" t="n">
        <v>43866</v>
      </c>
      <c r="C1276" s="1" t="n">
        <v>45792</v>
      </c>
      <c r="D1276" t="inlineStr">
        <is>
          <t>UPPSALA LÄN</t>
        </is>
      </c>
      <c r="E1276" t="inlineStr">
        <is>
          <t>ENKÖPING</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6536-2020</t>
        </is>
      </c>
      <c r="B1277" s="1" t="n">
        <v>43867</v>
      </c>
      <c r="C1277" s="1" t="n">
        <v>45792</v>
      </c>
      <c r="D1277" t="inlineStr">
        <is>
          <t>UPPSALA LÄN</t>
        </is>
      </c>
      <c r="E1277" t="inlineStr">
        <is>
          <t>HEBY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6676-2020</t>
        </is>
      </c>
      <c r="B1278" s="1" t="n">
        <v>43867</v>
      </c>
      <c r="C1278" s="1" t="n">
        <v>45792</v>
      </c>
      <c r="D1278" t="inlineStr">
        <is>
          <t>UPPSALA LÄN</t>
        </is>
      </c>
      <c r="E1278" t="inlineStr">
        <is>
          <t>HEBY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6791-2020</t>
        </is>
      </c>
      <c r="B1279" s="1" t="n">
        <v>43867</v>
      </c>
      <c r="C1279" s="1" t="n">
        <v>45792</v>
      </c>
      <c r="D1279" t="inlineStr">
        <is>
          <t>UPPSALA LÄN</t>
        </is>
      </c>
      <c r="E1279" t="inlineStr">
        <is>
          <t>ÖSTHAMMAR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6655-2020</t>
        </is>
      </c>
      <c r="B1280" s="1" t="n">
        <v>43867</v>
      </c>
      <c r="C1280" s="1" t="n">
        <v>45792</v>
      </c>
      <c r="D1280" t="inlineStr">
        <is>
          <t>UPPSALA LÄN</t>
        </is>
      </c>
      <c r="E1280" t="inlineStr">
        <is>
          <t>UPPSALA</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6990-2020</t>
        </is>
      </c>
      <c r="B1281" s="1" t="n">
        <v>43868</v>
      </c>
      <c r="C1281" s="1" t="n">
        <v>45792</v>
      </c>
      <c r="D1281" t="inlineStr">
        <is>
          <t>UPPSALA LÄN</t>
        </is>
      </c>
      <c r="E1281" t="inlineStr">
        <is>
          <t>ENKÖPING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7329-2020</t>
        </is>
      </c>
      <c r="B1282" s="1" t="n">
        <v>43871</v>
      </c>
      <c r="C1282" s="1" t="n">
        <v>45792</v>
      </c>
      <c r="D1282" t="inlineStr">
        <is>
          <t>UPPSALA LÄN</t>
        </is>
      </c>
      <c r="E1282" t="inlineStr">
        <is>
          <t>HEBY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7397-2020</t>
        </is>
      </c>
      <c r="B1283" s="1" t="n">
        <v>43871</v>
      </c>
      <c r="C1283" s="1" t="n">
        <v>45792</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7847-2020</t>
        </is>
      </c>
      <c r="B1284" s="1" t="n">
        <v>43873</v>
      </c>
      <c r="C1284" s="1" t="n">
        <v>45792</v>
      </c>
      <c r="D1284" t="inlineStr">
        <is>
          <t>UPPSALA LÄN</t>
        </is>
      </c>
      <c r="E1284" t="inlineStr">
        <is>
          <t>ÖSTHAMMAR</t>
        </is>
      </c>
      <c r="F1284" t="inlineStr">
        <is>
          <t>Övriga Aktiebolag</t>
        </is>
      </c>
      <c r="G1284" t="n">
        <v>15.3</v>
      </c>
      <c r="H1284" t="n">
        <v>0</v>
      </c>
      <c r="I1284" t="n">
        <v>0</v>
      </c>
      <c r="J1284" t="n">
        <v>0</v>
      </c>
      <c r="K1284" t="n">
        <v>0</v>
      </c>
      <c r="L1284" t="n">
        <v>0</v>
      </c>
      <c r="M1284" t="n">
        <v>0</v>
      </c>
      <c r="N1284" t="n">
        <v>0</v>
      </c>
      <c r="O1284" t="n">
        <v>0</v>
      </c>
      <c r="P1284" t="n">
        <v>0</v>
      </c>
      <c r="Q1284" t="n">
        <v>0</v>
      </c>
      <c r="R1284" s="2" t="inlineStr"/>
    </row>
    <row r="1285" ht="15" customHeight="1">
      <c r="A1285" t="inlineStr">
        <is>
          <t>A 8185-2020</t>
        </is>
      </c>
      <c r="B1285" s="1" t="n">
        <v>43874</v>
      </c>
      <c r="C1285" s="1" t="n">
        <v>45792</v>
      </c>
      <c r="D1285" t="inlineStr">
        <is>
          <t>UPPSALA LÄN</t>
        </is>
      </c>
      <c r="E1285" t="inlineStr">
        <is>
          <t>ENKÖPING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8214-2020</t>
        </is>
      </c>
      <c r="B1286" s="1" t="n">
        <v>43874</v>
      </c>
      <c r="C1286" s="1" t="n">
        <v>45792</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8261-2020</t>
        </is>
      </c>
      <c r="B1287" s="1" t="n">
        <v>43874</v>
      </c>
      <c r="C1287" s="1" t="n">
        <v>45792</v>
      </c>
      <c r="D1287" t="inlineStr">
        <is>
          <t>UPPSALA LÄN</t>
        </is>
      </c>
      <c r="E1287" t="inlineStr">
        <is>
          <t>UPPSALA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8320-2020</t>
        </is>
      </c>
      <c r="B1288" s="1" t="n">
        <v>43875</v>
      </c>
      <c r="C1288" s="1" t="n">
        <v>45792</v>
      </c>
      <c r="D1288" t="inlineStr">
        <is>
          <t>UPPSALA LÄN</t>
        </is>
      </c>
      <c r="E1288" t="inlineStr">
        <is>
          <t>ENKÖPING</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8344-2020</t>
        </is>
      </c>
      <c r="B1289" s="1" t="n">
        <v>43875</v>
      </c>
      <c r="C1289" s="1" t="n">
        <v>45792</v>
      </c>
      <c r="D1289" t="inlineStr">
        <is>
          <t>UPPSALA LÄN</t>
        </is>
      </c>
      <c r="E1289" t="inlineStr">
        <is>
          <t>ENKÖPING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8703-2020</t>
        </is>
      </c>
      <c r="B1290" s="1" t="n">
        <v>43875</v>
      </c>
      <c r="C1290" s="1" t="n">
        <v>45792</v>
      </c>
      <c r="D1290" t="inlineStr">
        <is>
          <t>UPPSALA LÄN</t>
        </is>
      </c>
      <c r="E1290" t="inlineStr">
        <is>
          <t>TIERP</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8692-2020</t>
        </is>
      </c>
      <c r="B1291" s="1" t="n">
        <v>43878</v>
      </c>
      <c r="C1291" s="1" t="n">
        <v>45792</v>
      </c>
      <c r="D1291" t="inlineStr">
        <is>
          <t>UPPSALA LÄN</t>
        </is>
      </c>
      <c r="E1291" t="inlineStr">
        <is>
          <t>ENKÖPING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8646-2020</t>
        </is>
      </c>
      <c r="B1292" s="1" t="n">
        <v>43878</v>
      </c>
      <c r="C1292" s="1" t="n">
        <v>45792</v>
      </c>
      <c r="D1292" t="inlineStr">
        <is>
          <t>UPPSALA LÄN</t>
        </is>
      </c>
      <c r="E1292" t="inlineStr">
        <is>
          <t>UPPSALA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8700-2020</t>
        </is>
      </c>
      <c r="B1293" s="1" t="n">
        <v>43878</v>
      </c>
      <c r="C1293" s="1" t="n">
        <v>45792</v>
      </c>
      <c r="D1293" t="inlineStr">
        <is>
          <t>UPPSALA LÄN</t>
        </is>
      </c>
      <c r="E1293" t="inlineStr">
        <is>
          <t>ENKÖPING</t>
        </is>
      </c>
      <c r="F1293" t="inlineStr">
        <is>
          <t>Kyrkan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8757-2020</t>
        </is>
      </c>
      <c r="B1294" s="1" t="n">
        <v>43878</v>
      </c>
      <c r="C1294" s="1" t="n">
        <v>45792</v>
      </c>
      <c r="D1294" t="inlineStr">
        <is>
          <t>UPPSALA LÄN</t>
        </is>
      </c>
      <c r="E1294" t="inlineStr">
        <is>
          <t>TIERP</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8902-2020</t>
        </is>
      </c>
      <c r="B1295" s="1" t="n">
        <v>43878</v>
      </c>
      <c r="C1295" s="1" t="n">
        <v>45792</v>
      </c>
      <c r="D1295" t="inlineStr">
        <is>
          <t>UPPSALA LÄN</t>
        </is>
      </c>
      <c r="E1295" t="inlineStr">
        <is>
          <t>UPPSALA</t>
        </is>
      </c>
      <c r="F1295" t="inlineStr">
        <is>
          <t>Kyrkan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9011-2020</t>
        </is>
      </c>
      <c r="B1296" s="1" t="n">
        <v>43879</v>
      </c>
      <c r="C1296" s="1" t="n">
        <v>45792</v>
      </c>
      <c r="D1296" t="inlineStr">
        <is>
          <t>UPPSALA LÄN</t>
        </is>
      </c>
      <c r="E1296" t="inlineStr">
        <is>
          <t>UPPSALA</t>
        </is>
      </c>
      <c r="F1296" t="inlineStr">
        <is>
          <t>Övriga statliga verk och myndigheter</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9084-2020</t>
        </is>
      </c>
      <c r="B1297" s="1" t="n">
        <v>43879</v>
      </c>
      <c r="C1297" s="1" t="n">
        <v>45792</v>
      </c>
      <c r="D1297" t="inlineStr">
        <is>
          <t>UPPSALA LÄN</t>
        </is>
      </c>
      <c r="E1297" t="inlineStr">
        <is>
          <t>UPPSALA</t>
        </is>
      </c>
      <c r="F1297" t="inlineStr">
        <is>
          <t>Bergvik skog öst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9122-2020</t>
        </is>
      </c>
      <c r="B1298" s="1" t="n">
        <v>43879</v>
      </c>
      <c r="C1298" s="1" t="n">
        <v>45792</v>
      </c>
      <c r="D1298" t="inlineStr">
        <is>
          <t>UPPSALA LÄN</t>
        </is>
      </c>
      <c r="E1298" t="inlineStr">
        <is>
          <t>ENKÖPING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9257-2020</t>
        </is>
      </c>
      <c r="B1299" s="1" t="n">
        <v>43879</v>
      </c>
      <c r="C1299" s="1" t="n">
        <v>45792</v>
      </c>
      <c r="D1299" t="inlineStr">
        <is>
          <t>UPPSALA LÄN</t>
        </is>
      </c>
      <c r="E1299" t="inlineStr">
        <is>
          <t>UPPSALA</t>
        </is>
      </c>
      <c r="F1299" t="inlineStr">
        <is>
          <t>Bergvik skog öst AB</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9351-2020</t>
        </is>
      </c>
      <c r="B1300" s="1" t="n">
        <v>43880</v>
      </c>
      <c r="C1300" s="1" t="n">
        <v>45792</v>
      </c>
      <c r="D1300" t="inlineStr">
        <is>
          <t>UPPSALA LÄN</t>
        </is>
      </c>
      <c r="E1300" t="inlineStr">
        <is>
          <t>ENKÖPING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9380-2020</t>
        </is>
      </c>
      <c r="B1301" s="1" t="n">
        <v>43880</v>
      </c>
      <c r="C1301" s="1" t="n">
        <v>45792</v>
      </c>
      <c r="D1301" t="inlineStr">
        <is>
          <t>UPPSALA LÄN</t>
        </is>
      </c>
      <c r="E1301" t="inlineStr">
        <is>
          <t>ENKÖPING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9334-2020</t>
        </is>
      </c>
      <c r="B1302" s="1" t="n">
        <v>43880</v>
      </c>
      <c r="C1302" s="1" t="n">
        <v>45792</v>
      </c>
      <c r="D1302" t="inlineStr">
        <is>
          <t>UPPSALA LÄN</t>
        </is>
      </c>
      <c r="E1302" t="inlineStr">
        <is>
          <t>TIERP</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9658-2020</t>
        </is>
      </c>
      <c r="B1303" s="1" t="n">
        <v>43881</v>
      </c>
      <c r="C1303" s="1" t="n">
        <v>45792</v>
      </c>
      <c r="D1303" t="inlineStr">
        <is>
          <t>UPPSALA LÄN</t>
        </is>
      </c>
      <c r="E1303" t="inlineStr">
        <is>
          <t>UPPSALA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9927-2020</t>
        </is>
      </c>
      <c r="B1304" s="1" t="n">
        <v>43882</v>
      </c>
      <c r="C1304" s="1" t="n">
        <v>45792</v>
      </c>
      <c r="D1304" t="inlineStr">
        <is>
          <t>UPPSALA LÄN</t>
        </is>
      </c>
      <c r="E1304" t="inlineStr">
        <is>
          <t>HEBY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10003-2020</t>
        </is>
      </c>
      <c r="B1305" s="1" t="n">
        <v>43882</v>
      </c>
      <c r="C1305" s="1" t="n">
        <v>45792</v>
      </c>
      <c r="D1305" t="inlineStr">
        <is>
          <t>UPPSALA LÄN</t>
        </is>
      </c>
      <c r="E1305" t="inlineStr">
        <is>
          <t>UPPSALA</t>
        </is>
      </c>
      <c r="F1305" t="inlineStr">
        <is>
          <t>Kyrkan</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10039-2020</t>
        </is>
      </c>
      <c r="B1306" s="1" t="n">
        <v>43882</v>
      </c>
      <c r="C1306" s="1" t="n">
        <v>45792</v>
      </c>
      <c r="D1306" t="inlineStr">
        <is>
          <t>UPPSALA LÄN</t>
        </is>
      </c>
      <c r="E1306" t="inlineStr">
        <is>
          <t>TIERP</t>
        </is>
      </c>
      <c r="F1306" t="inlineStr">
        <is>
          <t>Bergvik skog väst AB</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9914-2020</t>
        </is>
      </c>
      <c r="B1307" s="1" t="n">
        <v>43882</v>
      </c>
      <c r="C1307" s="1" t="n">
        <v>45792</v>
      </c>
      <c r="D1307" t="inlineStr">
        <is>
          <t>UPPSALA LÄN</t>
        </is>
      </c>
      <c r="E1307" t="inlineStr">
        <is>
          <t>HEBY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9949-2020</t>
        </is>
      </c>
      <c r="B1308" s="1" t="n">
        <v>43882</v>
      </c>
      <c r="C1308" s="1" t="n">
        <v>45792</v>
      </c>
      <c r="D1308" t="inlineStr">
        <is>
          <t>UPPSALA LÄN</t>
        </is>
      </c>
      <c r="E1308" t="inlineStr">
        <is>
          <t>UPPSALA</t>
        </is>
      </c>
      <c r="F1308" t="inlineStr">
        <is>
          <t>Kyrkan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10033-2020</t>
        </is>
      </c>
      <c r="B1309" s="1" t="n">
        <v>43882</v>
      </c>
      <c r="C1309" s="1" t="n">
        <v>45792</v>
      </c>
      <c r="D1309" t="inlineStr">
        <is>
          <t>UPPSALA LÄN</t>
        </is>
      </c>
      <c r="E1309" t="inlineStr">
        <is>
          <t>UPPSALA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10008-2020</t>
        </is>
      </c>
      <c r="B1310" s="1" t="n">
        <v>43882</v>
      </c>
      <c r="C1310" s="1" t="n">
        <v>45792</v>
      </c>
      <c r="D1310" t="inlineStr">
        <is>
          <t>UPPSALA LÄN</t>
        </is>
      </c>
      <c r="E1310" t="inlineStr">
        <is>
          <t>ÖSTHAMMAR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10345-2020</t>
        </is>
      </c>
      <c r="B1311" s="1" t="n">
        <v>43885</v>
      </c>
      <c r="C1311" s="1" t="n">
        <v>45792</v>
      </c>
      <c r="D1311" t="inlineStr">
        <is>
          <t>UPPSALA LÄN</t>
        </is>
      </c>
      <c r="E1311" t="inlineStr">
        <is>
          <t>ÖSTHAMMAR</t>
        </is>
      </c>
      <c r="F1311" t="inlineStr">
        <is>
          <t>Allmännings- och besparingsskogar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10347-2020</t>
        </is>
      </c>
      <c r="B1312" s="1" t="n">
        <v>43885</v>
      </c>
      <c r="C1312" s="1" t="n">
        <v>45792</v>
      </c>
      <c r="D1312" t="inlineStr">
        <is>
          <t>UPPSALA LÄN</t>
        </is>
      </c>
      <c r="E1312" t="inlineStr">
        <is>
          <t>ÖSTHAMMAR</t>
        </is>
      </c>
      <c r="F1312" t="inlineStr">
        <is>
          <t>Allmännings- och besparingsskogar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10478-2020</t>
        </is>
      </c>
      <c r="B1313" s="1" t="n">
        <v>43886</v>
      </c>
      <c r="C1313" s="1" t="n">
        <v>45792</v>
      </c>
      <c r="D1313" t="inlineStr">
        <is>
          <t>UPPSALA LÄN</t>
        </is>
      </c>
      <c r="E1313" t="inlineStr">
        <is>
          <t>UPPSALA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11540-2020</t>
        </is>
      </c>
      <c r="B1314" s="1" t="n">
        <v>43887</v>
      </c>
      <c r="C1314" s="1" t="n">
        <v>45792</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10795-2020</t>
        </is>
      </c>
      <c r="B1315" s="1" t="n">
        <v>43888</v>
      </c>
      <c r="C1315" s="1" t="n">
        <v>45792</v>
      </c>
      <c r="D1315" t="inlineStr">
        <is>
          <t>UPPSALA LÄN</t>
        </is>
      </c>
      <c r="E1315" t="inlineStr">
        <is>
          <t>ENKÖPING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11060-2020</t>
        </is>
      </c>
      <c r="B1316" s="1" t="n">
        <v>43889</v>
      </c>
      <c r="C1316" s="1" t="n">
        <v>45792</v>
      </c>
      <c r="D1316" t="inlineStr">
        <is>
          <t>UPPSALA LÄN</t>
        </is>
      </c>
      <c r="E1316" t="inlineStr">
        <is>
          <t>ENKÖPING</t>
        </is>
      </c>
      <c r="G1316" t="n">
        <v>22.7</v>
      </c>
      <c r="H1316" t="n">
        <v>0</v>
      </c>
      <c r="I1316" t="n">
        <v>0</v>
      </c>
      <c r="J1316" t="n">
        <v>0</v>
      </c>
      <c r="K1316" t="n">
        <v>0</v>
      </c>
      <c r="L1316" t="n">
        <v>0</v>
      </c>
      <c r="M1316" t="n">
        <v>0</v>
      </c>
      <c r="N1316" t="n">
        <v>0</v>
      </c>
      <c r="O1316" t="n">
        <v>0</v>
      </c>
      <c r="P1316" t="n">
        <v>0</v>
      </c>
      <c r="Q1316" t="n">
        <v>0</v>
      </c>
      <c r="R1316" s="2" t="inlineStr"/>
    </row>
    <row r="1317" ht="15" customHeight="1">
      <c r="A1317" t="inlineStr">
        <is>
          <t>A 11152-2020</t>
        </is>
      </c>
      <c r="B1317" s="1" t="n">
        <v>43891</v>
      </c>
      <c r="C1317" s="1" t="n">
        <v>45792</v>
      </c>
      <c r="D1317" t="inlineStr">
        <is>
          <t>UPPSALA LÄN</t>
        </is>
      </c>
      <c r="E1317" t="inlineStr">
        <is>
          <t>HEBY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11151-2020</t>
        </is>
      </c>
      <c r="B1318" s="1" t="n">
        <v>43891</v>
      </c>
      <c r="C1318" s="1" t="n">
        <v>45792</v>
      </c>
      <c r="D1318" t="inlineStr">
        <is>
          <t>UPPSALA LÄN</t>
        </is>
      </c>
      <c r="E1318" t="inlineStr">
        <is>
          <t>HEBY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11174-2020</t>
        </is>
      </c>
      <c r="B1319" s="1" t="n">
        <v>43891</v>
      </c>
      <c r="C1319" s="1" t="n">
        <v>45792</v>
      </c>
      <c r="D1319" t="inlineStr">
        <is>
          <t>UPPSALA LÄN</t>
        </is>
      </c>
      <c r="E1319" t="inlineStr">
        <is>
          <t>UPPSALA</t>
        </is>
      </c>
      <c r="F1319" t="inlineStr">
        <is>
          <t>Övriga statliga verk och myndigheter</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11166-2020</t>
        </is>
      </c>
      <c r="B1320" s="1" t="n">
        <v>43891</v>
      </c>
      <c r="C1320" s="1" t="n">
        <v>45792</v>
      </c>
      <c r="D1320" t="inlineStr">
        <is>
          <t>UPPSALA LÄN</t>
        </is>
      </c>
      <c r="E1320" t="inlineStr">
        <is>
          <t>HEBY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11165-2020</t>
        </is>
      </c>
      <c r="B1321" s="1" t="n">
        <v>43891</v>
      </c>
      <c r="C1321" s="1" t="n">
        <v>45792</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11281-2020</t>
        </is>
      </c>
      <c r="B1322" s="1" t="n">
        <v>43892</v>
      </c>
      <c r="C1322" s="1" t="n">
        <v>45792</v>
      </c>
      <c r="D1322" t="inlineStr">
        <is>
          <t>UPPSALA LÄN</t>
        </is>
      </c>
      <c r="E1322" t="inlineStr">
        <is>
          <t>HÅBO</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12626-2020</t>
        </is>
      </c>
      <c r="B1323" s="1" t="n">
        <v>43892</v>
      </c>
      <c r="C1323" s="1" t="n">
        <v>45792</v>
      </c>
      <c r="D1323" t="inlineStr">
        <is>
          <t>UPPSALA LÄN</t>
        </is>
      </c>
      <c r="E1323" t="inlineStr">
        <is>
          <t>UPPSALA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11336-2020</t>
        </is>
      </c>
      <c r="B1324" s="1" t="n">
        <v>43892</v>
      </c>
      <c r="C1324" s="1" t="n">
        <v>45792</v>
      </c>
      <c r="D1324" t="inlineStr">
        <is>
          <t>UPPSALA LÄN</t>
        </is>
      </c>
      <c r="E1324" t="inlineStr">
        <is>
          <t>UPPSALA</t>
        </is>
      </c>
      <c r="F1324" t="inlineStr">
        <is>
          <t>Kyrkan</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11320-2020</t>
        </is>
      </c>
      <c r="B1325" s="1" t="n">
        <v>43892</v>
      </c>
      <c r="C1325" s="1" t="n">
        <v>45792</v>
      </c>
      <c r="D1325" t="inlineStr">
        <is>
          <t>UPPSALA LÄN</t>
        </is>
      </c>
      <c r="E1325" t="inlineStr">
        <is>
          <t>UPPSALA</t>
        </is>
      </c>
      <c r="F1325" t="inlineStr">
        <is>
          <t>Kyrkan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11228-2020</t>
        </is>
      </c>
      <c r="B1326" s="1" t="n">
        <v>43892</v>
      </c>
      <c r="C1326" s="1" t="n">
        <v>45792</v>
      </c>
      <c r="D1326" t="inlineStr">
        <is>
          <t>UPPSALA LÄN</t>
        </is>
      </c>
      <c r="E1326" t="inlineStr">
        <is>
          <t>ENKÖPING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11433-2020</t>
        </is>
      </c>
      <c r="B1327" s="1" t="n">
        <v>43893</v>
      </c>
      <c r="C1327" s="1" t="n">
        <v>45792</v>
      </c>
      <c r="D1327" t="inlineStr">
        <is>
          <t>UPPSALA LÄN</t>
        </is>
      </c>
      <c r="E1327" t="inlineStr">
        <is>
          <t>TIERP</t>
        </is>
      </c>
      <c r="F1327" t="inlineStr">
        <is>
          <t>Bergvik skog väst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12028-2020</t>
        </is>
      </c>
      <c r="B1328" s="1" t="n">
        <v>43894</v>
      </c>
      <c r="C1328" s="1" t="n">
        <v>45792</v>
      </c>
      <c r="D1328" t="inlineStr">
        <is>
          <t>UPPSALA LÄN</t>
        </is>
      </c>
      <c r="E1328" t="inlineStr">
        <is>
          <t>UPPSALA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12055-2020</t>
        </is>
      </c>
      <c r="B1329" s="1" t="n">
        <v>43894</v>
      </c>
      <c r="C1329" s="1" t="n">
        <v>45792</v>
      </c>
      <c r="D1329" t="inlineStr">
        <is>
          <t>UPPSALA LÄN</t>
        </is>
      </c>
      <c r="E1329" t="inlineStr">
        <is>
          <t>UPPSALA</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12080-2020</t>
        </is>
      </c>
      <c r="B1330" s="1" t="n">
        <v>43895</v>
      </c>
      <c r="C1330" s="1" t="n">
        <v>45792</v>
      </c>
      <c r="D1330" t="inlineStr">
        <is>
          <t>UPPSALA LÄN</t>
        </is>
      </c>
      <c r="E1330" t="inlineStr">
        <is>
          <t>ÖSTHAMMAR</t>
        </is>
      </c>
      <c r="F1330" t="inlineStr">
        <is>
          <t>Övriga Aktiebolag</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12272-2020</t>
        </is>
      </c>
      <c r="B1331" s="1" t="n">
        <v>43895</v>
      </c>
      <c r="C1331" s="1" t="n">
        <v>45792</v>
      </c>
      <c r="D1331" t="inlineStr">
        <is>
          <t>UPPSALA LÄN</t>
        </is>
      </c>
      <c r="E1331" t="inlineStr">
        <is>
          <t>ENKÖPING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12427-2020</t>
        </is>
      </c>
      <c r="B1332" s="1" t="n">
        <v>43896</v>
      </c>
      <c r="C1332" s="1" t="n">
        <v>45792</v>
      </c>
      <c r="D1332" t="inlineStr">
        <is>
          <t>UPPSALA LÄN</t>
        </is>
      </c>
      <c r="E1332" t="inlineStr">
        <is>
          <t>TIERP</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12848-2020</t>
        </is>
      </c>
      <c r="B1333" s="1" t="n">
        <v>43899</v>
      </c>
      <c r="C1333" s="1" t="n">
        <v>45792</v>
      </c>
      <c r="D1333" t="inlineStr">
        <is>
          <t>UPPSALA LÄN</t>
        </is>
      </c>
      <c r="E1333" t="inlineStr">
        <is>
          <t>UPPSALA</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12781-2020</t>
        </is>
      </c>
      <c r="B1334" s="1" t="n">
        <v>43899</v>
      </c>
      <c r="C1334" s="1" t="n">
        <v>45792</v>
      </c>
      <c r="D1334" t="inlineStr">
        <is>
          <t>UPPSALA LÄN</t>
        </is>
      </c>
      <c r="E1334" t="inlineStr">
        <is>
          <t>UPPSALA</t>
        </is>
      </c>
      <c r="F1334" t="inlineStr">
        <is>
          <t>Kyrkan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13447-2020</t>
        </is>
      </c>
      <c r="B1335" s="1" t="n">
        <v>43900</v>
      </c>
      <c r="C1335" s="1" t="n">
        <v>45792</v>
      </c>
      <c r="D1335" t="inlineStr">
        <is>
          <t>UPPSALA LÄN</t>
        </is>
      </c>
      <c r="E1335" t="inlineStr">
        <is>
          <t>HÅBO</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12912-2020</t>
        </is>
      </c>
      <c r="B1336" s="1" t="n">
        <v>43900</v>
      </c>
      <c r="C1336" s="1" t="n">
        <v>45792</v>
      </c>
      <c r="D1336" t="inlineStr">
        <is>
          <t>UPPSALA LÄN</t>
        </is>
      </c>
      <c r="E1336" t="inlineStr">
        <is>
          <t>TIERP</t>
        </is>
      </c>
      <c r="F1336" t="inlineStr">
        <is>
          <t>Bergvik skog väst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13140-2020</t>
        </is>
      </c>
      <c r="B1337" s="1" t="n">
        <v>43901</v>
      </c>
      <c r="C1337" s="1" t="n">
        <v>45792</v>
      </c>
      <c r="D1337" t="inlineStr">
        <is>
          <t>UPPSALA LÄN</t>
        </is>
      </c>
      <c r="E1337" t="inlineStr">
        <is>
          <t>HEBY</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13175-2020</t>
        </is>
      </c>
      <c r="B1338" s="1" t="n">
        <v>43901</v>
      </c>
      <c r="C1338" s="1" t="n">
        <v>45792</v>
      </c>
      <c r="D1338" t="inlineStr">
        <is>
          <t>UPPSALA LÄN</t>
        </is>
      </c>
      <c r="E1338" t="inlineStr">
        <is>
          <t>HEBY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13141-2020</t>
        </is>
      </c>
      <c r="B1339" s="1" t="n">
        <v>43901</v>
      </c>
      <c r="C1339" s="1" t="n">
        <v>45792</v>
      </c>
      <c r="D1339" t="inlineStr">
        <is>
          <t>UPPSALA LÄN</t>
        </is>
      </c>
      <c r="E1339" t="inlineStr">
        <is>
          <t>HEBY</t>
        </is>
      </c>
      <c r="F1339" t="inlineStr">
        <is>
          <t>Kyrkan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13180-2020</t>
        </is>
      </c>
      <c r="B1340" s="1" t="n">
        <v>43901</v>
      </c>
      <c r="C1340" s="1" t="n">
        <v>45792</v>
      </c>
      <c r="D1340" t="inlineStr">
        <is>
          <t>UPPSALA LÄN</t>
        </is>
      </c>
      <c r="E1340" t="inlineStr">
        <is>
          <t>HEBY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13112-2020</t>
        </is>
      </c>
      <c r="B1341" s="1" t="n">
        <v>43901</v>
      </c>
      <c r="C1341" s="1" t="n">
        <v>45792</v>
      </c>
      <c r="D1341" t="inlineStr">
        <is>
          <t>UPPSALA LÄN</t>
        </is>
      </c>
      <c r="E1341" t="inlineStr">
        <is>
          <t>ÖSTHAMMAR</t>
        </is>
      </c>
      <c r="F1341" t="inlineStr">
        <is>
          <t>Övriga Aktiebolag</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13582-2020</t>
        </is>
      </c>
      <c r="B1342" s="1" t="n">
        <v>43901</v>
      </c>
      <c r="C1342" s="1" t="n">
        <v>45792</v>
      </c>
      <c r="D1342" t="inlineStr">
        <is>
          <t>UPPSALA LÄN</t>
        </is>
      </c>
      <c r="E1342" t="inlineStr">
        <is>
          <t>HÅBO</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14627-2020</t>
        </is>
      </c>
      <c r="B1343" s="1" t="n">
        <v>43901</v>
      </c>
      <c r="C1343" s="1" t="n">
        <v>45792</v>
      </c>
      <c r="D1343" t="inlineStr">
        <is>
          <t>UPPSALA LÄN</t>
        </is>
      </c>
      <c r="E1343" t="inlineStr">
        <is>
          <t>TIERP</t>
        </is>
      </c>
      <c r="F1343" t="inlineStr">
        <is>
          <t>Bergvik skog väst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13310-2020</t>
        </is>
      </c>
      <c r="B1344" s="1" t="n">
        <v>43902</v>
      </c>
      <c r="C1344" s="1" t="n">
        <v>45792</v>
      </c>
      <c r="D1344" t="inlineStr">
        <is>
          <t>UPPSALA LÄN</t>
        </is>
      </c>
      <c r="E1344" t="inlineStr">
        <is>
          <t>ÖSTHAMMAR</t>
        </is>
      </c>
      <c r="F1344" t="inlineStr">
        <is>
          <t>Bergvik skog öst AB</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13547-2020</t>
        </is>
      </c>
      <c r="B1345" s="1" t="n">
        <v>43902</v>
      </c>
      <c r="C1345" s="1" t="n">
        <v>45792</v>
      </c>
      <c r="D1345" t="inlineStr">
        <is>
          <t>UPPSALA LÄN</t>
        </is>
      </c>
      <c r="E1345" t="inlineStr">
        <is>
          <t>KNIVSTA</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13636-2020</t>
        </is>
      </c>
      <c r="B1346" s="1" t="n">
        <v>43903</v>
      </c>
      <c r="C1346" s="1" t="n">
        <v>45792</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13595-2020</t>
        </is>
      </c>
      <c r="B1347" s="1" t="n">
        <v>43903</v>
      </c>
      <c r="C1347" s="1" t="n">
        <v>45792</v>
      </c>
      <c r="D1347" t="inlineStr">
        <is>
          <t>UPPSALA LÄN</t>
        </is>
      </c>
      <c r="E1347" t="inlineStr">
        <is>
          <t>ÖSTHAMMAR</t>
        </is>
      </c>
      <c r="F1347" t="inlineStr">
        <is>
          <t>Bergvik skog öst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13996-2020</t>
        </is>
      </c>
      <c r="B1348" s="1" t="n">
        <v>43906</v>
      </c>
      <c r="C1348" s="1" t="n">
        <v>45792</v>
      </c>
      <c r="D1348" t="inlineStr">
        <is>
          <t>UPPSALA LÄN</t>
        </is>
      </c>
      <c r="E1348" t="inlineStr">
        <is>
          <t>KNIVSTA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13865-2020</t>
        </is>
      </c>
      <c r="B1349" s="1" t="n">
        <v>43906</v>
      </c>
      <c r="C1349" s="1" t="n">
        <v>45792</v>
      </c>
      <c r="D1349" t="inlineStr">
        <is>
          <t>UPPSALA LÄN</t>
        </is>
      </c>
      <c r="E1349" t="inlineStr">
        <is>
          <t>HEBY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14005-2020</t>
        </is>
      </c>
      <c r="B1350" s="1" t="n">
        <v>43906</v>
      </c>
      <c r="C1350" s="1" t="n">
        <v>45792</v>
      </c>
      <c r="D1350" t="inlineStr">
        <is>
          <t>UPPSALA LÄN</t>
        </is>
      </c>
      <c r="E1350" t="inlineStr">
        <is>
          <t>KNIVSTA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13945-2020</t>
        </is>
      </c>
      <c r="B1351" s="1" t="n">
        <v>43906</v>
      </c>
      <c r="C1351" s="1" t="n">
        <v>45792</v>
      </c>
      <c r="D1351" t="inlineStr">
        <is>
          <t>UPPSALA LÄN</t>
        </is>
      </c>
      <c r="E1351" t="inlineStr">
        <is>
          <t>ÖSTHAMMAR</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14017-2020</t>
        </is>
      </c>
      <c r="B1352" s="1" t="n">
        <v>43906</v>
      </c>
      <c r="C1352" s="1" t="n">
        <v>45792</v>
      </c>
      <c r="D1352" t="inlineStr">
        <is>
          <t>UPPSALA LÄN</t>
        </is>
      </c>
      <c r="E1352" t="inlineStr">
        <is>
          <t>TIERP</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14469-2020</t>
        </is>
      </c>
      <c r="B1353" s="1" t="n">
        <v>43908</v>
      </c>
      <c r="C1353" s="1" t="n">
        <v>45792</v>
      </c>
      <c r="D1353" t="inlineStr">
        <is>
          <t>UPPSALA LÄN</t>
        </is>
      </c>
      <c r="E1353" t="inlineStr">
        <is>
          <t>UPPSALA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14423-2020</t>
        </is>
      </c>
      <c r="B1354" s="1" t="n">
        <v>43908</v>
      </c>
      <c r="C1354" s="1" t="n">
        <v>45792</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14472-2020</t>
        </is>
      </c>
      <c r="B1355" s="1" t="n">
        <v>43908</v>
      </c>
      <c r="C1355" s="1" t="n">
        <v>45792</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14427-2020</t>
        </is>
      </c>
      <c r="B1356" s="1" t="n">
        <v>43908</v>
      </c>
      <c r="C1356" s="1" t="n">
        <v>45792</v>
      </c>
      <c r="D1356" t="inlineStr">
        <is>
          <t>UPPSALA LÄN</t>
        </is>
      </c>
      <c r="E1356" t="inlineStr">
        <is>
          <t>UPPSALA</t>
        </is>
      </c>
      <c r="F1356" t="inlineStr">
        <is>
          <t>Bergvik skog öst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14783-2020</t>
        </is>
      </c>
      <c r="B1357" s="1" t="n">
        <v>43909</v>
      </c>
      <c r="C1357" s="1" t="n">
        <v>45792</v>
      </c>
      <c r="D1357" t="inlineStr">
        <is>
          <t>UPPSALA LÄN</t>
        </is>
      </c>
      <c r="E1357" t="inlineStr">
        <is>
          <t>HEBY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14802-2020</t>
        </is>
      </c>
      <c r="B1358" s="1" t="n">
        <v>43909</v>
      </c>
      <c r="C1358" s="1" t="n">
        <v>45792</v>
      </c>
      <c r="D1358" t="inlineStr">
        <is>
          <t>UPPSALA LÄN</t>
        </is>
      </c>
      <c r="E1358" t="inlineStr">
        <is>
          <t>ÖSTHAMMAR</t>
        </is>
      </c>
      <c r="F1358" t="inlineStr">
        <is>
          <t>Allmännings- och besparingsskogar</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14817-2020</t>
        </is>
      </c>
      <c r="B1359" s="1" t="n">
        <v>43909</v>
      </c>
      <c r="C1359" s="1" t="n">
        <v>45792</v>
      </c>
      <c r="D1359" t="inlineStr">
        <is>
          <t>UPPSALA LÄN</t>
        </is>
      </c>
      <c r="E1359" t="inlineStr">
        <is>
          <t>ÖSTHAMMAR</t>
        </is>
      </c>
      <c r="F1359" t="inlineStr">
        <is>
          <t>Bergvik skog öst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14823-2020</t>
        </is>
      </c>
      <c r="B1360" s="1" t="n">
        <v>43909</v>
      </c>
      <c r="C1360" s="1" t="n">
        <v>45792</v>
      </c>
      <c r="D1360" t="inlineStr">
        <is>
          <t>UPPSALA LÄN</t>
        </is>
      </c>
      <c r="E1360" t="inlineStr">
        <is>
          <t>HEBY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14777-2020</t>
        </is>
      </c>
      <c r="B1361" s="1" t="n">
        <v>43909</v>
      </c>
      <c r="C1361" s="1" t="n">
        <v>45792</v>
      </c>
      <c r="D1361" t="inlineStr">
        <is>
          <t>UPPSALA LÄN</t>
        </is>
      </c>
      <c r="E1361" t="inlineStr">
        <is>
          <t>HEBY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14814-2020</t>
        </is>
      </c>
      <c r="B1362" s="1" t="n">
        <v>43909</v>
      </c>
      <c r="C1362" s="1" t="n">
        <v>45792</v>
      </c>
      <c r="D1362" t="inlineStr">
        <is>
          <t>UPPSALA LÄN</t>
        </is>
      </c>
      <c r="E1362" t="inlineStr">
        <is>
          <t>HEBY</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15067-2020</t>
        </is>
      </c>
      <c r="B1363" s="1" t="n">
        <v>43910</v>
      </c>
      <c r="C1363" s="1" t="n">
        <v>45792</v>
      </c>
      <c r="D1363" t="inlineStr">
        <is>
          <t>UPPSALA LÄN</t>
        </is>
      </c>
      <c r="E1363" t="inlineStr">
        <is>
          <t>ÖSTHAMMAR</t>
        </is>
      </c>
      <c r="F1363" t="inlineStr">
        <is>
          <t>Bergvik skog öst AB</t>
        </is>
      </c>
      <c r="G1363" t="n">
        <v>20.5</v>
      </c>
      <c r="H1363" t="n">
        <v>0</v>
      </c>
      <c r="I1363" t="n">
        <v>0</v>
      </c>
      <c r="J1363" t="n">
        <v>0</v>
      </c>
      <c r="K1363" t="n">
        <v>0</v>
      </c>
      <c r="L1363" t="n">
        <v>0</v>
      </c>
      <c r="M1363" t="n">
        <v>0</v>
      </c>
      <c r="N1363" t="n">
        <v>0</v>
      </c>
      <c r="O1363" t="n">
        <v>0</v>
      </c>
      <c r="P1363" t="n">
        <v>0</v>
      </c>
      <c r="Q1363" t="n">
        <v>0</v>
      </c>
      <c r="R1363" s="2" t="inlineStr"/>
    </row>
    <row r="1364" ht="15" customHeight="1">
      <c r="A1364" t="inlineStr">
        <is>
          <t>A 15213-2020</t>
        </is>
      </c>
      <c r="B1364" s="1" t="n">
        <v>43913</v>
      </c>
      <c r="C1364" s="1" t="n">
        <v>45792</v>
      </c>
      <c r="D1364" t="inlineStr">
        <is>
          <t>UPPSALA LÄN</t>
        </is>
      </c>
      <c r="E1364" t="inlineStr">
        <is>
          <t>ÄLVKARLEBY</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15326-2020</t>
        </is>
      </c>
      <c r="B1365" s="1" t="n">
        <v>43913</v>
      </c>
      <c r="C1365" s="1" t="n">
        <v>45792</v>
      </c>
      <c r="D1365" t="inlineStr">
        <is>
          <t>UPPSALA LÄN</t>
        </is>
      </c>
      <c r="E1365" t="inlineStr">
        <is>
          <t>TIERP</t>
        </is>
      </c>
      <c r="F1365" t="inlineStr">
        <is>
          <t>Bergvik skog väst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15344-2020</t>
        </is>
      </c>
      <c r="B1366" s="1" t="n">
        <v>43913</v>
      </c>
      <c r="C1366" s="1" t="n">
        <v>45792</v>
      </c>
      <c r="D1366" t="inlineStr">
        <is>
          <t>UPPSALA LÄN</t>
        </is>
      </c>
      <c r="E1366" t="inlineStr">
        <is>
          <t>UPPSALA</t>
        </is>
      </c>
      <c r="F1366" t="inlineStr">
        <is>
          <t>Holmen skog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15233-2020</t>
        </is>
      </c>
      <c r="B1367" s="1" t="n">
        <v>43913</v>
      </c>
      <c r="C1367" s="1" t="n">
        <v>45792</v>
      </c>
      <c r="D1367" t="inlineStr">
        <is>
          <t>UPPSALA LÄN</t>
        </is>
      </c>
      <c r="E1367" t="inlineStr">
        <is>
          <t>TIERP</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15389-2020</t>
        </is>
      </c>
      <c r="B1368" s="1" t="n">
        <v>43913</v>
      </c>
      <c r="C1368" s="1" t="n">
        <v>45792</v>
      </c>
      <c r="D1368" t="inlineStr">
        <is>
          <t>UPPSALA LÄN</t>
        </is>
      </c>
      <c r="E1368" t="inlineStr">
        <is>
          <t>HEBY</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15805-2020</t>
        </is>
      </c>
      <c r="B1369" s="1" t="n">
        <v>43915</v>
      </c>
      <c r="C1369" s="1" t="n">
        <v>45792</v>
      </c>
      <c r="D1369" t="inlineStr">
        <is>
          <t>UPPSALA LÄN</t>
        </is>
      </c>
      <c r="E1369" t="inlineStr">
        <is>
          <t>HEBY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16071-2020</t>
        </is>
      </c>
      <c r="B1370" s="1" t="n">
        <v>43916</v>
      </c>
      <c r="C1370" s="1" t="n">
        <v>45792</v>
      </c>
      <c r="D1370" t="inlineStr">
        <is>
          <t>UPPSALA LÄN</t>
        </is>
      </c>
      <c r="E1370" t="inlineStr">
        <is>
          <t>HEBY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16320-2020</t>
        </is>
      </c>
      <c r="B1371" s="1" t="n">
        <v>43917</v>
      </c>
      <c r="C1371" s="1" t="n">
        <v>45792</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16758-2020</t>
        </is>
      </c>
      <c r="B1372" s="1" t="n">
        <v>43920</v>
      </c>
      <c r="C1372" s="1" t="n">
        <v>45792</v>
      </c>
      <c r="D1372" t="inlineStr">
        <is>
          <t>UPPSALA LÄN</t>
        </is>
      </c>
      <c r="E1372" t="inlineStr">
        <is>
          <t>HEBY</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17549-2020</t>
        </is>
      </c>
      <c r="B1373" s="1" t="n">
        <v>43920</v>
      </c>
      <c r="C1373" s="1" t="n">
        <v>45792</v>
      </c>
      <c r="D1373" t="inlineStr">
        <is>
          <t>UPPSALA LÄN</t>
        </is>
      </c>
      <c r="E1373" t="inlineStr">
        <is>
          <t>ÖSTHAMMAR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17468-2020</t>
        </is>
      </c>
      <c r="B1374" s="1" t="n">
        <v>43920</v>
      </c>
      <c r="C1374" s="1" t="n">
        <v>45792</v>
      </c>
      <c r="D1374" t="inlineStr">
        <is>
          <t>UPPSALA LÄN</t>
        </is>
      </c>
      <c r="E1374" t="inlineStr">
        <is>
          <t>HEBY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17888-2020</t>
        </is>
      </c>
      <c r="B1375" s="1" t="n">
        <v>43924</v>
      </c>
      <c r="C1375" s="1" t="n">
        <v>45792</v>
      </c>
      <c r="D1375" t="inlineStr">
        <is>
          <t>UPPSALA LÄN</t>
        </is>
      </c>
      <c r="E1375" t="inlineStr">
        <is>
          <t>ENKÖPING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18106-2020</t>
        </is>
      </c>
      <c r="B1376" s="1" t="n">
        <v>43927</v>
      </c>
      <c r="C1376" s="1" t="n">
        <v>45792</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18101-2020</t>
        </is>
      </c>
      <c r="B1377" s="1" t="n">
        <v>43927</v>
      </c>
      <c r="C1377" s="1" t="n">
        <v>45792</v>
      </c>
      <c r="D1377" t="inlineStr">
        <is>
          <t>UPPSALA LÄN</t>
        </is>
      </c>
      <c r="E1377" t="inlineStr">
        <is>
          <t>ENKÖPING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18114-2020</t>
        </is>
      </c>
      <c r="B1378" s="1" t="n">
        <v>43927</v>
      </c>
      <c r="C1378" s="1" t="n">
        <v>45792</v>
      </c>
      <c r="D1378" t="inlineStr">
        <is>
          <t>UPPSALA LÄN</t>
        </is>
      </c>
      <c r="E1378" t="inlineStr">
        <is>
          <t>UPPSALA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18097-2020</t>
        </is>
      </c>
      <c r="B1379" s="1" t="n">
        <v>43927</v>
      </c>
      <c r="C1379" s="1" t="n">
        <v>45792</v>
      </c>
      <c r="D1379" t="inlineStr">
        <is>
          <t>UPPSALA LÄN</t>
        </is>
      </c>
      <c r="E1379" t="inlineStr">
        <is>
          <t>ENKÖPING</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18489-2020</t>
        </is>
      </c>
      <c r="B1380" s="1" t="n">
        <v>43929</v>
      </c>
      <c r="C1380" s="1" t="n">
        <v>45792</v>
      </c>
      <c r="D1380" t="inlineStr">
        <is>
          <t>UPPSALA LÄN</t>
        </is>
      </c>
      <c r="E1380" t="inlineStr">
        <is>
          <t>ENKÖPING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18486-2020</t>
        </is>
      </c>
      <c r="B1381" s="1" t="n">
        <v>43929</v>
      </c>
      <c r="C1381" s="1" t="n">
        <v>45792</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18469-2020</t>
        </is>
      </c>
      <c r="B1382" s="1" t="n">
        <v>43929</v>
      </c>
      <c r="C1382" s="1" t="n">
        <v>45792</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18774-2020</t>
        </is>
      </c>
      <c r="B1383" s="1" t="n">
        <v>43930</v>
      </c>
      <c r="C1383" s="1" t="n">
        <v>45792</v>
      </c>
      <c r="D1383" t="inlineStr">
        <is>
          <t>UPPSALA LÄN</t>
        </is>
      </c>
      <c r="E1383" t="inlineStr">
        <is>
          <t>TIERP</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19556-2020</t>
        </is>
      </c>
      <c r="B1384" s="1" t="n">
        <v>43936</v>
      </c>
      <c r="C1384" s="1" t="n">
        <v>45792</v>
      </c>
      <c r="D1384" t="inlineStr">
        <is>
          <t>UPPSALA LÄN</t>
        </is>
      </c>
      <c r="E1384" t="inlineStr">
        <is>
          <t>ÖSTHAMMAR</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19136-2020</t>
        </is>
      </c>
      <c r="B1385" s="1" t="n">
        <v>43936</v>
      </c>
      <c r="C1385" s="1" t="n">
        <v>45792</v>
      </c>
      <c r="D1385" t="inlineStr">
        <is>
          <t>UPPSALA LÄN</t>
        </is>
      </c>
      <c r="E1385" t="inlineStr">
        <is>
          <t>TIERP</t>
        </is>
      </c>
      <c r="F1385" t="inlineStr">
        <is>
          <t>Bergvik skog väst AB</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19210-2020</t>
        </is>
      </c>
      <c r="B1386" s="1" t="n">
        <v>43937</v>
      </c>
      <c r="C1386" s="1" t="n">
        <v>45792</v>
      </c>
      <c r="D1386" t="inlineStr">
        <is>
          <t>UPPSALA LÄN</t>
        </is>
      </c>
      <c r="E1386" t="inlineStr">
        <is>
          <t>UPPSALA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19332-2020</t>
        </is>
      </c>
      <c r="B1387" s="1" t="n">
        <v>43938</v>
      </c>
      <c r="C1387" s="1" t="n">
        <v>45792</v>
      </c>
      <c r="D1387" t="inlineStr">
        <is>
          <t>UPPSALA LÄN</t>
        </is>
      </c>
      <c r="E1387" t="inlineStr">
        <is>
          <t>TIERP</t>
        </is>
      </c>
      <c r="F1387" t="inlineStr">
        <is>
          <t>Bergvik skog väst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19499-2020</t>
        </is>
      </c>
      <c r="B1388" s="1" t="n">
        <v>43938</v>
      </c>
      <c r="C1388" s="1" t="n">
        <v>45792</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19463-2020</t>
        </is>
      </c>
      <c r="B1389" s="1" t="n">
        <v>43938</v>
      </c>
      <c r="C1389" s="1" t="n">
        <v>45792</v>
      </c>
      <c r="D1389" t="inlineStr">
        <is>
          <t>UPPSALA LÄN</t>
        </is>
      </c>
      <c r="E1389" t="inlineStr">
        <is>
          <t>ENKÖPING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19914-2020</t>
        </is>
      </c>
      <c r="B1390" s="1" t="n">
        <v>43943</v>
      </c>
      <c r="C1390" s="1" t="n">
        <v>45792</v>
      </c>
      <c r="D1390" t="inlineStr">
        <is>
          <t>UPPSALA LÄN</t>
        </is>
      </c>
      <c r="E1390" t="inlineStr">
        <is>
          <t>HEBY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20175-2020</t>
        </is>
      </c>
      <c r="B1391" s="1" t="n">
        <v>43944</v>
      </c>
      <c r="C1391" s="1" t="n">
        <v>45792</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20218-2020</t>
        </is>
      </c>
      <c r="B1392" s="1" t="n">
        <v>43944</v>
      </c>
      <c r="C1392" s="1" t="n">
        <v>45792</v>
      </c>
      <c r="D1392" t="inlineStr">
        <is>
          <t>UPPSALA LÄN</t>
        </is>
      </c>
      <c r="E1392" t="inlineStr">
        <is>
          <t>UPPSALA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20395-2020</t>
        </is>
      </c>
      <c r="B1393" s="1" t="n">
        <v>43945</v>
      </c>
      <c r="C1393" s="1" t="n">
        <v>45792</v>
      </c>
      <c r="D1393" t="inlineStr">
        <is>
          <t>UPPSALA LÄN</t>
        </is>
      </c>
      <c r="E1393" t="inlineStr">
        <is>
          <t>KNIVSTA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20286-2020</t>
        </is>
      </c>
      <c r="B1394" s="1" t="n">
        <v>43945</v>
      </c>
      <c r="C1394" s="1" t="n">
        <v>45792</v>
      </c>
      <c r="D1394" t="inlineStr">
        <is>
          <t>UPPSALA LÄN</t>
        </is>
      </c>
      <c r="E1394" t="inlineStr">
        <is>
          <t>ENKÖPING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20552-2020</t>
        </is>
      </c>
      <c r="B1395" s="1" t="n">
        <v>43948</v>
      </c>
      <c r="C1395" s="1" t="n">
        <v>45792</v>
      </c>
      <c r="D1395" t="inlineStr">
        <is>
          <t>UPPSALA LÄN</t>
        </is>
      </c>
      <c r="E1395" t="inlineStr">
        <is>
          <t>ENKÖPING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20506-2020</t>
        </is>
      </c>
      <c r="B1396" s="1" t="n">
        <v>43948</v>
      </c>
      <c r="C1396" s="1" t="n">
        <v>45792</v>
      </c>
      <c r="D1396" t="inlineStr">
        <is>
          <t>UPPSALA LÄN</t>
        </is>
      </c>
      <c r="E1396" t="inlineStr">
        <is>
          <t>UPPSALA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20490-2020</t>
        </is>
      </c>
      <c r="B1397" s="1" t="n">
        <v>43948</v>
      </c>
      <c r="C1397" s="1" t="n">
        <v>45792</v>
      </c>
      <c r="D1397" t="inlineStr">
        <is>
          <t>UPPSALA LÄN</t>
        </is>
      </c>
      <c r="E1397" t="inlineStr">
        <is>
          <t>UPPSALA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20877-2020</t>
        </is>
      </c>
      <c r="B1398" s="1" t="n">
        <v>43950</v>
      </c>
      <c r="C1398" s="1" t="n">
        <v>45792</v>
      </c>
      <c r="D1398" t="inlineStr">
        <is>
          <t>UPPSALA LÄN</t>
        </is>
      </c>
      <c r="E1398" t="inlineStr">
        <is>
          <t>HEBY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20928-2020</t>
        </is>
      </c>
      <c r="B1399" s="1" t="n">
        <v>43950</v>
      </c>
      <c r="C1399" s="1" t="n">
        <v>45792</v>
      </c>
      <c r="D1399" t="inlineStr">
        <is>
          <t>UPPSALA LÄN</t>
        </is>
      </c>
      <c r="E1399" t="inlineStr">
        <is>
          <t>HEBY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20960-2020</t>
        </is>
      </c>
      <c r="B1400" s="1" t="n">
        <v>43950</v>
      </c>
      <c r="C1400" s="1" t="n">
        <v>45792</v>
      </c>
      <c r="D1400" t="inlineStr">
        <is>
          <t>UPPSALA LÄN</t>
        </is>
      </c>
      <c r="E1400" t="inlineStr">
        <is>
          <t>UPPSALA</t>
        </is>
      </c>
      <c r="F1400" t="inlineStr">
        <is>
          <t>Holmen skog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21573-2020</t>
        </is>
      </c>
      <c r="B1401" s="1" t="n">
        <v>43956</v>
      </c>
      <c r="C1401" s="1" t="n">
        <v>45792</v>
      </c>
      <c r="D1401" t="inlineStr">
        <is>
          <t>UPPSALA LÄN</t>
        </is>
      </c>
      <c r="E1401" t="inlineStr">
        <is>
          <t>ENKÖPING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21466-2020</t>
        </is>
      </c>
      <c r="B1402" s="1" t="n">
        <v>43956</v>
      </c>
      <c r="C1402" s="1" t="n">
        <v>45792</v>
      </c>
      <c r="D1402" t="inlineStr">
        <is>
          <t>UPPSALA LÄN</t>
        </is>
      </c>
      <c r="E1402" t="inlineStr">
        <is>
          <t>HEBY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21651-2020</t>
        </is>
      </c>
      <c r="B1403" s="1" t="n">
        <v>43957</v>
      </c>
      <c r="C1403" s="1" t="n">
        <v>45792</v>
      </c>
      <c r="D1403" t="inlineStr">
        <is>
          <t>UPPSALA LÄN</t>
        </is>
      </c>
      <c r="E1403" t="inlineStr">
        <is>
          <t>ENKÖPING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21730-2020</t>
        </is>
      </c>
      <c r="B1404" s="1" t="n">
        <v>43957</v>
      </c>
      <c r="C1404" s="1" t="n">
        <v>45792</v>
      </c>
      <c r="D1404" t="inlineStr">
        <is>
          <t>UPPSALA LÄN</t>
        </is>
      </c>
      <c r="E1404" t="inlineStr">
        <is>
          <t>TIERP</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21666-2020</t>
        </is>
      </c>
      <c r="B1405" s="1" t="n">
        <v>43957</v>
      </c>
      <c r="C1405" s="1" t="n">
        <v>45792</v>
      </c>
      <c r="D1405" t="inlineStr">
        <is>
          <t>UPPSALA LÄN</t>
        </is>
      </c>
      <c r="E1405" t="inlineStr">
        <is>
          <t>ENKÖPING</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21708-2020</t>
        </is>
      </c>
      <c r="B1406" s="1" t="n">
        <v>43957</v>
      </c>
      <c r="C1406" s="1" t="n">
        <v>45792</v>
      </c>
      <c r="D1406" t="inlineStr">
        <is>
          <t>UPPSALA LÄN</t>
        </is>
      </c>
      <c r="E1406" t="inlineStr">
        <is>
          <t>HÅBO</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21896-2020</t>
        </is>
      </c>
      <c r="B1407" s="1" t="n">
        <v>43958</v>
      </c>
      <c r="C1407" s="1" t="n">
        <v>45792</v>
      </c>
      <c r="D1407" t="inlineStr">
        <is>
          <t>UPPSALA LÄN</t>
        </is>
      </c>
      <c r="E1407" t="inlineStr">
        <is>
          <t>ENKÖPING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21916-2020</t>
        </is>
      </c>
      <c r="B1408" s="1" t="n">
        <v>43958</v>
      </c>
      <c r="C1408" s="1" t="n">
        <v>45792</v>
      </c>
      <c r="D1408" t="inlineStr">
        <is>
          <t>UPPSALA LÄN</t>
        </is>
      </c>
      <c r="E1408" t="inlineStr">
        <is>
          <t>HEBY</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21814-2020</t>
        </is>
      </c>
      <c r="B1409" s="1" t="n">
        <v>43958</v>
      </c>
      <c r="C1409" s="1" t="n">
        <v>45792</v>
      </c>
      <c r="D1409" t="inlineStr">
        <is>
          <t>UPPSALA LÄN</t>
        </is>
      </c>
      <c r="E1409" t="inlineStr">
        <is>
          <t>TIERP</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21973-2020</t>
        </is>
      </c>
      <c r="B1410" s="1" t="n">
        <v>43959</v>
      </c>
      <c r="C1410" s="1" t="n">
        <v>45792</v>
      </c>
      <c r="D1410" t="inlineStr">
        <is>
          <t>UPPSALA LÄN</t>
        </is>
      </c>
      <c r="E1410" t="inlineStr">
        <is>
          <t>HEBY</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22056-2020</t>
        </is>
      </c>
      <c r="B1411" s="1" t="n">
        <v>43959</v>
      </c>
      <c r="C1411" s="1" t="n">
        <v>45792</v>
      </c>
      <c r="D1411" t="inlineStr">
        <is>
          <t>UPPSALA LÄN</t>
        </is>
      </c>
      <c r="E1411" t="inlineStr">
        <is>
          <t>HEBY</t>
        </is>
      </c>
      <c r="F1411" t="inlineStr">
        <is>
          <t>Bergvik skog väst AB</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22152-2020</t>
        </is>
      </c>
      <c r="B1412" s="1" t="n">
        <v>43962</v>
      </c>
      <c r="C1412" s="1" t="n">
        <v>45792</v>
      </c>
      <c r="D1412" t="inlineStr">
        <is>
          <t>UPPSALA LÄN</t>
        </is>
      </c>
      <c r="E1412" t="inlineStr">
        <is>
          <t>HEBY</t>
        </is>
      </c>
      <c r="G1412" t="n">
        <v>10.8</v>
      </c>
      <c r="H1412" t="n">
        <v>0</v>
      </c>
      <c r="I1412" t="n">
        <v>0</v>
      </c>
      <c r="J1412" t="n">
        <v>0</v>
      </c>
      <c r="K1412" t="n">
        <v>0</v>
      </c>
      <c r="L1412" t="n">
        <v>0</v>
      </c>
      <c r="M1412" t="n">
        <v>0</v>
      </c>
      <c r="N1412" t="n">
        <v>0</v>
      </c>
      <c r="O1412" t="n">
        <v>0</v>
      </c>
      <c r="P1412" t="n">
        <v>0</v>
      </c>
      <c r="Q1412" t="n">
        <v>0</v>
      </c>
      <c r="R1412" s="2" t="inlineStr"/>
    </row>
    <row r="1413" ht="15" customHeight="1">
      <c r="A1413" t="inlineStr">
        <is>
          <t>A 22763-2020</t>
        </is>
      </c>
      <c r="B1413" s="1" t="n">
        <v>43963</v>
      </c>
      <c r="C1413" s="1" t="n">
        <v>45792</v>
      </c>
      <c r="D1413" t="inlineStr">
        <is>
          <t>UPPSALA LÄN</t>
        </is>
      </c>
      <c r="E1413" t="inlineStr">
        <is>
          <t>TIERP</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22737-2020</t>
        </is>
      </c>
      <c r="B1414" s="1" t="n">
        <v>43963</v>
      </c>
      <c r="C1414" s="1" t="n">
        <v>45792</v>
      </c>
      <c r="D1414" t="inlineStr">
        <is>
          <t>UPPSALA LÄN</t>
        </is>
      </c>
      <c r="E1414" t="inlineStr">
        <is>
          <t>HEBY</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22772-2020</t>
        </is>
      </c>
      <c r="B1415" s="1" t="n">
        <v>43964</v>
      </c>
      <c r="C1415" s="1" t="n">
        <v>45792</v>
      </c>
      <c r="D1415" t="inlineStr">
        <is>
          <t>UPPSALA LÄN</t>
        </is>
      </c>
      <c r="E1415" t="inlineStr">
        <is>
          <t>ENKÖPING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22802-2020</t>
        </is>
      </c>
      <c r="B1416" s="1" t="n">
        <v>43964</v>
      </c>
      <c r="C1416" s="1" t="n">
        <v>45792</v>
      </c>
      <c r="D1416" t="inlineStr">
        <is>
          <t>UPPSALA LÄN</t>
        </is>
      </c>
      <c r="E1416" t="inlineStr">
        <is>
          <t>TIERP</t>
        </is>
      </c>
      <c r="F1416" t="inlineStr">
        <is>
          <t>Bergvik skog öst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22816-2020</t>
        </is>
      </c>
      <c r="B1417" s="1" t="n">
        <v>43964</v>
      </c>
      <c r="C1417" s="1" t="n">
        <v>45792</v>
      </c>
      <c r="D1417" t="inlineStr">
        <is>
          <t>UPPSALA LÄN</t>
        </is>
      </c>
      <c r="E1417" t="inlineStr">
        <is>
          <t>ENKÖPING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22970-2020</t>
        </is>
      </c>
      <c r="B1418" s="1" t="n">
        <v>43965</v>
      </c>
      <c r="C1418" s="1" t="n">
        <v>45792</v>
      </c>
      <c r="D1418" t="inlineStr">
        <is>
          <t>UPPSALA LÄN</t>
        </is>
      </c>
      <c r="E1418" t="inlineStr">
        <is>
          <t>ENKÖPING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22961-2020</t>
        </is>
      </c>
      <c r="B1419" s="1" t="n">
        <v>43965</v>
      </c>
      <c r="C1419" s="1" t="n">
        <v>45792</v>
      </c>
      <c r="D1419" t="inlineStr">
        <is>
          <t>UPPSALA LÄN</t>
        </is>
      </c>
      <c r="E1419" t="inlineStr">
        <is>
          <t>TIERP</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23621-2020</t>
        </is>
      </c>
      <c r="B1420" s="1" t="n">
        <v>43969</v>
      </c>
      <c r="C1420" s="1" t="n">
        <v>45792</v>
      </c>
      <c r="D1420" t="inlineStr">
        <is>
          <t>UPPSALA LÄN</t>
        </is>
      </c>
      <c r="E1420" t="inlineStr">
        <is>
          <t>ÖSTHAMMAR</t>
        </is>
      </c>
      <c r="F1420" t="inlineStr">
        <is>
          <t>Bergvik skog väst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23782-2020</t>
        </is>
      </c>
      <c r="B1421" s="1" t="n">
        <v>43970</v>
      </c>
      <c r="C1421" s="1" t="n">
        <v>45792</v>
      </c>
      <c r="D1421" t="inlineStr">
        <is>
          <t>UPPSALA LÄN</t>
        </is>
      </c>
      <c r="E1421" t="inlineStr">
        <is>
          <t>ENKÖPING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23809-2020</t>
        </is>
      </c>
      <c r="B1422" s="1" t="n">
        <v>43970</v>
      </c>
      <c r="C1422" s="1" t="n">
        <v>45792</v>
      </c>
      <c r="D1422" t="inlineStr">
        <is>
          <t>UPPSALA LÄN</t>
        </is>
      </c>
      <c r="E1422" t="inlineStr">
        <is>
          <t>ENKÖPING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23808-2020</t>
        </is>
      </c>
      <c r="B1423" s="1" t="n">
        <v>43970</v>
      </c>
      <c r="C1423" s="1" t="n">
        <v>45792</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23906-2020</t>
        </is>
      </c>
      <c r="B1424" s="1" t="n">
        <v>43971</v>
      </c>
      <c r="C1424" s="1" t="n">
        <v>45792</v>
      </c>
      <c r="D1424" t="inlineStr">
        <is>
          <t>UPPSALA LÄN</t>
        </is>
      </c>
      <c r="E1424" t="inlineStr">
        <is>
          <t>HÅBO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24300-2020</t>
        </is>
      </c>
      <c r="B1425" s="1" t="n">
        <v>43973</v>
      </c>
      <c r="C1425" s="1" t="n">
        <v>45792</v>
      </c>
      <c r="D1425" t="inlineStr">
        <is>
          <t>UPPSALA LÄN</t>
        </is>
      </c>
      <c r="E1425" t="inlineStr">
        <is>
          <t>UPPSALA</t>
        </is>
      </c>
      <c r="F1425" t="inlineStr">
        <is>
          <t>Övriga Aktiebolag</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24287-2020</t>
        </is>
      </c>
      <c r="B1426" s="1" t="n">
        <v>43976</v>
      </c>
      <c r="C1426" s="1" t="n">
        <v>45792</v>
      </c>
      <c r="D1426" t="inlineStr">
        <is>
          <t>UPPSALA LÄN</t>
        </is>
      </c>
      <c r="E1426" t="inlineStr">
        <is>
          <t>UPPSALA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24476-2020</t>
        </is>
      </c>
      <c r="B1427" s="1" t="n">
        <v>43977</v>
      </c>
      <c r="C1427" s="1" t="n">
        <v>45792</v>
      </c>
      <c r="D1427" t="inlineStr">
        <is>
          <t>UPPSALA LÄN</t>
        </is>
      </c>
      <c r="E1427" t="inlineStr">
        <is>
          <t>ENKÖPING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24496-2020</t>
        </is>
      </c>
      <c r="B1428" s="1" t="n">
        <v>43977</v>
      </c>
      <c r="C1428" s="1" t="n">
        <v>45792</v>
      </c>
      <c r="D1428" t="inlineStr">
        <is>
          <t>UPPSALA LÄN</t>
        </is>
      </c>
      <c r="E1428" t="inlineStr">
        <is>
          <t>ENKÖPING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25081-2020</t>
        </is>
      </c>
      <c r="B1429" s="1" t="n">
        <v>43979</v>
      </c>
      <c r="C1429" s="1" t="n">
        <v>45792</v>
      </c>
      <c r="D1429" t="inlineStr">
        <is>
          <t>UPPSALA LÄN</t>
        </is>
      </c>
      <c r="E1429" t="inlineStr">
        <is>
          <t>ENKÖPING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25588-2020</t>
        </is>
      </c>
      <c r="B1430" s="1" t="n">
        <v>43983</v>
      </c>
      <c r="C1430" s="1" t="n">
        <v>45792</v>
      </c>
      <c r="D1430" t="inlineStr">
        <is>
          <t>UPPSALA LÄN</t>
        </is>
      </c>
      <c r="E1430" t="inlineStr">
        <is>
          <t>HEBY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25544-2020</t>
        </is>
      </c>
      <c r="B1431" s="1" t="n">
        <v>43983</v>
      </c>
      <c r="C1431" s="1" t="n">
        <v>45792</v>
      </c>
      <c r="D1431" t="inlineStr">
        <is>
          <t>UPPSALA LÄN</t>
        </is>
      </c>
      <c r="E1431" t="inlineStr">
        <is>
          <t>HEBY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25641-2020</t>
        </is>
      </c>
      <c r="B1432" s="1" t="n">
        <v>43983</v>
      </c>
      <c r="C1432" s="1" t="n">
        <v>45792</v>
      </c>
      <c r="D1432" t="inlineStr">
        <is>
          <t>UPPSALA LÄN</t>
        </is>
      </c>
      <c r="E1432" t="inlineStr">
        <is>
          <t>TIERP</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25658-2020</t>
        </is>
      </c>
      <c r="B1433" s="1" t="n">
        <v>43983</v>
      </c>
      <c r="C1433" s="1" t="n">
        <v>45792</v>
      </c>
      <c r="D1433" t="inlineStr">
        <is>
          <t>UPPSALA LÄN</t>
        </is>
      </c>
      <c r="E1433" t="inlineStr">
        <is>
          <t>KNIVSTA</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25687-2020</t>
        </is>
      </c>
      <c r="B1434" s="1" t="n">
        <v>43984</v>
      </c>
      <c r="C1434" s="1" t="n">
        <v>45792</v>
      </c>
      <c r="D1434" t="inlineStr">
        <is>
          <t>UPPSALA LÄN</t>
        </is>
      </c>
      <c r="E1434" t="inlineStr">
        <is>
          <t>HEBY</t>
        </is>
      </c>
      <c r="F1434" t="inlineStr">
        <is>
          <t>Bergvik skog väst AB</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25798-2020</t>
        </is>
      </c>
      <c r="B1435" s="1" t="n">
        <v>43984</v>
      </c>
      <c r="C1435" s="1" t="n">
        <v>45792</v>
      </c>
      <c r="D1435" t="inlineStr">
        <is>
          <t>UPPSALA LÄN</t>
        </is>
      </c>
      <c r="E1435" t="inlineStr">
        <is>
          <t>UPPSALA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25895-2020</t>
        </is>
      </c>
      <c r="B1436" s="1" t="n">
        <v>43984</v>
      </c>
      <c r="C1436" s="1" t="n">
        <v>45792</v>
      </c>
      <c r="D1436" t="inlineStr">
        <is>
          <t>UPPSALA LÄN</t>
        </is>
      </c>
      <c r="E1436" t="inlineStr">
        <is>
          <t>ENKÖPING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26090-2020</t>
        </is>
      </c>
      <c r="B1437" s="1" t="n">
        <v>43985</v>
      </c>
      <c r="C1437" s="1" t="n">
        <v>45792</v>
      </c>
      <c r="D1437" t="inlineStr">
        <is>
          <t>UPPSALA LÄN</t>
        </is>
      </c>
      <c r="E1437" t="inlineStr">
        <is>
          <t>TIERP</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26101-2020</t>
        </is>
      </c>
      <c r="B1438" s="1" t="n">
        <v>43985</v>
      </c>
      <c r="C1438" s="1" t="n">
        <v>45792</v>
      </c>
      <c r="D1438" t="inlineStr">
        <is>
          <t>UPPSALA LÄN</t>
        </is>
      </c>
      <c r="E1438" t="inlineStr">
        <is>
          <t>TIERP</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26032-2020</t>
        </is>
      </c>
      <c r="B1439" s="1" t="n">
        <v>43985</v>
      </c>
      <c r="C1439" s="1" t="n">
        <v>45792</v>
      </c>
      <c r="D1439" t="inlineStr">
        <is>
          <t>UPPSALA LÄN</t>
        </is>
      </c>
      <c r="E1439" t="inlineStr">
        <is>
          <t>ENKÖPING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26095-2020</t>
        </is>
      </c>
      <c r="B1440" s="1" t="n">
        <v>43985</v>
      </c>
      <c r="C1440" s="1" t="n">
        <v>45792</v>
      </c>
      <c r="D1440" t="inlineStr">
        <is>
          <t>UPPSALA LÄN</t>
        </is>
      </c>
      <c r="E1440" t="inlineStr">
        <is>
          <t>TIERP</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26151-2020</t>
        </is>
      </c>
      <c r="B1441" s="1" t="n">
        <v>43985</v>
      </c>
      <c r="C1441" s="1" t="n">
        <v>45792</v>
      </c>
      <c r="D1441" t="inlineStr">
        <is>
          <t>UPPSALA LÄN</t>
        </is>
      </c>
      <c r="E1441" t="inlineStr">
        <is>
          <t>ENKÖPING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26198-2020</t>
        </is>
      </c>
      <c r="B1442" s="1" t="n">
        <v>43986</v>
      </c>
      <c r="C1442" s="1" t="n">
        <v>45792</v>
      </c>
      <c r="D1442" t="inlineStr">
        <is>
          <t>UPPSALA LÄN</t>
        </is>
      </c>
      <c r="E1442" t="inlineStr">
        <is>
          <t>ÖSTHAMMAR</t>
        </is>
      </c>
      <c r="F1442" t="inlineStr">
        <is>
          <t>Bergvik skog öst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26389-2020</t>
        </is>
      </c>
      <c r="B1443" s="1" t="n">
        <v>43987</v>
      </c>
      <c r="C1443" s="1" t="n">
        <v>45792</v>
      </c>
      <c r="D1443" t="inlineStr">
        <is>
          <t>UPPSALA LÄN</t>
        </is>
      </c>
      <c r="E1443" t="inlineStr">
        <is>
          <t>HEBY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26488-2020</t>
        </is>
      </c>
      <c r="B1444" s="1" t="n">
        <v>43987</v>
      </c>
      <c r="C1444" s="1" t="n">
        <v>45792</v>
      </c>
      <c r="D1444" t="inlineStr">
        <is>
          <t>UPPSALA LÄN</t>
        </is>
      </c>
      <c r="E1444" t="inlineStr">
        <is>
          <t>UPPSALA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26492-2020</t>
        </is>
      </c>
      <c r="B1445" s="1" t="n">
        <v>43987</v>
      </c>
      <c r="C1445" s="1" t="n">
        <v>45792</v>
      </c>
      <c r="D1445" t="inlineStr">
        <is>
          <t>UPPSALA LÄN</t>
        </is>
      </c>
      <c r="E1445" t="inlineStr">
        <is>
          <t>UPPSALA</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26856-2020</t>
        </is>
      </c>
      <c r="B1446" s="1" t="n">
        <v>43990</v>
      </c>
      <c r="C1446" s="1" t="n">
        <v>45792</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26860-2020</t>
        </is>
      </c>
      <c r="B1447" s="1" t="n">
        <v>43990</v>
      </c>
      <c r="C1447" s="1" t="n">
        <v>45792</v>
      </c>
      <c r="D1447" t="inlineStr">
        <is>
          <t>UPPSALA LÄN</t>
        </is>
      </c>
      <c r="E1447" t="inlineStr">
        <is>
          <t>ENKÖPING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27462-2020</t>
        </is>
      </c>
      <c r="B1448" s="1" t="n">
        <v>43993</v>
      </c>
      <c r="C1448" s="1" t="n">
        <v>45792</v>
      </c>
      <c r="D1448" t="inlineStr">
        <is>
          <t>UPPSALA LÄN</t>
        </is>
      </c>
      <c r="E1448" t="inlineStr">
        <is>
          <t>TIERP</t>
        </is>
      </c>
      <c r="F1448" t="inlineStr">
        <is>
          <t>Bergvik skog öst AB</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28565-2020</t>
        </is>
      </c>
      <c r="B1449" s="1" t="n">
        <v>43999</v>
      </c>
      <c r="C1449" s="1" t="n">
        <v>45792</v>
      </c>
      <c r="D1449" t="inlineStr">
        <is>
          <t>UPPSALA LÄN</t>
        </is>
      </c>
      <c r="E1449" t="inlineStr">
        <is>
          <t>UPPSALA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28514-2020</t>
        </is>
      </c>
      <c r="B1450" s="1" t="n">
        <v>43999</v>
      </c>
      <c r="C1450" s="1" t="n">
        <v>45792</v>
      </c>
      <c r="D1450" t="inlineStr">
        <is>
          <t>UPPSALA LÄN</t>
        </is>
      </c>
      <c r="E1450" t="inlineStr">
        <is>
          <t>UPPSALA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28799-2020</t>
        </is>
      </c>
      <c r="B1451" s="1" t="n">
        <v>44000</v>
      </c>
      <c r="C1451" s="1" t="n">
        <v>45792</v>
      </c>
      <c r="D1451" t="inlineStr">
        <is>
          <t>UPPSALA LÄN</t>
        </is>
      </c>
      <c r="E1451" t="inlineStr">
        <is>
          <t>ENKÖPING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28993-2020</t>
        </is>
      </c>
      <c r="B1452" s="1" t="n">
        <v>44000</v>
      </c>
      <c r="C1452" s="1" t="n">
        <v>45792</v>
      </c>
      <c r="D1452" t="inlineStr">
        <is>
          <t>UPPSALA LÄN</t>
        </is>
      </c>
      <c r="E1452" t="inlineStr">
        <is>
          <t>UPPSALA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29034-2020</t>
        </is>
      </c>
      <c r="B1453" s="1" t="n">
        <v>44000</v>
      </c>
      <c r="C1453" s="1" t="n">
        <v>45792</v>
      </c>
      <c r="D1453" t="inlineStr">
        <is>
          <t>UPPSALA LÄN</t>
        </is>
      </c>
      <c r="E1453" t="inlineStr">
        <is>
          <t>UPPSALA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28801-2020</t>
        </is>
      </c>
      <c r="B1454" s="1" t="n">
        <v>44000</v>
      </c>
      <c r="C1454" s="1" t="n">
        <v>45792</v>
      </c>
      <c r="D1454" t="inlineStr">
        <is>
          <t>UPPSALA LÄN</t>
        </is>
      </c>
      <c r="E1454" t="inlineStr">
        <is>
          <t>ENKÖPING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29934-2020</t>
        </is>
      </c>
      <c r="B1455" s="1" t="n">
        <v>44006</v>
      </c>
      <c r="C1455" s="1" t="n">
        <v>45792</v>
      </c>
      <c r="D1455" t="inlineStr">
        <is>
          <t>UPPSALA LÄN</t>
        </is>
      </c>
      <c r="E1455" t="inlineStr">
        <is>
          <t>ENKÖPING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29948-2020</t>
        </is>
      </c>
      <c r="B1456" s="1" t="n">
        <v>44006</v>
      </c>
      <c r="C1456" s="1" t="n">
        <v>45792</v>
      </c>
      <c r="D1456" t="inlineStr">
        <is>
          <t>UPPSALA LÄN</t>
        </is>
      </c>
      <c r="E1456" t="inlineStr">
        <is>
          <t>ENKÖPING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29989-2020</t>
        </is>
      </c>
      <c r="B1457" s="1" t="n">
        <v>44006</v>
      </c>
      <c r="C1457" s="1" t="n">
        <v>45792</v>
      </c>
      <c r="D1457" t="inlineStr">
        <is>
          <t>UPPSALA LÄN</t>
        </is>
      </c>
      <c r="E1457" t="inlineStr">
        <is>
          <t>TIERP</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30196-2020</t>
        </is>
      </c>
      <c r="B1458" s="1" t="n">
        <v>44007</v>
      </c>
      <c r="C1458" s="1" t="n">
        <v>45792</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30208-2020</t>
        </is>
      </c>
      <c r="B1459" s="1" t="n">
        <v>44007</v>
      </c>
      <c r="C1459" s="1" t="n">
        <v>45792</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30245-2020</t>
        </is>
      </c>
      <c r="B1460" s="1" t="n">
        <v>44007</v>
      </c>
      <c r="C1460" s="1" t="n">
        <v>45792</v>
      </c>
      <c r="D1460" t="inlineStr">
        <is>
          <t>UPPSALA LÄN</t>
        </is>
      </c>
      <c r="E1460" t="inlineStr">
        <is>
          <t>TIERP</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30338-2020</t>
        </is>
      </c>
      <c r="B1461" s="1" t="n">
        <v>44007</v>
      </c>
      <c r="C1461" s="1" t="n">
        <v>45792</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30280-2020</t>
        </is>
      </c>
      <c r="B1462" s="1" t="n">
        <v>44007</v>
      </c>
      <c r="C1462" s="1" t="n">
        <v>45792</v>
      </c>
      <c r="D1462" t="inlineStr">
        <is>
          <t>UPPSALA LÄN</t>
        </is>
      </c>
      <c r="E1462" t="inlineStr">
        <is>
          <t>ENKÖPING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30419-2020</t>
        </is>
      </c>
      <c r="B1463" s="1" t="n">
        <v>44007</v>
      </c>
      <c r="C1463" s="1" t="n">
        <v>45792</v>
      </c>
      <c r="D1463" t="inlineStr">
        <is>
          <t>UPPSALA LÄN</t>
        </is>
      </c>
      <c r="E1463" t="inlineStr">
        <is>
          <t>ÖSTHAMMAR</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30176-2020</t>
        </is>
      </c>
      <c r="B1464" s="1" t="n">
        <v>44007</v>
      </c>
      <c r="C1464" s="1" t="n">
        <v>45792</v>
      </c>
      <c r="D1464" t="inlineStr">
        <is>
          <t>UPPSALA LÄN</t>
        </is>
      </c>
      <c r="E1464" t="inlineStr">
        <is>
          <t>HEBY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30544-2020</t>
        </is>
      </c>
      <c r="B1465" s="1" t="n">
        <v>44008</v>
      </c>
      <c r="C1465" s="1" t="n">
        <v>45792</v>
      </c>
      <c r="D1465" t="inlineStr">
        <is>
          <t>UPPSALA LÄN</t>
        </is>
      </c>
      <c r="E1465" t="inlineStr">
        <is>
          <t>TIERP</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30571-2020</t>
        </is>
      </c>
      <c r="B1466" s="1" t="n">
        <v>44008</v>
      </c>
      <c r="C1466" s="1" t="n">
        <v>45792</v>
      </c>
      <c r="D1466" t="inlineStr">
        <is>
          <t>UPPSALA LÄN</t>
        </is>
      </c>
      <c r="E1466" t="inlineStr">
        <is>
          <t>ENKÖPING</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31219-2020</t>
        </is>
      </c>
      <c r="B1467" s="1" t="n">
        <v>44012</v>
      </c>
      <c r="C1467" s="1" t="n">
        <v>45792</v>
      </c>
      <c r="D1467" t="inlineStr">
        <is>
          <t>UPPSALA LÄN</t>
        </is>
      </c>
      <c r="E1467" t="inlineStr">
        <is>
          <t>UPPSALA</t>
        </is>
      </c>
      <c r="F1467" t="inlineStr">
        <is>
          <t>Bergvik skog öst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31472-2020</t>
        </is>
      </c>
      <c r="B1468" s="1" t="n">
        <v>44013</v>
      </c>
      <c r="C1468" s="1" t="n">
        <v>45792</v>
      </c>
      <c r="D1468" t="inlineStr">
        <is>
          <t>UPPSALA LÄN</t>
        </is>
      </c>
      <c r="E1468" t="inlineStr">
        <is>
          <t>ENKÖPING</t>
        </is>
      </c>
      <c r="F1468" t="inlineStr">
        <is>
          <t>Kyrkan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31430-2020</t>
        </is>
      </c>
      <c r="B1469" s="1" t="n">
        <v>44013</v>
      </c>
      <c r="C1469" s="1" t="n">
        <v>45792</v>
      </c>
      <c r="D1469" t="inlineStr">
        <is>
          <t>UPPSALA LÄN</t>
        </is>
      </c>
      <c r="E1469" t="inlineStr">
        <is>
          <t>UPPSALA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31473-2020</t>
        </is>
      </c>
      <c r="B1470" s="1" t="n">
        <v>44013</v>
      </c>
      <c r="C1470" s="1" t="n">
        <v>45792</v>
      </c>
      <c r="D1470" t="inlineStr">
        <is>
          <t>UPPSALA LÄN</t>
        </is>
      </c>
      <c r="E1470" t="inlineStr">
        <is>
          <t>ENKÖPING</t>
        </is>
      </c>
      <c r="F1470" t="inlineStr">
        <is>
          <t>Kyrkan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31539-2020</t>
        </is>
      </c>
      <c r="B1471" s="1" t="n">
        <v>44013</v>
      </c>
      <c r="C1471" s="1" t="n">
        <v>45792</v>
      </c>
      <c r="D1471" t="inlineStr">
        <is>
          <t>UPPSALA LÄN</t>
        </is>
      </c>
      <c r="E1471" t="inlineStr">
        <is>
          <t>HEBY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31685-2020</t>
        </is>
      </c>
      <c r="B1472" s="1" t="n">
        <v>44013</v>
      </c>
      <c r="C1472" s="1" t="n">
        <v>45792</v>
      </c>
      <c r="D1472" t="inlineStr">
        <is>
          <t>UPPSALA LÄN</t>
        </is>
      </c>
      <c r="E1472" t="inlineStr">
        <is>
          <t>TIERP</t>
        </is>
      </c>
      <c r="F1472" t="inlineStr">
        <is>
          <t>Bergvik skog väst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31932-2020</t>
        </is>
      </c>
      <c r="B1473" s="1" t="n">
        <v>44014</v>
      </c>
      <c r="C1473" s="1" t="n">
        <v>45792</v>
      </c>
      <c r="D1473" t="inlineStr">
        <is>
          <t>UPPSALA LÄN</t>
        </is>
      </c>
      <c r="E1473" t="inlineStr">
        <is>
          <t>UPPSALA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32192-2020</t>
        </is>
      </c>
      <c r="B1474" s="1" t="n">
        <v>44015</v>
      </c>
      <c r="C1474" s="1" t="n">
        <v>45792</v>
      </c>
      <c r="D1474" t="inlineStr">
        <is>
          <t>UPPSALA LÄN</t>
        </is>
      </c>
      <c r="E1474" t="inlineStr">
        <is>
          <t>ÖSTHAMMAR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32209-2020</t>
        </is>
      </c>
      <c r="B1475" s="1" t="n">
        <v>44015</v>
      </c>
      <c r="C1475" s="1" t="n">
        <v>45792</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32047-2020</t>
        </is>
      </c>
      <c r="B1476" s="1" t="n">
        <v>44015</v>
      </c>
      <c r="C1476" s="1" t="n">
        <v>45792</v>
      </c>
      <c r="D1476" t="inlineStr">
        <is>
          <t>UPPSALA LÄN</t>
        </is>
      </c>
      <c r="E1476" t="inlineStr">
        <is>
          <t>ENKÖPING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32235-2020</t>
        </is>
      </c>
      <c r="B1477" s="1" t="n">
        <v>44015</v>
      </c>
      <c r="C1477" s="1" t="n">
        <v>45792</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32340-2020</t>
        </is>
      </c>
      <c r="B1478" s="1" t="n">
        <v>44016</v>
      </c>
      <c r="C1478" s="1" t="n">
        <v>45792</v>
      </c>
      <c r="D1478" t="inlineStr">
        <is>
          <t>UPPSALA LÄN</t>
        </is>
      </c>
      <c r="E1478" t="inlineStr">
        <is>
          <t>UPPSALA</t>
        </is>
      </c>
      <c r="F1478" t="inlineStr">
        <is>
          <t>Bergvik skog öst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32416-2020</t>
        </is>
      </c>
      <c r="B1479" s="1" t="n">
        <v>44018</v>
      </c>
      <c r="C1479" s="1" t="n">
        <v>45792</v>
      </c>
      <c r="D1479" t="inlineStr">
        <is>
          <t>UPPSALA LÄN</t>
        </is>
      </c>
      <c r="E1479" t="inlineStr">
        <is>
          <t>ÄLVKARLEBY</t>
        </is>
      </c>
      <c r="F1479" t="inlineStr">
        <is>
          <t>Bergvik skog väst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32454-2020</t>
        </is>
      </c>
      <c r="B1480" s="1" t="n">
        <v>44018</v>
      </c>
      <c r="C1480" s="1" t="n">
        <v>45792</v>
      </c>
      <c r="D1480" t="inlineStr">
        <is>
          <t>UPPSALA LÄN</t>
        </is>
      </c>
      <c r="E1480" t="inlineStr">
        <is>
          <t>ENKÖPING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32497-2020</t>
        </is>
      </c>
      <c r="B1481" s="1" t="n">
        <v>44018</v>
      </c>
      <c r="C1481" s="1" t="n">
        <v>45792</v>
      </c>
      <c r="D1481" t="inlineStr">
        <is>
          <t>UPPSALA LÄN</t>
        </is>
      </c>
      <c r="E1481" t="inlineStr">
        <is>
          <t>ENKÖPING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32608-2020</t>
        </is>
      </c>
      <c r="B1482" s="1" t="n">
        <v>44019</v>
      </c>
      <c r="C1482" s="1" t="n">
        <v>45792</v>
      </c>
      <c r="D1482" t="inlineStr">
        <is>
          <t>UPPSALA LÄN</t>
        </is>
      </c>
      <c r="E1482" t="inlineStr">
        <is>
          <t>UPPSALA</t>
        </is>
      </c>
      <c r="F1482" t="inlineStr">
        <is>
          <t>Bergvik skog öst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32953-2020</t>
        </is>
      </c>
      <c r="B1483" s="1" t="n">
        <v>44020</v>
      </c>
      <c r="C1483" s="1" t="n">
        <v>45792</v>
      </c>
      <c r="D1483" t="inlineStr">
        <is>
          <t>UPPSALA LÄN</t>
        </is>
      </c>
      <c r="E1483" t="inlineStr">
        <is>
          <t>KNIVSTA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33076-2020</t>
        </is>
      </c>
      <c r="B1484" s="1" t="n">
        <v>44021</v>
      </c>
      <c r="C1484" s="1" t="n">
        <v>45792</v>
      </c>
      <c r="D1484" t="inlineStr">
        <is>
          <t>UPPSALA LÄN</t>
        </is>
      </c>
      <c r="E1484" t="inlineStr">
        <is>
          <t>TIERP</t>
        </is>
      </c>
      <c r="F1484" t="inlineStr">
        <is>
          <t>Bergvik skog väst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33098-2020</t>
        </is>
      </c>
      <c r="B1485" s="1" t="n">
        <v>44021</v>
      </c>
      <c r="C1485" s="1" t="n">
        <v>45792</v>
      </c>
      <c r="D1485" t="inlineStr">
        <is>
          <t>UPPSALA LÄN</t>
        </is>
      </c>
      <c r="E1485" t="inlineStr">
        <is>
          <t>ÖSTHAMMAR</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33026-2020</t>
        </is>
      </c>
      <c r="B1486" s="1" t="n">
        <v>44021</v>
      </c>
      <c r="C1486" s="1" t="n">
        <v>45792</v>
      </c>
      <c r="D1486" t="inlineStr">
        <is>
          <t>UPPSALA LÄN</t>
        </is>
      </c>
      <c r="E1486" t="inlineStr">
        <is>
          <t>HEBY</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33585-2020</t>
        </is>
      </c>
      <c r="B1487" s="1" t="n">
        <v>44022</v>
      </c>
      <c r="C1487" s="1" t="n">
        <v>45792</v>
      </c>
      <c r="D1487" t="inlineStr">
        <is>
          <t>UPPSALA LÄN</t>
        </is>
      </c>
      <c r="E1487" t="inlineStr">
        <is>
          <t>ENKÖPING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33378-2020</t>
        </is>
      </c>
      <c r="B1488" s="1" t="n">
        <v>44022</v>
      </c>
      <c r="C1488" s="1" t="n">
        <v>45792</v>
      </c>
      <c r="D1488" t="inlineStr">
        <is>
          <t>UPPSALA LÄN</t>
        </is>
      </c>
      <c r="E1488" t="inlineStr">
        <is>
          <t>TIERP</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33545-2020</t>
        </is>
      </c>
      <c r="B1489" s="1" t="n">
        <v>44025</v>
      </c>
      <c r="C1489" s="1" t="n">
        <v>45792</v>
      </c>
      <c r="D1489" t="inlineStr">
        <is>
          <t>UPPSALA LÄN</t>
        </is>
      </c>
      <c r="E1489" t="inlineStr">
        <is>
          <t>HEBY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33873-2020</t>
        </is>
      </c>
      <c r="B1490" s="1" t="n">
        <v>44025</v>
      </c>
      <c r="C1490" s="1" t="n">
        <v>45792</v>
      </c>
      <c r="D1490" t="inlineStr">
        <is>
          <t>UPPSALA LÄN</t>
        </is>
      </c>
      <c r="E1490" t="inlineStr">
        <is>
          <t>TIERP</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33671-2020</t>
        </is>
      </c>
      <c r="B1491" s="1" t="n">
        <v>44026</v>
      </c>
      <c r="C1491" s="1" t="n">
        <v>45792</v>
      </c>
      <c r="D1491" t="inlineStr">
        <is>
          <t>UPPSALA LÄN</t>
        </is>
      </c>
      <c r="E1491" t="inlineStr">
        <is>
          <t>HEBY</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33658-2020</t>
        </is>
      </c>
      <c r="B1492" s="1" t="n">
        <v>44026</v>
      </c>
      <c r="C1492" s="1" t="n">
        <v>45792</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34205-2020</t>
        </is>
      </c>
      <c r="B1493" s="1" t="n">
        <v>44029</v>
      </c>
      <c r="C1493" s="1" t="n">
        <v>45792</v>
      </c>
      <c r="D1493" t="inlineStr">
        <is>
          <t>UPPSALA LÄN</t>
        </is>
      </c>
      <c r="E1493" t="inlineStr">
        <is>
          <t>UPPSALA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34490-2020</t>
        </is>
      </c>
      <c r="B1494" s="1" t="n">
        <v>44029</v>
      </c>
      <c r="C1494" s="1" t="n">
        <v>45792</v>
      </c>
      <c r="D1494" t="inlineStr">
        <is>
          <t>UPPSALA LÄN</t>
        </is>
      </c>
      <c r="E1494" t="inlineStr">
        <is>
          <t>HÅBO</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34494-2020</t>
        </is>
      </c>
      <c r="B1495" s="1" t="n">
        <v>44029</v>
      </c>
      <c r="C1495" s="1" t="n">
        <v>45792</v>
      </c>
      <c r="D1495" t="inlineStr">
        <is>
          <t>UPPSALA LÄN</t>
        </is>
      </c>
      <c r="E1495" t="inlineStr">
        <is>
          <t>TIERP</t>
        </is>
      </c>
      <c r="F1495" t="inlineStr">
        <is>
          <t>Bergvik skog väst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34497-2020</t>
        </is>
      </c>
      <c r="B1496" s="1" t="n">
        <v>44033</v>
      </c>
      <c r="C1496" s="1" t="n">
        <v>45792</v>
      </c>
      <c r="D1496" t="inlineStr">
        <is>
          <t>UPPSALA LÄN</t>
        </is>
      </c>
      <c r="E1496" t="inlineStr">
        <is>
          <t>HÅBO</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34565-2020</t>
        </is>
      </c>
      <c r="B1497" s="1" t="n">
        <v>44033</v>
      </c>
      <c r="C1497" s="1" t="n">
        <v>45792</v>
      </c>
      <c r="D1497" t="inlineStr">
        <is>
          <t>UPPSALA LÄN</t>
        </is>
      </c>
      <c r="E1497" t="inlineStr">
        <is>
          <t>UPPSALA</t>
        </is>
      </c>
      <c r="F1497" t="inlineStr">
        <is>
          <t>Bergvik skog öst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34700-2020</t>
        </is>
      </c>
      <c r="B1498" s="1" t="n">
        <v>44035</v>
      </c>
      <c r="C1498" s="1" t="n">
        <v>45792</v>
      </c>
      <c r="D1498" t="inlineStr">
        <is>
          <t>UPPSALA LÄN</t>
        </is>
      </c>
      <c r="E1498" t="inlineStr">
        <is>
          <t>HEBY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34729-2020</t>
        </is>
      </c>
      <c r="B1499" s="1" t="n">
        <v>44035</v>
      </c>
      <c r="C1499" s="1" t="n">
        <v>45792</v>
      </c>
      <c r="D1499" t="inlineStr">
        <is>
          <t>UPPSALA LÄN</t>
        </is>
      </c>
      <c r="E1499" t="inlineStr">
        <is>
          <t>HEBY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34753-2020</t>
        </is>
      </c>
      <c r="B1500" s="1" t="n">
        <v>44035</v>
      </c>
      <c r="C1500" s="1" t="n">
        <v>45792</v>
      </c>
      <c r="D1500" t="inlineStr">
        <is>
          <t>UPPSALA LÄN</t>
        </is>
      </c>
      <c r="E1500" t="inlineStr">
        <is>
          <t>UPPSALA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34697-2020</t>
        </is>
      </c>
      <c r="B1501" s="1" t="n">
        <v>44035</v>
      </c>
      <c r="C1501" s="1" t="n">
        <v>45792</v>
      </c>
      <c r="D1501" t="inlineStr">
        <is>
          <t>UPPSALA LÄN</t>
        </is>
      </c>
      <c r="E1501" t="inlineStr">
        <is>
          <t>HEBY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34749-2020</t>
        </is>
      </c>
      <c r="B1502" s="1" t="n">
        <v>44035</v>
      </c>
      <c r="C1502" s="1" t="n">
        <v>45792</v>
      </c>
      <c r="D1502" t="inlineStr">
        <is>
          <t>UPPSALA LÄN</t>
        </is>
      </c>
      <c r="E1502" t="inlineStr">
        <is>
          <t>UPPSALA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34943-2020</t>
        </is>
      </c>
      <c r="B1503" s="1" t="n">
        <v>44038</v>
      </c>
      <c r="C1503" s="1" t="n">
        <v>45792</v>
      </c>
      <c r="D1503" t="inlineStr">
        <is>
          <t>UPPSALA LÄN</t>
        </is>
      </c>
      <c r="E1503" t="inlineStr">
        <is>
          <t>ÖSTHAMMAR</t>
        </is>
      </c>
      <c r="F1503" t="inlineStr">
        <is>
          <t>Bergvik skog öst AB</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34941-2020</t>
        </is>
      </c>
      <c r="B1504" s="1" t="n">
        <v>44038</v>
      </c>
      <c r="C1504" s="1" t="n">
        <v>45792</v>
      </c>
      <c r="D1504" t="inlineStr">
        <is>
          <t>UPPSALA LÄN</t>
        </is>
      </c>
      <c r="E1504" t="inlineStr">
        <is>
          <t>ÖSTHAMMAR</t>
        </is>
      </c>
      <c r="F1504" t="inlineStr">
        <is>
          <t>Bergvik skog öst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34940-2020</t>
        </is>
      </c>
      <c r="B1505" s="1" t="n">
        <v>44038</v>
      </c>
      <c r="C1505" s="1" t="n">
        <v>45792</v>
      </c>
      <c r="D1505" t="inlineStr">
        <is>
          <t>UPPSALA LÄN</t>
        </is>
      </c>
      <c r="E1505" t="inlineStr">
        <is>
          <t>ÖSTHAMMAR</t>
        </is>
      </c>
      <c r="F1505" t="inlineStr">
        <is>
          <t>Bergvik skog öst AB</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35094-2020</t>
        </is>
      </c>
      <c r="B1506" s="1" t="n">
        <v>44040</v>
      </c>
      <c r="C1506" s="1" t="n">
        <v>45792</v>
      </c>
      <c r="D1506" t="inlineStr">
        <is>
          <t>UPPSALA LÄN</t>
        </is>
      </c>
      <c r="E1506" t="inlineStr">
        <is>
          <t>ÖSTHAMMAR</t>
        </is>
      </c>
      <c r="F1506" t="inlineStr">
        <is>
          <t>Bergvik skog öst AB</t>
        </is>
      </c>
      <c r="G1506" t="n">
        <v>14.5</v>
      </c>
      <c r="H1506" t="n">
        <v>0</v>
      </c>
      <c r="I1506" t="n">
        <v>0</v>
      </c>
      <c r="J1506" t="n">
        <v>0</v>
      </c>
      <c r="K1506" t="n">
        <v>0</v>
      </c>
      <c r="L1506" t="n">
        <v>0</v>
      </c>
      <c r="M1506" t="n">
        <v>0</v>
      </c>
      <c r="N1506" t="n">
        <v>0</v>
      </c>
      <c r="O1506" t="n">
        <v>0</v>
      </c>
      <c r="P1506" t="n">
        <v>0</v>
      </c>
      <c r="Q1506" t="n">
        <v>0</v>
      </c>
      <c r="R1506" s="2" t="inlineStr"/>
    </row>
    <row r="1507" ht="15" customHeight="1">
      <c r="A1507" t="inlineStr">
        <is>
          <t>A 35096-2020</t>
        </is>
      </c>
      <c r="B1507" s="1" t="n">
        <v>44040</v>
      </c>
      <c r="C1507" s="1" t="n">
        <v>45792</v>
      </c>
      <c r="D1507" t="inlineStr">
        <is>
          <t>UPPSALA LÄN</t>
        </is>
      </c>
      <c r="E1507" t="inlineStr">
        <is>
          <t>ÖSTHAMMAR</t>
        </is>
      </c>
      <c r="F1507" t="inlineStr">
        <is>
          <t>Bergvik skog öst AB</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35281-2020</t>
        </is>
      </c>
      <c r="B1508" s="1" t="n">
        <v>44041</v>
      </c>
      <c r="C1508" s="1" t="n">
        <v>45792</v>
      </c>
      <c r="D1508" t="inlineStr">
        <is>
          <t>UPPSALA LÄN</t>
        </is>
      </c>
      <c r="E1508" t="inlineStr">
        <is>
          <t>UPPSALA</t>
        </is>
      </c>
      <c r="F1508" t="inlineStr">
        <is>
          <t>Bergvik skog öst AB</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35573-2020</t>
        </is>
      </c>
      <c r="B1509" s="1" t="n">
        <v>44043</v>
      </c>
      <c r="C1509" s="1" t="n">
        <v>45792</v>
      </c>
      <c r="D1509" t="inlineStr">
        <is>
          <t>UPPSALA LÄN</t>
        </is>
      </c>
      <c r="E1509" t="inlineStr">
        <is>
          <t>TIERP</t>
        </is>
      </c>
      <c r="F1509" t="inlineStr">
        <is>
          <t>Bergvik skog öst AB</t>
        </is>
      </c>
      <c r="G1509" t="n">
        <v>30.2</v>
      </c>
      <c r="H1509" t="n">
        <v>0</v>
      </c>
      <c r="I1509" t="n">
        <v>0</v>
      </c>
      <c r="J1509" t="n">
        <v>0</v>
      </c>
      <c r="K1509" t="n">
        <v>0</v>
      </c>
      <c r="L1509" t="n">
        <v>0</v>
      </c>
      <c r="M1509" t="n">
        <v>0</v>
      </c>
      <c r="N1509" t="n">
        <v>0</v>
      </c>
      <c r="O1509" t="n">
        <v>0</v>
      </c>
      <c r="P1509" t="n">
        <v>0</v>
      </c>
      <c r="Q1509" t="n">
        <v>0</v>
      </c>
      <c r="R1509" s="2" t="inlineStr"/>
    </row>
    <row r="1510" ht="15" customHeight="1">
      <c r="A1510" t="inlineStr">
        <is>
          <t>A 36035-2020</t>
        </is>
      </c>
      <c r="B1510" s="1" t="n">
        <v>44048</v>
      </c>
      <c r="C1510" s="1" t="n">
        <v>45792</v>
      </c>
      <c r="D1510" t="inlineStr">
        <is>
          <t>UPPSALA LÄN</t>
        </is>
      </c>
      <c r="E1510" t="inlineStr">
        <is>
          <t>UPPSALA</t>
        </is>
      </c>
      <c r="F1510" t="inlineStr">
        <is>
          <t>Bergvik skog öst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36061-2020</t>
        </is>
      </c>
      <c r="B1511" s="1" t="n">
        <v>44048</v>
      </c>
      <c r="C1511" s="1" t="n">
        <v>45792</v>
      </c>
      <c r="D1511" t="inlineStr">
        <is>
          <t>UPPSALA LÄN</t>
        </is>
      </c>
      <c r="E1511" t="inlineStr">
        <is>
          <t>HEBY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36202-2020</t>
        </is>
      </c>
      <c r="B1512" s="1" t="n">
        <v>44048</v>
      </c>
      <c r="C1512" s="1" t="n">
        <v>45792</v>
      </c>
      <c r="D1512" t="inlineStr">
        <is>
          <t>UPPSALA LÄN</t>
        </is>
      </c>
      <c r="E1512" t="inlineStr">
        <is>
          <t>UPPSALA</t>
        </is>
      </c>
      <c r="F1512" t="inlineStr">
        <is>
          <t>Bergvik skog öst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36075-2020</t>
        </is>
      </c>
      <c r="B1513" s="1" t="n">
        <v>44048</v>
      </c>
      <c r="C1513" s="1" t="n">
        <v>45792</v>
      </c>
      <c r="D1513" t="inlineStr">
        <is>
          <t>UPPSALA LÄN</t>
        </is>
      </c>
      <c r="E1513" t="inlineStr">
        <is>
          <t>HEBY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36198-2020</t>
        </is>
      </c>
      <c r="B1514" s="1" t="n">
        <v>44048</v>
      </c>
      <c r="C1514" s="1" t="n">
        <v>45792</v>
      </c>
      <c r="D1514" t="inlineStr">
        <is>
          <t>UPPSALA LÄN</t>
        </is>
      </c>
      <c r="E1514" t="inlineStr">
        <is>
          <t>UPPSALA</t>
        </is>
      </c>
      <c r="F1514" t="inlineStr">
        <is>
          <t>Bergvik skog öst AB</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36350-2020</t>
        </is>
      </c>
      <c r="B1515" s="1" t="n">
        <v>44049</v>
      </c>
      <c r="C1515" s="1" t="n">
        <v>45792</v>
      </c>
      <c r="D1515" t="inlineStr">
        <is>
          <t>UPPSALA LÄN</t>
        </is>
      </c>
      <c r="E1515" t="inlineStr">
        <is>
          <t>UPPSALA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36412-2020</t>
        </is>
      </c>
      <c r="B1516" s="1" t="n">
        <v>44049</v>
      </c>
      <c r="C1516" s="1" t="n">
        <v>45792</v>
      </c>
      <c r="D1516" t="inlineStr">
        <is>
          <t>UPPSALA LÄN</t>
        </is>
      </c>
      <c r="E1516" t="inlineStr">
        <is>
          <t>TIERP</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36512-2020</t>
        </is>
      </c>
      <c r="B1517" s="1" t="n">
        <v>44050</v>
      </c>
      <c r="C1517" s="1" t="n">
        <v>45792</v>
      </c>
      <c r="D1517" t="inlineStr">
        <is>
          <t>UPPSALA LÄN</t>
        </is>
      </c>
      <c r="E1517" t="inlineStr">
        <is>
          <t>UPPSALA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36939-2020</t>
        </is>
      </c>
      <c r="B1518" s="1" t="n">
        <v>44053</v>
      </c>
      <c r="C1518" s="1" t="n">
        <v>45792</v>
      </c>
      <c r="D1518" t="inlineStr">
        <is>
          <t>UPPSALA LÄN</t>
        </is>
      </c>
      <c r="E1518" t="inlineStr">
        <is>
          <t>HEBY</t>
        </is>
      </c>
      <c r="F1518" t="inlineStr">
        <is>
          <t>Bergvik skog väst AB</t>
        </is>
      </c>
      <c r="G1518" t="n">
        <v>18.2</v>
      </c>
      <c r="H1518" t="n">
        <v>0</v>
      </c>
      <c r="I1518" t="n">
        <v>0</v>
      </c>
      <c r="J1518" t="n">
        <v>0</v>
      </c>
      <c r="K1518" t="n">
        <v>0</v>
      </c>
      <c r="L1518" t="n">
        <v>0</v>
      </c>
      <c r="M1518" t="n">
        <v>0</v>
      </c>
      <c r="N1518" t="n">
        <v>0</v>
      </c>
      <c r="O1518" t="n">
        <v>0</v>
      </c>
      <c r="P1518" t="n">
        <v>0</v>
      </c>
      <c r="Q1518" t="n">
        <v>0</v>
      </c>
      <c r="R1518" s="2" t="inlineStr"/>
    </row>
    <row r="1519" ht="15" customHeight="1">
      <c r="A1519" t="inlineStr">
        <is>
          <t>A 37193-2020</t>
        </is>
      </c>
      <c r="B1519" s="1" t="n">
        <v>44054</v>
      </c>
      <c r="C1519" s="1" t="n">
        <v>45792</v>
      </c>
      <c r="D1519" t="inlineStr">
        <is>
          <t>UPPSALA LÄN</t>
        </is>
      </c>
      <c r="E1519" t="inlineStr">
        <is>
          <t>ÄLVKARLEBY</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37276-2020</t>
        </is>
      </c>
      <c r="B1520" s="1" t="n">
        <v>44055</v>
      </c>
      <c r="C1520" s="1" t="n">
        <v>45792</v>
      </c>
      <c r="D1520" t="inlineStr">
        <is>
          <t>UPPSALA LÄN</t>
        </is>
      </c>
      <c r="E1520" t="inlineStr">
        <is>
          <t>UPPSALA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37596-2020</t>
        </is>
      </c>
      <c r="B1521" s="1" t="n">
        <v>44056</v>
      </c>
      <c r="C1521" s="1" t="n">
        <v>45792</v>
      </c>
      <c r="D1521" t="inlineStr">
        <is>
          <t>UPPSALA LÄN</t>
        </is>
      </c>
      <c r="E1521" t="inlineStr">
        <is>
          <t>TIERP</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37669-2020</t>
        </is>
      </c>
      <c r="B1522" s="1" t="n">
        <v>44056</v>
      </c>
      <c r="C1522" s="1" t="n">
        <v>45792</v>
      </c>
      <c r="D1522" t="inlineStr">
        <is>
          <t>UPPSALA LÄN</t>
        </is>
      </c>
      <c r="E1522" t="inlineStr">
        <is>
          <t>UPPSALA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37680-2020</t>
        </is>
      </c>
      <c r="B1523" s="1" t="n">
        <v>44056</v>
      </c>
      <c r="C1523" s="1" t="n">
        <v>45792</v>
      </c>
      <c r="D1523" t="inlineStr">
        <is>
          <t>UPPSALA LÄN</t>
        </is>
      </c>
      <c r="E1523" t="inlineStr">
        <is>
          <t>TIERP</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37738-2020</t>
        </is>
      </c>
      <c r="B1524" s="1" t="n">
        <v>44056</v>
      </c>
      <c r="C1524" s="1" t="n">
        <v>45792</v>
      </c>
      <c r="D1524" t="inlineStr">
        <is>
          <t>UPPSALA LÄN</t>
        </is>
      </c>
      <c r="E1524" t="inlineStr">
        <is>
          <t>ENKÖPING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37691-2020</t>
        </is>
      </c>
      <c r="B1525" s="1" t="n">
        <v>44056</v>
      </c>
      <c r="C1525" s="1" t="n">
        <v>45792</v>
      </c>
      <c r="D1525" t="inlineStr">
        <is>
          <t>UPPSALA LÄN</t>
        </is>
      </c>
      <c r="E1525" t="inlineStr">
        <is>
          <t>TIERP</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38285-2020</t>
        </is>
      </c>
      <c r="B1526" s="1" t="n">
        <v>44060</v>
      </c>
      <c r="C1526" s="1" t="n">
        <v>45792</v>
      </c>
      <c r="D1526" t="inlineStr">
        <is>
          <t>UPPSALA LÄN</t>
        </is>
      </c>
      <c r="E1526" t="inlineStr">
        <is>
          <t>ÖSTHAMMAR</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38630-2020</t>
        </is>
      </c>
      <c r="B1527" s="1" t="n">
        <v>44061</v>
      </c>
      <c r="C1527" s="1" t="n">
        <v>45792</v>
      </c>
      <c r="D1527" t="inlineStr">
        <is>
          <t>UPPSALA LÄN</t>
        </is>
      </c>
      <c r="E1527" t="inlineStr">
        <is>
          <t>ÖSTHAMMAR</t>
        </is>
      </c>
      <c r="F1527" t="inlineStr">
        <is>
          <t>Bergvik skog öst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39233-2020</t>
        </is>
      </c>
      <c r="B1528" s="1" t="n">
        <v>44063</v>
      </c>
      <c r="C1528" s="1" t="n">
        <v>45792</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39178-2020</t>
        </is>
      </c>
      <c r="B1529" s="1" t="n">
        <v>44063</v>
      </c>
      <c r="C1529" s="1" t="n">
        <v>45792</v>
      </c>
      <c r="D1529" t="inlineStr">
        <is>
          <t>UPPSALA LÄN</t>
        </is>
      </c>
      <c r="E1529" t="inlineStr">
        <is>
          <t>UPPSALA</t>
        </is>
      </c>
      <c r="F1529" t="inlineStr">
        <is>
          <t>Bergvik skog öst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39236-2020</t>
        </is>
      </c>
      <c r="B1530" s="1" t="n">
        <v>44063</v>
      </c>
      <c r="C1530" s="1" t="n">
        <v>45792</v>
      </c>
      <c r="D1530" t="inlineStr">
        <is>
          <t>UPPSALA LÄN</t>
        </is>
      </c>
      <c r="E1530" t="inlineStr">
        <is>
          <t>UPPSALA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39272-2020</t>
        </is>
      </c>
      <c r="B1531" s="1" t="n">
        <v>44063</v>
      </c>
      <c r="C1531" s="1" t="n">
        <v>45792</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39640-2020</t>
        </is>
      </c>
      <c r="B1532" s="1" t="n">
        <v>44064</v>
      </c>
      <c r="C1532" s="1" t="n">
        <v>45792</v>
      </c>
      <c r="D1532" t="inlineStr">
        <is>
          <t>UPPSALA LÄN</t>
        </is>
      </c>
      <c r="E1532" t="inlineStr">
        <is>
          <t>ÖSTHAMMAR</t>
        </is>
      </c>
      <c r="F1532" t="inlineStr">
        <is>
          <t>Bergvik skog öst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39935-2020</t>
        </is>
      </c>
      <c r="B1533" s="1" t="n">
        <v>44067</v>
      </c>
      <c r="C1533" s="1" t="n">
        <v>45792</v>
      </c>
      <c r="D1533" t="inlineStr">
        <is>
          <t>UPPSALA LÄN</t>
        </is>
      </c>
      <c r="E1533" t="inlineStr">
        <is>
          <t>ENKÖPING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40667-2020</t>
        </is>
      </c>
      <c r="B1534" s="1" t="n">
        <v>44069</v>
      </c>
      <c r="C1534" s="1" t="n">
        <v>45792</v>
      </c>
      <c r="D1534" t="inlineStr">
        <is>
          <t>UPPSALA LÄN</t>
        </is>
      </c>
      <c r="E1534" t="inlineStr">
        <is>
          <t>ÄLVKARLEBY</t>
        </is>
      </c>
      <c r="F1534" t="inlineStr">
        <is>
          <t>Bergvik skog väst AB</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40803-2020</t>
        </is>
      </c>
      <c r="B1535" s="1" t="n">
        <v>44070</v>
      </c>
      <c r="C1535" s="1" t="n">
        <v>45792</v>
      </c>
      <c r="D1535" t="inlineStr">
        <is>
          <t>UPPSALA LÄN</t>
        </is>
      </c>
      <c r="E1535" t="inlineStr">
        <is>
          <t>HEBY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40894-2020</t>
        </is>
      </c>
      <c r="B1536" s="1" t="n">
        <v>44070</v>
      </c>
      <c r="C1536" s="1" t="n">
        <v>45792</v>
      </c>
      <c r="D1536" t="inlineStr">
        <is>
          <t>UPPSALA LÄN</t>
        </is>
      </c>
      <c r="E1536" t="inlineStr">
        <is>
          <t>UPPSALA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41849-2020</t>
        </is>
      </c>
      <c r="B1537" s="1" t="n">
        <v>44074</v>
      </c>
      <c r="C1537" s="1" t="n">
        <v>45792</v>
      </c>
      <c r="D1537" t="inlineStr">
        <is>
          <t>UPPSALA LÄN</t>
        </is>
      </c>
      <c r="E1537" t="inlineStr">
        <is>
          <t>ÖSTHAMMAR</t>
        </is>
      </c>
      <c r="F1537" t="inlineStr">
        <is>
          <t>Bergvik skog öst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42341-2020</t>
        </is>
      </c>
      <c r="B1538" s="1" t="n">
        <v>44076</v>
      </c>
      <c r="C1538" s="1" t="n">
        <v>45792</v>
      </c>
      <c r="D1538" t="inlineStr">
        <is>
          <t>UPPSALA LÄN</t>
        </is>
      </c>
      <c r="E1538" t="inlineStr">
        <is>
          <t>UPPSALA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42549-2020</t>
        </is>
      </c>
      <c r="B1539" s="1" t="n">
        <v>44077</v>
      </c>
      <c r="C1539" s="1" t="n">
        <v>45792</v>
      </c>
      <c r="D1539" t="inlineStr">
        <is>
          <t>UPPSALA LÄN</t>
        </is>
      </c>
      <c r="E1539" t="inlineStr">
        <is>
          <t>ÖSTHAMMAR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43968-2020</t>
        </is>
      </c>
      <c r="B1540" s="1" t="n">
        <v>44083</v>
      </c>
      <c r="C1540" s="1" t="n">
        <v>45792</v>
      </c>
      <c r="D1540" t="inlineStr">
        <is>
          <t>UPPSALA LÄN</t>
        </is>
      </c>
      <c r="E1540" t="inlineStr">
        <is>
          <t>UPPSALA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44089-2020</t>
        </is>
      </c>
      <c r="B1541" s="1" t="n">
        <v>44083</v>
      </c>
      <c r="C1541" s="1" t="n">
        <v>45792</v>
      </c>
      <c r="D1541" t="inlineStr">
        <is>
          <t>UPPSALA LÄN</t>
        </is>
      </c>
      <c r="E1541" t="inlineStr">
        <is>
          <t>KNIVSTA</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45513-2020</t>
        </is>
      </c>
      <c r="B1542" s="1" t="n">
        <v>44085</v>
      </c>
      <c r="C1542" s="1" t="n">
        <v>45792</v>
      </c>
      <c r="D1542" t="inlineStr">
        <is>
          <t>UPPSALA LÄN</t>
        </is>
      </c>
      <c r="E1542" t="inlineStr">
        <is>
          <t>TIERP</t>
        </is>
      </c>
      <c r="F1542" t="inlineStr">
        <is>
          <t>Bergvik skog väst AB</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45938-2020</t>
        </is>
      </c>
      <c r="B1543" s="1" t="n">
        <v>44088</v>
      </c>
      <c r="C1543" s="1" t="n">
        <v>45792</v>
      </c>
      <c r="D1543" t="inlineStr">
        <is>
          <t>UPPSALA LÄN</t>
        </is>
      </c>
      <c r="E1543" t="inlineStr">
        <is>
          <t>TIERP</t>
        </is>
      </c>
      <c r="F1543" t="inlineStr">
        <is>
          <t>Bergvik skog väst AB</t>
        </is>
      </c>
      <c r="G1543" t="n">
        <v>18.5</v>
      </c>
      <c r="H1543" t="n">
        <v>0</v>
      </c>
      <c r="I1543" t="n">
        <v>0</v>
      </c>
      <c r="J1543" t="n">
        <v>0</v>
      </c>
      <c r="K1543" t="n">
        <v>0</v>
      </c>
      <c r="L1543" t="n">
        <v>0</v>
      </c>
      <c r="M1543" t="n">
        <v>0</v>
      </c>
      <c r="N1543" t="n">
        <v>0</v>
      </c>
      <c r="O1543" t="n">
        <v>0</v>
      </c>
      <c r="P1543" t="n">
        <v>0</v>
      </c>
      <c r="Q1543" t="n">
        <v>0</v>
      </c>
      <c r="R1543" s="2" t="inlineStr"/>
    </row>
    <row r="1544" ht="15" customHeight="1">
      <c r="A1544" t="inlineStr">
        <is>
          <t>A 45378-2020</t>
        </is>
      </c>
      <c r="B1544" s="1" t="n">
        <v>44089</v>
      </c>
      <c r="C1544" s="1" t="n">
        <v>45792</v>
      </c>
      <c r="D1544" t="inlineStr">
        <is>
          <t>UPPSALA LÄN</t>
        </is>
      </c>
      <c r="E1544" t="inlineStr">
        <is>
          <t>ENKÖPING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45497-2020</t>
        </is>
      </c>
      <c r="B1545" s="1" t="n">
        <v>44089</v>
      </c>
      <c r="C1545" s="1" t="n">
        <v>45792</v>
      </c>
      <c r="D1545" t="inlineStr">
        <is>
          <t>UPPSALA LÄN</t>
        </is>
      </c>
      <c r="E1545" t="inlineStr">
        <is>
          <t>HEBY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45930-2020</t>
        </is>
      </c>
      <c r="B1546" s="1" t="n">
        <v>44091</v>
      </c>
      <c r="C1546" s="1" t="n">
        <v>45792</v>
      </c>
      <c r="D1546" t="inlineStr">
        <is>
          <t>UPPSALA LÄN</t>
        </is>
      </c>
      <c r="E1546" t="inlineStr">
        <is>
          <t>UPPSALA</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46223-2020</t>
        </is>
      </c>
      <c r="B1547" s="1" t="n">
        <v>44092</v>
      </c>
      <c r="C1547" s="1" t="n">
        <v>45792</v>
      </c>
      <c r="D1547" t="inlineStr">
        <is>
          <t>UPPSALA LÄN</t>
        </is>
      </c>
      <c r="E1547" t="inlineStr">
        <is>
          <t>HEBY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46311-2020</t>
        </is>
      </c>
      <c r="B1548" s="1" t="n">
        <v>44092</v>
      </c>
      <c r="C1548" s="1" t="n">
        <v>45792</v>
      </c>
      <c r="D1548" t="inlineStr">
        <is>
          <t>UPPSALA LÄN</t>
        </is>
      </c>
      <c r="E1548" t="inlineStr">
        <is>
          <t>ÖSTHAMMAR</t>
        </is>
      </c>
      <c r="F1548" t="inlineStr">
        <is>
          <t>Bergvik skog öst AB</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46593-2020</t>
        </is>
      </c>
      <c r="B1549" s="1" t="n">
        <v>44095</v>
      </c>
      <c r="C1549" s="1" t="n">
        <v>45792</v>
      </c>
      <c r="D1549" t="inlineStr">
        <is>
          <t>UPPSALA LÄN</t>
        </is>
      </c>
      <c r="E1549" t="inlineStr">
        <is>
          <t>ENKÖPING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46633-2020</t>
        </is>
      </c>
      <c r="B1550" s="1" t="n">
        <v>44095</v>
      </c>
      <c r="C1550" s="1" t="n">
        <v>45792</v>
      </c>
      <c r="D1550" t="inlineStr">
        <is>
          <t>UPPSALA LÄN</t>
        </is>
      </c>
      <c r="E1550" t="inlineStr">
        <is>
          <t>UPPSALA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46423-2020</t>
        </is>
      </c>
      <c r="B1551" s="1" t="n">
        <v>44095</v>
      </c>
      <c r="C1551" s="1" t="n">
        <v>45792</v>
      </c>
      <c r="D1551" t="inlineStr">
        <is>
          <t>UPPSALA LÄN</t>
        </is>
      </c>
      <c r="E1551" t="inlineStr">
        <is>
          <t>ÖSTHAMMAR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46643-2020</t>
        </is>
      </c>
      <c r="B1552" s="1" t="n">
        <v>44095</v>
      </c>
      <c r="C1552" s="1" t="n">
        <v>45792</v>
      </c>
      <c r="D1552" t="inlineStr">
        <is>
          <t>UPPSALA LÄN</t>
        </is>
      </c>
      <c r="E1552" t="inlineStr">
        <is>
          <t>HEBY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46647-2020</t>
        </is>
      </c>
      <c r="B1553" s="1" t="n">
        <v>44095</v>
      </c>
      <c r="C1553" s="1" t="n">
        <v>45792</v>
      </c>
      <c r="D1553" t="inlineStr">
        <is>
          <t>UPPSALA LÄN</t>
        </is>
      </c>
      <c r="E1553" t="inlineStr">
        <is>
          <t>UPPSALA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46988-2020</t>
        </is>
      </c>
      <c r="B1554" s="1" t="n">
        <v>44096</v>
      </c>
      <c r="C1554" s="1" t="n">
        <v>45792</v>
      </c>
      <c r="D1554" t="inlineStr">
        <is>
          <t>UPPSALA LÄN</t>
        </is>
      </c>
      <c r="E1554" t="inlineStr">
        <is>
          <t>KNIVSTA</t>
        </is>
      </c>
      <c r="F1554" t="inlineStr">
        <is>
          <t>Holmen skog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47234-2020</t>
        </is>
      </c>
      <c r="B1555" s="1" t="n">
        <v>44097</v>
      </c>
      <c r="C1555" s="1" t="n">
        <v>45792</v>
      </c>
      <c r="D1555" t="inlineStr">
        <is>
          <t>UPPSALA LÄN</t>
        </is>
      </c>
      <c r="E1555" t="inlineStr">
        <is>
          <t>TIERP</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47149-2020</t>
        </is>
      </c>
      <c r="B1556" s="1" t="n">
        <v>44097</v>
      </c>
      <c r="C1556" s="1" t="n">
        <v>45792</v>
      </c>
      <c r="D1556" t="inlineStr">
        <is>
          <t>UPPSALA LÄN</t>
        </is>
      </c>
      <c r="E1556" t="inlineStr">
        <is>
          <t>HEBY</t>
        </is>
      </c>
      <c r="F1556" t="inlineStr">
        <is>
          <t>Övriga Aktiebolag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47628-2020</t>
        </is>
      </c>
      <c r="B1557" s="1" t="n">
        <v>44098</v>
      </c>
      <c r="C1557" s="1" t="n">
        <v>45792</v>
      </c>
      <c r="D1557" t="inlineStr">
        <is>
          <t>UPPSALA LÄN</t>
        </is>
      </c>
      <c r="E1557" t="inlineStr">
        <is>
          <t>HEBY</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47481-2020</t>
        </is>
      </c>
      <c r="B1558" s="1" t="n">
        <v>44098</v>
      </c>
      <c r="C1558" s="1" t="n">
        <v>45792</v>
      </c>
      <c r="D1558" t="inlineStr">
        <is>
          <t>UPPSALA LÄN</t>
        </is>
      </c>
      <c r="E1558" t="inlineStr">
        <is>
          <t>ÖSTHAMMAR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48181-2020</t>
        </is>
      </c>
      <c r="B1559" s="1" t="n">
        <v>44102</v>
      </c>
      <c r="C1559" s="1" t="n">
        <v>45792</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48362-2020</t>
        </is>
      </c>
      <c r="B1560" s="1" t="n">
        <v>44102</v>
      </c>
      <c r="C1560" s="1" t="n">
        <v>45792</v>
      </c>
      <c r="D1560" t="inlineStr">
        <is>
          <t>UPPSALA LÄN</t>
        </is>
      </c>
      <c r="E1560" t="inlineStr">
        <is>
          <t>ENKÖPING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48484-2020</t>
        </is>
      </c>
      <c r="B1561" s="1" t="n">
        <v>44103</v>
      </c>
      <c r="C1561" s="1" t="n">
        <v>45792</v>
      </c>
      <c r="D1561" t="inlineStr">
        <is>
          <t>UPPSALA LÄN</t>
        </is>
      </c>
      <c r="E1561" t="inlineStr">
        <is>
          <t>ENKÖPING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48548-2020</t>
        </is>
      </c>
      <c r="B1562" s="1" t="n">
        <v>44103</v>
      </c>
      <c r="C1562" s="1" t="n">
        <v>45792</v>
      </c>
      <c r="D1562" t="inlineStr">
        <is>
          <t>UPPSALA LÄN</t>
        </is>
      </c>
      <c r="E1562" t="inlineStr">
        <is>
          <t>HEBY</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48786-2020</t>
        </is>
      </c>
      <c r="B1563" s="1" t="n">
        <v>44103</v>
      </c>
      <c r="C1563" s="1" t="n">
        <v>45792</v>
      </c>
      <c r="D1563" t="inlineStr">
        <is>
          <t>UPPSALA LÄN</t>
        </is>
      </c>
      <c r="E1563" t="inlineStr">
        <is>
          <t>UPPSALA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49206-2020</t>
        </is>
      </c>
      <c r="B1564" s="1" t="n">
        <v>44105</v>
      </c>
      <c r="C1564" s="1" t="n">
        <v>45792</v>
      </c>
      <c r="D1564" t="inlineStr">
        <is>
          <t>UPPSALA LÄN</t>
        </is>
      </c>
      <c r="E1564" t="inlineStr">
        <is>
          <t>ÖSTHAMMAR</t>
        </is>
      </c>
      <c r="F1564" t="inlineStr">
        <is>
          <t>Bergvik skog öst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49336-2020</t>
        </is>
      </c>
      <c r="B1565" s="1" t="n">
        <v>44105</v>
      </c>
      <c r="C1565" s="1" t="n">
        <v>45792</v>
      </c>
      <c r="D1565" t="inlineStr">
        <is>
          <t>UPPSALA LÄN</t>
        </is>
      </c>
      <c r="E1565" t="inlineStr">
        <is>
          <t>ÖSTHAMMAR</t>
        </is>
      </c>
      <c r="F1565" t="inlineStr">
        <is>
          <t>Övriga Aktiebolag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49363-2020</t>
        </is>
      </c>
      <c r="B1566" s="1" t="n">
        <v>44105</v>
      </c>
      <c r="C1566" s="1" t="n">
        <v>45792</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49409-2020</t>
        </is>
      </c>
      <c r="B1567" s="1" t="n">
        <v>44105</v>
      </c>
      <c r="C1567" s="1" t="n">
        <v>45792</v>
      </c>
      <c r="D1567" t="inlineStr">
        <is>
          <t>UPPSALA LÄN</t>
        </is>
      </c>
      <c r="E1567" t="inlineStr">
        <is>
          <t>UPPSALA</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49404-2020</t>
        </is>
      </c>
      <c r="B1568" s="1" t="n">
        <v>44105</v>
      </c>
      <c r="C1568" s="1" t="n">
        <v>45792</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49718-2020</t>
        </is>
      </c>
      <c r="B1569" s="1" t="n">
        <v>44106</v>
      </c>
      <c r="C1569" s="1" t="n">
        <v>45792</v>
      </c>
      <c r="D1569" t="inlineStr">
        <is>
          <t>UPPSALA LÄN</t>
        </is>
      </c>
      <c r="E1569" t="inlineStr">
        <is>
          <t>TIERP</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49821-2020</t>
        </is>
      </c>
      <c r="B1570" s="1" t="n">
        <v>44106</v>
      </c>
      <c r="C1570" s="1" t="n">
        <v>45792</v>
      </c>
      <c r="D1570" t="inlineStr">
        <is>
          <t>UPPSALA LÄN</t>
        </is>
      </c>
      <c r="E1570" t="inlineStr">
        <is>
          <t>UPPSALA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51400-2020</t>
        </is>
      </c>
      <c r="B1571" s="1" t="n">
        <v>44106</v>
      </c>
      <c r="C1571" s="1" t="n">
        <v>45792</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49931-2020</t>
        </is>
      </c>
      <c r="B1572" s="1" t="n">
        <v>44109</v>
      </c>
      <c r="C1572" s="1" t="n">
        <v>45792</v>
      </c>
      <c r="D1572" t="inlineStr">
        <is>
          <t>UPPSALA LÄN</t>
        </is>
      </c>
      <c r="E1572" t="inlineStr">
        <is>
          <t>UPPSALA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50413-2020</t>
        </is>
      </c>
      <c r="B1573" s="1" t="n">
        <v>44110</v>
      </c>
      <c r="C1573" s="1" t="n">
        <v>45792</v>
      </c>
      <c r="D1573" t="inlineStr">
        <is>
          <t>UPPSALA LÄN</t>
        </is>
      </c>
      <c r="E1573" t="inlineStr">
        <is>
          <t>ÄLVKARLEBY</t>
        </is>
      </c>
      <c r="F1573" t="inlineStr">
        <is>
          <t>Bergvik skog väst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50416-2020</t>
        </is>
      </c>
      <c r="B1574" s="1" t="n">
        <v>44110</v>
      </c>
      <c r="C1574" s="1" t="n">
        <v>45792</v>
      </c>
      <c r="D1574" t="inlineStr">
        <is>
          <t>UPPSALA LÄN</t>
        </is>
      </c>
      <c r="E1574" t="inlineStr">
        <is>
          <t>ÄLVKARLEBY</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50409-2020</t>
        </is>
      </c>
      <c r="B1575" s="1" t="n">
        <v>44110</v>
      </c>
      <c r="C1575" s="1" t="n">
        <v>45792</v>
      </c>
      <c r="D1575" t="inlineStr">
        <is>
          <t>UPPSALA LÄN</t>
        </is>
      </c>
      <c r="E1575" t="inlineStr">
        <is>
          <t>ÄLVKARLEBY</t>
        </is>
      </c>
      <c r="F1575" t="inlineStr">
        <is>
          <t>Bergvik skog väst AB</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50589-2020</t>
        </is>
      </c>
      <c r="B1576" s="1" t="n">
        <v>44110</v>
      </c>
      <c r="C1576" s="1" t="n">
        <v>45792</v>
      </c>
      <c r="D1576" t="inlineStr">
        <is>
          <t>UPPSALA LÄN</t>
        </is>
      </c>
      <c r="E1576" t="inlineStr">
        <is>
          <t>HEBY</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51943-2020</t>
        </is>
      </c>
      <c r="B1577" s="1" t="n">
        <v>44110</v>
      </c>
      <c r="C1577" s="1" t="n">
        <v>45792</v>
      </c>
      <c r="D1577" t="inlineStr">
        <is>
          <t>UPPSALA LÄN</t>
        </is>
      </c>
      <c r="E1577" t="inlineStr">
        <is>
          <t>HEBY</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50677-2020</t>
        </is>
      </c>
      <c r="B1578" s="1" t="n">
        <v>44111</v>
      </c>
      <c r="C1578" s="1" t="n">
        <v>45792</v>
      </c>
      <c r="D1578" t="inlineStr">
        <is>
          <t>UPPSALA LÄN</t>
        </is>
      </c>
      <c r="E1578" t="inlineStr">
        <is>
          <t>TIERP</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50735-2020</t>
        </is>
      </c>
      <c r="B1579" s="1" t="n">
        <v>44111</v>
      </c>
      <c r="C1579" s="1" t="n">
        <v>45792</v>
      </c>
      <c r="D1579" t="inlineStr">
        <is>
          <t>UPPSALA LÄN</t>
        </is>
      </c>
      <c r="E1579" t="inlineStr">
        <is>
          <t>TIERP</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51092-2020</t>
        </is>
      </c>
      <c r="B1580" s="1" t="n">
        <v>44112</v>
      </c>
      <c r="C1580" s="1" t="n">
        <v>45792</v>
      </c>
      <c r="D1580" t="inlineStr">
        <is>
          <t>UPPSALA LÄN</t>
        </is>
      </c>
      <c r="E1580" t="inlineStr">
        <is>
          <t>ENKÖPING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51091-2020</t>
        </is>
      </c>
      <c r="B1581" s="1" t="n">
        <v>44112</v>
      </c>
      <c r="C1581" s="1" t="n">
        <v>45792</v>
      </c>
      <c r="D1581" t="inlineStr">
        <is>
          <t>UPPSALA LÄN</t>
        </is>
      </c>
      <c r="E1581" t="inlineStr">
        <is>
          <t>ENKÖPING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51808-2020</t>
        </is>
      </c>
      <c r="B1582" s="1" t="n">
        <v>44116</v>
      </c>
      <c r="C1582" s="1" t="n">
        <v>45792</v>
      </c>
      <c r="D1582" t="inlineStr">
        <is>
          <t>UPPSALA LÄN</t>
        </is>
      </c>
      <c r="E1582" t="inlineStr">
        <is>
          <t>TIERP</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52182-2020</t>
        </is>
      </c>
      <c r="B1583" s="1" t="n">
        <v>44117</v>
      </c>
      <c r="C1583" s="1" t="n">
        <v>45792</v>
      </c>
      <c r="D1583" t="inlineStr">
        <is>
          <t>UPPSALA LÄN</t>
        </is>
      </c>
      <c r="E1583" t="inlineStr">
        <is>
          <t>HEBY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52308-2020</t>
        </is>
      </c>
      <c r="B1584" s="1" t="n">
        <v>44117</v>
      </c>
      <c r="C1584" s="1" t="n">
        <v>45792</v>
      </c>
      <c r="D1584" t="inlineStr">
        <is>
          <t>UPPSALA LÄN</t>
        </is>
      </c>
      <c r="E1584" t="inlineStr">
        <is>
          <t>ENKÖPING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52102-2020</t>
        </is>
      </c>
      <c r="B1585" s="1" t="n">
        <v>44117</v>
      </c>
      <c r="C1585" s="1" t="n">
        <v>45792</v>
      </c>
      <c r="D1585" t="inlineStr">
        <is>
          <t>UPPSALA LÄN</t>
        </is>
      </c>
      <c r="E1585" t="inlineStr">
        <is>
          <t>ENKÖPING</t>
        </is>
      </c>
      <c r="F1585" t="inlineStr">
        <is>
          <t>Allmännings- och besparingsskogar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52169-2020</t>
        </is>
      </c>
      <c r="B1586" s="1" t="n">
        <v>44117</v>
      </c>
      <c r="C1586" s="1" t="n">
        <v>45792</v>
      </c>
      <c r="D1586" t="inlineStr">
        <is>
          <t>UPPSALA LÄN</t>
        </is>
      </c>
      <c r="E1586" t="inlineStr">
        <is>
          <t>ENKÖPING</t>
        </is>
      </c>
      <c r="F1586" t="inlineStr">
        <is>
          <t>Allmännings- och besparingsskogar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52243-2020</t>
        </is>
      </c>
      <c r="B1587" s="1" t="n">
        <v>44117</v>
      </c>
      <c r="C1587" s="1" t="n">
        <v>45792</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52223-2020</t>
        </is>
      </c>
      <c r="B1588" s="1" t="n">
        <v>44117</v>
      </c>
      <c r="C1588" s="1" t="n">
        <v>45792</v>
      </c>
      <c r="D1588" t="inlineStr">
        <is>
          <t>UPPSALA LÄN</t>
        </is>
      </c>
      <c r="E1588" t="inlineStr">
        <is>
          <t>ENKÖPING</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52432-2020</t>
        </is>
      </c>
      <c r="B1589" s="1" t="n">
        <v>44118</v>
      </c>
      <c r="C1589" s="1" t="n">
        <v>45792</v>
      </c>
      <c r="D1589" t="inlineStr">
        <is>
          <t>UPPSALA LÄN</t>
        </is>
      </c>
      <c r="E1589" t="inlineStr">
        <is>
          <t>ÖSTHAMMAR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52464-2020</t>
        </is>
      </c>
      <c r="B1590" s="1" t="n">
        <v>44118</v>
      </c>
      <c r="C1590" s="1" t="n">
        <v>45792</v>
      </c>
      <c r="D1590" t="inlineStr">
        <is>
          <t>UPPSALA LÄN</t>
        </is>
      </c>
      <c r="E1590" t="inlineStr">
        <is>
          <t>ENKÖPING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52434-2020</t>
        </is>
      </c>
      <c r="B1591" s="1" t="n">
        <v>44118</v>
      </c>
      <c r="C1591" s="1" t="n">
        <v>45792</v>
      </c>
      <c r="D1591" t="inlineStr">
        <is>
          <t>UPPSALA LÄN</t>
        </is>
      </c>
      <c r="E1591" t="inlineStr">
        <is>
          <t>ÖSTHAMMAR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52717-2020</t>
        </is>
      </c>
      <c r="B1592" s="1" t="n">
        <v>44119</v>
      </c>
      <c r="C1592" s="1" t="n">
        <v>45792</v>
      </c>
      <c r="D1592" t="inlineStr">
        <is>
          <t>UPPSALA LÄN</t>
        </is>
      </c>
      <c r="E1592" t="inlineStr">
        <is>
          <t>UPPSALA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53137-2020</t>
        </is>
      </c>
      <c r="B1593" s="1" t="n">
        <v>44120</v>
      </c>
      <c r="C1593" s="1" t="n">
        <v>45792</v>
      </c>
      <c r="D1593" t="inlineStr">
        <is>
          <t>UPPSALA LÄN</t>
        </is>
      </c>
      <c r="E1593" t="inlineStr">
        <is>
          <t>ÖSTHAMMAR</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53149-2020</t>
        </is>
      </c>
      <c r="B1594" s="1" t="n">
        <v>44120</v>
      </c>
      <c r="C1594" s="1" t="n">
        <v>45792</v>
      </c>
      <c r="D1594" t="inlineStr">
        <is>
          <t>UPPSALA LÄN</t>
        </is>
      </c>
      <c r="E1594" t="inlineStr">
        <is>
          <t>ENKÖPING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53338-2020</t>
        </is>
      </c>
      <c r="B1595" s="1" t="n">
        <v>44123</v>
      </c>
      <c r="C1595" s="1" t="n">
        <v>45792</v>
      </c>
      <c r="D1595" t="inlineStr">
        <is>
          <t>UPPSALA LÄN</t>
        </is>
      </c>
      <c r="E1595" t="inlineStr">
        <is>
          <t>ENKÖPING</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53352-2020</t>
        </is>
      </c>
      <c r="B1596" s="1" t="n">
        <v>44123</v>
      </c>
      <c r="C1596" s="1" t="n">
        <v>45792</v>
      </c>
      <c r="D1596" t="inlineStr">
        <is>
          <t>UPPSALA LÄN</t>
        </is>
      </c>
      <c r="E1596" t="inlineStr">
        <is>
          <t>ENKÖPING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53343-2020</t>
        </is>
      </c>
      <c r="B1597" s="1" t="n">
        <v>44123</v>
      </c>
      <c r="C1597" s="1" t="n">
        <v>45792</v>
      </c>
      <c r="D1597" t="inlineStr">
        <is>
          <t>UPPSALA LÄN</t>
        </is>
      </c>
      <c r="E1597" t="inlineStr">
        <is>
          <t>ENKÖPING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53337-2020</t>
        </is>
      </c>
      <c r="B1598" s="1" t="n">
        <v>44123</v>
      </c>
      <c r="C1598" s="1" t="n">
        <v>45792</v>
      </c>
      <c r="D1598" t="inlineStr">
        <is>
          <t>UPPSALA LÄN</t>
        </is>
      </c>
      <c r="E1598" t="inlineStr">
        <is>
          <t>ENKÖPING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53346-2020</t>
        </is>
      </c>
      <c r="B1599" s="1" t="n">
        <v>44123</v>
      </c>
      <c r="C1599" s="1" t="n">
        <v>45792</v>
      </c>
      <c r="D1599" t="inlineStr">
        <is>
          <t>UPPSALA LÄN</t>
        </is>
      </c>
      <c r="E1599" t="inlineStr">
        <is>
          <t>UPPSALA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53344-2020</t>
        </is>
      </c>
      <c r="B1600" s="1" t="n">
        <v>44123</v>
      </c>
      <c r="C1600" s="1" t="n">
        <v>45792</v>
      </c>
      <c r="D1600" t="inlineStr">
        <is>
          <t>UPPSALA LÄN</t>
        </is>
      </c>
      <c r="E1600" t="inlineStr">
        <is>
          <t>ENKÖPING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53379-2020</t>
        </is>
      </c>
      <c r="B1601" s="1" t="n">
        <v>44123</v>
      </c>
      <c r="C1601" s="1" t="n">
        <v>45792</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53489-2020</t>
        </is>
      </c>
      <c r="B1602" s="1" t="n">
        <v>44123</v>
      </c>
      <c r="C1602" s="1" t="n">
        <v>45792</v>
      </c>
      <c r="D1602" t="inlineStr">
        <is>
          <t>UPPSALA LÄN</t>
        </is>
      </c>
      <c r="E1602" t="inlineStr">
        <is>
          <t>TIERP</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54742-2020</t>
        </is>
      </c>
      <c r="B1603" s="1" t="n">
        <v>44126</v>
      </c>
      <c r="C1603" s="1" t="n">
        <v>45792</v>
      </c>
      <c r="D1603" t="inlineStr">
        <is>
          <t>UPPSALA LÄN</t>
        </is>
      </c>
      <c r="E1603" t="inlineStr">
        <is>
          <t>UPPSALA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54698-2020</t>
        </is>
      </c>
      <c r="B1604" s="1" t="n">
        <v>44127</v>
      </c>
      <c r="C1604" s="1" t="n">
        <v>45792</v>
      </c>
      <c r="D1604" t="inlineStr">
        <is>
          <t>UPPSALA LÄN</t>
        </is>
      </c>
      <c r="E1604" t="inlineStr">
        <is>
          <t>HEBY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55051-2020</t>
        </is>
      </c>
      <c r="B1605" s="1" t="n">
        <v>44130</v>
      </c>
      <c r="C1605" s="1" t="n">
        <v>45792</v>
      </c>
      <c r="D1605" t="inlineStr">
        <is>
          <t>UPPSALA LÄN</t>
        </is>
      </c>
      <c r="E1605" t="inlineStr">
        <is>
          <t>ENKÖPING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55220-2020</t>
        </is>
      </c>
      <c r="B1606" s="1" t="n">
        <v>44130</v>
      </c>
      <c r="C1606" s="1" t="n">
        <v>45792</v>
      </c>
      <c r="D1606" t="inlineStr">
        <is>
          <t>UPPSALA LÄN</t>
        </is>
      </c>
      <c r="E1606" t="inlineStr">
        <is>
          <t>UPPSALA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55389-2020</t>
        </is>
      </c>
      <c r="B1607" s="1" t="n">
        <v>44131</v>
      </c>
      <c r="C1607" s="1" t="n">
        <v>45792</v>
      </c>
      <c r="D1607" t="inlineStr">
        <is>
          <t>UPPSALA LÄN</t>
        </is>
      </c>
      <c r="E1607" t="inlineStr">
        <is>
          <t>ÖSTHAMMAR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55953-2020</t>
        </is>
      </c>
      <c r="B1608" s="1" t="n">
        <v>44131</v>
      </c>
      <c r="C1608" s="1" t="n">
        <v>45792</v>
      </c>
      <c r="D1608" t="inlineStr">
        <is>
          <t>UPPSALA LÄN</t>
        </is>
      </c>
      <c r="E1608" t="inlineStr">
        <is>
          <t>UPPSALA</t>
        </is>
      </c>
      <c r="F1608" t="inlineStr">
        <is>
          <t>Allmännings- och besparingsskogar</t>
        </is>
      </c>
      <c r="G1608" t="n">
        <v>74.40000000000001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56097-2020</t>
        </is>
      </c>
      <c r="B1609" s="1" t="n">
        <v>44131</v>
      </c>
      <c r="C1609" s="1" t="n">
        <v>45792</v>
      </c>
      <c r="D1609" t="inlineStr">
        <is>
          <t>UPPSALA LÄN</t>
        </is>
      </c>
      <c r="E1609" t="inlineStr">
        <is>
          <t>UPPSALA</t>
        </is>
      </c>
      <c r="F1609" t="inlineStr">
        <is>
          <t>Allmännings- och besparingsskogar</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56041-2020</t>
        </is>
      </c>
      <c r="B1610" s="1" t="n">
        <v>44133</v>
      </c>
      <c r="C1610" s="1" t="n">
        <v>45792</v>
      </c>
      <c r="D1610" t="inlineStr">
        <is>
          <t>UPPSALA LÄN</t>
        </is>
      </c>
      <c r="E1610" t="inlineStr">
        <is>
          <t>ÖSTHAMMAR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56079-2020</t>
        </is>
      </c>
      <c r="B1611" s="1" t="n">
        <v>44133</v>
      </c>
      <c r="C1611" s="1" t="n">
        <v>45792</v>
      </c>
      <c r="D1611" t="inlineStr">
        <is>
          <t>UPPSALA LÄN</t>
        </is>
      </c>
      <c r="E1611" t="inlineStr">
        <is>
          <t>ÖSTHAMMAR</t>
        </is>
      </c>
      <c r="F1611" t="inlineStr">
        <is>
          <t>Bergvik skog öst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56089-2020</t>
        </is>
      </c>
      <c r="B1612" s="1" t="n">
        <v>44133</v>
      </c>
      <c r="C1612" s="1" t="n">
        <v>45792</v>
      </c>
      <c r="D1612" t="inlineStr">
        <is>
          <t>UPPSALA LÄN</t>
        </is>
      </c>
      <c r="E1612" t="inlineStr">
        <is>
          <t>ÖSTHAMMAR</t>
        </is>
      </c>
      <c r="F1612" t="inlineStr">
        <is>
          <t>Bergvik skog öst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56466-2020</t>
        </is>
      </c>
      <c r="B1613" s="1" t="n">
        <v>44134</v>
      </c>
      <c r="C1613" s="1" t="n">
        <v>45792</v>
      </c>
      <c r="D1613" t="inlineStr">
        <is>
          <t>UPPSALA LÄN</t>
        </is>
      </c>
      <c r="E1613" t="inlineStr">
        <is>
          <t>UPPSALA</t>
        </is>
      </c>
      <c r="F1613" t="inlineStr">
        <is>
          <t>Övriga Aktiebolag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56317-2020</t>
        </is>
      </c>
      <c r="B1614" s="1" t="n">
        <v>44134</v>
      </c>
      <c r="C1614" s="1" t="n">
        <v>45792</v>
      </c>
      <c r="D1614" t="inlineStr">
        <is>
          <t>UPPSALA LÄN</t>
        </is>
      </c>
      <c r="E1614" t="inlineStr">
        <is>
          <t>HEBY</t>
        </is>
      </c>
      <c r="G1614" t="n">
        <v>23.4</v>
      </c>
      <c r="H1614" t="n">
        <v>0</v>
      </c>
      <c r="I1614" t="n">
        <v>0</v>
      </c>
      <c r="J1614" t="n">
        <v>0</v>
      </c>
      <c r="K1614" t="n">
        <v>0</v>
      </c>
      <c r="L1614" t="n">
        <v>0</v>
      </c>
      <c r="M1614" t="n">
        <v>0</v>
      </c>
      <c r="N1614" t="n">
        <v>0</v>
      </c>
      <c r="O1614" t="n">
        <v>0</v>
      </c>
      <c r="P1614" t="n">
        <v>0</v>
      </c>
      <c r="Q1614" t="n">
        <v>0</v>
      </c>
      <c r="R1614" s="2" t="inlineStr"/>
    </row>
    <row r="1615" ht="15" customHeight="1">
      <c r="A1615" t="inlineStr">
        <is>
          <t>A 57041-2020</t>
        </is>
      </c>
      <c r="B1615" s="1" t="n">
        <v>44137</v>
      </c>
      <c r="C1615" s="1" t="n">
        <v>45792</v>
      </c>
      <c r="D1615" t="inlineStr">
        <is>
          <t>UPPSALA LÄN</t>
        </is>
      </c>
      <c r="E1615" t="inlineStr">
        <is>
          <t>UPPSALA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56919-2020</t>
        </is>
      </c>
      <c r="B1616" s="1" t="n">
        <v>44138</v>
      </c>
      <c r="C1616" s="1" t="n">
        <v>45792</v>
      </c>
      <c r="D1616" t="inlineStr">
        <is>
          <t>UPPSALA LÄN</t>
        </is>
      </c>
      <c r="E1616" t="inlineStr">
        <is>
          <t>ENKÖPING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57286-2020</t>
        </is>
      </c>
      <c r="B1617" s="1" t="n">
        <v>44139</v>
      </c>
      <c r="C1617" s="1" t="n">
        <v>45792</v>
      </c>
      <c r="D1617" t="inlineStr">
        <is>
          <t>UPPSALA LÄN</t>
        </is>
      </c>
      <c r="E1617" t="inlineStr">
        <is>
          <t>KNIVSTA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57271-2020</t>
        </is>
      </c>
      <c r="B1618" s="1" t="n">
        <v>44139</v>
      </c>
      <c r="C1618" s="1" t="n">
        <v>45792</v>
      </c>
      <c r="D1618" t="inlineStr">
        <is>
          <t>UPPSALA LÄN</t>
        </is>
      </c>
      <c r="E1618" t="inlineStr">
        <is>
          <t>UPPSALA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57451-2020</t>
        </is>
      </c>
      <c r="B1619" s="1" t="n">
        <v>44139</v>
      </c>
      <c r="C1619" s="1" t="n">
        <v>45792</v>
      </c>
      <c r="D1619" t="inlineStr">
        <is>
          <t>UPPSALA LÄN</t>
        </is>
      </c>
      <c r="E1619" t="inlineStr">
        <is>
          <t>UPPSALA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57466-2020</t>
        </is>
      </c>
      <c r="B1620" s="1" t="n">
        <v>44139</v>
      </c>
      <c r="C1620" s="1" t="n">
        <v>45792</v>
      </c>
      <c r="D1620" t="inlineStr">
        <is>
          <t>UPPSALA LÄN</t>
        </is>
      </c>
      <c r="E1620" t="inlineStr">
        <is>
          <t>UPPSALA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57559-2020</t>
        </is>
      </c>
      <c r="B1621" s="1" t="n">
        <v>44140</v>
      </c>
      <c r="C1621" s="1" t="n">
        <v>45792</v>
      </c>
      <c r="D1621" t="inlineStr">
        <is>
          <t>UPPSALA LÄN</t>
        </is>
      </c>
      <c r="E1621" t="inlineStr">
        <is>
          <t>KNIVSTA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57408-2020</t>
        </is>
      </c>
      <c r="B1622" s="1" t="n">
        <v>44140</v>
      </c>
      <c r="C1622" s="1" t="n">
        <v>45792</v>
      </c>
      <c r="D1622" t="inlineStr">
        <is>
          <t>UPPSALA LÄN</t>
        </is>
      </c>
      <c r="E1622" t="inlineStr">
        <is>
          <t>ÖSTHAMMAR</t>
        </is>
      </c>
      <c r="F1622" t="inlineStr">
        <is>
          <t>Bergvik skog öst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58070-2020</t>
        </is>
      </c>
      <c r="B1623" s="1" t="n">
        <v>44140</v>
      </c>
      <c r="C1623" s="1" t="n">
        <v>45792</v>
      </c>
      <c r="D1623" t="inlineStr">
        <is>
          <t>UPPSALA LÄN</t>
        </is>
      </c>
      <c r="E1623" t="inlineStr">
        <is>
          <t>UPPSALA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57802-2020</t>
        </is>
      </c>
      <c r="B1624" s="1" t="n">
        <v>44141</v>
      </c>
      <c r="C1624" s="1" t="n">
        <v>45792</v>
      </c>
      <c r="D1624" t="inlineStr">
        <is>
          <t>UPPSALA LÄN</t>
        </is>
      </c>
      <c r="E1624" t="inlineStr">
        <is>
          <t>ENKÖPING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57983-2020</t>
        </is>
      </c>
      <c r="B1625" s="1" t="n">
        <v>44143</v>
      </c>
      <c r="C1625" s="1" t="n">
        <v>45792</v>
      </c>
      <c r="D1625" t="inlineStr">
        <is>
          <t>UPPSALA LÄN</t>
        </is>
      </c>
      <c r="E1625" t="inlineStr">
        <is>
          <t>HÅBO</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58080-2020</t>
        </is>
      </c>
      <c r="B1626" s="1" t="n">
        <v>44144</v>
      </c>
      <c r="C1626" s="1" t="n">
        <v>45792</v>
      </c>
      <c r="D1626" t="inlineStr">
        <is>
          <t>UPPSALA LÄN</t>
        </is>
      </c>
      <c r="E1626" t="inlineStr">
        <is>
          <t>HEBY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58062-2020</t>
        </is>
      </c>
      <c r="B1627" s="1" t="n">
        <v>44144</v>
      </c>
      <c r="C1627" s="1" t="n">
        <v>45792</v>
      </c>
      <c r="D1627" t="inlineStr">
        <is>
          <t>UPPSALA LÄN</t>
        </is>
      </c>
      <c r="E1627" t="inlineStr">
        <is>
          <t>ENKÖPING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58058-2020</t>
        </is>
      </c>
      <c r="B1628" s="1" t="n">
        <v>44144</v>
      </c>
      <c r="C1628" s="1" t="n">
        <v>45792</v>
      </c>
      <c r="D1628" t="inlineStr">
        <is>
          <t>UPPSALA LÄN</t>
        </is>
      </c>
      <c r="E1628" t="inlineStr">
        <is>
          <t>UPPSALA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58056-2020</t>
        </is>
      </c>
      <c r="B1629" s="1" t="n">
        <v>44144</v>
      </c>
      <c r="C1629" s="1" t="n">
        <v>45792</v>
      </c>
      <c r="D1629" t="inlineStr">
        <is>
          <t>UPPSALA LÄN</t>
        </is>
      </c>
      <c r="E1629" t="inlineStr">
        <is>
          <t>UPPSALA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58242-2020</t>
        </is>
      </c>
      <c r="B1630" s="1" t="n">
        <v>44144</v>
      </c>
      <c r="C1630" s="1" t="n">
        <v>45792</v>
      </c>
      <c r="D1630" t="inlineStr">
        <is>
          <t>UPPSALA LÄN</t>
        </is>
      </c>
      <c r="E1630" t="inlineStr">
        <is>
          <t>TIERP</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58288-2020</t>
        </is>
      </c>
      <c r="B1631" s="1" t="n">
        <v>44144</v>
      </c>
      <c r="C1631" s="1" t="n">
        <v>45792</v>
      </c>
      <c r="D1631" t="inlineStr">
        <is>
          <t>UPPSALA LÄN</t>
        </is>
      </c>
      <c r="E1631" t="inlineStr">
        <is>
          <t>UPPSALA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58896-2020</t>
        </is>
      </c>
      <c r="B1632" s="1" t="n">
        <v>44146</v>
      </c>
      <c r="C1632" s="1" t="n">
        <v>45792</v>
      </c>
      <c r="D1632" t="inlineStr">
        <is>
          <t>UPPSALA LÄN</t>
        </is>
      </c>
      <c r="E1632" t="inlineStr">
        <is>
          <t>ENKÖPING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58798-2020</t>
        </is>
      </c>
      <c r="B1633" s="1" t="n">
        <v>44146</v>
      </c>
      <c r="C1633" s="1" t="n">
        <v>45792</v>
      </c>
      <c r="D1633" t="inlineStr">
        <is>
          <t>UPPSALA LÄN</t>
        </is>
      </c>
      <c r="E1633" t="inlineStr">
        <is>
          <t>ENKÖPING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58928-2020</t>
        </is>
      </c>
      <c r="B1634" s="1" t="n">
        <v>44146</v>
      </c>
      <c r="C1634" s="1" t="n">
        <v>45792</v>
      </c>
      <c r="D1634" t="inlineStr">
        <is>
          <t>UPPSALA LÄN</t>
        </is>
      </c>
      <c r="E1634" t="inlineStr">
        <is>
          <t>UPPSALA</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59132-2020</t>
        </is>
      </c>
      <c r="B1635" s="1" t="n">
        <v>44147</v>
      </c>
      <c r="C1635" s="1" t="n">
        <v>45792</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59432-2020</t>
        </is>
      </c>
      <c r="B1636" s="1" t="n">
        <v>44148</v>
      </c>
      <c r="C1636" s="1" t="n">
        <v>45792</v>
      </c>
      <c r="D1636" t="inlineStr">
        <is>
          <t>UPPSALA LÄN</t>
        </is>
      </c>
      <c r="E1636" t="inlineStr">
        <is>
          <t>ÖSTHAMMAR</t>
        </is>
      </c>
      <c r="F1636" t="inlineStr">
        <is>
          <t>Sveaskog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59441-2020</t>
        </is>
      </c>
      <c r="B1637" s="1" t="n">
        <v>44148</v>
      </c>
      <c r="C1637" s="1" t="n">
        <v>45792</v>
      </c>
      <c r="D1637" t="inlineStr">
        <is>
          <t>UPPSALA LÄN</t>
        </is>
      </c>
      <c r="E1637" t="inlineStr">
        <is>
          <t>ENKÖPING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59414-2020</t>
        </is>
      </c>
      <c r="B1638" s="1" t="n">
        <v>44148</v>
      </c>
      <c r="C1638" s="1" t="n">
        <v>45792</v>
      </c>
      <c r="D1638" t="inlineStr">
        <is>
          <t>UPPSALA LÄN</t>
        </is>
      </c>
      <c r="E1638" t="inlineStr">
        <is>
          <t>ÖSTHAMMAR</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59417-2020</t>
        </is>
      </c>
      <c r="B1639" s="1" t="n">
        <v>44148</v>
      </c>
      <c r="C1639" s="1" t="n">
        <v>45792</v>
      </c>
      <c r="D1639" t="inlineStr">
        <is>
          <t>UPPSALA LÄN</t>
        </is>
      </c>
      <c r="E1639" t="inlineStr">
        <is>
          <t>ÖSTHAMMAR</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59428-2020</t>
        </is>
      </c>
      <c r="B1640" s="1" t="n">
        <v>44148</v>
      </c>
      <c r="C1640" s="1" t="n">
        <v>45792</v>
      </c>
      <c r="D1640" t="inlineStr">
        <is>
          <t>UPPSALA LÄN</t>
        </is>
      </c>
      <c r="E1640" t="inlineStr">
        <is>
          <t>ENKÖPING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59625-2020</t>
        </is>
      </c>
      <c r="B1641" s="1" t="n">
        <v>44150</v>
      </c>
      <c r="C1641" s="1" t="n">
        <v>45792</v>
      </c>
      <c r="D1641" t="inlineStr">
        <is>
          <t>UPPSALA LÄN</t>
        </is>
      </c>
      <c r="E1641" t="inlineStr">
        <is>
          <t>TIERP</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59714-2020</t>
        </is>
      </c>
      <c r="B1642" s="1" t="n">
        <v>44151</v>
      </c>
      <c r="C1642" s="1" t="n">
        <v>45792</v>
      </c>
      <c r="D1642" t="inlineStr">
        <is>
          <t>UPPSALA LÄN</t>
        </is>
      </c>
      <c r="E1642" t="inlineStr">
        <is>
          <t>ÖSTHAMMAR</t>
        </is>
      </c>
      <c r="F1642" t="inlineStr">
        <is>
          <t>Bergvik skog öst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59764-2020</t>
        </is>
      </c>
      <c r="B1643" s="1" t="n">
        <v>44151</v>
      </c>
      <c r="C1643" s="1" t="n">
        <v>45792</v>
      </c>
      <c r="D1643" t="inlineStr">
        <is>
          <t>UPPSALA LÄN</t>
        </is>
      </c>
      <c r="E1643" t="inlineStr">
        <is>
          <t>HEBY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59807-2020</t>
        </is>
      </c>
      <c r="B1644" s="1" t="n">
        <v>44151</v>
      </c>
      <c r="C1644" s="1" t="n">
        <v>45792</v>
      </c>
      <c r="D1644" t="inlineStr">
        <is>
          <t>UPPSALA LÄN</t>
        </is>
      </c>
      <c r="E1644" t="inlineStr">
        <is>
          <t>ÖSTHAMMAR</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59865-2020</t>
        </is>
      </c>
      <c r="B1645" s="1" t="n">
        <v>44151</v>
      </c>
      <c r="C1645" s="1" t="n">
        <v>45792</v>
      </c>
      <c r="D1645" t="inlineStr">
        <is>
          <t>UPPSALA LÄN</t>
        </is>
      </c>
      <c r="E1645" t="inlineStr">
        <is>
          <t>TIERP</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59952-2020</t>
        </is>
      </c>
      <c r="B1646" s="1" t="n">
        <v>44151</v>
      </c>
      <c r="C1646" s="1" t="n">
        <v>45792</v>
      </c>
      <c r="D1646" t="inlineStr">
        <is>
          <t>UPPSALA LÄN</t>
        </is>
      </c>
      <c r="E1646" t="inlineStr">
        <is>
          <t>UPPSALA</t>
        </is>
      </c>
      <c r="G1646" t="n">
        <v>25.8</v>
      </c>
      <c r="H1646" t="n">
        <v>0</v>
      </c>
      <c r="I1646" t="n">
        <v>0</v>
      </c>
      <c r="J1646" t="n">
        <v>0</v>
      </c>
      <c r="K1646" t="n">
        <v>0</v>
      </c>
      <c r="L1646" t="n">
        <v>0</v>
      </c>
      <c r="M1646" t="n">
        <v>0</v>
      </c>
      <c r="N1646" t="n">
        <v>0</v>
      </c>
      <c r="O1646" t="n">
        <v>0</v>
      </c>
      <c r="P1646" t="n">
        <v>0</v>
      </c>
      <c r="Q1646" t="n">
        <v>0</v>
      </c>
      <c r="R1646" s="2" t="inlineStr"/>
    </row>
    <row r="1647" ht="15" customHeight="1">
      <c r="A1647" t="inlineStr">
        <is>
          <t>A 60138-2020</t>
        </is>
      </c>
      <c r="B1647" s="1" t="n">
        <v>44151</v>
      </c>
      <c r="C1647" s="1" t="n">
        <v>45792</v>
      </c>
      <c r="D1647" t="inlineStr">
        <is>
          <t>UPPSALA LÄN</t>
        </is>
      </c>
      <c r="E1647" t="inlineStr">
        <is>
          <t>ENKÖPING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60702-2020</t>
        </is>
      </c>
      <c r="B1648" s="1" t="n">
        <v>44153</v>
      </c>
      <c r="C1648" s="1" t="n">
        <v>45792</v>
      </c>
      <c r="D1648" t="inlineStr">
        <is>
          <t>UPPSALA LÄN</t>
        </is>
      </c>
      <c r="E1648" t="inlineStr">
        <is>
          <t>UPPSALA</t>
        </is>
      </c>
      <c r="F1648" t="inlineStr">
        <is>
          <t>Övriga statliga verk och myndigheter</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60769-2020</t>
        </is>
      </c>
      <c r="B1649" s="1" t="n">
        <v>44154</v>
      </c>
      <c r="C1649" s="1" t="n">
        <v>45792</v>
      </c>
      <c r="D1649" t="inlineStr">
        <is>
          <t>UPPSALA LÄN</t>
        </is>
      </c>
      <c r="E1649" t="inlineStr">
        <is>
          <t>TIERP</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61013-2020</t>
        </is>
      </c>
      <c r="B1650" s="1" t="n">
        <v>44154</v>
      </c>
      <c r="C1650" s="1" t="n">
        <v>45792</v>
      </c>
      <c r="D1650" t="inlineStr">
        <is>
          <t>UPPSALA LÄN</t>
        </is>
      </c>
      <c r="E1650" t="inlineStr">
        <is>
          <t>TIERP</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61034-2020</t>
        </is>
      </c>
      <c r="B1651" s="1" t="n">
        <v>44154</v>
      </c>
      <c r="C1651" s="1" t="n">
        <v>45792</v>
      </c>
      <c r="D1651" t="inlineStr">
        <is>
          <t>UPPSALA LÄN</t>
        </is>
      </c>
      <c r="E1651" t="inlineStr">
        <is>
          <t>TIERP</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61265-2020</t>
        </is>
      </c>
      <c r="B1652" s="1" t="n">
        <v>44155</v>
      </c>
      <c r="C1652" s="1" t="n">
        <v>45792</v>
      </c>
      <c r="D1652" t="inlineStr">
        <is>
          <t>UPPSALA LÄN</t>
        </is>
      </c>
      <c r="E1652" t="inlineStr">
        <is>
          <t>UPPSALA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61193-2020</t>
        </is>
      </c>
      <c r="B1653" s="1" t="n">
        <v>44155</v>
      </c>
      <c r="C1653" s="1" t="n">
        <v>45792</v>
      </c>
      <c r="D1653" t="inlineStr">
        <is>
          <t>UPPSALA LÄN</t>
        </is>
      </c>
      <c r="E1653" t="inlineStr">
        <is>
          <t>ÖSTHAMMAR</t>
        </is>
      </c>
      <c r="F1653" t="inlineStr">
        <is>
          <t>Övriga Aktiebolag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61271-2020</t>
        </is>
      </c>
      <c r="B1654" s="1" t="n">
        <v>44155</v>
      </c>
      <c r="C1654" s="1" t="n">
        <v>45792</v>
      </c>
      <c r="D1654" t="inlineStr">
        <is>
          <t>UPPSALA LÄN</t>
        </is>
      </c>
      <c r="E1654" t="inlineStr">
        <is>
          <t>UPPSALA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61711-2020</t>
        </is>
      </c>
      <c r="B1655" s="1" t="n">
        <v>44158</v>
      </c>
      <c r="C1655" s="1" t="n">
        <v>45792</v>
      </c>
      <c r="D1655" t="inlineStr">
        <is>
          <t>UPPSALA LÄN</t>
        </is>
      </c>
      <c r="E1655" t="inlineStr">
        <is>
          <t>ENKÖPING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61616-2020</t>
        </is>
      </c>
      <c r="B1656" s="1" t="n">
        <v>44158</v>
      </c>
      <c r="C1656" s="1" t="n">
        <v>45792</v>
      </c>
      <c r="D1656" t="inlineStr">
        <is>
          <t>UPPSALA LÄN</t>
        </is>
      </c>
      <c r="E1656" t="inlineStr">
        <is>
          <t>HEBY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62094-2020</t>
        </is>
      </c>
      <c r="B1657" s="1" t="n">
        <v>44159</v>
      </c>
      <c r="C1657" s="1" t="n">
        <v>45792</v>
      </c>
      <c r="D1657" t="inlineStr">
        <is>
          <t>UPPSALA LÄN</t>
        </is>
      </c>
      <c r="E1657" t="inlineStr">
        <is>
          <t>UPPSALA</t>
        </is>
      </c>
      <c r="F1657" t="inlineStr">
        <is>
          <t>Bergvik skog öst AB</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62352-2020</t>
        </is>
      </c>
      <c r="B1658" s="1" t="n">
        <v>44159</v>
      </c>
      <c r="C1658" s="1" t="n">
        <v>45792</v>
      </c>
      <c r="D1658" t="inlineStr">
        <is>
          <t>UPPSALA LÄN</t>
        </is>
      </c>
      <c r="E1658" t="inlineStr">
        <is>
          <t>UPPSALA</t>
        </is>
      </c>
      <c r="F1658" t="inlineStr">
        <is>
          <t>Allmännings- och besparingsskogar</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62330-2020</t>
        </is>
      </c>
      <c r="B1659" s="1" t="n">
        <v>44160</v>
      </c>
      <c r="C1659" s="1" t="n">
        <v>45792</v>
      </c>
      <c r="D1659" t="inlineStr">
        <is>
          <t>UPPSALA LÄN</t>
        </is>
      </c>
      <c r="E1659" t="inlineStr">
        <is>
          <t>HEBY</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62484-2020</t>
        </is>
      </c>
      <c r="B1660" s="1" t="n">
        <v>44160</v>
      </c>
      <c r="C1660" s="1" t="n">
        <v>45792</v>
      </c>
      <c r="D1660" t="inlineStr">
        <is>
          <t>UPPSALA LÄN</t>
        </is>
      </c>
      <c r="E1660" t="inlineStr">
        <is>
          <t>ÖSTHAMMAR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62504-2020</t>
        </is>
      </c>
      <c r="B1661" s="1" t="n">
        <v>44160</v>
      </c>
      <c r="C1661" s="1" t="n">
        <v>45792</v>
      </c>
      <c r="D1661" t="inlineStr">
        <is>
          <t>UPPSALA LÄN</t>
        </is>
      </c>
      <c r="E1661" t="inlineStr">
        <is>
          <t>UPPSALA</t>
        </is>
      </c>
      <c r="F1661" t="inlineStr">
        <is>
          <t>Bergvik skog öst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62729-2020</t>
        </is>
      </c>
      <c r="B1662" s="1" t="n">
        <v>44161</v>
      </c>
      <c r="C1662" s="1" t="n">
        <v>45792</v>
      </c>
      <c r="D1662" t="inlineStr">
        <is>
          <t>UPPSALA LÄN</t>
        </is>
      </c>
      <c r="E1662" t="inlineStr">
        <is>
          <t>UPPSALA</t>
        </is>
      </c>
      <c r="F1662" t="inlineStr">
        <is>
          <t>Kommuner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62655-2020</t>
        </is>
      </c>
      <c r="B1663" s="1" t="n">
        <v>44161</v>
      </c>
      <c r="C1663" s="1" t="n">
        <v>45792</v>
      </c>
      <c r="D1663" t="inlineStr">
        <is>
          <t>UPPSALA LÄN</t>
        </is>
      </c>
      <c r="E1663" t="inlineStr">
        <is>
          <t>UPPSALA</t>
        </is>
      </c>
      <c r="F1663" t="inlineStr">
        <is>
          <t>Holmen skog AB</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62765-2020</t>
        </is>
      </c>
      <c r="B1664" s="1" t="n">
        <v>44161</v>
      </c>
      <c r="C1664" s="1" t="n">
        <v>45792</v>
      </c>
      <c r="D1664" t="inlineStr">
        <is>
          <t>UPPSALA LÄN</t>
        </is>
      </c>
      <c r="E1664" t="inlineStr">
        <is>
          <t>HEBY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63637-2020</t>
        </is>
      </c>
      <c r="B1665" s="1" t="n">
        <v>44162</v>
      </c>
      <c r="C1665" s="1" t="n">
        <v>45792</v>
      </c>
      <c r="D1665" t="inlineStr">
        <is>
          <t>UPPSALA LÄN</t>
        </is>
      </c>
      <c r="E1665" t="inlineStr">
        <is>
          <t>ÖSTHAMMAR</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63145-2020</t>
        </is>
      </c>
      <c r="B1666" s="1" t="n">
        <v>44162</v>
      </c>
      <c r="C1666" s="1" t="n">
        <v>45792</v>
      </c>
      <c r="D1666" t="inlineStr">
        <is>
          <t>UPPSALA LÄN</t>
        </is>
      </c>
      <c r="E1666" t="inlineStr">
        <is>
          <t>UPPSALA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63260-2020</t>
        </is>
      </c>
      <c r="B1667" s="1" t="n">
        <v>44164</v>
      </c>
      <c r="C1667" s="1" t="n">
        <v>45792</v>
      </c>
      <c r="D1667" t="inlineStr">
        <is>
          <t>UPPSALA LÄN</t>
        </is>
      </c>
      <c r="E1667" t="inlineStr">
        <is>
          <t>TIERP</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63504-2020</t>
        </is>
      </c>
      <c r="B1668" s="1" t="n">
        <v>44165</v>
      </c>
      <c r="C1668" s="1" t="n">
        <v>45792</v>
      </c>
      <c r="D1668" t="inlineStr">
        <is>
          <t>UPPSALA LÄN</t>
        </is>
      </c>
      <c r="E1668" t="inlineStr">
        <is>
          <t>TIERP</t>
        </is>
      </c>
      <c r="F1668" t="inlineStr">
        <is>
          <t>Bergvik skog väst AB</t>
        </is>
      </c>
      <c r="G1668" t="n">
        <v>50.3</v>
      </c>
      <c r="H1668" t="n">
        <v>0</v>
      </c>
      <c r="I1668" t="n">
        <v>0</v>
      </c>
      <c r="J1668" t="n">
        <v>0</v>
      </c>
      <c r="K1668" t="n">
        <v>0</v>
      </c>
      <c r="L1668" t="n">
        <v>0</v>
      </c>
      <c r="M1668" t="n">
        <v>0</v>
      </c>
      <c r="N1668" t="n">
        <v>0</v>
      </c>
      <c r="O1668" t="n">
        <v>0</v>
      </c>
      <c r="P1668" t="n">
        <v>0</v>
      </c>
      <c r="Q1668" t="n">
        <v>0</v>
      </c>
      <c r="R1668" s="2" t="inlineStr"/>
    </row>
    <row r="1669" ht="15" customHeight="1">
      <c r="A1669" t="inlineStr">
        <is>
          <t>A 63529-2020</t>
        </is>
      </c>
      <c r="B1669" s="1" t="n">
        <v>44165</v>
      </c>
      <c r="C1669" s="1" t="n">
        <v>45792</v>
      </c>
      <c r="D1669" t="inlineStr">
        <is>
          <t>UPPSALA LÄN</t>
        </is>
      </c>
      <c r="E1669" t="inlineStr">
        <is>
          <t>UPPSALA</t>
        </is>
      </c>
      <c r="F1669" t="inlineStr">
        <is>
          <t>Övriga statliga verk och myndigheter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63577-2020</t>
        </is>
      </c>
      <c r="B1670" s="1" t="n">
        <v>44165</v>
      </c>
      <c r="C1670" s="1" t="n">
        <v>45792</v>
      </c>
      <c r="D1670" t="inlineStr">
        <is>
          <t>UPPSALA LÄN</t>
        </is>
      </c>
      <c r="E1670" t="inlineStr">
        <is>
          <t>ÖSTHAMMAR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63749-2020</t>
        </is>
      </c>
      <c r="B1671" s="1" t="n">
        <v>44166</v>
      </c>
      <c r="C1671" s="1" t="n">
        <v>45792</v>
      </c>
      <c r="D1671" t="inlineStr">
        <is>
          <t>UPPSALA LÄN</t>
        </is>
      </c>
      <c r="E1671" t="inlineStr">
        <is>
          <t>UPPSALA</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63912-2020</t>
        </is>
      </c>
      <c r="B1672" s="1" t="n">
        <v>44166</v>
      </c>
      <c r="C1672" s="1" t="n">
        <v>45792</v>
      </c>
      <c r="D1672" t="inlineStr">
        <is>
          <t>UPPSALA LÄN</t>
        </is>
      </c>
      <c r="E1672" t="inlineStr">
        <is>
          <t>TIERP</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63715-2020</t>
        </is>
      </c>
      <c r="B1673" s="1" t="n">
        <v>44166</v>
      </c>
      <c r="C1673" s="1" t="n">
        <v>45792</v>
      </c>
      <c r="D1673" t="inlineStr">
        <is>
          <t>UPPSALA LÄN</t>
        </is>
      </c>
      <c r="E1673" t="inlineStr">
        <is>
          <t>ENKÖPING</t>
        </is>
      </c>
      <c r="F1673" t="inlineStr">
        <is>
          <t>Övriga statliga verk och myndigheter</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64128-2020</t>
        </is>
      </c>
      <c r="B1674" s="1" t="n">
        <v>44167</v>
      </c>
      <c r="C1674" s="1" t="n">
        <v>45792</v>
      </c>
      <c r="D1674" t="inlineStr">
        <is>
          <t>UPPSALA LÄN</t>
        </is>
      </c>
      <c r="E1674" t="inlineStr">
        <is>
          <t>UPPSALA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63987-2020</t>
        </is>
      </c>
      <c r="B1675" s="1" t="n">
        <v>44167</v>
      </c>
      <c r="C1675" s="1" t="n">
        <v>45792</v>
      </c>
      <c r="D1675" t="inlineStr">
        <is>
          <t>UPPSALA LÄN</t>
        </is>
      </c>
      <c r="E1675" t="inlineStr">
        <is>
          <t>ÖSTHAMMAR</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64353-2020</t>
        </is>
      </c>
      <c r="B1676" s="1" t="n">
        <v>44168</v>
      </c>
      <c r="C1676" s="1" t="n">
        <v>45792</v>
      </c>
      <c r="D1676" t="inlineStr">
        <is>
          <t>UPPSALA LÄN</t>
        </is>
      </c>
      <c r="E1676" t="inlineStr">
        <is>
          <t>UPPSALA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64333-2020</t>
        </is>
      </c>
      <c r="B1677" s="1" t="n">
        <v>44168</v>
      </c>
      <c r="C1677" s="1" t="n">
        <v>45792</v>
      </c>
      <c r="D1677" t="inlineStr">
        <is>
          <t>UPPSALA LÄN</t>
        </is>
      </c>
      <c r="E1677" t="inlineStr">
        <is>
          <t>UPPSALA</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65225-2020</t>
        </is>
      </c>
      <c r="B1678" s="1" t="n">
        <v>44172</v>
      </c>
      <c r="C1678" s="1" t="n">
        <v>45792</v>
      </c>
      <c r="D1678" t="inlineStr">
        <is>
          <t>UPPSALA LÄN</t>
        </is>
      </c>
      <c r="E1678" t="inlineStr">
        <is>
          <t>TIERP</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65226-2020</t>
        </is>
      </c>
      <c r="B1679" s="1" t="n">
        <v>44172</v>
      </c>
      <c r="C1679" s="1" t="n">
        <v>45792</v>
      </c>
      <c r="D1679" t="inlineStr">
        <is>
          <t>UPPSALA LÄN</t>
        </is>
      </c>
      <c r="E1679" t="inlineStr">
        <is>
          <t>TIERP</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65361-2020</t>
        </is>
      </c>
      <c r="B1680" s="1" t="n">
        <v>44173</v>
      </c>
      <c r="C1680" s="1" t="n">
        <v>45792</v>
      </c>
      <c r="D1680" t="inlineStr">
        <is>
          <t>UPPSALA LÄN</t>
        </is>
      </c>
      <c r="E1680" t="inlineStr">
        <is>
          <t>ÖSTHAMMAR</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66278-2020</t>
        </is>
      </c>
      <c r="B1681" s="1" t="n">
        <v>44176</v>
      </c>
      <c r="C1681" s="1" t="n">
        <v>45792</v>
      </c>
      <c r="D1681" t="inlineStr">
        <is>
          <t>UPPSALA LÄN</t>
        </is>
      </c>
      <c r="E1681" t="inlineStr">
        <is>
          <t>ÄLVKARLEBY</t>
        </is>
      </c>
      <c r="F1681" t="inlineStr">
        <is>
          <t>Bergvik skog väst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66517-2020</t>
        </is>
      </c>
      <c r="B1682" s="1" t="n">
        <v>44178</v>
      </c>
      <c r="C1682" s="1" t="n">
        <v>45792</v>
      </c>
      <c r="D1682" t="inlineStr">
        <is>
          <t>UPPSALA LÄN</t>
        </is>
      </c>
      <c r="E1682" t="inlineStr">
        <is>
          <t>ENKÖPING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66984-2020</t>
        </is>
      </c>
      <c r="B1683" s="1" t="n">
        <v>44180</v>
      </c>
      <c r="C1683" s="1" t="n">
        <v>45792</v>
      </c>
      <c r="D1683" t="inlineStr">
        <is>
          <t>UPPSALA LÄN</t>
        </is>
      </c>
      <c r="E1683" t="inlineStr">
        <is>
          <t>UPPSALA</t>
        </is>
      </c>
      <c r="F1683" t="inlineStr">
        <is>
          <t>Övriga statliga verk och myndigheter</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67765-2020</t>
        </is>
      </c>
      <c r="B1684" s="1" t="n">
        <v>44182</v>
      </c>
      <c r="C1684" s="1" t="n">
        <v>45792</v>
      </c>
      <c r="D1684" t="inlineStr">
        <is>
          <t>UPPSALA LÄN</t>
        </is>
      </c>
      <c r="E1684" t="inlineStr">
        <is>
          <t>ENKÖPING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67713-2020</t>
        </is>
      </c>
      <c r="B1685" s="1" t="n">
        <v>44182</v>
      </c>
      <c r="C1685" s="1" t="n">
        <v>45792</v>
      </c>
      <c r="D1685" t="inlineStr">
        <is>
          <t>UPPSALA LÄN</t>
        </is>
      </c>
      <c r="E1685" t="inlineStr">
        <is>
          <t>ENKÖPING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68257-2020</t>
        </is>
      </c>
      <c r="B1686" s="1" t="n">
        <v>44182</v>
      </c>
      <c r="C1686" s="1" t="n">
        <v>45792</v>
      </c>
      <c r="D1686" t="inlineStr">
        <is>
          <t>UPPSALA LÄN</t>
        </is>
      </c>
      <c r="E1686" t="inlineStr">
        <is>
          <t>KNIVSTA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68243-2020</t>
        </is>
      </c>
      <c r="B1687" s="1" t="n">
        <v>44183</v>
      </c>
      <c r="C1687" s="1" t="n">
        <v>45792</v>
      </c>
      <c r="D1687" t="inlineStr">
        <is>
          <t>UPPSALA LÄN</t>
        </is>
      </c>
      <c r="E1687" t="inlineStr">
        <is>
          <t>ÖSTHAMMAR</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68828-2020</t>
        </is>
      </c>
      <c r="B1688" s="1" t="n">
        <v>44186</v>
      </c>
      <c r="C1688" s="1" t="n">
        <v>45792</v>
      </c>
      <c r="D1688" t="inlineStr">
        <is>
          <t>UPPSALA LÄN</t>
        </is>
      </c>
      <c r="E1688" t="inlineStr">
        <is>
          <t>ÖSTHAMMAR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69076-2020</t>
        </is>
      </c>
      <c r="B1689" s="1" t="n">
        <v>44188</v>
      </c>
      <c r="C1689" s="1" t="n">
        <v>45792</v>
      </c>
      <c r="D1689" t="inlineStr">
        <is>
          <t>UPPSALA LÄN</t>
        </is>
      </c>
      <c r="E1689" t="inlineStr">
        <is>
          <t>HEBY</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69468-2020</t>
        </is>
      </c>
      <c r="B1690" s="1" t="n">
        <v>44193</v>
      </c>
      <c r="C1690" s="1" t="n">
        <v>45792</v>
      </c>
      <c r="D1690" t="inlineStr">
        <is>
          <t>UPPSALA LÄN</t>
        </is>
      </c>
      <c r="E1690" t="inlineStr">
        <is>
          <t>HEBY</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69567-2020</t>
        </is>
      </c>
      <c r="B1691" s="1" t="n">
        <v>44194</v>
      </c>
      <c r="C1691" s="1" t="n">
        <v>45792</v>
      </c>
      <c r="D1691" t="inlineStr">
        <is>
          <t>UPPSALA LÄN</t>
        </is>
      </c>
      <c r="E1691" t="inlineStr">
        <is>
          <t>ENKÖPING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69681-2020</t>
        </is>
      </c>
      <c r="B1692" s="1" t="n">
        <v>44196</v>
      </c>
      <c r="C1692" s="1" t="n">
        <v>45792</v>
      </c>
      <c r="D1692" t="inlineStr">
        <is>
          <t>UPPSALA LÄN</t>
        </is>
      </c>
      <c r="E1692" t="inlineStr">
        <is>
          <t>ÖSTHAMMAR</t>
        </is>
      </c>
      <c r="F1692" t="inlineStr">
        <is>
          <t>Bergvik skog öst AB</t>
        </is>
      </c>
      <c r="G1692" t="n">
        <v>21.9</v>
      </c>
      <c r="H1692" t="n">
        <v>0</v>
      </c>
      <c r="I1692" t="n">
        <v>0</v>
      </c>
      <c r="J1692" t="n">
        <v>0</v>
      </c>
      <c r="K1692" t="n">
        <v>0</v>
      </c>
      <c r="L1692" t="n">
        <v>0</v>
      </c>
      <c r="M1692" t="n">
        <v>0</v>
      </c>
      <c r="N1692" t="n">
        <v>0</v>
      </c>
      <c r="O1692" t="n">
        <v>0</v>
      </c>
      <c r="P1692" t="n">
        <v>0</v>
      </c>
      <c r="Q1692" t="n">
        <v>0</v>
      </c>
      <c r="R1692" s="2" t="inlineStr"/>
    </row>
    <row r="1693" ht="15" customHeight="1">
      <c r="A1693" t="inlineStr">
        <is>
          <t>A 249-2021</t>
        </is>
      </c>
      <c r="B1693" s="1" t="n">
        <v>44200</v>
      </c>
      <c r="C1693" s="1" t="n">
        <v>45792</v>
      </c>
      <c r="D1693" t="inlineStr">
        <is>
          <t>UPPSALA LÄN</t>
        </is>
      </c>
      <c r="E1693" t="inlineStr">
        <is>
          <t>TIERP</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265-2021</t>
        </is>
      </c>
      <c r="B1694" s="1" t="n">
        <v>44200</v>
      </c>
      <c r="C1694" s="1" t="n">
        <v>45792</v>
      </c>
      <c r="D1694" t="inlineStr">
        <is>
          <t>UPPSALA LÄN</t>
        </is>
      </c>
      <c r="E1694" t="inlineStr">
        <is>
          <t>UPPSALA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798-2021</t>
        </is>
      </c>
      <c r="B1695" s="1" t="n">
        <v>44204</v>
      </c>
      <c r="C1695" s="1" t="n">
        <v>45792</v>
      </c>
      <c r="D1695" t="inlineStr">
        <is>
          <t>UPPSALA LÄN</t>
        </is>
      </c>
      <c r="E1695" t="inlineStr">
        <is>
          <t>HEBY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1020-2021</t>
        </is>
      </c>
      <c r="B1696" s="1" t="n">
        <v>44207</v>
      </c>
      <c r="C1696" s="1" t="n">
        <v>45792</v>
      </c>
      <c r="D1696" t="inlineStr">
        <is>
          <t>UPPSALA LÄN</t>
        </is>
      </c>
      <c r="E1696" t="inlineStr">
        <is>
          <t>UPPSALA</t>
        </is>
      </c>
      <c r="F1696" t="inlineStr">
        <is>
          <t>Holmen skog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967-2021</t>
        </is>
      </c>
      <c r="B1697" s="1" t="n">
        <v>44207</v>
      </c>
      <c r="C1697" s="1" t="n">
        <v>45792</v>
      </c>
      <c r="D1697" t="inlineStr">
        <is>
          <t>UPPSALA LÄN</t>
        </is>
      </c>
      <c r="E1697" t="inlineStr">
        <is>
          <t>ÄLVKARLEBY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1233-2021</t>
        </is>
      </c>
      <c r="B1698" s="1" t="n">
        <v>44208</v>
      </c>
      <c r="C1698" s="1" t="n">
        <v>45792</v>
      </c>
      <c r="D1698" t="inlineStr">
        <is>
          <t>UPPSALA LÄN</t>
        </is>
      </c>
      <c r="E1698" t="inlineStr">
        <is>
          <t>TIERP</t>
        </is>
      </c>
      <c r="F1698" t="inlineStr">
        <is>
          <t>Övriga Aktiebolag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1227-2021</t>
        </is>
      </c>
      <c r="B1699" s="1" t="n">
        <v>44208</v>
      </c>
      <c r="C1699" s="1" t="n">
        <v>45792</v>
      </c>
      <c r="D1699" t="inlineStr">
        <is>
          <t>UPPSALA LÄN</t>
        </is>
      </c>
      <c r="E1699" t="inlineStr">
        <is>
          <t>TIERP</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1573-2021</t>
        </is>
      </c>
      <c r="B1700" s="1" t="n">
        <v>44209</v>
      </c>
      <c r="C1700" s="1" t="n">
        <v>45792</v>
      </c>
      <c r="D1700" t="inlineStr">
        <is>
          <t>UPPSALA LÄN</t>
        </is>
      </c>
      <c r="E1700" t="inlineStr">
        <is>
          <t>UPPSALA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1617-2021</t>
        </is>
      </c>
      <c r="B1701" s="1" t="n">
        <v>44209</v>
      </c>
      <c r="C1701" s="1" t="n">
        <v>45792</v>
      </c>
      <c r="D1701" t="inlineStr">
        <is>
          <t>UPPSALA LÄN</t>
        </is>
      </c>
      <c r="E1701" t="inlineStr">
        <is>
          <t>UPPSALA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1855-2021</t>
        </is>
      </c>
      <c r="B1702" s="1" t="n">
        <v>44210</v>
      </c>
      <c r="C1702" s="1" t="n">
        <v>45792</v>
      </c>
      <c r="D1702" t="inlineStr">
        <is>
          <t>UPPSALA LÄN</t>
        </is>
      </c>
      <c r="E1702" t="inlineStr">
        <is>
          <t>UPPSALA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2157-2021</t>
        </is>
      </c>
      <c r="B1703" s="1" t="n">
        <v>44211</v>
      </c>
      <c r="C1703" s="1" t="n">
        <v>45792</v>
      </c>
      <c r="D1703" t="inlineStr">
        <is>
          <t>UPPSALA LÄN</t>
        </is>
      </c>
      <c r="E1703" t="inlineStr">
        <is>
          <t>TIERP</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2169-2021</t>
        </is>
      </c>
      <c r="B1704" s="1" t="n">
        <v>44211</v>
      </c>
      <c r="C1704" s="1" t="n">
        <v>45792</v>
      </c>
      <c r="D1704" t="inlineStr">
        <is>
          <t>UPPSALA LÄN</t>
        </is>
      </c>
      <c r="E1704" t="inlineStr">
        <is>
          <t>UPPSALA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2476-2021</t>
        </is>
      </c>
      <c r="B1705" s="1" t="n">
        <v>44214</v>
      </c>
      <c r="C1705" s="1" t="n">
        <v>45792</v>
      </c>
      <c r="D1705" t="inlineStr">
        <is>
          <t>UPPSALA LÄN</t>
        </is>
      </c>
      <c r="E1705" t="inlineStr">
        <is>
          <t>HÅBO</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2471-2021</t>
        </is>
      </c>
      <c r="B1706" s="1" t="n">
        <v>44214</v>
      </c>
      <c r="C1706" s="1" t="n">
        <v>45792</v>
      </c>
      <c r="D1706" t="inlineStr">
        <is>
          <t>UPPSALA LÄN</t>
        </is>
      </c>
      <c r="E1706" t="inlineStr">
        <is>
          <t>HÅBO</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2559-2021</t>
        </is>
      </c>
      <c r="B1707" s="1" t="n">
        <v>44214</v>
      </c>
      <c r="C1707" s="1" t="n">
        <v>45792</v>
      </c>
      <c r="D1707" t="inlineStr">
        <is>
          <t>UPPSALA LÄN</t>
        </is>
      </c>
      <c r="E1707" t="inlineStr">
        <is>
          <t>TIERP</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2810-2021</t>
        </is>
      </c>
      <c r="B1708" s="1" t="n">
        <v>44215</v>
      </c>
      <c r="C1708" s="1" t="n">
        <v>45792</v>
      </c>
      <c r="D1708" t="inlineStr">
        <is>
          <t>UPPSALA LÄN</t>
        </is>
      </c>
      <c r="E1708" t="inlineStr">
        <is>
          <t>TIERP</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3864-2021</t>
        </is>
      </c>
      <c r="B1709" s="1" t="n">
        <v>44216</v>
      </c>
      <c r="C1709" s="1" t="n">
        <v>45792</v>
      </c>
      <c r="D1709" t="inlineStr">
        <is>
          <t>UPPSALA LÄN</t>
        </is>
      </c>
      <c r="E1709" t="inlineStr">
        <is>
          <t>UPPSALA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3874-2021</t>
        </is>
      </c>
      <c r="B1710" s="1" t="n">
        <v>44216</v>
      </c>
      <c r="C1710" s="1" t="n">
        <v>45792</v>
      </c>
      <c r="D1710" t="inlineStr">
        <is>
          <t>UPPSALA LÄN</t>
        </is>
      </c>
      <c r="E1710" t="inlineStr">
        <is>
          <t>UPPSALA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3903-2021</t>
        </is>
      </c>
      <c r="B1711" s="1" t="n">
        <v>44217</v>
      </c>
      <c r="C1711" s="1" t="n">
        <v>45792</v>
      </c>
      <c r="D1711" t="inlineStr">
        <is>
          <t>UPPSALA LÄN</t>
        </is>
      </c>
      <c r="E1711" t="inlineStr">
        <is>
          <t>ENKÖPING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3443-2021</t>
        </is>
      </c>
      <c r="B1712" s="1" t="n">
        <v>44218</v>
      </c>
      <c r="C1712" s="1" t="n">
        <v>45792</v>
      </c>
      <c r="D1712" t="inlineStr">
        <is>
          <t>UPPSALA LÄN</t>
        </is>
      </c>
      <c r="E1712" t="inlineStr">
        <is>
          <t>TIERP</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3693-2021</t>
        </is>
      </c>
      <c r="B1713" s="1" t="n">
        <v>44221</v>
      </c>
      <c r="C1713" s="1" t="n">
        <v>45792</v>
      </c>
      <c r="D1713" t="inlineStr">
        <is>
          <t>UPPSALA LÄN</t>
        </is>
      </c>
      <c r="E1713" t="inlineStr">
        <is>
          <t>ÖSTHAMMAR</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4151-2021</t>
        </is>
      </c>
      <c r="B1714" s="1" t="n">
        <v>44221</v>
      </c>
      <c r="C1714" s="1" t="n">
        <v>45792</v>
      </c>
      <c r="D1714" t="inlineStr">
        <is>
          <t>UPPSALA LÄN</t>
        </is>
      </c>
      <c r="E1714" t="inlineStr">
        <is>
          <t>ÖSTHAMMAR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3955-2021</t>
        </is>
      </c>
      <c r="B1715" s="1" t="n">
        <v>44222</v>
      </c>
      <c r="C1715" s="1" t="n">
        <v>45792</v>
      </c>
      <c r="D1715" t="inlineStr">
        <is>
          <t>UPPSALA LÄN</t>
        </is>
      </c>
      <c r="E1715" t="inlineStr">
        <is>
          <t>UPPSALA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4203-2021</t>
        </is>
      </c>
      <c r="B1716" s="1" t="n">
        <v>44223</v>
      </c>
      <c r="C1716" s="1" t="n">
        <v>45792</v>
      </c>
      <c r="D1716" t="inlineStr">
        <is>
          <t>UPPSALA LÄN</t>
        </is>
      </c>
      <c r="E1716" t="inlineStr">
        <is>
          <t>ENKÖPING</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4875-2021</t>
        </is>
      </c>
      <c r="B1717" s="1" t="n">
        <v>44223</v>
      </c>
      <c r="C1717" s="1" t="n">
        <v>45792</v>
      </c>
      <c r="D1717" t="inlineStr">
        <is>
          <t>UPPSALA LÄN</t>
        </is>
      </c>
      <c r="E1717" t="inlineStr">
        <is>
          <t>UPPSALA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4590-2021</t>
        </is>
      </c>
      <c r="B1718" s="1" t="n">
        <v>44224</v>
      </c>
      <c r="C1718" s="1" t="n">
        <v>45792</v>
      </c>
      <c r="D1718" t="inlineStr">
        <is>
          <t>UPPSALA LÄN</t>
        </is>
      </c>
      <c r="E1718" t="inlineStr">
        <is>
          <t>ÖSTHAMMAR</t>
        </is>
      </c>
      <c r="F1718" t="inlineStr">
        <is>
          <t>Bergvik skog öst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4775-2021</t>
        </is>
      </c>
      <c r="B1719" s="1" t="n">
        <v>44225</v>
      </c>
      <c r="C1719" s="1" t="n">
        <v>45792</v>
      </c>
      <c r="D1719" t="inlineStr">
        <is>
          <t>UPPSALA LÄN</t>
        </is>
      </c>
      <c r="E1719" t="inlineStr">
        <is>
          <t>ENKÖPING</t>
        </is>
      </c>
      <c r="F1719" t="inlineStr">
        <is>
          <t>Allmännings- och besparingsskogar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4821-2021</t>
        </is>
      </c>
      <c r="B1720" s="1" t="n">
        <v>44225</v>
      </c>
      <c r="C1720" s="1" t="n">
        <v>45792</v>
      </c>
      <c r="D1720" t="inlineStr">
        <is>
          <t>UPPSALA LÄN</t>
        </is>
      </c>
      <c r="E1720" t="inlineStr">
        <is>
          <t>HEBY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5117-2021</t>
        </is>
      </c>
      <c r="B1721" s="1" t="n">
        <v>44228</v>
      </c>
      <c r="C1721" s="1" t="n">
        <v>45792</v>
      </c>
      <c r="D1721" t="inlineStr">
        <is>
          <t>UPPSALA LÄN</t>
        </is>
      </c>
      <c r="E1721" t="inlineStr">
        <is>
          <t>HEBY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5663-2021</t>
        </is>
      </c>
      <c r="B1722" s="1" t="n">
        <v>44230</v>
      </c>
      <c r="C1722" s="1" t="n">
        <v>45792</v>
      </c>
      <c r="D1722" t="inlineStr">
        <is>
          <t>UPPSALA LÄN</t>
        </is>
      </c>
      <c r="E1722" t="inlineStr">
        <is>
          <t>UPPSALA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5857-2021</t>
        </is>
      </c>
      <c r="B1723" s="1" t="n">
        <v>44231</v>
      </c>
      <c r="C1723" s="1" t="n">
        <v>45792</v>
      </c>
      <c r="D1723" t="inlineStr">
        <is>
          <t>UPPSALA LÄN</t>
        </is>
      </c>
      <c r="E1723" t="inlineStr">
        <is>
          <t>TIERP</t>
        </is>
      </c>
      <c r="F1723" t="inlineStr">
        <is>
          <t>Bergvik skog väst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5875-2021</t>
        </is>
      </c>
      <c r="B1724" s="1" t="n">
        <v>44231</v>
      </c>
      <c r="C1724" s="1" t="n">
        <v>45792</v>
      </c>
      <c r="D1724" t="inlineStr">
        <is>
          <t>UPPSALA LÄN</t>
        </is>
      </c>
      <c r="E1724" t="inlineStr">
        <is>
          <t>HEBY</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6142-2021</t>
        </is>
      </c>
      <c r="B1725" s="1" t="n">
        <v>44232</v>
      </c>
      <c r="C1725" s="1" t="n">
        <v>45792</v>
      </c>
      <c r="D1725" t="inlineStr">
        <is>
          <t>UPPSALA LÄN</t>
        </is>
      </c>
      <c r="E1725" t="inlineStr">
        <is>
          <t>HEBY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6157-2021</t>
        </is>
      </c>
      <c r="B1726" s="1" t="n">
        <v>44232</v>
      </c>
      <c r="C1726" s="1" t="n">
        <v>45792</v>
      </c>
      <c r="D1726" t="inlineStr">
        <is>
          <t>UPPSALA LÄN</t>
        </is>
      </c>
      <c r="E1726" t="inlineStr">
        <is>
          <t>ENKÖPING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6147-2021</t>
        </is>
      </c>
      <c r="B1727" s="1" t="n">
        <v>44232</v>
      </c>
      <c r="C1727" s="1" t="n">
        <v>45792</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6151-2021</t>
        </is>
      </c>
      <c r="B1728" s="1" t="n">
        <v>44232</v>
      </c>
      <c r="C1728" s="1" t="n">
        <v>45792</v>
      </c>
      <c r="D1728" t="inlineStr">
        <is>
          <t>UPPSALA LÄN</t>
        </is>
      </c>
      <c r="E1728" t="inlineStr">
        <is>
          <t>HEBY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6186-2021</t>
        </is>
      </c>
      <c r="B1729" s="1" t="n">
        <v>44233</v>
      </c>
      <c r="C1729" s="1" t="n">
        <v>45792</v>
      </c>
      <c r="D1729" t="inlineStr">
        <is>
          <t>UPPSALA LÄN</t>
        </is>
      </c>
      <c r="E1729" t="inlineStr">
        <is>
          <t>HEBY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6221-2021</t>
        </is>
      </c>
      <c r="B1730" s="1" t="n">
        <v>44235</v>
      </c>
      <c r="C1730" s="1" t="n">
        <v>45792</v>
      </c>
      <c r="D1730" t="inlineStr">
        <is>
          <t>UPPSALA LÄN</t>
        </is>
      </c>
      <c r="E1730" t="inlineStr">
        <is>
          <t>ÖSTHAMMAR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6298-2021</t>
        </is>
      </c>
      <c r="B1731" s="1" t="n">
        <v>44235</v>
      </c>
      <c r="C1731" s="1" t="n">
        <v>45792</v>
      </c>
      <c r="D1731" t="inlineStr">
        <is>
          <t>UPPSALA LÄN</t>
        </is>
      </c>
      <c r="E1731" t="inlineStr">
        <is>
          <t>ENKÖPING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6618-2021</t>
        </is>
      </c>
      <c r="B1732" s="1" t="n">
        <v>44235</v>
      </c>
      <c r="C1732" s="1" t="n">
        <v>45792</v>
      </c>
      <c r="D1732" t="inlineStr">
        <is>
          <t>UPPSALA LÄN</t>
        </is>
      </c>
      <c r="E1732" t="inlineStr">
        <is>
          <t>HEBY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7036-2021</t>
        </is>
      </c>
      <c r="B1733" s="1" t="n">
        <v>44237</v>
      </c>
      <c r="C1733" s="1" t="n">
        <v>45792</v>
      </c>
      <c r="D1733" t="inlineStr">
        <is>
          <t>UPPSALA LÄN</t>
        </is>
      </c>
      <c r="E1733" t="inlineStr">
        <is>
          <t>TIERP</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7165-2021</t>
        </is>
      </c>
      <c r="B1734" s="1" t="n">
        <v>44238</v>
      </c>
      <c r="C1734" s="1" t="n">
        <v>45792</v>
      </c>
      <c r="D1734" t="inlineStr">
        <is>
          <t>UPPSALA LÄN</t>
        </is>
      </c>
      <c r="E1734" t="inlineStr">
        <is>
          <t>HEBY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7195-2021</t>
        </is>
      </c>
      <c r="B1735" s="1" t="n">
        <v>44238</v>
      </c>
      <c r="C1735" s="1" t="n">
        <v>45792</v>
      </c>
      <c r="D1735" t="inlineStr">
        <is>
          <t>UPPSALA LÄN</t>
        </is>
      </c>
      <c r="E1735" t="inlineStr">
        <is>
          <t>HEBY</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7282-2021</t>
        </is>
      </c>
      <c r="B1736" s="1" t="n">
        <v>44238</v>
      </c>
      <c r="C1736" s="1" t="n">
        <v>45792</v>
      </c>
      <c r="D1736" t="inlineStr">
        <is>
          <t>UPPSALA LÄN</t>
        </is>
      </c>
      <c r="E1736" t="inlineStr">
        <is>
          <t>HEBY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7113-2021</t>
        </is>
      </c>
      <c r="B1737" s="1" t="n">
        <v>44238</v>
      </c>
      <c r="C1737" s="1" t="n">
        <v>45792</v>
      </c>
      <c r="D1737" t="inlineStr">
        <is>
          <t>UPPSALA LÄN</t>
        </is>
      </c>
      <c r="E1737" t="inlineStr">
        <is>
          <t>ÖSTHAMMAR</t>
        </is>
      </c>
      <c r="F1737" t="inlineStr">
        <is>
          <t>Bergvik skog öst AB</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7803-2021</t>
        </is>
      </c>
      <c r="B1738" s="1" t="n">
        <v>44242</v>
      </c>
      <c r="C1738" s="1" t="n">
        <v>45792</v>
      </c>
      <c r="D1738" t="inlineStr">
        <is>
          <t>UPPSALA LÄN</t>
        </is>
      </c>
      <c r="E1738" t="inlineStr">
        <is>
          <t>HEBY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8009-2021</t>
        </is>
      </c>
      <c r="B1739" s="1" t="n">
        <v>44243</v>
      </c>
      <c r="C1739" s="1" t="n">
        <v>45792</v>
      </c>
      <c r="D1739" t="inlineStr">
        <is>
          <t>UPPSALA LÄN</t>
        </is>
      </c>
      <c r="E1739" t="inlineStr">
        <is>
          <t>ÖSTHAMMAR</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8114-2021</t>
        </is>
      </c>
      <c r="B1740" s="1" t="n">
        <v>44243</v>
      </c>
      <c r="C1740" s="1" t="n">
        <v>45792</v>
      </c>
      <c r="D1740" t="inlineStr">
        <is>
          <t>UPPSALA LÄN</t>
        </is>
      </c>
      <c r="E1740" t="inlineStr">
        <is>
          <t>UPPSALA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8306-2021</t>
        </is>
      </c>
      <c r="B1741" s="1" t="n">
        <v>44244</v>
      </c>
      <c r="C1741" s="1" t="n">
        <v>45792</v>
      </c>
      <c r="D1741" t="inlineStr">
        <is>
          <t>UPPSALA LÄN</t>
        </is>
      </c>
      <c r="E1741" t="inlineStr">
        <is>
          <t>ENKÖPING</t>
        </is>
      </c>
      <c r="G1741" t="n">
        <v>14.9</v>
      </c>
      <c r="H1741" t="n">
        <v>0</v>
      </c>
      <c r="I1741" t="n">
        <v>0</v>
      </c>
      <c r="J1741" t="n">
        <v>0</v>
      </c>
      <c r="K1741" t="n">
        <v>0</v>
      </c>
      <c r="L1741" t="n">
        <v>0</v>
      </c>
      <c r="M1741" t="n">
        <v>0</v>
      </c>
      <c r="N1741" t="n">
        <v>0</v>
      </c>
      <c r="O1741" t="n">
        <v>0</v>
      </c>
      <c r="P1741" t="n">
        <v>0</v>
      </c>
      <c r="Q1741" t="n">
        <v>0</v>
      </c>
      <c r="R1741" s="2" t="inlineStr"/>
    </row>
    <row r="1742" ht="15" customHeight="1">
      <c r="A1742" t="inlineStr">
        <is>
          <t>A 8494-2021</t>
        </is>
      </c>
      <c r="B1742" s="1" t="n">
        <v>44245</v>
      </c>
      <c r="C1742" s="1" t="n">
        <v>45792</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9010-2021</t>
        </is>
      </c>
      <c r="B1743" s="1" t="n">
        <v>44249</v>
      </c>
      <c r="C1743" s="1" t="n">
        <v>45792</v>
      </c>
      <c r="D1743" t="inlineStr">
        <is>
          <t>UPPSALA LÄN</t>
        </is>
      </c>
      <c r="E1743" t="inlineStr">
        <is>
          <t>HEBY</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9230-2021</t>
        </is>
      </c>
      <c r="B1744" s="1" t="n">
        <v>44250</v>
      </c>
      <c r="C1744" s="1" t="n">
        <v>45792</v>
      </c>
      <c r="D1744" t="inlineStr">
        <is>
          <t>UPPSALA LÄN</t>
        </is>
      </c>
      <c r="E1744" t="inlineStr">
        <is>
          <t>HEBY</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9700-2021</t>
        </is>
      </c>
      <c r="B1745" s="1" t="n">
        <v>44252</v>
      </c>
      <c r="C1745" s="1" t="n">
        <v>45792</v>
      </c>
      <c r="D1745" t="inlineStr">
        <is>
          <t>UPPSALA LÄN</t>
        </is>
      </c>
      <c r="E1745" t="inlineStr">
        <is>
          <t>UPPSALA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9725-2021</t>
        </is>
      </c>
      <c r="B1746" s="1" t="n">
        <v>44252</v>
      </c>
      <c r="C1746" s="1" t="n">
        <v>45792</v>
      </c>
      <c r="D1746" t="inlineStr">
        <is>
          <t>UPPSALA LÄN</t>
        </is>
      </c>
      <c r="E1746" t="inlineStr">
        <is>
          <t>KNIVSTA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9712-2021</t>
        </is>
      </c>
      <c r="B1747" s="1" t="n">
        <v>44252</v>
      </c>
      <c r="C1747" s="1" t="n">
        <v>45792</v>
      </c>
      <c r="D1747" t="inlineStr">
        <is>
          <t>UPPSALA LÄN</t>
        </is>
      </c>
      <c r="E1747" t="inlineStr">
        <is>
          <t>UPPSALA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10316-2021</t>
        </is>
      </c>
      <c r="B1748" s="1" t="n">
        <v>44257</v>
      </c>
      <c r="C1748" s="1" t="n">
        <v>45792</v>
      </c>
      <c r="D1748" t="inlineStr">
        <is>
          <t>UPPSALA LÄN</t>
        </is>
      </c>
      <c r="E1748" t="inlineStr">
        <is>
          <t>ÖSTHAMMAR</t>
        </is>
      </c>
      <c r="F1748" t="inlineStr">
        <is>
          <t>Övriga Aktiebolag</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10498-2021</t>
        </is>
      </c>
      <c r="B1749" s="1" t="n">
        <v>44258</v>
      </c>
      <c r="C1749" s="1" t="n">
        <v>45792</v>
      </c>
      <c r="D1749" t="inlineStr">
        <is>
          <t>UPPSALA LÄN</t>
        </is>
      </c>
      <c r="E1749" t="inlineStr">
        <is>
          <t>ÖSTHAMMAR</t>
        </is>
      </c>
      <c r="F1749" t="inlineStr">
        <is>
          <t>Övriga Aktiebolag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10734-2021</t>
        </is>
      </c>
      <c r="B1750" s="1" t="n">
        <v>44259</v>
      </c>
      <c r="C1750" s="1" t="n">
        <v>45792</v>
      </c>
      <c r="D1750" t="inlineStr">
        <is>
          <t>UPPSALA LÄN</t>
        </is>
      </c>
      <c r="E1750" t="inlineStr">
        <is>
          <t>HEBY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10989-2021</t>
        </is>
      </c>
      <c r="B1751" s="1" t="n">
        <v>44260</v>
      </c>
      <c r="C1751" s="1" t="n">
        <v>45792</v>
      </c>
      <c r="D1751" t="inlineStr">
        <is>
          <t>UPPSALA LÄN</t>
        </is>
      </c>
      <c r="E1751" t="inlineStr">
        <is>
          <t>ENKÖPING</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11090-2021</t>
        </is>
      </c>
      <c r="B1752" s="1" t="n">
        <v>44260</v>
      </c>
      <c r="C1752" s="1" t="n">
        <v>45792</v>
      </c>
      <c r="D1752" t="inlineStr">
        <is>
          <t>UPPSALA LÄN</t>
        </is>
      </c>
      <c r="E1752" t="inlineStr">
        <is>
          <t>HEBY</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11314-2021</t>
        </is>
      </c>
      <c r="B1753" s="1" t="n">
        <v>44263</v>
      </c>
      <c r="C1753" s="1" t="n">
        <v>45792</v>
      </c>
      <c r="D1753" t="inlineStr">
        <is>
          <t>UPPSALA LÄN</t>
        </is>
      </c>
      <c r="E1753" t="inlineStr">
        <is>
          <t>HEBY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11553-2021</t>
        </is>
      </c>
      <c r="B1754" s="1" t="n">
        <v>44264</v>
      </c>
      <c r="C1754" s="1" t="n">
        <v>45792</v>
      </c>
      <c r="D1754" t="inlineStr">
        <is>
          <t>UPPSALA LÄN</t>
        </is>
      </c>
      <c r="E1754" t="inlineStr">
        <is>
          <t>ÄLVKARLEBY</t>
        </is>
      </c>
      <c r="F1754" t="inlineStr">
        <is>
          <t>Bergvik skog väst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11688-2021</t>
        </is>
      </c>
      <c r="B1755" s="1" t="n">
        <v>44264</v>
      </c>
      <c r="C1755" s="1" t="n">
        <v>45792</v>
      </c>
      <c r="D1755" t="inlineStr">
        <is>
          <t>UPPSALA LÄN</t>
        </is>
      </c>
      <c r="E1755" t="inlineStr">
        <is>
          <t>ENKÖPING</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11675-2021</t>
        </is>
      </c>
      <c r="B1756" s="1" t="n">
        <v>44264</v>
      </c>
      <c r="C1756" s="1" t="n">
        <v>45792</v>
      </c>
      <c r="D1756" t="inlineStr">
        <is>
          <t>UPPSALA LÄN</t>
        </is>
      </c>
      <c r="E1756" t="inlineStr">
        <is>
          <t>HEBY</t>
        </is>
      </c>
      <c r="F1756" t="inlineStr">
        <is>
          <t>Övriga Aktiebolag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11729-2021</t>
        </is>
      </c>
      <c r="B1757" s="1" t="n">
        <v>44265</v>
      </c>
      <c r="C1757" s="1" t="n">
        <v>45792</v>
      </c>
      <c r="D1757" t="inlineStr">
        <is>
          <t>UPPSALA LÄN</t>
        </is>
      </c>
      <c r="E1757" t="inlineStr">
        <is>
          <t>HÅBO</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11725-2021</t>
        </is>
      </c>
      <c r="B1758" s="1" t="n">
        <v>44265</v>
      </c>
      <c r="C1758" s="1" t="n">
        <v>45792</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11937-2021</t>
        </is>
      </c>
      <c r="B1759" s="1" t="n">
        <v>44266</v>
      </c>
      <c r="C1759" s="1" t="n">
        <v>45792</v>
      </c>
      <c r="D1759" t="inlineStr">
        <is>
          <t>UPPSALA LÄN</t>
        </is>
      </c>
      <c r="E1759" t="inlineStr">
        <is>
          <t>TIERP</t>
        </is>
      </c>
      <c r="F1759" t="inlineStr">
        <is>
          <t>Bergvik skog öst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11932-2021</t>
        </is>
      </c>
      <c r="B1760" s="1" t="n">
        <v>44266</v>
      </c>
      <c r="C1760" s="1" t="n">
        <v>45792</v>
      </c>
      <c r="D1760" t="inlineStr">
        <is>
          <t>UPPSALA LÄN</t>
        </is>
      </c>
      <c r="E1760" t="inlineStr">
        <is>
          <t>TIERP</t>
        </is>
      </c>
      <c r="F1760" t="inlineStr">
        <is>
          <t>Bergvik skog öst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12225-2021</t>
        </is>
      </c>
      <c r="B1761" s="1" t="n">
        <v>44266</v>
      </c>
      <c r="C1761" s="1" t="n">
        <v>45792</v>
      </c>
      <c r="D1761" t="inlineStr">
        <is>
          <t>UPPSALA LÄN</t>
        </is>
      </c>
      <c r="E1761" t="inlineStr">
        <is>
          <t>UPPSALA</t>
        </is>
      </c>
      <c r="F1761" t="inlineStr">
        <is>
          <t>Bergvik skog öst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12152-2021</t>
        </is>
      </c>
      <c r="B1762" s="1" t="n">
        <v>44266</v>
      </c>
      <c r="C1762" s="1" t="n">
        <v>45792</v>
      </c>
      <c r="D1762" t="inlineStr">
        <is>
          <t>UPPSALA LÄN</t>
        </is>
      </c>
      <c r="E1762" t="inlineStr">
        <is>
          <t>UPPSALA</t>
        </is>
      </c>
      <c r="F1762" t="inlineStr">
        <is>
          <t>Bergvik skog öst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12172-2021</t>
        </is>
      </c>
      <c r="B1763" s="1" t="n">
        <v>44266</v>
      </c>
      <c r="C1763" s="1" t="n">
        <v>45792</v>
      </c>
      <c r="D1763" t="inlineStr">
        <is>
          <t>UPPSALA LÄN</t>
        </is>
      </c>
      <c r="E1763" t="inlineStr">
        <is>
          <t>UPPSALA</t>
        </is>
      </c>
      <c r="F1763" t="inlineStr">
        <is>
          <t>Bergvik skog öst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12194-2021</t>
        </is>
      </c>
      <c r="B1764" s="1" t="n">
        <v>44266</v>
      </c>
      <c r="C1764" s="1" t="n">
        <v>45792</v>
      </c>
      <c r="D1764" t="inlineStr">
        <is>
          <t>UPPSALA LÄN</t>
        </is>
      </c>
      <c r="E1764" t="inlineStr">
        <is>
          <t>UPPSALA</t>
        </is>
      </c>
      <c r="F1764" t="inlineStr">
        <is>
          <t>Bergvik skog öst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12313-2021</t>
        </is>
      </c>
      <c r="B1765" s="1" t="n">
        <v>44266</v>
      </c>
      <c r="C1765" s="1" t="n">
        <v>45792</v>
      </c>
      <c r="D1765" t="inlineStr">
        <is>
          <t>UPPSALA LÄN</t>
        </is>
      </c>
      <c r="E1765" t="inlineStr">
        <is>
          <t>UPPSALA</t>
        </is>
      </c>
      <c r="G1765" t="n">
        <v>23.6</v>
      </c>
      <c r="H1765" t="n">
        <v>0</v>
      </c>
      <c r="I1765" t="n">
        <v>0</v>
      </c>
      <c r="J1765" t="n">
        <v>0</v>
      </c>
      <c r="K1765" t="n">
        <v>0</v>
      </c>
      <c r="L1765" t="n">
        <v>0</v>
      </c>
      <c r="M1765" t="n">
        <v>0</v>
      </c>
      <c r="N1765" t="n">
        <v>0</v>
      </c>
      <c r="O1765" t="n">
        <v>0</v>
      </c>
      <c r="P1765" t="n">
        <v>0</v>
      </c>
      <c r="Q1765" t="n">
        <v>0</v>
      </c>
      <c r="R1765" s="2" t="inlineStr"/>
    </row>
    <row r="1766" ht="15" customHeight="1">
      <c r="A1766" t="inlineStr">
        <is>
          <t>A 12434-2021</t>
        </is>
      </c>
      <c r="B1766" s="1" t="n">
        <v>44267</v>
      </c>
      <c r="C1766" s="1" t="n">
        <v>45792</v>
      </c>
      <c r="D1766" t="inlineStr">
        <is>
          <t>UPPSALA LÄN</t>
        </is>
      </c>
      <c r="E1766" t="inlineStr">
        <is>
          <t>ENKÖPING</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12538-2021</t>
        </is>
      </c>
      <c r="B1767" s="1" t="n">
        <v>44269</v>
      </c>
      <c r="C1767" s="1" t="n">
        <v>45792</v>
      </c>
      <c r="D1767" t="inlineStr">
        <is>
          <t>UPPSALA LÄN</t>
        </is>
      </c>
      <c r="E1767" t="inlineStr">
        <is>
          <t>ENKÖPING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12572-2021</t>
        </is>
      </c>
      <c r="B1768" s="1" t="n">
        <v>44270</v>
      </c>
      <c r="C1768" s="1" t="n">
        <v>45792</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12591-2021</t>
        </is>
      </c>
      <c r="B1769" s="1" t="n">
        <v>44270</v>
      </c>
      <c r="C1769" s="1" t="n">
        <v>45792</v>
      </c>
      <c r="D1769" t="inlineStr">
        <is>
          <t>UPPSALA LÄN</t>
        </is>
      </c>
      <c r="E1769" t="inlineStr">
        <is>
          <t>TIERP</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12729-2021</t>
        </is>
      </c>
      <c r="B1770" s="1" t="n">
        <v>44270</v>
      </c>
      <c r="C1770" s="1" t="n">
        <v>45792</v>
      </c>
      <c r="D1770" t="inlineStr">
        <is>
          <t>UPPSALA LÄN</t>
        </is>
      </c>
      <c r="E1770" t="inlineStr">
        <is>
          <t>ENKÖPING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12727-2021</t>
        </is>
      </c>
      <c r="B1771" s="1" t="n">
        <v>44270</v>
      </c>
      <c r="C1771" s="1" t="n">
        <v>45792</v>
      </c>
      <c r="D1771" t="inlineStr">
        <is>
          <t>UPPSALA LÄN</t>
        </is>
      </c>
      <c r="E1771" t="inlineStr">
        <is>
          <t>ENKÖPING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12732-2021</t>
        </is>
      </c>
      <c r="B1772" s="1" t="n">
        <v>44270</v>
      </c>
      <c r="C1772" s="1" t="n">
        <v>45792</v>
      </c>
      <c r="D1772" t="inlineStr">
        <is>
          <t>UPPSALA LÄN</t>
        </is>
      </c>
      <c r="E1772" t="inlineStr">
        <is>
          <t>ENKÖPING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12864-2021</t>
        </is>
      </c>
      <c r="B1773" s="1" t="n">
        <v>44271</v>
      </c>
      <c r="C1773" s="1" t="n">
        <v>45792</v>
      </c>
      <c r="D1773" t="inlineStr">
        <is>
          <t>UPPSALA LÄN</t>
        </is>
      </c>
      <c r="E1773" t="inlineStr">
        <is>
          <t>KNIVSTA</t>
        </is>
      </c>
      <c r="F1773" t="inlineStr">
        <is>
          <t>Kyrkan</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13010-2021</t>
        </is>
      </c>
      <c r="B1774" s="1" t="n">
        <v>44271</v>
      </c>
      <c r="C1774" s="1" t="n">
        <v>45792</v>
      </c>
      <c r="D1774" t="inlineStr">
        <is>
          <t>UPPSALA LÄN</t>
        </is>
      </c>
      <c r="E1774" t="inlineStr">
        <is>
          <t>UPPSALA</t>
        </is>
      </c>
      <c r="F1774" t="inlineStr">
        <is>
          <t>Bergvik skog öst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13126-2021</t>
        </is>
      </c>
      <c r="B1775" s="1" t="n">
        <v>44272</v>
      </c>
      <c r="C1775" s="1" t="n">
        <v>45792</v>
      </c>
      <c r="D1775" t="inlineStr">
        <is>
          <t>UPPSALA LÄN</t>
        </is>
      </c>
      <c r="E1775" t="inlineStr">
        <is>
          <t>HEBY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13157-2021</t>
        </is>
      </c>
      <c r="B1776" s="1" t="n">
        <v>44272</v>
      </c>
      <c r="C1776" s="1" t="n">
        <v>45792</v>
      </c>
      <c r="D1776" t="inlineStr">
        <is>
          <t>UPPSALA LÄN</t>
        </is>
      </c>
      <c r="E1776" t="inlineStr">
        <is>
          <t>TIERP</t>
        </is>
      </c>
      <c r="F1776" t="inlineStr">
        <is>
          <t>Bergvik skog öst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13201-2021</t>
        </is>
      </c>
      <c r="B1777" s="1" t="n">
        <v>44272</v>
      </c>
      <c r="C1777" s="1" t="n">
        <v>45792</v>
      </c>
      <c r="D1777" t="inlineStr">
        <is>
          <t>UPPSALA LÄN</t>
        </is>
      </c>
      <c r="E1777" t="inlineStr">
        <is>
          <t>ENKÖPING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13098-2021</t>
        </is>
      </c>
      <c r="B1778" s="1" t="n">
        <v>44272</v>
      </c>
      <c r="C1778" s="1" t="n">
        <v>45792</v>
      </c>
      <c r="D1778" t="inlineStr">
        <is>
          <t>UPPSALA LÄN</t>
        </is>
      </c>
      <c r="E1778" t="inlineStr">
        <is>
          <t>HEBY</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13131-2021</t>
        </is>
      </c>
      <c r="B1779" s="1" t="n">
        <v>44272</v>
      </c>
      <c r="C1779" s="1" t="n">
        <v>45792</v>
      </c>
      <c r="D1779" t="inlineStr">
        <is>
          <t>UPPSALA LÄN</t>
        </is>
      </c>
      <c r="E1779" t="inlineStr">
        <is>
          <t>HEBY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13046-2021</t>
        </is>
      </c>
      <c r="B1780" s="1" t="n">
        <v>44272</v>
      </c>
      <c r="C1780" s="1" t="n">
        <v>45792</v>
      </c>
      <c r="D1780" t="inlineStr">
        <is>
          <t>UPPSALA LÄN</t>
        </is>
      </c>
      <c r="E1780" t="inlineStr">
        <is>
          <t>HEBY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13476-2021</t>
        </is>
      </c>
      <c r="B1781" s="1" t="n">
        <v>44273</v>
      </c>
      <c r="C1781" s="1" t="n">
        <v>45792</v>
      </c>
      <c r="D1781" t="inlineStr">
        <is>
          <t>UPPSALA LÄN</t>
        </is>
      </c>
      <c r="E1781" t="inlineStr">
        <is>
          <t>ÄLVKARLEBY</t>
        </is>
      </c>
      <c r="F1781" t="inlineStr">
        <is>
          <t>Bergvik skog väst AB</t>
        </is>
      </c>
      <c r="G1781" t="n">
        <v>12.1</v>
      </c>
      <c r="H1781" t="n">
        <v>0</v>
      </c>
      <c r="I1781" t="n">
        <v>0</v>
      </c>
      <c r="J1781" t="n">
        <v>0</v>
      </c>
      <c r="K1781" t="n">
        <v>0</v>
      </c>
      <c r="L1781" t="n">
        <v>0</v>
      </c>
      <c r="M1781" t="n">
        <v>0</v>
      </c>
      <c r="N1781" t="n">
        <v>0</v>
      </c>
      <c r="O1781" t="n">
        <v>0</v>
      </c>
      <c r="P1781" t="n">
        <v>0</v>
      </c>
      <c r="Q1781" t="n">
        <v>0</v>
      </c>
      <c r="R1781" s="2" t="inlineStr"/>
    </row>
    <row r="1782" ht="15" customHeight="1">
      <c r="A1782" t="inlineStr">
        <is>
          <t>A 13420-2021</t>
        </is>
      </c>
      <c r="B1782" s="1" t="n">
        <v>44273</v>
      </c>
      <c r="C1782" s="1" t="n">
        <v>45792</v>
      </c>
      <c r="D1782" t="inlineStr">
        <is>
          <t>UPPSALA LÄN</t>
        </is>
      </c>
      <c r="E1782" t="inlineStr">
        <is>
          <t>UPPSALA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13813-2021</t>
        </is>
      </c>
      <c r="B1783" s="1" t="n">
        <v>44276</v>
      </c>
      <c r="C1783" s="1" t="n">
        <v>45792</v>
      </c>
      <c r="D1783" t="inlineStr">
        <is>
          <t>UPPSALA LÄN</t>
        </is>
      </c>
      <c r="E1783" t="inlineStr">
        <is>
          <t>ENKÖPING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13816-2021</t>
        </is>
      </c>
      <c r="B1784" s="1" t="n">
        <v>44276</v>
      </c>
      <c r="C1784" s="1" t="n">
        <v>45792</v>
      </c>
      <c r="D1784" t="inlineStr">
        <is>
          <t>UPPSALA LÄN</t>
        </is>
      </c>
      <c r="E1784" t="inlineStr">
        <is>
          <t>ENKÖPING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14026-2021</t>
        </is>
      </c>
      <c r="B1785" s="1" t="n">
        <v>44277</v>
      </c>
      <c r="C1785" s="1" t="n">
        <v>45792</v>
      </c>
      <c r="D1785" t="inlineStr">
        <is>
          <t>UPPSALA LÄN</t>
        </is>
      </c>
      <c r="E1785" t="inlineStr">
        <is>
          <t>UPPSALA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14022-2021</t>
        </is>
      </c>
      <c r="B1786" s="1" t="n">
        <v>44277</v>
      </c>
      <c r="C1786" s="1" t="n">
        <v>45792</v>
      </c>
      <c r="D1786" t="inlineStr">
        <is>
          <t>UPPSALA LÄN</t>
        </is>
      </c>
      <c r="E1786" t="inlineStr">
        <is>
          <t>UPPSALA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14248-2021</t>
        </is>
      </c>
      <c r="B1787" s="1" t="n">
        <v>44278</v>
      </c>
      <c r="C1787" s="1" t="n">
        <v>45792</v>
      </c>
      <c r="D1787" t="inlineStr">
        <is>
          <t>UPPSALA LÄN</t>
        </is>
      </c>
      <c r="E1787" t="inlineStr">
        <is>
          <t>ÖSTHAMMAR</t>
        </is>
      </c>
      <c r="F1787" t="inlineStr">
        <is>
          <t>Övriga Aktiebolag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14306-2021</t>
        </is>
      </c>
      <c r="B1788" s="1" t="n">
        <v>44278</v>
      </c>
      <c r="C1788" s="1" t="n">
        <v>45792</v>
      </c>
      <c r="D1788" t="inlineStr">
        <is>
          <t>UPPSALA LÄN</t>
        </is>
      </c>
      <c r="E1788" t="inlineStr">
        <is>
          <t>HEBY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14341-2021</t>
        </is>
      </c>
      <c r="B1789" s="1" t="n">
        <v>44279</v>
      </c>
      <c r="C1789" s="1" t="n">
        <v>45792</v>
      </c>
      <c r="D1789" t="inlineStr">
        <is>
          <t>UPPSALA LÄN</t>
        </is>
      </c>
      <c r="E1789" t="inlineStr">
        <is>
          <t>UPPSALA</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14386-2021</t>
        </is>
      </c>
      <c r="B1790" s="1" t="n">
        <v>44279</v>
      </c>
      <c r="C1790" s="1" t="n">
        <v>45792</v>
      </c>
      <c r="D1790" t="inlineStr">
        <is>
          <t>UPPSALA LÄN</t>
        </is>
      </c>
      <c r="E1790" t="inlineStr">
        <is>
          <t>HEBY</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14525-2021</t>
        </is>
      </c>
      <c r="B1791" s="1" t="n">
        <v>44279</v>
      </c>
      <c r="C1791" s="1" t="n">
        <v>45792</v>
      </c>
      <c r="D1791" t="inlineStr">
        <is>
          <t>UPPSALA LÄN</t>
        </is>
      </c>
      <c r="E1791" t="inlineStr">
        <is>
          <t>ÖSTHAMMAR</t>
        </is>
      </c>
      <c r="F1791" t="inlineStr">
        <is>
          <t>Bergvik skog öst AB</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14840-2021</t>
        </is>
      </c>
      <c r="B1792" s="1" t="n">
        <v>44280</v>
      </c>
      <c r="C1792" s="1" t="n">
        <v>45792</v>
      </c>
      <c r="D1792" t="inlineStr">
        <is>
          <t>UPPSALA LÄN</t>
        </is>
      </c>
      <c r="E1792" t="inlineStr">
        <is>
          <t>ENKÖPING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14841-2021</t>
        </is>
      </c>
      <c r="B1793" s="1" t="n">
        <v>44280</v>
      </c>
      <c r="C1793" s="1" t="n">
        <v>45792</v>
      </c>
      <c r="D1793" t="inlineStr">
        <is>
          <t>UPPSALA LÄN</t>
        </is>
      </c>
      <c r="E1793" t="inlineStr">
        <is>
          <t>ENKÖPING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14843-2021</t>
        </is>
      </c>
      <c r="B1794" s="1" t="n">
        <v>44280</v>
      </c>
      <c r="C1794" s="1" t="n">
        <v>45792</v>
      </c>
      <c r="D1794" t="inlineStr">
        <is>
          <t>UPPSALA LÄN</t>
        </is>
      </c>
      <c r="E1794" t="inlineStr">
        <is>
          <t>HEBY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14839-2021</t>
        </is>
      </c>
      <c r="B1795" s="1" t="n">
        <v>44280</v>
      </c>
      <c r="C1795" s="1" t="n">
        <v>45792</v>
      </c>
      <c r="D1795" t="inlineStr">
        <is>
          <t>UPPSALA LÄN</t>
        </is>
      </c>
      <c r="E1795" t="inlineStr">
        <is>
          <t>ENKÖPING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14934-2021</t>
        </is>
      </c>
      <c r="B1796" s="1" t="n">
        <v>44281</v>
      </c>
      <c r="C1796" s="1" t="n">
        <v>45792</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14941-2021</t>
        </is>
      </c>
      <c r="B1797" s="1" t="n">
        <v>44281</v>
      </c>
      <c r="C1797" s="1" t="n">
        <v>45792</v>
      </c>
      <c r="D1797" t="inlineStr">
        <is>
          <t>UPPSALA LÄN</t>
        </is>
      </c>
      <c r="E1797" t="inlineStr">
        <is>
          <t>UPPSALA</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15298-2021</t>
        </is>
      </c>
      <c r="B1798" s="1" t="n">
        <v>44284</v>
      </c>
      <c r="C1798" s="1" t="n">
        <v>45792</v>
      </c>
      <c r="D1798" t="inlineStr">
        <is>
          <t>UPPSALA LÄN</t>
        </is>
      </c>
      <c r="E1798" t="inlineStr">
        <is>
          <t>ENKÖPING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15481-2021</t>
        </is>
      </c>
      <c r="B1799" s="1" t="n">
        <v>44285</v>
      </c>
      <c r="C1799" s="1" t="n">
        <v>45792</v>
      </c>
      <c r="D1799" t="inlineStr">
        <is>
          <t>UPPSALA LÄN</t>
        </is>
      </c>
      <c r="E1799" t="inlineStr">
        <is>
          <t>HEBY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15485-2021</t>
        </is>
      </c>
      <c r="B1800" s="1" t="n">
        <v>44285</v>
      </c>
      <c r="C1800" s="1" t="n">
        <v>45792</v>
      </c>
      <c r="D1800" t="inlineStr">
        <is>
          <t>UPPSALA LÄN</t>
        </is>
      </c>
      <c r="E1800" t="inlineStr">
        <is>
          <t>HEBY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15587-2021</t>
        </is>
      </c>
      <c r="B1801" s="1" t="n">
        <v>44285</v>
      </c>
      <c r="C1801" s="1" t="n">
        <v>45792</v>
      </c>
      <c r="D1801" t="inlineStr">
        <is>
          <t>UPPSALA LÄN</t>
        </is>
      </c>
      <c r="E1801" t="inlineStr">
        <is>
          <t>TIERP</t>
        </is>
      </c>
      <c r="F1801" t="inlineStr">
        <is>
          <t>Bergvik skog väst AB</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15816-2021</t>
        </is>
      </c>
      <c r="B1802" s="1" t="n">
        <v>44286</v>
      </c>
      <c r="C1802" s="1" t="n">
        <v>45792</v>
      </c>
      <c r="D1802" t="inlineStr">
        <is>
          <t>UPPSALA LÄN</t>
        </is>
      </c>
      <c r="E1802" t="inlineStr">
        <is>
          <t>UPPSALA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15677-2021</t>
        </is>
      </c>
      <c r="B1803" s="1" t="n">
        <v>44286</v>
      </c>
      <c r="C1803" s="1" t="n">
        <v>45792</v>
      </c>
      <c r="D1803" t="inlineStr">
        <is>
          <t>UPPSALA LÄN</t>
        </is>
      </c>
      <c r="E1803" t="inlineStr">
        <is>
          <t>TIERP</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15728-2021</t>
        </is>
      </c>
      <c r="B1804" s="1" t="n">
        <v>44286</v>
      </c>
      <c r="C1804" s="1" t="n">
        <v>45792</v>
      </c>
      <c r="D1804" t="inlineStr">
        <is>
          <t>UPPSALA LÄN</t>
        </is>
      </c>
      <c r="E1804" t="inlineStr">
        <is>
          <t>TIERP</t>
        </is>
      </c>
      <c r="F1804" t="inlineStr">
        <is>
          <t>Bergvik skog öst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15820-2021</t>
        </is>
      </c>
      <c r="B1805" s="1" t="n">
        <v>44286</v>
      </c>
      <c r="C1805" s="1" t="n">
        <v>45792</v>
      </c>
      <c r="D1805" t="inlineStr">
        <is>
          <t>UPPSALA LÄN</t>
        </is>
      </c>
      <c r="E1805" t="inlineStr">
        <is>
          <t>UPPSALA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15997-2021</t>
        </is>
      </c>
      <c r="B1806" s="1" t="n">
        <v>44287</v>
      </c>
      <c r="C1806" s="1" t="n">
        <v>45792</v>
      </c>
      <c r="D1806" t="inlineStr">
        <is>
          <t>UPPSALA LÄN</t>
        </is>
      </c>
      <c r="E1806" t="inlineStr">
        <is>
          <t>ENKÖPING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16043-2021</t>
        </is>
      </c>
      <c r="B1807" s="1" t="n">
        <v>44287</v>
      </c>
      <c r="C1807" s="1" t="n">
        <v>45792</v>
      </c>
      <c r="D1807" t="inlineStr">
        <is>
          <t>UPPSALA LÄN</t>
        </is>
      </c>
      <c r="E1807" t="inlineStr">
        <is>
          <t>HEBY</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16212-2021</t>
        </is>
      </c>
      <c r="B1808" s="1" t="n">
        <v>44287</v>
      </c>
      <c r="C1808" s="1" t="n">
        <v>45792</v>
      </c>
      <c r="D1808" t="inlineStr">
        <is>
          <t>UPPSALA LÄN</t>
        </is>
      </c>
      <c r="E1808" t="inlineStr">
        <is>
          <t>ÖSTHAMMAR</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16209-2021</t>
        </is>
      </c>
      <c r="B1809" s="1" t="n">
        <v>44287</v>
      </c>
      <c r="C1809" s="1" t="n">
        <v>45792</v>
      </c>
      <c r="D1809" t="inlineStr">
        <is>
          <t>UPPSALA LÄN</t>
        </is>
      </c>
      <c r="E1809" t="inlineStr">
        <is>
          <t>ÖSTHAMMAR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16106-2021</t>
        </is>
      </c>
      <c r="B1810" s="1" t="n">
        <v>44290</v>
      </c>
      <c r="C1810" s="1" t="n">
        <v>45792</v>
      </c>
      <c r="D1810" t="inlineStr">
        <is>
          <t>UPPSALA LÄN</t>
        </is>
      </c>
      <c r="E1810" t="inlineStr">
        <is>
          <t>TIERP</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16124-2021</t>
        </is>
      </c>
      <c r="B1811" s="1" t="n">
        <v>44291</v>
      </c>
      <c r="C1811" s="1" t="n">
        <v>45792</v>
      </c>
      <c r="D1811" t="inlineStr">
        <is>
          <t>UPPSALA LÄN</t>
        </is>
      </c>
      <c r="E1811" t="inlineStr">
        <is>
          <t>TIERP</t>
        </is>
      </c>
      <c r="F1811" t="inlineStr">
        <is>
          <t>Bergvik skog väst AB</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16463-2021</t>
        </is>
      </c>
      <c r="B1812" s="1" t="n">
        <v>44292</v>
      </c>
      <c r="C1812" s="1" t="n">
        <v>45792</v>
      </c>
      <c r="D1812" t="inlineStr">
        <is>
          <t>UPPSALA LÄN</t>
        </is>
      </c>
      <c r="E1812" t="inlineStr">
        <is>
          <t>HEBY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16309-2021</t>
        </is>
      </c>
      <c r="B1813" s="1" t="n">
        <v>44292</v>
      </c>
      <c r="C1813" s="1" t="n">
        <v>45792</v>
      </c>
      <c r="D1813" t="inlineStr">
        <is>
          <t>UPPSALA LÄN</t>
        </is>
      </c>
      <c r="E1813" t="inlineStr">
        <is>
          <t>ENKÖPING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16498-2021</t>
        </is>
      </c>
      <c r="B1814" s="1" t="n">
        <v>44293</v>
      </c>
      <c r="C1814" s="1" t="n">
        <v>45792</v>
      </c>
      <c r="D1814" t="inlineStr">
        <is>
          <t>UPPSALA LÄN</t>
        </is>
      </c>
      <c r="E1814" t="inlineStr">
        <is>
          <t>ENKÖPING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16494-2021</t>
        </is>
      </c>
      <c r="B1815" s="1" t="n">
        <v>44293</v>
      </c>
      <c r="C1815" s="1" t="n">
        <v>45792</v>
      </c>
      <c r="D1815" t="inlineStr">
        <is>
          <t>UPPSALA LÄN</t>
        </is>
      </c>
      <c r="E1815" t="inlineStr">
        <is>
          <t>HEBY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16592-2021</t>
        </is>
      </c>
      <c r="B1816" s="1" t="n">
        <v>44294</v>
      </c>
      <c r="C1816" s="1" t="n">
        <v>45792</v>
      </c>
      <c r="D1816" t="inlineStr">
        <is>
          <t>UPPSALA LÄN</t>
        </is>
      </c>
      <c r="E1816" t="inlineStr">
        <is>
          <t>UPPSALA</t>
        </is>
      </c>
      <c r="F1816" t="inlineStr">
        <is>
          <t>Övriga Aktiebolag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16615-2021</t>
        </is>
      </c>
      <c r="B1817" s="1" t="n">
        <v>44294</v>
      </c>
      <c r="C1817" s="1" t="n">
        <v>45792</v>
      </c>
      <c r="D1817" t="inlineStr">
        <is>
          <t>UPPSALA LÄN</t>
        </is>
      </c>
      <c r="E1817" t="inlineStr">
        <is>
          <t>UPPSALA</t>
        </is>
      </c>
      <c r="F1817" t="inlineStr">
        <is>
          <t>Övriga Aktiebolag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16683-2021</t>
        </is>
      </c>
      <c r="B1818" s="1" t="n">
        <v>44294</v>
      </c>
      <c r="C1818" s="1" t="n">
        <v>45792</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16684-2021</t>
        </is>
      </c>
      <c r="B1819" s="1" t="n">
        <v>44294</v>
      </c>
      <c r="C1819" s="1" t="n">
        <v>45792</v>
      </c>
      <c r="D1819" t="inlineStr">
        <is>
          <t>UPPSALA LÄN</t>
        </is>
      </c>
      <c r="E1819" t="inlineStr">
        <is>
          <t>UPPSALA</t>
        </is>
      </c>
      <c r="F1819" t="inlineStr">
        <is>
          <t>Övriga Aktiebolag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17009-2021</t>
        </is>
      </c>
      <c r="B1820" s="1" t="n">
        <v>44295</v>
      </c>
      <c r="C1820" s="1" t="n">
        <v>45792</v>
      </c>
      <c r="D1820" t="inlineStr">
        <is>
          <t>UPPSALA LÄN</t>
        </is>
      </c>
      <c r="E1820" t="inlineStr">
        <is>
          <t>ÖSTHAMMAR</t>
        </is>
      </c>
      <c r="F1820" t="inlineStr">
        <is>
          <t>Bergvik skog öst AB</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17022-2021</t>
        </is>
      </c>
      <c r="B1821" s="1" t="n">
        <v>44295</v>
      </c>
      <c r="C1821" s="1" t="n">
        <v>45792</v>
      </c>
      <c r="D1821" t="inlineStr">
        <is>
          <t>UPPSALA LÄN</t>
        </is>
      </c>
      <c r="E1821" t="inlineStr">
        <is>
          <t>ÖSTHAMMAR</t>
        </is>
      </c>
      <c r="F1821" t="inlineStr">
        <is>
          <t>Bergvik skog öst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17033-2021</t>
        </is>
      </c>
      <c r="B1822" s="1" t="n">
        <v>44295</v>
      </c>
      <c r="C1822" s="1" t="n">
        <v>45792</v>
      </c>
      <c r="D1822" t="inlineStr">
        <is>
          <t>UPPSALA LÄN</t>
        </is>
      </c>
      <c r="E1822" t="inlineStr">
        <is>
          <t>ÖSTHAMMAR</t>
        </is>
      </c>
      <c r="F1822" t="inlineStr">
        <is>
          <t>Bergvik skog öst AB</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17262-2021</t>
        </is>
      </c>
      <c r="B1823" s="1" t="n">
        <v>44297</v>
      </c>
      <c r="C1823" s="1" t="n">
        <v>45792</v>
      </c>
      <c r="D1823" t="inlineStr">
        <is>
          <t>UPPSALA LÄN</t>
        </is>
      </c>
      <c r="E1823" t="inlineStr">
        <is>
          <t>UPPSALA</t>
        </is>
      </c>
      <c r="F1823" t="inlineStr">
        <is>
          <t>Allmännings- och besparingsskogar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17250-2021</t>
        </is>
      </c>
      <c r="B1824" s="1" t="n">
        <v>44297</v>
      </c>
      <c r="C1824" s="1" t="n">
        <v>45792</v>
      </c>
      <c r="D1824" t="inlineStr">
        <is>
          <t>UPPSALA LÄN</t>
        </is>
      </c>
      <c r="E1824" t="inlineStr">
        <is>
          <t>UPPSALA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17264-2021</t>
        </is>
      </c>
      <c r="B1825" s="1" t="n">
        <v>44298</v>
      </c>
      <c r="C1825" s="1" t="n">
        <v>45792</v>
      </c>
      <c r="D1825" t="inlineStr">
        <is>
          <t>UPPSALA LÄN</t>
        </is>
      </c>
      <c r="E1825" t="inlineStr">
        <is>
          <t>ENKÖPING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17268-2021</t>
        </is>
      </c>
      <c r="B1826" s="1" t="n">
        <v>44298</v>
      </c>
      <c r="C1826" s="1" t="n">
        <v>45792</v>
      </c>
      <c r="D1826" t="inlineStr">
        <is>
          <t>UPPSALA LÄN</t>
        </is>
      </c>
      <c r="E1826" t="inlineStr">
        <is>
          <t>ENKÖPING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17349-2021</t>
        </is>
      </c>
      <c r="B1827" s="1" t="n">
        <v>44298</v>
      </c>
      <c r="C1827" s="1" t="n">
        <v>45792</v>
      </c>
      <c r="D1827" t="inlineStr">
        <is>
          <t>UPPSALA LÄN</t>
        </is>
      </c>
      <c r="E1827" t="inlineStr">
        <is>
          <t>ÖSTHAMMAR</t>
        </is>
      </c>
      <c r="F1827" t="inlineStr">
        <is>
          <t>Bergvik skog öst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17536-2021</t>
        </is>
      </c>
      <c r="B1828" s="1" t="n">
        <v>44299</v>
      </c>
      <c r="C1828" s="1" t="n">
        <v>45792</v>
      </c>
      <c r="D1828" t="inlineStr">
        <is>
          <t>UPPSALA LÄN</t>
        </is>
      </c>
      <c r="E1828" t="inlineStr">
        <is>
          <t>UPPSALA</t>
        </is>
      </c>
      <c r="F1828" t="inlineStr">
        <is>
          <t>Holmen skog AB</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17580-2021</t>
        </is>
      </c>
      <c r="B1829" s="1" t="n">
        <v>44299</v>
      </c>
      <c r="C1829" s="1" t="n">
        <v>45792</v>
      </c>
      <c r="D1829" t="inlineStr">
        <is>
          <t>UPPSALA LÄN</t>
        </is>
      </c>
      <c r="E1829" t="inlineStr">
        <is>
          <t>HEBY</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17747-2021</t>
        </is>
      </c>
      <c r="B1830" s="1" t="n">
        <v>44300</v>
      </c>
      <c r="C1830" s="1" t="n">
        <v>45792</v>
      </c>
      <c r="D1830" t="inlineStr">
        <is>
          <t>UPPSALA LÄN</t>
        </is>
      </c>
      <c r="E1830" t="inlineStr">
        <is>
          <t>HEBY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18328-2021</t>
        </is>
      </c>
      <c r="B1831" s="1" t="n">
        <v>44305</v>
      </c>
      <c r="C1831" s="1" t="n">
        <v>45792</v>
      </c>
      <c r="D1831" t="inlineStr">
        <is>
          <t>UPPSALA LÄN</t>
        </is>
      </c>
      <c r="E1831" t="inlineStr">
        <is>
          <t>ENKÖPING</t>
        </is>
      </c>
      <c r="G1831" t="n">
        <v>9.4</v>
      </c>
      <c r="H1831" t="n">
        <v>0</v>
      </c>
      <c r="I1831" t="n">
        <v>0</v>
      </c>
      <c r="J1831" t="n">
        <v>0</v>
      </c>
      <c r="K1831" t="n">
        <v>0</v>
      </c>
      <c r="L1831" t="n">
        <v>0</v>
      </c>
      <c r="M1831" t="n">
        <v>0</v>
      </c>
      <c r="N1831" t="n">
        <v>0</v>
      </c>
      <c r="O1831" t="n">
        <v>0</v>
      </c>
      <c r="P1831" t="n">
        <v>0</v>
      </c>
      <c r="Q1831" t="n">
        <v>0</v>
      </c>
      <c r="R1831" s="2" t="inlineStr"/>
    </row>
    <row r="1832" ht="15" customHeight="1">
      <c r="A1832" t="inlineStr">
        <is>
          <t>A 18584-2021</t>
        </is>
      </c>
      <c r="B1832" s="1" t="n">
        <v>44306</v>
      </c>
      <c r="C1832" s="1" t="n">
        <v>45792</v>
      </c>
      <c r="D1832" t="inlineStr">
        <is>
          <t>UPPSALA LÄN</t>
        </is>
      </c>
      <c r="E1832" t="inlineStr">
        <is>
          <t>ENKÖPING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18592-2021</t>
        </is>
      </c>
      <c r="B1833" s="1" t="n">
        <v>44306</v>
      </c>
      <c r="C1833" s="1" t="n">
        <v>45792</v>
      </c>
      <c r="D1833" t="inlineStr">
        <is>
          <t>UPPSALA LÄN</t>
        </is>
      </c>
      <c r="E1833" t="inlineStr">
        <is>
          <t>ENKÖPING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18583-2021</t>
        </is>
      </c>
      <c r="B1834" s="1" t="n">
        <v>44306</v>
      </c>
      <c r="C1834" s="1" t="n">
        <v>45792</v>
      </c>
      <c r="D1834" t="inlineStr">
        <is>
          <t>UPPSALA LÄN</t>
        </is>
      </c>
      <c r="E1834" t="inlineStr">
        <is>
          <t>ENKÖPING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18897-2021</t>
        </is>
      </c>
      <c r="B1835" s="1" t="n">
        <v>44308</v>
      </c>
      <c r="C1835" s="1" t="n">
        <v>45792</v>
      </c>
      <c r="D1835" t="inlineStr">
        <is>
          <t>UPPSALA LÄN</t>
        </is>
      </c>
      <c r="E1835" t="inlineStr">
        <is>
          <t>KNIVSTA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18906-2021</t>
        </is>
      </c>
      <c r="B1836" s="1" t="n">
        <v>44308</v>
      </c>
      <c r="C1836" s="1" t="n">
        <v>45792</v>
      </c>
      <c r="D1836" t="inlineStr">
        <is>
          <t>UPPSALA LÄN</t>
        </is>
      </c>
      <c r="E1836" t="inlineStr">
        <is>
          <t>UPPSALA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18944-2021</t>
        </is>
      </c>
      <c r="B1837" s="1" t="n">
        <v>44308</v>
      </c>
      <c r="C1837" s="1" t="n">
        <v>45792</v>
      </c>
      <c r="D1837" t="inlineStr">
        <is>
          <t>UPPSALA LÄN</t>
        </is>
      </c>
      <c r="E1837" t="inlineStr">
        <is>
          <t>ÖSTHAMMAR</t>
        </is>
      </c>
      <c r="F1837" t="inlineStr">
        <is>
          <t>Bergvik skog öst AB</t>
        </is>
      </c>
      <c r="G1837" t="n">
        <v>12.5</v>
      </c>
      <c r="H1837" t="n">
        <v>0</v>
      </c>
      <c r="I1837" t="n">
        <v>0</v>
      </c>
      <c r="J1837" t="n">
        <v>0</v>
      </c>
      <c r="K1837" t="n">
        <v>0</v>
      </c>
      <c r="L1837" t="n">
        <v>0</v>
      </c>
      <c r="M1837" t="n">
        <v>0</v>
      </c>
      <c r="N1837" t="n">
        <v>0</v>
      </c>
      <c r="O1837" t="n">
        <v>0</v>
      </c>
      <c r="P1837" t="n">
        <v>0</v>
      </c>
      <c r="Q1837" t="n">
        <v>0</v>
      </c>
      <c r="R1837" s="2" t="inlineStr"/>
    </row>
    <row r="1838" ht="15" customHeight="1">
      <c r="A1838" t="inlineStr">
        <is>
          <t>A 18982-2021</t>
        </is>
      </c>
      <c r="B1838" s="1" t="n">
        <v>44308</v>
      </c>
      <c r="C1838" s="1" t="n">
        <v>45792</v>
      </c>
      <c r="D1838" t="inlineStr">
        <is>
          <t>UPPSALA LÄN</t>
        </is>
      </c>
      <c r="E1838" t="inlineStr">
        <is>
          <t>HEBY</t>
        </is>
      </c>
      <c r="F1838" t="inlineStr">
        <is>
          <t>Kommuner</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18996-2021</t>
        </is>
      </c>
      <c r="B1839" s="1" t="n">
        <v>44308</v>
      </c>
      <c r="C1839" s="1" t="n">
        <v>45792</v>
      </c>
      <c r="D1839" t="inlineStr">
        <is>
          <t>UPPSALA LÄN</t>
        </is>
      </c>
      <c r="E1839" t="inlineStr">
        <is>
          <t>TIERP</t>
        </is>
      </c>
      <c r="F1839" t="inlineStr">
        <is>
          <t>Bergvik skog väst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20326-2021</t>
        </is>
      </c>
      <c r="B1840" s="1" t="n">
        <v>44308</v>
      </c>
      <c r="C1840" s="1" t="n">
        <v>45792</v>
      </c>
      <c r="D1840" t="inlineStr">
        <is>
          <t>UPPSALA LÄN</t>
        </is>
      </c>
      <c r="E1840" t="inlineStr">
        <is>
          <t>ÖSTHAMMAR</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20325-2021</t>
        </is>
      </c>
      <c r="B1841" s="1" t="n">
        <v>44308</v>
      </c>
      <c r="C1841" s="1" t="n">
        <v>45792</v>
      </c>
      <c r="D1841" t="inlineStr">
        <is>
          <t>UPPSALA LÄN</t>
        </is>
      </c>
      <c r="E1841" t="inlineStr">
        <is>
          <t>ÖSTHAMMAR</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20324-2021</t>
        </is>
      </c>
      <c r="B1842" s="1" t="n">
        <v>44308</v>
      </c>
      <c r="C1842" s="1" t="n">
        <v>45792</v>
      </c>
      <c r="D1842" t="inlineStr">
        <is>
          <t>UPPSALA LÄN</t>
        </is>
      </c>
      <c r="E1842" t="inlineStr">
        <is>
          <t>ÖSTHAMMAR</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19214-2021</t>
        </is>
      </c>
      <c r="B1843" s="1" t="n">
        <v>44309</v>
      </c>
      <c r="C1843" s="1" t="n">
        <v>45792</v>
      </c>
      <c r="D1843" t="inlineStr">
        <is>
          <t>UPPSALA LÄN</t>
        </is>
      </c>
      <c r="E1843" t="inlineStr">
        <is>
          <t>ÖSTHAMMAR</t>
        </is>
      </c>
      <c r="F1843" t="inlineStr">
        <is>
          <t>Bergvik skog öst AB</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19268-2021</t>
        </is>
      </c>
      <c r="B1844" s="1" t="n">
        <v>44309</v>
      </c>
      <c r="C1844" s="1" t="n">
        <v>45792</v>
      </c>
      <c r="D1844" t="inlineStr">
        <is>
          <t>UPPSALA LÄN</t>
        </is>
      </c>
      <c r="E1844" t="inlineStr">
        <is>
          <t>HEBY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19630-2021</t>
        </is>
      </c>
      <c r="B1845" s="1" t="n">
        <v>44312</v>
      </c>
      <c r="C1845" s="1" t="n">
        <v>45792</v>
      </c>
      <c r="D1845" t="inlineStr">
        <is>
          <t>UPPSALA LÄN</t>
        </is>
      </c>
      <c r="E1845" t="inlineStr">
        <is>
          <t>ENKÖPING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19552-2021</t>
        </is>
      </c>
      <c r="B1846" s="1" t="n">
        <v>44312</v>
      </c>
      <c r="C1846" s="1" t="n">
        <v>45792</v>
      </c>
      <c r="D1846" t="inlineStr">
        <is>
          <t>UPPSALA LÄN</t>
        </is>
      </c>
      <c r="E1846" t="inlineStr">
        <is>
          <t>ÖSTHAMMAR</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19927-2021</t>
        </is>
      </c>
      <c r="B1847" s="1" t="n">
        <v>44313</v>
      </c>
      <c r="C1847" s="1" t="n">
        <v>45792</v>
      </c>
      <c r="D1847" t="inlineStr">
        <is>
          <t>UPPSALA LÄN</t>
        </is>
      </c>
      <c r="E1847" t="inlineStr">
        <is>
          <t>UPPSALA</t>
        </is>
      </c>
      <c r="F1847" t="inlineStr">
        <is>
          <t>Bergvik skog öst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19796-2021</t>
        </is>
      </c>
      <c r="B1848" s="1" t="n">
        <v>44313</v>
      </c>
      <c r="C1848" s="1" t="n">
        <v>45792</v>
      </c>
      <c r="D1848" t="inlineStr">
        <is>
          <t>UPPSALA LÄN</t>
        </is>
      </c>
      <c r="E1848" t="inlineStr">
        <is>
          <t>KNIVSTA</t>
        </is>
      </c>
      <c r="G1848" t="n">
        <v>14.6</v>
      </c>
      <c r="H1848" t="n">
        <v>0</v>
      </c>
      <c r="I1848" t="n">
        <v>0</v>
      </c>
      <c r="J1848" t="n">
        <v>0</v>
      </c>
      <c r="K1848" t="n">
        <v>0</v>
      </c>
      <c r="L1848" t="n">
        <v>0</v>
      </c>
      <c r="M1848" t="n">
        <v>0</v>
      </c>
      <c r="N1848" t="n">
        <v>0</v>
      </c>
      <c r="O1848" t="n">
        <v>0</v>
      </c>
      <c r="P1848" t="n">
        <v>0</v>
      </c>
      <c r="Q1848" t="n">
        <v>0</v>
      </c>
      <c r="R1848" s="2" t="inlineStr"/>
    </row>
    <row r="1849" ht="15" customHeight="1">
      <c r="A1849" t="inlineStr">
        <is>
          <t>A 19947-2021</t>
        </is>
      </c>
      <c r="B1849" s="1" t="n">
        <v>44313</v>
      </c>
      <c r="C1849" s="1" t="n">
        <v>45792</v>
      </c>
      <c r="D1849" t="inlineStr">
        <is>
          <t>UPPSALA LÄN</t>
        </is>
      </c>
      <c r="E1849" t="inlineStr">
        <is>
          <t>UPPSALA</t>
        </is>
      </c>
      <c r="F1849" t="inlineStr">
        <is>
          <t>Bergvik skog öst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20505-2021</t>
        </is>
      </c>
      <c r="B1850" s="1" t="n">
        <v>44313</v>
      </c>
      <c r="C1850" s="1" t="n">
        <v>45792</v>
      </c>
      <c r="D1850" t="inlineStr">
        <is>
          <t>UPPSALA LÄN</t>
        </is>
      </c>
      <c r="E1850" t="inlineStr">
        <is>
          <t>KNIVSTA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20024-2021</t>
        </is>
      </c>
      <c r="B1851" s="1" t="n">
        <v>44314</v>
      </c>
      <c r="C1851" s="1" t="n">
        <v>45792</v>
      </c>
      <c r="D1851" t="inlineStr">
        <is>
          <t>UPPSALA LÄN</t>
        </is>
      </c>
      <c r="E1851" t="inlineStr">
        <is>
          <t>HEBY</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20067-2021</t>
        </is>
      </c>
      <c r="B1852" s="1" t="n">
        <v>44314</v>
      </c>
      <c r="C1852" s="1" t="n">
        <v>45792</v>
      </c>
      <c r="D1852" t="inlineStr">
        <is>
          <t>UPPSALA LÄN</t>
        </is>
      </c>
      <c r="E1852" t="inlineStr">
        <is>
          <t>ENKÖPING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20276-2021</t>
        </is>
      </c>
      <c r="B1853" s="1" t="n">
        <v>44314</v>
      </c>
      <c r="C1853" s="1" t="n">
        <v>45792</v>
      </c>
      <c r="D1853" t="inlineStr">
        <is>
          <t>UPPSALA LÄN</t>
        </is>
      </c>
      <c r="E1853" t="inlineStr">
        <is>
          <t>UPPSALA</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20271-2021</t>
        </is>
      </c>
      <c r="B1854" s="1" t="n">
        <v>44314</v>
      </c>
      <c r="C1854" s="1" t="n">
        <v>45792</v>
      </c>
      <c r="D1854" t="inlineStr">
        <is>
          <t>UPPSALA LÄN</t>
        </is>
      </c>
      <c r="E1854" t="inlineStr">
        <is>
          <t>UPPSALA</t>
        </is>
      </c>
      <c r="F1854" t="inlineStr">
        <is>
          <t>Bergvik skog öst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20230-2021</t>
        </is>
      </c>
      <c r="B1855" s="1" t="n">
        <v>44314</v>
      </c>
      <c r="C1855" s="1" t="n">
        <v>45792</v>
      </c>
      <c r="D1855" t="inlineStr">
        <is>
          <t>UPPSALA LÄN</t>
        </is>
      </c>
      <c r="E1855" t="inlineStr">
        <is>
          <t>HEBY</t>
        </is>
      </c>
      <c r="F1855" t="inlineStr">
        <is>
          <t>Sveaskog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20301-2021</t>
        </is>
      </c>
      <c r="B1856" s="1" t="n">
        <v>44315</v>
      </c>
      <c r="C1856" s="1" t="n">
        <v>45792</v>
      </c>
      <c r="D1856" t="inlineStr">
        <is>
          <t>UPPSALA LÄN</t>
        </is>
      </c>
      <c r="E1856" t="inlineStr">
        <is>
          <t>HEBY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20609-2021</t>
        </is>
      </c>
      <c r="B1857" s="1" t="n">
        <v>44316</v>
      </c>
      <c r="C1857" s="1" t="n">
        <v>45792</v>
      </c>
      <c r="D1857" t="inlineStr">
        <is>
          <t>UPPSALA LÄN</t>
        </is>
      </c>
      <c r="E1857" t="inlineStr">
        <is>
          <t>UPPSALA</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20827-2021</t>
        </is>
      </c>
      <c r="B1858" s="1" t="n">
        <v>44318</v>
      </c>
      <c r="C1858" s="1" t="n">
        <v>45792</v>
      </c>
      <c r="D1858" t="inlineStr">
        <is>
          <t>UPPSALA LÄN</t>
        </is>
      </c>
      <c r="E1858" t="inlineStr">
        <is>
          <t>KNIVSTA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22057-2021</t>
        </is>
      </c>
      <c r="B1859" s="1" t="n">
        <v>44323</v>
      </c>
      <c r="C1859" s="1" t="n">
        <v>45792</v>
      </c>
      <c r="D1859" t="inlineStr">
        <is>
          <t>UPPSALA LÄN</t>
        </is>
      </c>
      <c r="E1859" t="inlineStr">
        <is>
          <t>ENKÖPING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22070-2021</t>
        </is>
      </c>
      <c r="B1860" s="1" t="n">
        <v>44323</v>
      </c>
      <c r="C1860" s="1" t="n">
        <v>45792</v>
      </c>
      <c r="D1860" t="inlineStr">
        <is>
          <t>UPPSALA LÄN</t>
        </is>
      </c>
      <c r="E1860" t="inlineStr">
        <is>
          <t>UPPSALA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21967-2021</t>
        </is>
      </c>
      <c r="B1861" s="1" t="n">
        <v>44323</v>
      </c>
      <c r="C1861" s="1" t="n">
        <v>45792</v>
      </c>
      <c r="D1861" t="inlineStr">
        <is>
          <t>UPPSALA LÄN</t>
        </is>
      </c>
      <c r="E1861" t="inlineStr">
        <is>
          <t>TIERP</t>
        </is>
      </c>
      <c r="F1861" t="inlineStr">
        <is>
          <t>Bergvik skog väst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22058-2021</t>
        </is>
      </c>
      <c r="B1862" s="1" t="n">
        <v>44323</v>
      </c>
      <c r="C1862" s="1" t="n">
        <v>45792</v>
      </c>
      <c r="D1862" t="inlineStr">
        <is>
          <t>UPPSALA LÄN</t>
        </is>
      </c>
      <c r="E1862" t="inlineStr">
        <is>
          <t>ENKÖPING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22709-2021</t>
        </is>
      </c>
      <c r="B1863" s="1" t="n">
        <v>44327</v>
      </c>
      <c r="C1863" s="1" t="n">
        <v>45792</v>
      </c>
      <c r="D1863" t="inlineStr">
        <is>
          <t>UPPSALA LÄN</t>
        </is>
      </c>
      <c r="E1863" t="inlineStr">
        <is>
          <t>ÖSTHAMMAR</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22946-2021</t>
        </is>
      </c>
      <c r="B1864" s="1" t="n">
        <v>44328</v>
      </c>
      <c r="C1864" s="1" t="n">
        <v>45792</v>
      </c>
      <c r="D1864" t="inlineStr">
        <is>
          <t>UPPSALA LÄN</t>
        </is>
      </c>
      <c r="E1864" t="inlineStr">
        <is>
          <t>UPPSALA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23120-2021</t>
        </is>
      </c>
      <c r="B1865" s="1" t="n">
        <v>44330</v>
      </c>
      <c r="C1865" s="1" t="n">
        <v>45792</v>
      </c>
      <c r="D1865" t="inlineStr">
        <is>
          <t>UPPSALA LÄN</t>
        </is>
      </c>
      <c r="E1865" t="inlineStr">
        <is>
          <t>ÖSTHAMMAR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23380-2021</t>
        </is>
      </c>
      <c r="B1866" s="1" t="n">
        <v>44333</v>
      </c>
      <c r="C1866" s="1" t="n">
        <v>45792</v>
      </c>
      <c r="D1866" t="inlineStr">
        <is>
          <t>UPPSALA LÄN</t>
        </is>
      </c>
      <c r="E1866" t="inlineStr">
        <is>
          <t>TIERP</t>
        </is>
      </c>
      <c r="F1866" t="inlineStr">
        <is>
          <t>Bergvik skog väst AB</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23637-2021</t>
        </is>
      </c>
      <c r="B1867" s="1" t="n">
        <v>44334</v>
      </c>
      <c r="C1867" s="1" t="n">
        <v>45792</v>
      </c>
      <c r="D1867" t="inlineStr">
        <is>
          <t>UPPSALA LÄN</t>
        </is>
      </c>
      <c r="E1867" t="inlineStr">
        <is>
          <t>HEBY</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23828-2021</t>
        </is>
      </c>
      <c r="B1868" s="1" t="n">
        <v>44335</v>
      </c>
      <c r="C1868" s="1" t="n">
        <v>45792</v>
      </c>
      <c r="D1868" t="inlineStr">
        <is>
          <t>UPPSALA LÄN</t>
        </is>
      </c>
      <c r="E1868" t="inlineStr">
        <is>
          <t>TIERP</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23835-2021</t>
        </is>
      </c>
      <c r="B1869" s="1" t="n">
        <v>44335</v>
      </c>
      <c r="C1869" s="1" t="n">
        <v>45792</v>
      </c>
      <c r="D1869" t="inlineStr">
        <is>
          <t>UPPSALA LÄN</t>
        </is>
      </c>
      <c r="E1869" t="inlineStr">
        <is>
          <t>TIERP</t>
        </is>
      </c>
      <c r="F1869" t="inlineStr">
        <is>
          <t>Bergvik skog väst AB</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23877-2021</t>
        </is>
      </c>
      <c r="B1870" s="1" t="n">
        <v>44335</v>
      </c>
      <c r="C1870" s="1" t="n">
        <v>45792</v>
      </c>
      <c r="D1870" t="inlineStr">
        <is>
          <t>UPPSALA LÄN</t>
        </is>
      </c>
      <c r="E1870" t="inlineStr">
        <is>
          <t>UPPSALA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24062-2021</t>
        </is>
      </c>
      <c r="B1871" s="1" t="n">
        <v>44336</v>
      </c>
      <c r="C1871" s="1" t="n">
        <v>45792</v>
      </c>
      <c r="D1871" t="inlineStr">
        <is>
          <t>UPPSALA LÄN</t>
        </is>
      </c>
      <c r="E1871" t="inlineStr">
        <is>
          <t>ÖSTHAMMAR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24278-2021</t>
        </is>
      </c>
      <c r="B1872" s="1" t="n">
        <v>44337</v>
      </c>
      <c r="C1872" s="1" t="n">
        <v>45792</v>
      </c>
      <c r="D1872" t="inlineStr">
        <is>
          <t>UPPSALA LÄN</t>
        </is>
      </c>
      <c r="E1872" t="inlineStr">
        <is>
          <t>TIERP</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24276-2021</t>
        </is>
      </c>
      <c r="B1873" s="1" t="n">
        <v>44337</v>
      </c>
      <c r="C1873" s="1" t="n">
        <v>45792</v>
      </c>
      <c r="D1873" t="inlineStr">
        <is>
          <t>UPPSALA LÄN</t>
        </is>
      </c>
      <c r="E1873" t="inlineStr">
        <is>
          <t>TIERP</t>
        </is>
      </c>
      <c r="F1873" t="inlineStr">
        <is>
          <t>Bergvik skog väst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24316-2021</t>
        </is>
      </c>
      <c r="B1874" s="1" t="n">
        <v>44337</v>
      </c>
      <c r="C1874" s="1" t="n">
        <v>45792</v>
      </c>
      <c r="D1874" t="inlineStr">
        <is>
          <t>UPPSALA LÄN</t>
        </is>
      </c>
      <c r="E1874" t="inlineStr">
        <is>
          <t>ÖSTHAMMAR</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24431-2021</t>
        </is>
      </c>
      <c r="B1875" s="1" t="n">
        <v>44337</v>
      </c>
      <c r="C1875" s="1" t="n">
        <v>45792</v>
      </c>
      <c r="D1875" t="inlineStr">
        <is>
          <t>UPPSALA LÄN</t>
        </is>
      </c>
      <c r="E1875" t="inlineStr">
        <is>
          <t>TIERP</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24399-2021</t>
        </is>
      </c>
      <c r="B1876" s="1" t="n">
        <v>44337</v>
      </c>
      <c r="C1876" s="1" t="n">
        <v>45792</v>
      </c>
      <c r="D1876" t="inlineStr">
        <is>
          <t>UPPSALA LÄN</t>
        </is>
      </c>
      <c r="E1876" t="inlineStr">
        <is>
          <t>ENKÖPING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25033-2021</t>
        </is>
      </c>
      <c r="B1877" s="1" t="n">
        <v>44341</v>
      </c>
      <c r="C1877" s="1" t="n">
        <v>45792</v>
      </c>
      <c r="D1877" t="inlineStr">
        <is>
          <t>UPPSALA LÄN</t>
        </is>
      </c>
      <c r="E1877" t="inlineStr">
        <is>
          <t>ÖSTHAMMAR</t>
        </is>
      </c>
      <c r="F1877" t="inlineStr">
        <is>
          <t>Bergvik skog öst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25378-2021</t>
        </is>
      </c>
      <c r="B1878" s="1" t="n">
        <v>44342</v>
      </c>
      <c r="C1878" s="1" t="n">
        <v>45792</v>
      </c>
      <c r="D1878" t="inlineStr">
        <is>
          <t>UPPSALA LÄN</t>
        </is>
      </c>
      <c r="E1878" t="inlineStr">
        <is>
          <t>ÖSTHAMMAR</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25203-2021</t>
        </is>
      </c>
      <c r="B1879" s="1" t="n">
        <v>44342</v>
      </c>
      <c r="C1879" s="1" t="n">
        <v>45792</v>
      </c>
      <c r="D1879" t="inlineStr">
        <is>
          <t>UPPSALA LÄN</t>
        </is>
      </c>
      <c r="E1879" t="inlineStr">
        <is>
          <t>HEBY</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25259-2021</t>
        </is>
      </c>
      <c r="B1880" s="1" t="n">
        <v>44342</v>
      </c>
      <c r="C1880" s="1" t="n">
        <v>45792</v>
      </c>
      <c r="D1880" t="inlineStr">
        <is>
          <t>UPPSALA LÄN</t>
        </is>
      </c>
      <c r="E1880" t="inlineStr">
        <is>
          <t>KNIVSTA</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25359-2021</t>
        </is>
      </c>
      <c r="B1881" s="1" t="n">
        <v>44342</v>
      </c>
      <c r="C1881" s="1" t="n">
        <v>45792</v>
      </c>
      <c r="D1881" t="inlineStr">
        <is>
          <t>UPPSALA LÄN</t>
        </is>
      </c>
      <c r="E1881" t="inlineStr">
        <is>
          <t>KNIVSTA</t>
        </is>
      </c>
      <c r="F1881" t="inlineStr">
        <is>
          <t>Holmen skog AB</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25395-2021</t>
        </is>
      </c>
      <c r="B1882" s="1" t="n">
        <v>44342</v>
      </c>
      <c r="C1882" s="1" t="n">
        <v>45792</v>
      </c>
      <c r="D1882" t="inlineStr">
        <is>
          <t>UPPSALA LÄN</t>
        </is>
      </c>
      <c r="E1882" t="inlineStr">
        <is>
          <t>ÖSTHAMMAR</t>
        </is>
      </c>
      <c r="F1882" t="inlineStr">
        <is>
          <t>Övriga Aktiebolag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25613-2021</t>
        </is>
      </c>
      <c r="B1883" s="1" t="n">
        <v>44343</v>
      </c>
      <c r="C1883" s="1" t="n">
        <v>45792</v>
      </c>
      <c r="D1883" t="inlineStr">
        <is>
          <t>UPPSALA LÄN</t>
        </is>
      </c>
      <c r="E1883" t="inlineStr">
        <is>
          <t>UPPSALA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25598-2021</t>
        </is>
      </c>
      <c r="B1884" s="1" t="n">
        <v>44343</v>
      </c>
      <c r="C1884" s="1" t="n">
        <v>45792</v>
      </c>
      <c r="D1884" t="inlineStr">
        <is>
          <t>UPPSALA LÄN</t>
        </is>
      </c>
      <c r="E1884" t="inlineStr">
        <is>
          <t>ENKÖPING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26301-2021</t>
        </is>
      </c>
      <c r="B1885" s="1" t="n">
        <v>44347</v>
      </c>
      <c r="C1885" s="1" t="n">
        <v>45792</v>
      </c>
      <c r="D1885" t="inlineStr">
        <is>
          <t>UPPSALA LÄN</t>
        </is>
      </c>
      <c r="E1885" t="inlineStr">
        <is>
          <t>TIERP</t>
        </is>
      </c>
      <c r="F1885" t="inlineStr">
        <is>
          <t>Bergvik skog väst AB</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26257-2021</t>
        </is>
      </c>
      <c r="B1886" s="1" t="n">
        <v>44347</v>
      </c>
      <c r="C1886" s="1" t="n">
        <v>45792</v>
      </c>
      <c r="D1886" t="inlineStr">
        <is>
          <t>UPPSALA LÄN</t>
        </is>
      </c>
      <c r="E1886" t="inlineStr">
        <is>
          <t>ÖSTHAMMAR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26785-2021</t>
        </is>
      </c>
      <c r="B1887" s="1" t="n">
        <v>44349</v>
      </c>
      <c r="C1887" s="1" t="n">
        <v>45792</v>
      </c>
      <c r="D1887" t="inlineStr">
        <is>
          <t>UPPSALA LÄN</t>
        </is>
      </c>
      <c r="E1887" t="inlineStr">
        <is>
          <t>UPPSALA</t>
        </is>
      </c>
      <c r="F1887" t="inlineStr">
        <is>
          <t>Bergvik skog öst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26789-2021</t>
        </is>
      </c>
      <c r="B1888" s="1" t="n">
        <v>44349</v>
      </c>
      <c r="C1888" s="1" t="n">
        <v>45792</v>
      </c>
      <c r="D1888" t="inlineStr">
        <is>
          <t>UPPSALA LÄN</t>
        </is>
      </c>
      <c r="E1888" t="inlineStr">
        <is>
          <t>HEBY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27365-2021</t>
        </is>
      </c>
      <c r="B1889" s="1" t="n">
        <v>44351</v>
      </c>
      <c r="C1889" s="1" t="n">
        <v>45792</v>
      </c>
      <c r="D1889" t="inlineStr">
        <is>
          <t>UPPSALA LÄN</t>
        </is>
      </c>
      <c r="E1889" t="inlineStr">
        <is>
          <t>UPPSALA</t>
        </is>
      </c>
      <c r="F1889" t="inlineStr">
        <is>
          <t>Allmännings- och besparingsskogar</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27295-2021</t>
        </is>
      </c>
      <c r="B1890" s="1" t="n">
        <v>44351</v>
      </c>
      <c r="C1890" s="1" t="n">
        <v>45792</v>
      </c>
      <c r="D1890" t="inlineStr">
        <is>
          <t>UPPSALA LÄN</t>
        </is>
      </c>
      <c r="E1890" t="inlineStr">
        <is>
          <t>HEBY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27676-2021</t>
        </is>
      </c>
      <c r="B1891" s="1" t="n">
        <v>44353</v>
      </c>
      <c r="C1891" s="1" t="n">
        <v>45792</v>
      </c>
      <c r="D1891" t="inlineStr">
        <is>
          <t>UPPSALA LÄN</t>
        </is>
      </c>
      <c r="E1891" t="inlineStr">
        <is>
          <t>ENKÖPING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27650-2021</t>
        </is>
      </c>
      <c r="B1892" s="1" t="n">
        <v>44354</v>
      </c>
      <c r="C1892" s="1" t="n">
        <v>45792</v>
      </c>
      <c r="D1892" t="inlineStr">
        <is>
          <t>UPPSALA LÄN</t>
        </is>
      </c>
      <c r="E1892" t="inlineStr">
        <is>
          <t>HEBY</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27939-2021</t>
        </is>
      </c>
      <c r="B1893" s="1" t="n">
        <v>44354</v>
      </c>
      <c r="C1893" s="1" t="n">
        <v>45792</v>
      </c>
      <c r="D1893" t="inlineStr">
        <is>
          <t>UPPSALA LÄN</t>
        </is>
      </c>
      <c r="E1893" t="inlineStr">
        <is>
          <t>ÖSTHAMMAR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27940-2021</t>
        </is>
      </c>
      <c r="B1894" s="1" t="n">
        <v>44354</v>
      </c>
      <c r="C1894" s="1" t="n">
        <v>45792</v>
      </c>
      <c r="D1894" t="inlineStr">
        <is>
          <t>UPPSALA LÄN</t>
        </is>
      </c>
      <c r="E1894" t="inlineStr">
        <is>
          <t>ÖSTHAMMAR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28468-2021</t>
        </is>
      </c>
      <c r="B1895" s="1" t="n">
        <v>44356</v>
      </c>
      <c r="C1895" s="1" t="n">
        <v>45792</v>
      </c>
      <c r="D1895" t="inlineStr">
        <is>
          <t>UPPSALA LÄN</t>
        </is>
      </c>
      <c r="E1895" t="inlineStr">
        <is>
          <t>KNIVSTA</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28368-2021</t>
        </is>
      </c>
      <c r="B1896" s="1" t="n">
        <v>44356</v>
      </c>
      <c r="C1896" s="1" t="n">
        <v>45792</v>
      </c>
      <c r="D1896" t="inlineStr">
        <is>
          <t>UPPSALA LÄN</t>
        </is>
      </c>
      <c r="E1896" t="inlineStr">
        <is>
          <t>ENKÖPING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28694-2021</t>
        </is>
      </c>
      <c r="B1897" s="1" t="n">
        <v>44357</v>
      </c>
      <c r="C1897" s="1" t="n">
        <v>45792</v>
      </c>
      <c r="D1897" t="inlineStr">
        <is>
          <t>UPPSALA LÄN</t>
        </is>
      </c>
      <c r="E1897" t="inlineStr">
        <is>
          <t>UPPSALA</t>
        </is>
      </c>
      <c r="F1897" t="inlineStr">
        <is>
          <t>Holmen skog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28777-2021</t>
        </is>
      </c>
      <c r="B1898" s="1" t="n">
        <v>44357</v>
      </c>
      <c r="C1898" s="1" t="n">
        <v>45792</v>
      </c>
      <c r="D1898" t="inlineStr">
        <is>
          <t>UPPSALA LÄN</t>
        </is>
      </c>
      <c r="E1898" t="inlineStr">
        <is>
          <t>HEBY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28795-2021</t>
        </is>
      </c>
      <c r="B1899" s="1" t="n">
        <v>44357</v>
      </c>
      <c r="C1899" s="1" t="n">
        <v>45792</v>
      </c>
      <c r="D1899" t="inlineStr">
        <is>
          <t>UPPSALA LÄN</t>
        </is>
      </c>
      <c r="E1899" t="inlineStr">
        <is>
          <t>ENKÖPING</t>
        </is>
      </c>
      <c r="F1899" t="inlineStr">
        <is>
          <t>Allmännings- och besparingsskogar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28834-2021</t>
        </is>
      </c>
      <c r="B1900" s="1" t="n">
        <v>44357</v>
      </c>
      <c r="C1900" s="1" t="n">
        <v>45792</v>
      </c>
      <c r="D1900" t="inlineStr">
        <is>
          <t>UPPSALA LÄN</t>
        </is>
      </c>
      <c r="E1900" t="inlineStr">
        <is>
          <t>TIERP</t>
        </is>
      </c>
      <c r="F1900" t="inlineStr">
        <is>
          <t>Bergvik skog väst AB</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29082-2021</t>
        </is>
      </c>
      <c r="B1901" s="1" t="n">
        <v>44358</v>
      </c>
      <c r="C1901" s="1" t="n">
        <v>45792</v>
      </c>
      <c r="D1901" t="inlineStr">
        <is>
          <t>UPPSALA LÄN</t>
        </is>
      </c>
      <c r="E1901" t="inlineStr">
        <is>
          <t>TIERP</t>
        </is>
      </c>
      <c r="F1901" t="inlineStr">
        <is>
          <t>Bergvik skog väst AB</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29089-2021</t>
        </is>
      </c>
      <c r="B1902" s="1" t="n">
        <v>44358</v>
      </c>
      <c r="C1902" s="1" t="n">
        <v>45792</v>
      </c>
      <c r="D1902" t="inlineStr">
        <is>
          <t>UPPSALA LÄN</t>
        </is>
      </c>
      <c r="E1902" t="inlineStr">
        <is>
          <t>TIERP</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29145-2021</t>
        </is>
      </c>
      <c r="B1903" s="1" t="n">
        <v>44358</v>
      </c>
      <c r="C1903" s="1" t="n">
        <v>45792</v>
      </c>
      <c r="D1903" t="inlineStr">
        <is>
          <t>UPPSALA LÄN</t>
        </is>
      </c>
      <c r="E1903" t="inlineStr">
        <is>
          <t>UPPSALA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29231-2021</t>
        </is>
      </c>
      <c r="B1904" s="1" t="n">
        <v>44360</v>
      </c>
      <c r="C1904" s="1" t="n">
        <v>45792</v>
      </c>
      <c r="D1904" t="inlineStr">
        <is>
          <t>UPPSALA LÄN</t>
        </is>
      </c>
      <c r="E1904" t="inlineStr">
        <is>
          <t>HEBY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29282-2021</t>
        </is>
      </c>
      <c r="B1905" s="1" t="n">
        <v>44361</v>
      </c>
      <c r="C1905" s="1" t="n">
        <v>45792</v>
      </c>
      <c r="D1905" t="inlineStr">
        <is>
          <t>UPPSALA LÄN</t>
        </is>
      </c>
      <c r="E1905" t="inlineStr">
        <is>
          <t>ÖSTHAMMAR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29777-2021</t>
        </is>
      </c>
      <c r="B1906" s="1" t="n">
        <v>44362</v>
      </c>
      <c r="C1906" s="1" t="n">
        <v>45792</v>
      </c>
      <c r="D1906" t="inlineStr">
        <is>
          <t>UPPSALA LÄN</t>
        </is>
      </c>
      <c r="E1906" t="inlineStr">
        <is>
          <t>HEBY</t>
        </is>
      </c>
      <c r="F1906" t="inlineStr">
        <is>
          <t>Bergvik skog väst AB</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29983-2021</t>
        </is>
      </c>
      <c r="B1907" s="1" t="n">
        <v>44363</v>
      </c>
      <c r="C1907" s="1" t="n">
        <v>45792</v>
      </c>
      <c r="D1907" t="inlineStr">
        <is>
          <t>UPPSALA LÄN</t>
        </is>
      </c>
      <c r="E1907" t="inlineStr">
        <is>
          <t>ENKÖPING</t>
        </is>
      </c>
      <c r="F1907" t="inlineStr">
        <is>
          <t>Kommuner</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30304-2021</t>
        </is>
      </c>
      <c r="B1908" s="1" t="n">
        <v>44364</v>
      </c>
      <c r="C1908" s="1" t="n">
        <v>45792</v>
      </c>
      <c r="D1908" t="inlineStr">
        <is>
          <t>UPPSALA LÄN</t>
        </is>
      </c>
      <c r="E1908" t="inlineStr">
        <is>
          <t>HEBY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30297-2021</t>
        </is>
      </c>
      <c r="B1909" s="1" t="n">
        <v>44364</v>
      </c>
      <c r="C1909" s="1" t="n">
        <v>45792</v>
      </c>
      <c r="D1909" t="inlineStr">
        <is>
          <t>UPPSALA LÄN</t>
        </is>
      </c>
      <c r="E1909" t="inlineStr">
        <is>
          <t>HEBY</t>
        </is>
      </c>
      <c r="F1909" t="inlineStr">
        <is>
          <t>Övriga Aktiebolag</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30293-2021</t>
        </is>
      </c>
      <c r="B1910" s="1" t="n">
        <v>44364</v>
      </c>
      <c r="C1910" s="1" t="n">
        <v>45792</v>
      </c>
      <c r="D1910" t="inlineStr">
        <is>
          <t>UPPSALA LÄN</t>
        </is>
      </c>
      <c r="E1910" t="inlineStr">
        <is>
          <t>HEBY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30514-2021</t>
        </is>
      </c>
      <c r="B1911" s="1" t="n">
        <v>44364</v>
      </c>
      <c r="C1911" s="1" t="n">
        <v>45792</v>
      </c>
      <c r="D1911" t="inlineStr">
        <is>
          <t>UPPSALA LÄN</t>
        </is>
      </c>
      <c r="E1911" t="inlineStr">
        <is>
          <t>ENKÖPING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30655-2021</t>
        </is>
      </c>
      <c r="B1912" s="1" t="n">
        <v>44365</v>
      </c>
      <c r="C1912" s="1" t="n">
        <v>45792</v>
      </c>
      <c r="D1912" t="inlineStr">
        <is>
          <t>UPPSALA LÄN</t>
        </is>
      </c>
      <c r="E1912" t="inlineStr">
        <is>
          <t>UPPSALA</t>
        </is>
      </c>
      <c r="F1912" t="inlineStr">
        <is>
          <t>Holmen skog AB</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30656-2021</t>
        </is>
      </c>
      <c r="B1913" s="1" t="n">
        <v>44365</v>
      </c>
      <c r="C1913" s="1" t="n">
        <v>45792</v>
      </c>
      <c r="D1913" t="inlineStr">
        <is>
          <t>UPPSALA LÄN</t>
        </is>
      </c>
      <c r="E1913" t="inlineStr">
        <is>
          <t>UPPSALA</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30742-2021</t>
        </is>
      </c>
      <c r="B1914" s="1" t="n">
        <v>44365</v>
      </c>
      <c r="C1914" s="1" t="n">
        <v>45792</v>
      </c>
      <c r="D1914" t="inlineStr">
        <is>
          <t>UPPSALA LÄN</t>
        </is>
      </c>
      <c r="E1914" t="inlineStr">
        <is>
          <t>TIERP</t>
        </is>
      </c>
      <c r="F1914" t="inlineStr">
        <is>
          <t>Bergvik skog väst AB</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30927-2021</t>
        </is>
      </c>
      <c r="B1915" s="1" t="n">
        <v>44365</v>
      </c>
      <c r="C1915" s="1" t="n">
        <v>45792</v>
      </c>
      <c r="D1915" t="inlineStr">
        <is>
          <t>UPPSALA LÄN</t>
        </is>
      </c>
      <c r="E1915" t="inlineStr">
        <is>
          <t>ÖSTHAMMAR</t>
        </is>
      </c>
      <c r="F1915" t="inlineStr">
        <is>
          <t>Bergvik skog öst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30931-2021</t>
        </is>
      </c>
      <c r="B1916" s="1" t="n">
        <v>44365</v>
      </c>
      <c r="C1916" s="1" t="n">
        <v>45792</v>
      </c>
      <c r="D1916" t="inlineStr">
        <is>
          <t>UPPSALA LÄN</t>
        </is>
      </c>
      <c r="E1916" t="inlineStr">
        <is>
          <t>ÖSTHAMMAR</t>
        </is>
      </c>
      <c r="F1916" t="inlineStr">
        <is>
          <t>Bergvik skog öst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31108-2021</t>
        </is>
      </c>
      <c r="B1917" s="1" t="n">
        <v>44368</v>
      </c>
      <c r="C1917" s="1" t="n">
        <v>45792</v>
      </c>
      <c r="D1917" t="inlineStr">
        <is>
          <t>UPPSALA LÄN</t>
        </is>
      </c>
      <c r="E1917" t="inlineStr">
        <is>
          <t>HEBY</t>
        </is>
      </c>
      <c r="F1917" t="inlineStr">
        <is>
          <t>Bergvik skog öst AB</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31143-2021</t>
        </is>
      </c>
      <c r="B1918" s="1" t="n">
        <v>44368</v>
      </c>
      <c r="C1918" s="1" t="n">
        <v>45792</v>
      </c>
      <c r="D1918" t="inlineStr">
        <is>
          <t>UPPSALA LÄN</t>
        </is>
      </c>
      <c r="E1918" t="inlineStr">
        <is>
          <t>KNIVSTA</t>
        </is>
      </c>
      <c r="G1918" t="n">
        <v>13.1</v>
      </c>
      <c r="H1918" t="n">
        <v>0</v>
      </c>
      <c r="I1918" t="n">
        <v>0</v>
      </c>
      <c r="J1918" t="n">
        <v>0</v>
      </c>
      <c r="K1918" t="n">
        <v>0</v>
      </c>
      <c r="L1918" t="n">
        <v>0</v>
      </c>
      <c r="M1918" t="n">
        <v>0</v>
      </c>
      <c r="N1918" t="n">
        <v>0</v>
      </c>
      <c r="O1918" t="n">
        <v>0</v>
      </c>
      <c r="P1918" t="n">
        <v>0</v>
      </c>
      <c r="Q1918" t="n">
        <v>0</v>
      </c>
      <c r="R1918" s="2" t="inlineStr"/>
    </row>
    <row r="1919" ht="15" customHeight="1">
      <c r="A1919" t="inlineStr">
        <is>
          <t>A 31113-2021</t>
        </is>
      </c>
      <c r="B1919" s="1" t="n">
        <v>44368</v>
      </c>
      <c r="C1919" s="1" t="n">
        <v>45792</v>
      </c>
      <c r="D1919" t="inlineStr">
        <is>
          <t>UPPSALA LÄN</t>
        </is>
      </c>
      <c r="E1919" t="inlineStr">
        <is>
          <t>HEBY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31099-2021</t>
        </is>
      </c>
      <c r="B1920" s="1" t="n">
        <v>44368</v>
      </c>
      <c r="C1920" s="1" t="n">
        <v>45792</v>
      </c>
      <c r="D1920" t="inlineStr">
        <is>
          <t>UPPSALA LÄN</t>
        </is>
      </c>
      <c r="E1920" t="inlineStr">
        <is>
          <t>TIERP</t>
        </is>
      </c>
      <c r="F1920" t="inlineStr">
        <is>
          <t>Bergvik skog öst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31112-2021</t>
        </is>
      </c>
      <c r="B1921" s="1" t="n">
        <v>44368</v>
      </c>
      <c r="C1921" s="1" t="n">
        <v>45792</v>
      </c>
      <c r="D1921" t="inlineStr">
        <is>
          <t>UPPSALA LÄN</t>
        </is>
      </c>
      <c r="E1921" t="inlineStr">
        <is>
          <t>ENKÖPING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31263-2021</t>
        </is>
      </c>
      <c r="B1922" s="1" t="n">
        <v>44368</v>
      </c>
      <c r="C1922" s="1" t="n">
        <v>45792</v>
      </c>
      <c r="D1922" t="inlineStr">
        <is>
          <t>UPPSALA LÄN</t>
        </is>
      </c>
      <c r="E1922" t="inlineStr">
        <is>
          <t>ÖSTHAMMAR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31283-2021</t>
        </is>
      </c>
      <c r="B1923" s="1" t="n">
        <v>44368</v>
      </c>
      <c r="C1923" s="1" t="n">
        <v>45792</v>
      </c>
      <c r="D1923" t="inlineStr">
        <is>
          <t>UPPSALA LÄN</t>
        </is>
      </c>
      <c r="E1923" t="inlineStr">
        <is>
          <t>HEBY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31646-2021</t>
        </is>
      </c>
      <c r="B1924" s="1" t="n">
        <v>44369</v>
      </c>
      <c r="C1924" s="1" t="n">
        <v>45792</v>
      </c>
      <c r="D1924" t="inlineStr">
        <is>
          <t>UPPSALA LÄN</t>
        </is>
      </c>
      <c r="E1924" t="inlineStr">
        <is>
          <t>UPPSALA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31662-2021</t>
        </is>
      </c>
      <c r="B1925" s="1" t="n">
        <v>44369</v>
      </c>
      <c r="C1925" s="1" t="n">
        <v>45792</v>
      </c>
      <c r="D1925" t="inlineStr">
        <is>
          <t>UPPSALA LÄN</t>
        </is>
      </c>
      <c r="E1925" t="inlineStr">
        <is>
          <t>UPPSALA</t>
        </is>
      </c>
      <c r="F1925" t="inlineStr">
        <is>
          <t>Bergvik skog öst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31829-2021</t>
        </is>
      </c>
      <c r="B1926" s="1" t="n">
        <v>44370</v>
      </c>
      <c r="C1926" s="1" t="n">
        <v>45792</v>
      </c>
      <c r="D1926" t="inlineStr">
        <is>
          <t>UPPSALA LÄN</t>
        </is>
      </c>
      <c r="E1926" t="inlineStr">
        <is>
          <t>UPPSALA</t>
        </is>
      </c>
      <c r="F1926" t="inlineStr">
        <is>
          <t>Bergvik skog öst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31965-2021</t>
        </is>
      </c>
      <c r="B1927" s="1" t="n">
        <v>44370</v>
      </c>
      <c r="C1927" s="1" t="n">
        <v>45792</v>
      </c>
      <c r="D1927" t="inlineStr">
        <is>
          <t>UPPSALA LÄN</t>
        </is>
      </c>
      <c r="E1927" t="inlineStr">
        <is>
          <t>ENKÖPING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32207-2021</t>
        </is>
      </c>
      <c r="B1928" s="1" t="n">
        <v>44371</v>
      </c>
      <c r="C1928" s="1" t="n">
        <v>45792</v>
      </c>
      <c r="D1928" t="inlineStr">
        <is>
          <t>UPPSALA LÄN</t>
        </is>
      </c>
      <c r="E1928" t="inlineStr">
        <is>
          <t>TIERP</t>
        </is>
      </c>
      <c r="F1928" t="inlineStr">
        <is>
          <t>Bergvik skog väst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32276-2021</t>
        </is>
      </c>
      <c r="B1929" s="1" t="n">
        <v>44371</v>
      </c>
      <c r="C1929" s="1" t="n">
        <v>45792</v>
      </c>
      <c r="D1929" t="inlineStr">
        <is>
          <t>UPPSALA LÄN</t>
        </is>
      </c>
      <c r="E1929" t="inlineStr">
        <is>
          <t>UPPSALA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32221-2021</t>
        </is>
      </c>
      <c r="B1930" s="1" t="n">
        <v>44371</v>
      </c>
      <c r="C1930" s="1" t="n">
        <v>45792</v>
      </c>
      <c r="D1930" t="inlineStr">
        <is>
          <t>UPPSALA LÄN</t>
        </is>
      </c>
      <c r="E1930" t="inlineStr">
        <is>
          <t>HEBY</t>
        </is>
      </c>
      <c r="F1930" t="inlineStr">
        <is>
          <t>Bergvik skog väst AB</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32244-2021</t>
        </is>
      </c>
      <c r="B1931" s="1" t="n">
        <v>44371</v>
      </c>
      <c r="C1931" s="1" t="n">
        <v>45792</v>
      </c>
      <c r="D1931" t="inlineStr">
        <is>
          <t>UPPSALA LÄN</t>
        </is>
      </c>
      <c r="E1931" t="inlineStr">
        <is>
          <t>ÖSTHAMMAR</t>
        </is>
      </c>
      <c r="F1931" t="inlineStr">
        <is>
          <t>Bergvik skog öst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32428-2021</t>
        </is>
      </c>
      <c r="B1932" s="1" t="n">
        <v>44371</v>
      </c>
      <c r="C1932" s="1" t="n">
        <v>45792</v>
      </c>
      <c r="D1932" t="inlineStr">
        <is>
          <t>UPPSALA LÄN</t>
        </is>
      </c>
      <c r="E1932" t="inlineStr">
        <is>
          <t>UPPSALA</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32939-2021</t>
        </is>
      </c>
      <c r="B1933" s="1" t="n">
        <v>44376</v>
      </c>
      <c r="C1933" s="1" t="n">
        <v>45792</v>
      </c>
      <c r="D1933" t="inlineStr">
        <is>
          <t>UPPSALA LÄN</t>
        </is>
      </c>
      <c r="E1933" t="inlineStr">
        <is>
          <t>ÖSTHAMMAR</t>
        </is>
      </c>
      <c r="F1933" t="inlineStr">
        <is>
          <t>Bergvik skog öst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32948-2021</t>
        </is>
      </c>
      <c r="B1934" s="1" t="n">
        <v>44376</v>
      </c>
      <c r="C1934" s="1" t="n">
        <v>45792</v>
      </c>
      <c r="D1934" t="inlineStr">
        <is>
          <t>UPPSALA LÄN</t>
        </is>
      </c>
      <c r="E1934" t="inlineStr">
        <is>
          <t>ÖSTHAMMAR</t>
        </is>
      </c>
      <c r="F1934" t="inlineStr">
        <is>
          <t>Bergvik skog öst AB</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32955-2021</t>
        </is>
      </c>
      <c r="B1935" s="1" t="n">
        <v>44376</v>
      </c>
      <c r="C1935" s="1" t="n">
        <v>45792</v>
      </c>
      <c r="D1935" t="inlineStr">
        <is>
          <t>UPPSALA LÄN</t>
        </is>
      </c>
      <c r="E1935" t="inlineStr">
        <is>
          <t>UPPSALA</t>
        </is>
      </c>
      <c r="F1935" t="inlineStr">
        <is>
          <t>Bergvik skog öst AB</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33062-2021</t>
        </is>
      </c>
      <c r="B1936" s="1" t="n">
        <v>44376</v>
      </c>
      <c r="C1936" s="1" t="n">
        <v>45792</v>
      </c>
      <c r="D1936" t="inlineStr">
        <is>
          <t>UPPSALA LÄN</t>
        </is>
      </c>
      <c r="E1936" t="inlineStr">
        <is>
          <t>ÖSTHAMMAR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32975-2021</t>
        </is>
      </c>
      <c r="B1937" s="1" t="n">
        <v>44376</v>
      </c>
      <c r="C1937" s="1" t="n">
        <v>45792</v>
      </c>
      <c r="D1937" t="inlineStr">
        <is>
          <t>UPPSALA LÄN</t>
        </is>
      </c>
      <c r="E1937" t="inlineStr">
        <is>
          <t>KNIVSTA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32995-2021</t>
        </is>
      </c>
      <c r="B1938" s="1" t="n">
        <v>44376</v>
      </c>
      <c r="C1938" s="1" t="n">
        <v>45792</v>
      </c>
      <c r="D1938" t="inlineStr">
        <is>
          <t>UPPSALA LÄN</t>
        </is>
      </c>
      <c r="E1938" t="inlineStr">
        <is>
          <t>TIERP</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33056-2021</t>
        </is>
      </c>
      <c r="B1939" s="1" t="n">
        <v>44376</v>
      </c>
      <c r="C1939" s="1" t="n">
        <v>45792</v>
      </c>
      <c r="D1939" t="inlineStr">
        <is>
          <t>UPPSALA LÄN</t>
        </is>
      </c>
      <c r="E1939" t="inlineStr">
        <is>
          <t>ÖSTHAMMAR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33271-2021</t>
        </is>
      </c>
      <c r="B1940" s="1" t="n">
        <v>44377</v>
      </c>
      <c r="C1940" s="1" t="n">
        <v>45792</v>
      </c>
      <c r="D1940" t="inlineStr">
        <is>
          <t>UPPSALA LÄN</t>
        </is>
      </c>
      <c r="E1940" t="inlineStr">
        <is>
          <t>ÖSTHAMMAR</t>
        </is>
      </c>
      <c r="F1940" t="inlineStr">
        <is>
          <t>Bergvik skog öst AB</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33797-2021</t>
        </is>
      </c>
      <c r="B1941" s="1" t="n">
        <v>44378</v>
      </c>
      <c r="C1941" s="1" t="n">
        <v>45792</v>
      </c>
      <c r="D1941" t="inlineStr">
        <is>
          <t>UPPSALA LÄN</t>
        </is>
      </c>
      <c r="E1941" t="inlineStr">
        <is>
          <t>UPPSALA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33920-2021</t>
        </is>
      </c>
      <c r="B1942" s="1" t="n">
        <v>44378</v>
      </c>
      <c r="C1942" s="1" t="n">
        <v>45792</v>
      </c>
      <c r="D1942" t="inlineStr">
        <is>
          <t>UPPSALA LÄN</t>
        </is>
      </c>
      <c r="E1942" t="inlineStr">
        <is>
          <t>UPPSALA</t>
        </is>
      </c>
      <c r="F1942" t="inlineStr">
        <is>
          <t>Bergvik skog öst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34039-2021</t>
        </is>
      </c>
      <c r="B1943" s="1" t="n">
        <v>44379</v>
      </c>
      <c r="C1943" s="1" t="n">
        <v>45792</v>
      </c>
      <c r="D1943" t="inlineStr">
        <is>
          <t>UPPSALA LÄN</t>
        </is>
      </c>
      <c r="E1943" t="inlineStr">
        <is>
          <t>UPPSALA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34043-2021</t>
        </is>
      </c>
      <c r="B1944" s="1" t="n">
        <v>44379</v>
      </c>
      <c r="C1944" s="1" t="n">
        <v>45792</v>
      </c>
      <c r="D1944" t="inlineStr">
        <is>
          <t>UPPSALA LÄN</t>
        </is>
      </c>
      <c r="E1944" t="inlineStr">
        <is>
          <t>UPPSALA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34265-2021</t>
        </is>
      </c>
      <c r="B1945" s="1" t="n">
        <v>44379</v>
      </c>
      <c r="C1945" s="1" t="n">
        <v>45792</v>
      </c>
      <c r="D1945" t="inlineStr">
        <is>
          <t>UPPSALA LÄN</t>
        </is>
      </c>
      <c r="E1945" t="inlineStr">
        <is>
          <t>UPPSALA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34249-2021</t>
        </is>
      </c>
      <c r="B1946" s="1" t="n">
        <v>44379</v>
      </c>
      <c r="C1946" s="1" t="n">
        <v>45792</v>
      </c>
      <c r="D1946" t="inlineStr">
        <is>
          <t>UPPSALA LÄN</t>
        </is>
      </c>
      <c r="E1946" t="inlineStr">
        <is>
          <t>UPPSALA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34243-2021</t>
        </is>
      </c>
      <c r="B1947" s="1" t="n">
        <v>44379</v>
      </c>
      <c r="C1947" s="1" t="n">
        <v>45792</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34263-2021</t>
        </is>
      </c>
      <c r="B1948" s="1" t="n">
        <v>44379</v>
      </c>
      <c r="C1948" s="1" t="n">
        <v>45792</v>
      </c>
      <c r="D1948" t="inlineStr">
        <is>
          <t>UPPSALA LÄN</t>
        </is>
      </c>
      <c r="E1948" t="inlineStr">
        <is>
          <t>UPPSALA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34124-2021</t>
        </is>
      </c>
      <c r="B1949" s="1" t="n">
        <v>44379</v>
      </c>
      <c r="C1949" s="1" t="n">
        <v>45792</v>
      </c>
      <c r="D1949" t="inlineStr">
        <is>
          <t>UPPSALA LÄN</t>
        </is>
      </c>
      <c r="E1949" t="inlineStr">
        <is>
          <t>ENKÖPING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34494-2021</t>
        </is>
      </c>
      <c r="B1950" s="1" t="n">
        <v>44382</v>
      </c>
      <c r="C1950" s="1" t="n">
        <v>45792</v>
      </c>
      <c r="D1950" t="inlineStr">
        <is>
          <t>UPPSALA LÄN</t>
        </is>
      </c>
      <c r="E1950" t="inlineStr">
        <is>
          <t>HEBY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34648-2021</t>
        </is>
      </c>
      <c r="B1951" s="1" t="n">
        <v>44382</v>
      </c>
      <c r="C1951" s="1" t="n">
        <v>45792</v>
      </c>
      <c r="D1951" t="inlineStr">
        <is>
          <t>UPPSALA LÄN</t>
        </is>
      </c>
      <c r="E1951" t="inlineStr">
        <is>
          <t>TIERP</t>
        </is>
      </c>
      <c r="F1951" t="inlineStr">
        <is>
          <t>Bergvik skog väst AB</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34838-2021</t>
        </is>
      </c>
      <c r="B1952" s="1" t="n">
        <v>44383</v>
      </c>
      <c r="C1952" s="1" t="n">
        <v>45792</v>
      </c>
      <c r="D1952" t="inlineStr">
        <is>
          <t>UPPSALA LÄN</t>
        </is>
      </c>
      <c r="E1952" t="inlineStr">
        <is>
          <t>UPPSALA</t>
        </is>
      </c>
      <c r="F1952" t="inlineStr">
        <is>
          <t>Bergvik skog öst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34825-2021</t>
        </is>
      </c>
      <c r="B1953" s="1" t="n">
        <v>44383</v>
      </c>
      <c r="C1953" s="1" t="n">
        <v>45792</v>
      </c>
      <c r="D1953" t="inlineStr">
        <is>
          <t>UPPSALA LÄN</t>
        </is>
      </c>
      <c r="E1953" t="inlineStr">
        <is>
          <t>UPPSALA</t>
        </is>
      </c>
      <c r="F1953" t="inlineStr">
        <is>
          <t>Bergvik skog öst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35232-2021</t>
        </is>
      </c>
      <c r="B1954" s="1" t="n">
        <v>44384</v>
      </c>
      <c r="C1954" s="1" t="n">
        <v>45792</v>
      </c>
      <c r="D1954" t="inlineStr">
        <is>
          <t>UPPSALA LÄN</t>
        </is>
      </c>
      <c r="E1954" t="inlineStr">
        <is>
          <t>KNIVSTA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35645-2021</t>
        </is>
      </c>
      <c r="B1955" s="1" t="n">
        <v>44386</v>
      </c>
      <c r="C1955" s="1" t="n">
        <v>45792</v>
      </c>
      <c r="D1955" t="inlineStr">
        <is>
          <t>UPPSALA LÄN</t>
        </is>
      </c>
      <c r="E1955" t="inlineStr">
        <is>
          <t>ENKÖPING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35643-2021</t>
        </is>
      </c>
      <c r="B1956" s="1" t="n">
        <v>44386</v>
      </c>
      <c r="C1956" s="1" t="n">
        <v>45792</v>
      </c>
      <c r="D1956" t="inlineStr">
        <is>
          <t>UPPSALA LÄN</t>
        </is>
      </c>
      <c r="E1956" t="inlineStr">
        <is>
          <t>ENKÖPING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35638-2021</t>
        </is>
      </c>
      <c r="B1957" s="1" t="n">
        <v>44386</v>
      </c>
      <c r="C1957" s="1" t="n">
        <v>45792</v>
      </c>
      <c r="D1957" t="inlineStr">
        <is>
          <t>UPPSALA LÄN</t>
        </is>
      </c>
      <c r="E1957" t="inlineStr">
        <is>
          <t>ENKÖPING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35647-2021</t>
        </is>
      </c>
      <c r="B1958" s="1" t="n">
        <v>44386</v>
      </c>
      <c r="C1958" s="1" t="n">
        <v>45792</v>
      </c>
      <c r="D1958" t="inlineStr">
        <is>
          <t>UPPSALA LÄN</t>
        </is>
      </c>
      <c r="E1958" t="inlineStr">
        <is>
          <t>ENKÖPING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35630-2021</t>
        </is>
      </c>
      <c r="B1959" s="1" t="n">
        <v>44386</v>
      </c>
      <c r="C1959" s="1" t="n">
        <v>45792</v>
      </c>
      <c r="D1959" t="inlineStr">
        <is>
          <t>UPPSALA LÄN</t>
        </is>
      </c>
      <c r="E1959" t="inlineStr">
        <is>
          <t>UPPSALA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35641-2021</t>
        </is>
      </c>
      <c r="B1960" s="1" t="n">
        <v>44386</v>
      </c>
      <c r="C1960" s="1" t="n">
        <v>45792</v>
      </c>
      <c r="D1960" t="inlineStr">
        <is>
          <t>UPPSALA LÄN</t>
        </is>
      </c>
      <c r="E1960" t="inlineStr">
        <is>
          <t>ENKÖPING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35632-2021</t>
        </is>
      </c>
      <c r="B1961" s="1" t="n">
        <v>44386</v>
      </c>
      <c r="C1961" s="1" t="n">
        <v>45792</v>
      </c>
      <c r="D1961" t="inlineStr">
        <is>
          <t>UPPSALA LÄN</t>
        </is>
      </c>
      <c r="E1961" t="inlineStr">
        <is>
          <t>ENKÖPING</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36069-2021</t>
        </is>
      </c>
      <c r="B1962" s="1" t="n">
        <v>44389</v>
      </c>
      <c r="C1962" s="1" t="n">
        <v>45792</v>
      </c>
      <c r="D1962" t="inlineStr">
        <is>
          <t>UPPSALA LÄN</t>
        </is>
      </c>
      <c r="E1962" t="inlineStr">
        <is>
          <t>TIERP</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36150-2021</t>
        </is>
      </c>
      <c r="B1963" s="1" t="n">
        <v>44389</v>
      </c>
      <c r="C1963" s="1" t="n">
        <v>45792</v>
      </c>
      <c r="D1963" t="inlineStr">
        <is>
          <t>UPPSALA LÄN</t>
        </is>
      </c>
      <c r="E1963" t="inlineStr">
        <is>
          <t>TIERP</t>
        </is>
      </c>
      <c r="F1963" t="inlineStr">
        <is>
          <t>Bergvik skog öst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36085-2021</t>
        </is>
      </c>
      <c r="B1964" s="1" t="n">
        <v>44389</v>
      </c>
      <c r="C1964" s="1" t="n">
        <v>45792</v>
      </c>
      <c r="D1964" t="inlineStr">
        <is>
          <t>UPPSALA LÄN</t>
        </is>
      </c>
      <c r="E1964" t="inlineStr">
        <is>
          <t>HEBY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36475-2021</t>
        </is>
      </c>
      <c r="B1965" s="1" t="n">
        <v>44390</v>
      </c>
      <c r="C1965" s="1" t="n">
        <v>45792</v>
      </c>
      <c r="D1965" t="inlineStr">
        <is>
          <t>UPPSALA LÄN</t>
        </is>
      </c>
      <c r="E1965" t="inlineStr">
        <is>
          <t>HEBY</t>
        </is>
      </c>
      <c r="F1965" t="inlineStr">
        <is>
          <t>Bergvik skog väst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36304-2021</t>
        </is>
      </c>
      <c r="B1966" s="1" t="n">
        <v>44390</v>
      </c>
      <c r="C1966" s="1" t="n">
        <v>45792</v>
      </c>
      <c r="D1966" t="inlineStr">
        <is>
          <t>UPPSALA LÄN</t>
        </is>
      </c>
      <c r="E1966" t="inlineStr">
        <is>
          <t>UPPSALA</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36494-2021</t>
        </is>
      </c>
      <c r="B1967" s="1" t="n">
        <v>44391</v>
      </c>
      <c r="C1967" s="1" t="n">
        <v>45792</v>
      </c>
      <c r="D1967" t="inlineStr">
        <is>
          <t>UPPSALA LÄN</t>
        </is>
      </c>
      <c r="E1967" t="inlineStr">
        <is>
          <t>HEBY</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36721-2021</t>
        </is>
      </c>
      <c r="B1968" s="1" t="n">
        <v>44392</v>
      </c>
      <c r="C1968" s="1" t="n">
        <v>45792</v>
      </c>
      <c r="D1968" t="inlineStr">
        <is>
          <t>UPPSALA LÄN</t>
        </is>
      </c>
      <c r="E1968" t="inlineStr">
        <is>
          <t>UPPSALA</t>
        </is>
      </c>
      <c r="F1968" t="inlineStr">
        <is>
          <t>Bergvik skog öst AB</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36998-2021</t>
        </is>
      </c>
      <c r="B1969" s="1" t="n">
        <v>44393</v>
      </c>
      <c r="C1969" s="1" t="n">
        <v>45792</v>
      </c>
      <c r="D1969" t="inlineStr">
        <is>
          <t>UPPSALA LÄN</t>
        </is>
      </c>
      <c r="E1969" t="inlineStr">
        <is>
          <t>UPPSALA</t>
        </is>
      </c>
      <c r="F1969" t="inlineStr">
        <is>
          <t>Bergvik skog öst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37162-2021</t>
        </is>
      </c>
      <c r="B1970" s="1" t="n">
        <v>44395</v>
      </c>
      <c r="C1970" s="1" t="n">
        <v>45792</v>
      </c>
      <c r="D1970" t="inlineStr">
        <is>
          <t>UPPSALA LÄN</t>
        </is>
      </c>
      <c r="E1970" t="inlineStr">
        <is>
          <t>UPPSALA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37170-2021</t>
        </is>
      </c>
      <c r="B1971" s="1" t="n">
        <v>44395</v>
      </c>
      <c r="C1971" s="1" t="n">
        <v>45792</v>
      </c>
      <c r="D1971" t="inlineStr">
        <is>
          <t>UPPSALA LÄN</t>
        </is>
      </c>
      <c r="E1971" t="inlineStr">
        <is>
          <t>ENKÖPING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37563-2021</t>
        </is>
      </c>
      <c r="B1972" s="1" t="n">
        <v>44399</v>
      </c>
      <c r="C1972" s="1" t="n">
        <v>45792</v>
      </c>
      <c r="D1972" t="inlineStr">
        <is>
          <t>UPPSALA LÄN</t>
        </is>
      </c>
      <c r="E1972" t="inlineStr">
        <is>
          <t>ENKÖPING</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37570-2021</t>
        </is>
      </c>
      <c r="B1973" s="1" t="n">
        <v>44399</v>
      </c>
      <c r="C1973" s="1" t="n">
        <v>45792</v>
      </c>
      <c r="D1973" t="inlineStr">
        <is>
          <t>UPPSALA LÄN</t>
        </is>
      </c>
      <c r="E1973" t="inlineStr">
        <is>
          <t>ENKÖPING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37573-2021</t>
        </is>
      </c>
      <c r="B1974" s="1" t="n">
        <v>44399</v>
      </c>
      <c r="C1974" s="1" t="n">
        <v>45792</v>
      </c>
      <c r="D1974" t="inlineStr">
        <is>
          <t>UPPSALA LÄN</t>
        </is>
      </c>
      <c r="E1974" t="inlineStr">
        <is>
          <t>ENKÖPING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37568-2021</t>
        </is>
      </c>
      <c r="B1975" s="1" t="n">
        <v>44399</v>
      </c>
      <c r="C1975" s="1" t="n">
        <v>45792</v>
      </c>
      <c r="D1975" t="inlineStr">
        <is>
          <t>UPPSALA LÄN</t>
        </is>
      </c>
      <c r="E1975" t="inlineStr">
        <is>
          <t>ENKÖPING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37564-2021</t>
        </is>
      </c>
      <c r="B1976" s="1" t="n">
        <v>44399</v>
      </c>
      <c r="C1976" s="1" t="n">
        <v>45792</v>
      </c>
      <c r="D1976" t="inlineStr">
        <is>
          <t>UPPSALA LÄN</t>
        </is>
      </c>
      <c r="E1976" t="inlineStr">
        <is>
          <t>ENKÖPING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37571-2021</t>
        </is>
      </c>
      <c r="B1977" s="1" t="n">
        <v>44399</v>
      </c>
      <c r="C1977" s="1" t="n">
        <v>45792</v>
      </c>
      <c r="D1977" t="inlineStr">
        <is>
          <t>UPPSALA LÄN</t>
        </is>
      </c>
      <c r="E1977" t="inlineStr">
        <is>
          <t>ENKÖPING</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37763-2021</t>
        </is>
      </c>
      <c r="B1978" s="1" t="n">
        <v>44400</v>
      </c>
      <c r="C1978" s="1" t="n">
        <v>45792</v>
      </c>
      <c r="D1978" t="inlineStr">
        <is>
          <t>UPPSALA LÄN</t>
        </is>
      </c>
      <c r="E1978" t="inlineStr">
        <is>
          <t>UPPSALA</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37819-2021</t>
        </is>
      </c>
      <c r="B1979" s="1" t="n">
        <v>44403</v>
      </c>
      <c r="C1979" s="1" t="n">
        <v>45792</v>
      </c>
      <c r="D1979" t="inlineStr">
        <is>
          <t>UPPSALA LÄN</t>
        </is>
      </c>
      <c r="E1979" t="inlineStr">
        <is>
          <t>UPPSALA</t>
        </is>
      </c>
      <c r="F1979" t="inlineStr">
        <is>
          <t>Bergvik skog öst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37820-2021</t>
        </is>
      </c>
      <c r="B1980" s="1" t="n">
        <v>44403</v>
      </c>
      <c r="C1980" s="1" t="n">
        <v>45792</v>
      </c>
      <c r="D1980" t="inlineStr">
        <is>
          <t>UPPSALA LÄN</t>
        </is>
      </c>
      <c r="E1980" t="inlineStr">
        <is>
          <t>UPPSALA</t>
        </is>
      </c>
      <c r="F1980" t="inlineStr">
        <is>
          <t>Bergvik skog öst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38050-2021</t>
        </is>
      </c>
      <c r="B1981" s="1" t="n">
        <v>44404</v>
      </c>
      <c r="C1981" s="1" t="n">
        <v>45792</v>
      </c>
      <c r="D1981" t="inlineStr">
        <is>
          <t>UPPSALA LÄN</t>
        </is>
      </c>
      <c r="E1981" t="inlineStr">
        <is>
          <t>HEBY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38051-2021</t>
        </is>
      </c>
      <c r="B1982" s="1" t="n">
        <v>44404</v>
      </c>
      <c r="C1982" s="1" t="n">
        <v>45792</v>
      </c>
      <c r="D1982" t="inlineStr">
        <is>
          <t>UPPSALA LÄN</t>
        </is>
      </c>
      <c r="E1982" t="inlineStr">
        <is>
          <t>HEBY</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37980-2021</t>
        </is>
      </c>
      <c r="B1983" s="1" t="n">
        <v>44404</v>
      </c>
      <c r="C1983" s="1" t="n">
        <v>45792</v>
      </c>
      <c r="D1983" t="inlineStr">
        <is>
          <t>UPPSALA LÄN</t>
        </is>
      </c>
      <c r="E1983" t="inlineStr">
        <is>
          <t>HEBY</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38049-2021</t>
        </is>
      </c>
      <c r="B1984" s="1" t="n">
        <v>44404</v>
      </c>
      <c r="C1984" s="1" t="n">
        <v>45792</v>
      </c>
      <c r="D1984" t="inlineStr">
        <is>
          <t>UPPSALA LÄN</t>
        </is>
      </c>
      <c r="E1984" t="inlineStr">
        <is>
          <t>HEBY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38203-2021</t>
        </is>
      </c>
      <c r="B1985" s="1" t="n">
        <v>44405</v>
      </c>
      <c r="C1985" s="1" t="n">
        <v>45792</v>
      </c>
      <c r="D1985" t="inlineStr">
        <is>
          <t>UPPSALA LÄN</t>
        </is>
      </c>
      <c r="E1985" t="inlineStr">
        <is>
          <t>HEBY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38411-2021</t>
        </is>
      </c>
      <c r="B1986" s="1" t="n">
        <v>44406</v>
      </c>
      <c r="C1986" s="1" t="n">
        <v>45792</v>
      </c>
      <c r="D1986" t="inlineStr">
        <is>
          <t>UPPSALA LÄN</t>
        </is>
      </c>
      <c r="E1986" t="inlineStr">
        <is>
          <t>ÖSTHAMMAR</t>
        </is>
      </c>
      <c r="F1986" t="inlineStr">
        <is>
          <t>Bergvik skog öst AB</t>
        </is>
      </c>
      <c r="G1986" t="n">
        <v>20.6</v>
      </c>
      <c r="H1986" t="n">
        <v>0</v>
      </c>
      <c r="I1986" t="n">
        <v>0</v>
      </c>
      <c r="J1986" t="n">
        <v>0</v>
      </c>
      <c r="K1986" t="n">
        <v>0</v>
      </c>
      <c r="L1986" t="n">
        <v>0</v>
      </c>
      <c r="M1986" t="n">
        <v>0</v>
      </c>
      <c r="N1986" t="n">
        <v>0</v>
      </c>
      <c r="O1986" t="n">
        <v>0</v>
      </c>
      <c r="P1986" t="n">
        <v>0</v>
      </c>
      <c r="Q1986" t="n">
        <v>0</v>
      </c>
      <c r="R1986" s="2" t="inlineStr"/>
    </row>
    <row r="1987" ht="15" customHeight="1">
      <c r="A1987" t="inlineStr">
        <is>
          <t>A 38469-2021</t>
        </is>
      </c>
      <c r="B1987" s="1" t="n">
        <v>44407</v>
      </c>
      <c r="C1987" s="1" t="n">
        <v>45792</v>
      </c>
      <c r="D1987" t="inlineStr">
        <is>
          <t>UPPSALA LÄN</t>
        </is>
      </c>
      <c r="E1987" t="inlineStr">
        <is>
          <t>UPPSALA</t>
        </is>
      </c>
      <c r="F1987" t="inlineStr">
        <is>
          <t>Bergvik skog öst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38463-2021</t>
        </is>
      </c>
      <c r="B1988" s="1" t="n">
        <v>44407</v>
      </c>
      <c r="C1988" s="1" t="n">
        <v>45792</v>
      </c>
      <c r="D1988" t="inlineStr">
        <is>
          <t>UPPSALA LÄN</t>
        </is>
      </c>
      <c r="E1988" t="inlineStr">
        <is>
          <t>UPPSALA</t>
        </is>
      </c>
      <c r="F1988" t="inlineStr">
        <is>
          <t>Bergvik skog öst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38859-2021</t>
        </is>
      </c>
      <c r="B1989" s="1" t="n">
        <v>44411</v>
      </c>
      <c r="C1989" s="1" t="n">
        <v>45792</v>
      </c>
      <c r="D1989" t="inlineStr">
        <is>
          <t>UPPSALA LÄN</t>
        </is>
      </c>
      <c r="E1989" t="inlineStr">
        <is>
          <t>HEBY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39791-2021</t>
        </is>
      </c>
      <c r="B1990" s="1" t="n">
        <v>44417</v>
      </c>
      <c r="C1990" s="1" t="n">
        <v>45792</v>
      </c>
      <c r="D1990" t="inlineStr">
        <is>
          <t>UPPSALA LÄN</t>
        </is>
      </c>
      <c r="E1990" t="inlineStr">
        <is>
          <t>ÄLVKARLEBY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39838-2021</t>
        </is>
      </c>
      <c r="B1991" s="1" t="n">
        <v>44417</v>
      </c>
      <c r="C1991" s="1" t="n">
        <v>45792</v>
      </c>
      <c r="D1991" t="inlineStr">
        <is>
          <t>UPPSALA LÄN</t>
        </is>
      </c>
      <c r="E1991" t="inlineStr">
        <is>
          <t>TIERP</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40011-2021</t>
        </is>
      </c>
      <c r="B1992" s="1" t="n">
        <v>44418</v>
      </c>
      <c r="C1992" s="1" t="n">
        <v>45792</v>
      </c>
      <c r="D1992" t="inlineStr">
        <is>
          <t>UPPSALA LÄN</t>
        </is>
      </c>
      <c r="E1992" t="inlineStr">
        <is>
          <t>TIERP</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40184-2021</t>
        </is>
      </c>
      <c r="B1993" s="1" t="n">
        <v>44418</v>
      </c>
      <c r="C1993" s="1" t="n">
        <v>45792</v>
      </c>
      <c r="D1993" t="inlineStr">
        <is>
          <t>UPPSALA LÄN</t>
        </is>
      </c>
      <c r="E1993" t="inlineStr">
        <is>
          <t>HEBY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40256-2021</t>
        </is>
      </c>
      <c r="B1994" s="1" t="n">
        <v>44419</v>
      </c>
      <c r="C1994" s="1" t="n">
        <v>45792</v>
      </c>
      <c r="D1994" t="inlineStr">
        <is>
          <t>UPPSALA LÄN</t>
        </is>
      </c>
      <c r="E1994" t="inlineStr">
        <is>
          <t>HÅBO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40606-2021</t>
        </is>
      </c>
      <c r="B1995" s="1" t="n">
        <v>44420</v>
      </c>
      <c r="C1995" s="1" t="n">
        <v>45792</v>
      </c>
      <c r="D1995" t="inlineStr">
        <is>
          <t>UPPSALA LÄN</t>
        </is>
      </c>
      <c r="E1995" t="inlineStr">
        <is>
          <t>ÖSTHAMMAR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40500-2021</t>
        </is>
      </c>
      <c r="B1996" s="1" t="n">
        <v>44420</v>
      </c>
      <c r="C1996" s="1" t="n">
        <v>45792</v>
      </c>
      <c r="D1996" t="inlineStr">
        <is>
          <t>UPPSALA LÄN</t>
        </is>
      </c>
      <c r="E1996" t="inlineStr">
        <is>
          <t>UPPSALA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40507-2021</t>
        </is>
      </c>
      <c r="B1997" s="1" t="n">
        <v>44420</v>
      </c>
      <c r="C1997" s="1" t="n">
        <v>45792</v>
      </c>
      <c r="D1997" t="inlineStr">
        <is>
          <t>UPPSALA LÄN</t>
        </is>
      </c>
      <c r="E1997" t="inlineStr">
        <is>
          <t>UPPSALA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40804-2021</t>
        </is>
      </c>
      <c r="B1998" s="1" t="n">
        <v>44421</v>
      </c>
      <c r="C1998" s="1" t="n">
        <v>45792</v>
      </c>
      <c r="D1998" t="inlineStr">
        <is>
          <t>UPPSALA LÄN</t>
        </is>
      </c>
      <c r="E1998" t="inlineStr">
        <is>
          <t>TIERP</t>
        </is>
      </c>
      <c r="F1998" t="inlineStr">
        <is>
          <t>Kyrkan</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40793-2021</t>
        </is>
      </c>
      <c r="B1999" s="1" t="n">
        <v>44421</v>
      </c>
      <c r="C1999" s="1" t="n">
        <v>45792</v>
      </c>
      <c r="D1999" t="inlineStr">
        <is>
          <t>UPPSALA LÄN</t>
        </is>
      </c>
      <c r="E1999" t="inlineStr">
        <is>
          <t>TIERP</t>
        </is>
      </c>
      <c r="F1999" t="inlineStr">
        <is>
          <t>Kyrkan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41531-2021</t>
        </is>
      </c>
      <c r="B2000" s="1" t="n">
        <v>44425</v>
      </c>
      <c r="C2000" s="1" t="n">
        <v>45792</v>
      </c>
      <c r="D2000" t="inlineStr">
        <is>
          <t>UPPSALA LÄN</t>
        </is>
      </c>
      <c r="E2000" t="inlineStr">
        <is>
          <t>ÖSTHAMMAR</t>
        </is>
      </c>
      <c r="F2000" t="inlineStr">
        <is>
          <t>Bergvik skog öst AB</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41558-2021</t>
        </is>
      </c>
      <c r="B2001" s="1" t="n">
        <v>44425</v>
      </c>
      <c r="C2001" s="1" t="n">
        <v>45792</v>
      </c>
      <c r="D2001" t="inlineStr">
        <is>
          <t>UPPSALA LÄN</t>
        </is>
      </c>
      <c r="E2001" t="inlineStr">
        <is>
          <t>ÖSTHAMMAR</t>
        </is>
      </c>
      <c r="F2001" t="inlineStr">
        <is>
          <t>Bergvik skog öst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41538-2021</t>
        </is>
      </c>
      <c r="B2002" s="1" t="n">
        <v>44425</v>
      </c>
      <c r="C2002" s="1" t="n">
        <v>45792</v>
      </c>
      <c r="D2002" t="inlineStr">
        <is>
          <t>UPPSALA LÄN</t>
        </is>
      </c>
      <c r="E2002" t="inlineStr">
        <is>
          <t>ÖSTHAMMAR</t>
        </is>
      </c>
      <c r="F2002" t="inlineStr">
        <is>
          <t>Bergvik skog öst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41744-2021</t>
        </is>
      </c>
      <c r="B2003" s="1" t="n">
        <v>44425</v>
      </c>
      <c r="C2003" s="1" t="n">
        <v>45792</v>
      </c>
      <c r="D2003" t="inlineStr">
        <is>
          <t>UPPSALA LÄN</t>
        </is>
      </c>
      <c r="E2003" t="inlineStr">
        <is>
          <t>ÖSTHAMMAR</t>
        </is>
      </c>
      <c r="F2003" t="inlineStr">
        <is>
          <t>Bergvik skog öst AB</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42021-2021</t>
        </is>
      </c>
      <c r="B2004" s="1" t="n">
        <v>44426</v>
      </c>
      <c r="C2004" s="1" t="n">
        <v>45792</v>
      </c>
      <c r="D2004" t="inlineStr">
        <is>
          <t>UPPSALA LÄN</t>
        </is>
      </c>
      <c r="E2004" t="inlineStr">
        <is>
          <t>ENKÖPING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42029-2021</t>
        </is>
      </c>
      <c r="B2005" s="1" t="n">
        <v>44426</v>
      </c>
      <c r="C2005" s="1" t="n">
        <v>45792</v>
      </c>
      <c r="D2005" t="inlineStr">
        <is>
          <t>UPPSALA LÄN</t>
        </is>
      </c>
      <c r="E2005" t="inlineStr">
        <is>
          <t>ENKÖPING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42124-2021</t>
        </is>
      </c>
      <c r="B2006" s="1" t="n">
        <v>44426</v>
      </c>
      <c r="C2006" s="1" t="n">
        <v>45792</v>
      </c>
      <c r="D2006" t="inlineStr">
        <is>
          <t>UPPSALA LÄN</t>
        </is>
      </c>
      <c r="E2006" t="inlineStr">
        <is>
          <t>UPPSALA</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42262-2021</t>
        </is>
      </c>
      <c r="B2007" s="1" t="n">
        <v>44427</v>
      </c>
      <c r="C2007" s="1" t="n">
        <v>45792</v>
      </c>
      <c r="D2007" t="inlineStr">
        <is>
          <t>UPPSALA LÄN</t>
        </is>
      </c>
      <c r="E2007" t="inlineStr">
        <is>
          <t>TIERP</t>
        </is>
      </c>
      <c r="F2007" t="inlineStr">
        <is>
          <t>Bergvik skog väst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42294-2021</t>
        </is>
      </c>
      <c r="B2008" s="1" t="n">
        <v>44427</v>
      </c>
      <c r="C2008" s="1" t="n">
        <v>45792</v>
      </c>
      <c r="D2008" t="inlineStr">
        <is>
          <t>UPPSALA LÄN</t>
        </is>
      </c>
      <c r="E2008" t="inlineStr">
        <is>
          <t>UPPSALA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42987-2021</t>
        </is>
      </c>
      <c r="B2009" s="1" t="n">
        <v>44431</v>
      </c>
      <c r="C2009" s="1" t="n">
        <v>45792</v>
      </c>
      <c r="D2009" t="inlineStr">
        <is>
          <t>UPPSALA LÄN</t>
        </is>
      </c>
      <c r="E2009" t="inlineStr">
        <is>
          <t>HEBY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43016-2021</t>
        </is>
      </c>
      <c r="B2010" s="1" t="n">
        <v>44431</v>
      </c>
      <c r="C2010" s="1" t="n">
        <v>45792</v>
      </c>
      <c r="D2010" t="inlineStr">
        <is>
          <t>UPPSALA LÄN</t>
        </is>
      </c>
      <c r="E2010" t="inlineStr">
        <is>
          <t>ENKÖPING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43020-2021</t>
        </is>
      </c>
      <c r="B2011" s="1" t="n">
        <v>44431</v>
      </c>
      <c r="C2011" s="1" t="n">
        <v>45792</v>
      </c>
      <c r="D2011" t="inlineStr">
        <is>
          <t>UPPSALA LÄN</t>
        </is>
      </c>
      <c r="E2011" t="inlineStr">
        <is>
          <t>TIERP</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43307-2021</t>
        </is>
      </c>
      <c r="B2012" s="1" t="n">
        <v>44431</v>
      </c>
      <c r="C2012" s="1" t="n">
        <v>45792</v>
      </c>
      <c r="D2012" t="inlineStr">
        <is>
          <t>UPPSALA LÄN</t>
        </is>
      </c>
      <c r="E2012" t="inlineStr">
        <is>
          <t>HEBY</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43179-2021</t>
        </is>
      </c>
      <c r="B2013" s="1" t="n">
        <v>44431</v>
      </c>
      <c r="C2013" s="1" t="n">
        <v>45792</v>
      </c>
      <c r="D2013" t="inlineStr">
        <is>
          <t>UPPSALA LÄN</t>
        </is>
      </c>
      <c r="E2013" t="inlineStr">
        <is>
          <t>HEBY</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43469-2021</t>
        </is>
      </c>
      <c r="B2014" s="1" t="n">
        <v>44432</v>
      </c>
      <c r="C2014" s="1" t="n">
        <v>45792</v>
      </c>
      <c r="D2014" t="inlineStr">
        <is>
          <t>UPPSALA LÄN</t>
        </is>
      </c>
      <c r="E2014" t="inlineStr">
        <is>
          <t>ÖSTHAMMAR</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43714-2021</t>
        </is>
      </c>
      <c r="B2015" s="1" t="n">
        <v>44433</v>
      </c>
      <c r="C2015" s="1" t="n">
        <v>45792</v>
      </c>
      <c r="D2015" t="inlineStr">
        <is>
          <t>UPPSALA LÄN</t>
        </is>
      </c>
      <c r="E2015" t="inlineStr">
        <is>
          <t>HEBY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43957-2021</t>
        </is>
      </c>
      <c r="B2016" s="1" t="n">
        <v>44434</v>
      </c>
      <c r="C2016" s="1" t="n">
        <v>45792</v>
      </c>
      <c r="D2016" t="inlineStr">
        <is>
          <t>UPPSALA LÄN</t>
        </is>
      </c>
      <c r="E2016" t="inlineStr">
        <is>
          <t>HEBY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44009-2021</t>
        </is>
      </c>
      <c r="B2017" s="1" t="n">
        <v>44434</v>
      </c>
      <c r="C2017" s="1" t="n">
        <v>45792</v>
      </c>
      <c r="D2017" t="inlineStr">
        <is>
          <t>UPPSALA LÄN</t>
        </is>
      </c>
      <c r="E2017" t="inlineStr">
        <is>
          <t>TIERP</t>
        </is>
      </c>
      <c r="F2017" t="inlineStr">
        <is>
          <t>Bergvik skog väst AB</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44315-2021</t>
        </is>
      </c>
      <c r="B2018" s="1" t="n">
        <v>44435</v>
      </c>
      <c r="C2018" s="1" t="n">
        <v>45792</v>
      </c>
      <c r="D2018" t="inlineStr">
        <is>
          <t>UPPSALA LÄN</t>
        </is>
      </c>
      <c r="E2018" t="inlineStr">
        <is>
          <t>UPPSALA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44464-2021</t>
        </is>
      </c>
      <c r="B2019" s="1" t="n">
        <v>44435</v>
      </c>
      <c r="C2019" s="1" t="n">
        <v>45792</v>
      </c>
      <c r="D2019" t="inlineStr">
        <is>
          <t>UPPSALA LÄN</t>
        </is>
      </c>
      <c r="E2019" t="inlineStr">
        <is>
          <t>HEBY</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44727-2021</t>
        </is>
      </c>
      <c r="B2020" s="1" t="n">
        <v>44438</v>
      </c>
      <c r="C2020" s="1" t="n">
        <v>45792</v>
      </c>
      <c r="D2020" t="inlineStr">
        <is>
          <t>UPPSALA LÄN</t>
        </is>
      </c>
      <c r="E2020" t="inlineStr">
        <is>
          <t>ENKÖPING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44690-2021</t>
        </is>
      </c>
      <c r="B2021" s="1" t="n">
        <v>44438</v>
      </c>
      <c r="C2021" s="1" t="n">
        <v>45792</v>
      </c>
      <c r="D2021" t="inlineStr">
        <is>
          <t>UPPSALA LÄN</t>
        </is>
      </c>
      <c r="E2021" t="inlineStr">
        <is>
          <t>TIERP</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44781-2021</t>
        </is>
      </c>
      <c r="B2022" s="1" t="n">
        <v>44438</v>
      </c>
      <c r="C2022" s="1" t="n">
        <v>45792</v>
      </c>
      <c r="D2022" t="inlineStr">
        <is>
          <t>UPPSALA LÄN</t>
        </is>
      </c>
      <c r="E2022" t="inlineStr">
        <is>
          <t>UPPSALA</t>
        </is>
      </c>
      <c r="F2022" t="inlineStr">
        <is>
          <t>Sveaskog</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45146-2021</t>
        </is>
      </c>
      <c r="B2023" s="1" t="n">
        <v>44439</v>
      </c>
      <c r="C2023" s="1" t="n">
        <v>45792</v>
      </c>
      <c r="D2023" t="inlineStr">
        <is>
          <t>UPPSALA LÄN</t>
        </is>
      </c>
      <c r="E2023" t="inlineStr">
        <is>
          <t>TIERP</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45217-2021</t>
        </is>
      </c>
      <c r="B2024" s="1" t="n">
        <v>44439</v>
      </c>
      <c r="C2024" s="1" t="n">
        <v>45792</v>
      </c>
      <c r="D2024" t="inlineStr">
        <is>
          <t>UPPSALA LÄN</t>
        </is>
      </c>
      <c r="E2024" t="inlineStr">
        <is>
          <t>TIERP</t>
        </is>
      </c>
      <c r="F2024" t="inlineStr">
        <is>
          <t>Bergvik skog öst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45225-2021</t>
        </is>
      </c>
      <c r="B2025" s="1" t="n">
        <v>44439</v>
      </c>
      <c r="C2025" s="1" t="n">
        <v>45792</v>
      </c>
      <c r="D2025" t="inlineStr">
        <is>
          <t>UPPSALA LÄN</t>
        </is>
      </c>
      <c r="E2025" t="inlineStr">
        <is>
          <t>TIERP</t>
        </is>
      </c>
      <c r="F2025" t="inlineStr">
        <is>
          <t>Bergvik skog öst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45579-2021</t>
        </is>
      </c>
      <c r="B2026" s="1" t="n">
        <v>44440</v>
      </c>
      <c r="C2026" s="1" t="n">
        <v>45792</v>
      </c>
      <c r="D2026" t="inlineStr">
        <is>
          <t>UPPSALA LÄN</t>
        </is>
      </c>
      <c r="E2026" t="inlineStr">
        <is>
          <t>TIERP</t>
        </is>
      </c>
      <c r="F2026" t="inlineStr">
        <is>
          <t>Bergvik skog väst AB</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45993-2021</t>
        </is>
      </c>
      <c r="B2027" s="1" t="n">
        <v>44441</v>
      </c>
      <c r="C2027" s="1" t="n">
        <v>45792</v>
      </c>
      <c r="D2027" t="inlineStr">
        <is>
          <t>UPPSALA LÄN</t>
        </is>
      </c>
      <c r="E2027" t="inlineStr">
        <is>
          <t>TIERP</t>
        </is>
      </c>
      <c r="F2027" t="inlineStr">
        <is>
          <t>Bergvik skog väst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45964-2021</t>
        </is>
      </c>
      <c r="B2028" s="1" t="n">
        <v>44441</v>
      </c>
      <c r="C2028" s="1" t="n">
        <v>45792</v>
      </c>
      <c r="D2028" t="inlineStr">
        <is>
          <t>UPPSALA LÄN</t>
        </is>
      </c>
      <c r="E2028" t="inlineStr">
        <is>
          <t>HEBY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46097-2021</t>
        </is>
      </c>
      <c r="B2029" s="1" t="n">
        <v>44442</v>
      </c>
      <c r="C2029" s="1" t="n">
        <v>45792</v>
      </c>
      <c r="D2029" t="inlineStr">
        <is>
          <t>UPPSALA LÄN</t>
        </is>
      </c>
      <c r="E2029" t="inlineStr">
        <is>
          <t>UPPSALA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46099-2021</t>
        </is>
      </c>
      <c r="B2030" s="1" t="n">
        <v>44442</v>
      </c>
      <c r="C2030" s="1" t="n">
        <v>45792</v>
      </c>
      <c r="D2030" t="inlineStr">
        <is>
          <t>UPPSALA LÄN</t>
        </is>
      </c>
      <c r="E2030" t="inlineStr">
        <is>
          <t>UPPSALA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46560-2021</t>
        </is>
      </c>
      <c r="B2031" s="1" t="n">
        <v>44445</v>
      </c>
      <c r="C2031" s="1" t="n">
        <v>45792</v>
      </c>
      <c r="D2031" t="inlineStr">
        <is>
          <t>UPPSALA LÄN</t>
        </is>
      </c>
      <c r="E2031" t="inlineStr">
        <is>
          <t>HEBY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46553-2021</t>
        </is>
      </c>
      <c r="B2032" s="1" t="n">
        <v>44445</v>
      </c>
      <c r="C2032" s="1" t="n">
        <v>45792</v>
      </c>
      <c r="D2032" t="inlineStr">
        <is>
          <t>UPPSALA LÄN</t>
        </is>
      </c>
      <c r="E2032" t="inlineStr">
        <is>
          <t>UPPSALA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46920-2021</t>
        </is>
      </c>
      <c r="B2033" s="1" t="n">
        <v>44446</v>
      </c>
      <c r="C2033" s="1" t="n">
        <v>45792</v>
      </c>
      <c r="D2033" t="inlineStr">
        <is>
          <t>UPPSALA LÄN</t>
        </is>
      </c>
      <c r="E2033" t="inlineStr">
        <is>
          <t>UPPSALA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46916-2021</t>
        </is>
      </c>
      <c r="B2034" s="1" t="n">
        <v>44446</v>
      </c>
      <c r="C2034" s="1" t="n">
        <v>45792</v>
      </c>
      <c r="D2034" t="inlineStr">
        <is>
          <t>UPPSALA LÄN</t>
        </is>
      </c>
      <c r="E2034" t="inlineStr">
        <is>
          <t>UPPSALA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46976-2021</t>
        </is>
      </c>
      <c r="B2035" s="1" t="n">
        <v>44446</v>
      </c>
      <c r="C2035" s="1" t="n">
        <v>45792</v>
      </c>
      <c r="D2035" t="inlineStr">
        <is>
          <t>UPPSALA LÄN</t>
        </is>
      </c>
      <c r="E2035" t="inlineStr">
        <is>
          <t>TIERP</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47106-2021</t>
        </is>
      </c>
      <c r="B2036" s="1" t="n">
        <v>44446</v>
      </c>
      <c r="C2036" s="1" t="n">
        <v>45792</v>
      </c>
      <c r="D2036" t="inlineStr">
        <is>
          <t>UPPSALA LÄN</t>
        </is>
      </c>
      <c r="E2036" t="inlineStr">
        <is>
          <t>ENKÖPING</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47367-2021</t>
        </is>
      </c>
      <c r="B2037" s="1" t="n">
        <v>44447</v>
      </c>
      <c r="C2037" s="1" t="n">
        <v>45792</v>
      </c>
      <c r="D2037" t="inlineStr">
        <is>
          <t>UPPSALA LÄN</t>
        </is>
      </c>
      <c r="E2037" t="inlineStr">
        <is>
          <t>UPPSALA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47226-2021</t>
        </is>
      </c>
      <c r="B2038" s="1" t="n">
        <v>44447</v>
      </c>
      <c r="C2038" s="1" t="n">
        <v>45792</v>
      </c>
      <c r="D2038" t="inlineStr">
        <is>
          <t>UPPSALA LÄN</t>
        </is>
      </c>
      <c r="E2038" t="inlineStr">
        <is>
          <t>ÄLVKARLEBY</t>
        </is>
      </c>
      <c r="F2038" t="inlineStr">
        <is>
          <t>Bergvik skog väst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47652-2021</t>
        </is>
      </c>
      <c r="B2039" s="1" t="n">
        <v>44448</v>
      </c>
      <c r="C2039" s="1" t="n">
        <v>45792</v>
      </c>
      <c r="D2039" t="inlineStr">
        <is>
          <t>UPPSALA LÄN</t>
        </is>
      </c>
      <c r="E2039" t="inlineStr">
        <is>
          <t>KNIVSTA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47654-2021</t>
        </is>
      </c>
      <c r="B2040" s="1" t="n">
        <v>44448</v>
      </c>
      <c r="C2040" s="1" t="n">
        <v>45792</v>
      </c>
      <c r="D2040" t="inlineStr">
        <is>
          <t>UPPSALA LÄN</t>
        </is>
      </c>
      <c r="E2040" t="inlineStr">
        <is>
          <t>KNIVSTA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48308-2021</t>
        </is>
      </c>
      <c r="B2041" s="1" t="n">
        <v>44450</v>
      </c>
      <c r="C2041" s="1" t="n">
        <v>45792</v>
      </c>
      <c r="D2041" t="inlineStr">
        <is>
          <t>UPPSALA LÄN</t>
        </is>
      </c>
      <c r="E2041" t="inlineStr">
        <is>
          <t>ÖSTHAMMAR</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48455-2021</t>
        </is>
      </c>
      <c r="B2042" s="1" t="n">
        <v>44452</v>
      </c>
      <c r="C2042" s="1" t="n">
        <v>45792</v>
      </c>
      <c r="D2042" t="inlineStr">
        <is>
          <t>UPPSALA LÄN</t>
        </is>
      </c>
      <c r="E2042" t="inlineStr">
        <is>
          <t>TIERP</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48536-2021</t>
        </is>
      </c>
      <c r="B2043" s="1" t="n">
        <v>44452</v>
      </c>
      <c r="C2043" s="1" t="n">
        <v>45792</v>
      </c>
      <c r="D2043" t="inlineStr">
        <is>
          <t>UPPSALA LÄN</t>
        </is>
      </c>
      <c r="E2043" t="inlineStr">
        <is>
          <t>TIERP</t>
        </is>
      </c>
      <c r="F2043" t="inlineStr">
        <is>
          <t>Bergvik skog väst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48485-2021</t>
        </is>
      </c>
      <c r="B2044" s="1" t="n">
        <v>44452</v>
      </c>
      <c r="C2044" s="1" t="n">
        <v>45792</v>
      </c>
      <c r="D2044" t="inlineStr">
        <is>
          <t>UPPSALA LÄN</t>
        </is>
      </c>
      <c r="E2044" t="inlineStr">
        <is>
          <t>TIERP</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48759-2021</t>
        </is>
      </c>
      <c r="B2045" s="1" t="n">
        <v>44452</v>
      </c>
      <c r="C2045" s="1" t="n">
        <v>45792</v>
      </c>
      <c r="D2045" t="inlineStr">
        <is>
          <t>UPPSALA LÄN</t>
        </is>
      </c>
      <c r="E2045" t="inlineStr">
        <is>
          <t>HEBY</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48880-2021</t>
        </is>
      </c>
      <c r="B2046" s="1" t="n">
        <v>44452</v>
      </c>
      <c r="C2046" s="1" t="n">
        <v>45792</v>
      </c>
      <c r="D2046" t="inlineStr">
        <is>
          <t>UPPSALA LÄN</t>
        </is>
      </c>
      <c r="E2046" t="inlineStr">
        <is>
          <t>TIERP</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48970-2021</t>
        </is>
      </c>
      <c r="B2047" s="1" t="n">
        <v>44453</v>
      </c>
      <c r="C2047" s="1" t="n">
        <v>45792</v>
      </c>
      <c r="D2047" t="inlineStr">
        <is>
          <t>UPPSALA LÄN</t>
        </is>
      </c>
      <c r="E2047" t="inlineStr">
        <is>
          <t>TIERP</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48981-2021</t>
        </is>
      </c>
      <c r="B2048" s="1" t="n">
        <v>44453</v>
      </c>
      <c r="C2048" s="1" t="n">
        <v>45792</v>
      </c>
      <c r="D2048" t="inlineStr">
        <is>
          <t>UPPSALA LÄN</t>
        </is>
      </c>
      <c r="E2048" t="inlineStr">
        <is>
          <t>ENKÖPING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48918-2021</t>
        </is>
      </c>
      <c r="B2049" s="1" t="n">
        <v>44453</v>
      </c>
      <c r="C2049" s="1" t="n">
        <v>45792</v>
      </c>
      <c r="D2049" t="inlineStr">
        <is>
          <t>UPPSALA LÄN</t>
        </is>
      </c>
      <c r="E2049" t="inlineStr">
        <is>
          <t>UPPSALA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48982-2021</t>
        </is>
      </c>
      <c r="B2050" s="1" t="n">
        <v>44453</v>
      </c>
      <c r="C2050" s="1" t="n">
        <v>45792</v>
      </c>
      <c r="D2050" t="inlineStr">
        <is>
          <t>UPPSALA LÄN</t>
        </is>
      </c>
      <c r="E2050" t="inlineStr">
        <is>
          <t>TIERP</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49053-2021</t>
        </is>
      </c>
      <c r="B2051" s="1" t="n">
        <v>44453</v>
      </c>
      <c r="C2051" s="1" t="n">
        <v>45792</v>
      </c>
      <c r="D2051" t="inlineStr">
        <is>
          <t>UPPSALA LÄN</t>
        </is>
      </c>
      <c r="E2051" t="inlineStr">
        <is>
          <t>TIERP</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49061-2021</t>
        </is>
      </c>
      <c r="B2052" s="1" t="n">
        <v>44453</v>
      </c>
      <c r="C2052" s="1" t="n">
        <v>45792</v>
      </c>
      <c r="D2052" t="inlineStr">
        <is>
          <t>UPPSALA LÄN</t>
        </is>
      </c>
      <c r="E2052" t="inlineStr">
        <is>
          <t>TIERP</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49274-2021</t>
        </is>
      </c>
      <c r="B2053" s="1" t="n">
        <v>44454</v>
      </c>
      <c r="C2053" s="1" t="n">
        <v>45792</v>
      </c>
      <c r="D2053" t="inlineStr">
        <is>
          <t>UPPSALA LÄN</t>
        </is>
      </c>
      <c r="E2053" t="inlineStr">
        <is>
          <t>UPPSALA</t>
        </is>
      </c>
      <c r="G2053" t="n">
        <v>8.5</v>
      </c>
      <c r="H2053" t="n">
        <v>0</v>
      </c>
      <c r="I2053" t="n">
        <v>0</v>
      </c>
      <c r="J2053" t="n">
        <v>0</v>
      </c>
      <c r="K2053" t="n">
        <v>0</v>
      </c>
      <c r="L2053" t="n">
        <v>0</v>
      </c>
      <c r="M2053" t="n">
        <v>0</v>
      </c>
      <c r="N2053" t="n">
        <v>0</v>
      </c>
      <c r="O2053" t="n">
        <v>0</v>
      </c>
      <c r="P2053" t="n">
        <v>0</v>
      </c>
      <c r="Q2053" t="n">
        <v>0</v>
      </c>
      <c r="R2053" s="2" t="inlineStr"/>
    </row>
    <row r="2054" ht="15" customHeight="1">
      <c r="A2054" t="inlineStr">
        <is>
          <t>A 49352-2021</t>
        </is>
      </c>
      <c r="B2054" s="1" t="n">
        <v>44454</v>
      </c>
      <c r="C2054" s="1" t="n">
        <v>45792</v>
      </c>
      <c r="D2054" t="inlineStr">
        <is>
          <t>UPPSALA LÄN</t>
        </is>
      </c>
      <c r="E2054" t="inlineStr">
        <is>
          <t>HEBY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49375-2021</t>
        </is>
      </c>
      <c r="B2055" s="1" t="n">
        <v>44454</v>
      </c>
      <c r="C2055" s="1" t="n">
        <v>45792</v>
      </c>
      <c r="D2055" t="inlineStr">
        <is>
          <t>UPPSALA LÄN</t>
        </is>
      </c>
      <c r="E2055" t="inlineStr">
        <is>
          <t>ENKÖPING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49525-2021</t>
        </is>
      </c>
      <c r="B2056" s="1" t="n">
        <v>44455</v>
      </c>
      <c r="C2056" s="1" t="n">
        <v>45792</v>
      </c>
      <c r="D2056" t="inlineStr">
        <is>
          <t>UPPSALA LÄN</t>
        </is>
      </c>
      <c r="E2056" t="inlineStr">
        <is>
          <t>ENKÖPING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50541-2021</t>
        </is>
      </c>
      <c r="B2057" s="1" t="n">
        <v>44459</v>
      </c>
      <c r="C2057" s="1" t="n">
        <v>45792</v>
      </c>
      <c r="D2057" t="inlineStr">
        <is>
          <t>UPPSALA LÄN</t>
        </is>
      </c>
      <c r="E2057" t="inlineStr">
        <is>
          <t>HEBY</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50546-2021</t>
        </is>
      </c>
      <c r="B2058" s="1" t="n">
        <v>44459</v>
      </c>
      <c r="C2058" s="1" t="n">
        <v>45792</v>
      </c>
      <c r="D2058" t="inlineStr">
        <is>
          <t>UPPSALA LÄN</t>
        </is>
      </c>
      <c r="E2058" t="inlineStr">
        <is>
          <t>HEBY</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51050-2021</t>
        </is>
      </c>
      <c r="B2059" s="1" t="n">
        <v>44459</v>
      </c>
      <c r="C2059" s="1" t="n">
        <v>45792</v>
      </c>
      <c r="D2059" t="inlineStr">
        <is>
          <t>UPPSALA LÄN</t>
        </is>
      </c>
      <c r="E2059" t="inlineStr">
        <is>
          <t>UPPSALA</t>
        </is>
      </c>
      <c r="F2059" t="inlineStr">
        <is>
          <t>Övriga Aktiebolag</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50893-2021</t>
        </is>
      </c>
      <c r="B2060" s="1" t="n">
        <v>44460</v>
      </c>
      <c r="C2060" s="1" t="n">
        <v>45792</v>
      </c>
      <c r="D2060" t="inlineStr">
        <is>
          <t>UPPSALA LÄN</t>
        </is>
      </c>
      <c r="E2060" t="inlineStr">
        <is>
          <t>ENKÖPING</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51010-2021</t>
        </is>
      </c>
      <c r="B2061" s="1" t="n">
        <v>44460</v>
      </c>
      <c r="C2061" s="1" t="n">
        <v>45792</v>
      </c>
      <c r="D2061" t="inlineStr">
        <is>
          <t>UPPSALA LÄN</t>
        </is>
      </c>
      <c r="E2061" t="inlineStr">
        <is>
          <t>ÖSTHAMMAR</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51412-2021</t>
        </is>
      </c>
      <c r="B2062" s="1" t="n">
        <v>44461</v>
      </c>
      <c r="C2062" s="1" t="n">
        <v>45792</v>
      </c>
      <c r="D2062" t="inlineStr">
        <is>
          <t>UPPSALA LÄN</t>
        </is>
      </c>
      <c r="E2062" t="inlineStr">
        <is>
          <t>ÖSTHAMMAR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51364-2021</t>
        </is>
      </c>
      <c r="B2063" s="1" t="n">
        <v>44461</v>
      </c>
      <c r="C2063" s="1" t="n">
        <v>45792</v>
      </c>
      <c r="D2063" t="inlineStr">
        <is>
          <t>UPPSALA LÄN</t>
        </is>
      </c>
      <c r="E2063" t="inlineStr">
        <is>
          <t>ÖSTHAMMAR</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51821-2021</t>
        </is>
      </c>
      <c r="B2064" s="1" t="n">
        <v>44461</v>
      </c>
      <c r="C2064" s="1" t="n">
        <v>45792</v>
      </c>
      <c r="D2064" t="inlineStr">
        <is>
          <t>UPPSALA LÄN</t>
        </is>
      </c>
      <c r="E2064" t="inlineStr">
        <is>
          <t>UPPSALA</t>
        </is>
      </c>
      <c r="F2064" t="inlineStr">
        <is>
          <t>Övriga Aktiebolag</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51396-2021</t>
        </is>
      </c>
      <c r="B2065" s="1" t="n">
        <v>44461</v>
      </c>
      <c r="C2065" s="1" t="n">
        <v>45792</v>
      </c>
      <c r="D2065" t="inlineStr">
        <is>
          <t>UPPSALA LÄN</t>
        </is>
      </c>
      <c r="E2065" t="inlineStr">
        <is>
          <t>UPPSALA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51612-2021</t>
        </is>
      </c>
      <c r="B2066" s="1" t="n">
        <v>44462</v>
      </c>
      <c r="C2066" s="1" t="n">
        <v>45792</v>
      </c>
      <c r="D2066" t="inlineStr">
        <is>
          <t>UPPSALA LÄN</t>
        </is>
      </c>
      <c r="E2066" t="inlineStr">
        <is>
          <t>ÖSTHAMMAR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52083-2021</t>
        </is>
      </c>
      <c r="B2067" s="1" t="n">
        <v>44463</v>
      </c>
      <c r="C2067" s="1" t="n">
        <v>45792</v>
      </c>
      <c r="D2067" t="inlineStr">
        <is>
          <t>UPPSALA LÄN</t>
        </is>
      </c>
      <c r="E2067" t="inlineStr">
        <is>
          <t>UPPSALA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52014-2021</t>
        </is>
      </c>
      <c r="B2068" s="1" t="n">
        <v>44463</v>
      </c>
      <c r="C2068" s="1" t="n">
        <v>45792</v>
      </c>
      <c r="D2068" t="inlineStr">
        <is>
          <t>UPPSALA LÄN</t>
        </is>
      </c>
      <c r="E2068" t="inlineStr">
        <is>
          <t>ENKÖPING</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52025-2021</t>
        </is>
      </c>
      <c r="B2069" s="1" t="n">
        <v>44463</v>
      </c>
      <c r="C2069" s="1" t="n">
        <v>45792</v>
      </c>
      <c r="D2069" t="inlineStr">
        <is>
          <t>UPPSALA LÄN</t>
        </is>
      </c>
      <c r="E2069" t="inlineStr">
        <is>
          <t>TIERP</t>
        </is>
      </c>
      <c r="F2069" t="inlineStr">
        <is>
          <t>Bergvik skog öst AB</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52424-2021</t>
        </is>
      </c>
      <c r="B2070" s="1" t="n">
        <v>44466</v>
      </c>
      <c r="C2070" s="1" t="n">
        <v>45792</v>
      </c>
      <c r="D2070" t="inlineStr">
        <is>
          <t>UPPSALA LÄN</t>
        </is>
      </c>
      <c r="E2070" t="inlineStr">
        <is>
          <t>HEBY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52659-2021</t>
        </is>
      </c>
      <c r="B2071" s="1" t="n">
        <v>44466</v>
      </c>
      <c r="C2071" s="1" t="n">
        <v>45792</v>
      </c>
      <c r="D2071" t="inlineStr">
        <is>
          <t>UPPSALA LÄN</t>
        </is>
      </c>
      <c r="E2071" t="inlineStr">
        <is>
          <t>ÖSTHAMMAR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52544-2021</t>
        </is>
      </c>
      <c r="B2072" s="1" t="n">
        <v>44466</v>
      </c>
      <c r="C2072" s="1" t="n">
        <v>45792</v>
      </c>
      <c r="D2072" t="inlineStr">
        <is>
          <t>UPPSALA LÄN</t>
        </is>
      </c>
      <c r="E2072" t="inlineStr">
        <is>
          <t>ÖSTHAMMAR</t>
        </is>
      </c>
      <c r="F2072" t="inlineStr">
        <is>
          <t>Bergvik skog väst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53067-2021</t>
        </is>
      </c>
      <c r="B2073" s="1" t="n">
        <v>44467</v>
      </c>
      <c r="C2073" s="1" t="n">
        <v>45792</v>
      </c>
      <c r="D2073" t="inlineStr">
        <is>
          <t>UPPSALA LÄN</t>
        </is>
      </c>
      <c r="E2073" t="inlineStr">
        <is>
          <t>HEBY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52898-2021</t>
        </is>
      </c>
      <c r="B2074" s="1" t="n">
        <v>44467</v>
      </c>
      <c r="C2074" s="1" t="n">
        <v>45792</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53666-2021</t>
        </is>
      </c>
      <c r="B2075" s="1" t="n">
        <v>44469</v>
      </c>
      <c r="C2075" s="1" t="n">
        <v>45792</v>
      </c>
      <c r="D2075" t="inlineStr">
        <is>
          <t>UPPSALA LÄN</t>
        </is>
      </c>
      <c r="E2075" t="inlineStr">
        <is>
          <t>TIERP</t>
        </is>
      </c>
      <c r="F2075" t="inlineStr">
        <is>
          <t>Bergvik skog öst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53766-2021</t>
        </is>
      </c>
      <c r="B2076" s="1" t="n">
        <v>44469</v>
      </c>
      <c r="C2076" s="1" t="n">
        <v>45792</v>
      </c>
      <c r="D2076" t="inlineStr">
        <is>
          <t>UPPSALA LÄN</t>
        </is>
      </c>
      <c r="E2076" t="inlineStr">
        <is>
          <t>TIERP</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53751-2021</t>
        </is>
      </c>
      <c r="B2077" s="1" t="n">
        <v>44469</v>
      </c>
      <c r="C2077" s="1" t="n">
        <v>45792</v>
      </c>
      <c r="D2077" t="inlineStr">
        <is>
          <t>UPPSALA LÄN</t>
        </is>
      </c>
      <c r="E2077" t="inlineStr">
        <is>
          <t>TIERP</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54168-2021</t>
        </is>
      </c>
      <c r="B2078" s="1" t="n">
        <v>44470</v>
      </c>
      <c r="C2078" s="1" t="n">
        <v>45792</v>
      </c>
      <c r="D2078" t="inlineStr">
        <is>
          <t>UPPSALA LÄN</t>
        </is>
      </c>
      <c r="E2078" t="inlineStr">
        <is>
          <t>UPPSALA</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54155-2021</t>
        </is>
      </c>
      <c r="B2079" s="1" t="n">
        <v>44470</v>
      </c>
      <c r="C2079" s="1" t="n">
        <v>45792</v>
      </c>
      <c r="D2079" t="inlineStr">
        <is>
          <t>UPPSALA LÄN</t>
        </is>
      </c>
      <c r="E2079" t="inlineStr">
        <is>
          <t>KNIVSTA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54433-2021</t>
        </is>
      </c>
      <c r="B2080" s="1" t="n">
        <v>44473</v>
      </c>
      <c r="C2080" s="1" t="n">
        <v>45792</v>
      </c>
      <c r="D2080" t="inlineStr">
        <is>
          <t>UPPSALA LÄN</t>
        </is>
      </c>
      <c r="E2080" t="inlineStr">
        <is>
          <t>ENKÖPING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54595-2021</t>
        </is>
      </c>
      <c r="B2081" s="1" t="n">
        <v>44473</v>
      </c>
      <c r="C2081" s="1" t="n">
        <v>45792</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54890-2021</t>
        </is>
      </c>
      <c r="B2082" s="1" t="n">
        <v>44473</v>
      </c>
      <c r="C2082" s="1" t="n">
        <v>45792</v>
      </c>
      <c r="D2082" t="inlineStr">
        <is>
          <t>UPPSALA LÄN</t>
        </is>
      </c>
      <c r="E2082" t="inlineStr">
        <is>
          <t>HÅBO</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55026-2021</t>
        </is>
      </c>
      <c r="B2083" s="1" t="n">
        <v>44474</v>
      </c>
      <c r="C2083" s="1" t="n">
        <v>45792</v>
      </c>
      <c r="D2083" t="inlineStr">
        <is>
          <t>UPPSALA LÄN</t>
        </is>
      </c>
      <c r="E2083" t="inlineStr">
        <is>
          <t>TIERP</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55582-2021</t>
        </is>
      </c>
      <c r="B2084" s="1" t="n">
        <v>44475</v>
      </c>
      <c r="C2084" s="1" t="n">
        <v>45792</v>
      </c>
      <c r="D2084" t="inlineStr">
        <is>
          <t>UPPSALA LÄN</t>
        </is>
      </c>
      <c r="E2084" t="inlineStr">
        <is>
          <t>ENKÖPING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55646-2021</t>
        </is>
      </c>
      <c r="B2085" s="1" t="n">
        <v>44476</v>
      </c>
      <c r="C2085" s="1" t="n">
        <v>45792</v>
      </c>
      <c r="D2085" t="inlineStr">
        <is>
          <t>UPPSALA LÄN</t>
        </is>
      </c>
      <c r="E2085" t="inlineStr">
        <is>
          <t>ÖSTHAMMAR</t>
        </is>
      </c>
      <c r="F2085" t="inlineStr">
        <is>
          <t>Bergvik skog öst AB</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55872-2021</t>
        </is>
      </c>
      <c r="B2086" s="1" t="n">
        <v>44476</v>
      </c>
      <c r="C2086" s="1" t="n">
        <v>45792</v>
      </c>
      <c r="D2086" t="inlineStr">
        <is>
          <t>UPPSALA LÄN</t>
        </is>
      </c>
      <c r="E2086" t="inlineStr">
        <is>
          <t>ÖSTHAMMAR</t>
        </is>
      </c>
      <c r="F2086" t="inlineStr">
        <is>
          <t>Bergvik skog öst AB</t>
        </is>
      </c>
      <c r="G2086" t="n">
        <v>13.7</v>
      </c>
      <c r="H2086" t="n">
        <v>0</v>
      </c>
      <c r="I2086" t="n">
        <v>0</v>
      </c>
      <c r="J2086" t="n">
        <v>0</v>
      </c>
      <c r="K2086" t="n">
        <v>0</v>
      </c>
      <c r="L2086" t="n">
        <v>0</v>
      </c>
      <c r="M2086" t="n">
        <v>0</v>
      </c>
      <c r="N2086" t="n">
        <v>0</v>
      </c>
      <c r="O2086" t="n">
        <v>0</v>
      </c>
      <c r="P2086" t="n">
        <v>0</v>
      </c>
      <c r="Q2086" t="n">
        <v>0</v>
      </c>
      <c r="R2086" s="2" t="inlineStr"/>
    </row>
    <row r="2087" ht="15" customHeight="1">
      <c r="A2087" t="inlineStr">
        <is>
          <t>A 55823-2021</t>
        </is>
      </c>
      <c r="B2087" s="1" t="n">
        <v>44476</v>
      </c>
      <c r="C2087" s="1" t="n">
        <v>45792</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56163-2021</t>
        </is>
      </c>
      <c r="B2088" s="1" t="n">
        <v>44477</v>
      </c>
      <c r="C2088" s="1" t="n">
        <v>45792</v>
      </c>
      <c r="D2088" t="inlineStr">
        <is>
          <t>UPPSALA LÄN</t>
        </is>
      </c>
      <c r="E2088" t="inlineStr">
        <is>
          <t>ENKÖPING</t>
        </is>
      </c>
      <c r="F2088" t="inlineStr">
        <is>
          <t>Allmännings- och besparingsskogar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56042-2021</t>
        </is>
      </c>
      <c r="B2089" s="1" t="n">
        <v>44477</v>
      </c>
      <c r="C2089" s="1" t="n">
        <v>45792</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56138-2021</t>
        </is>
      </c>
      <c r="B2090" s="1" t="n">
        <v>44477</v>
      </c>
      <c r="C2090" s="1" t="n">
        <v>45792</v>
      </c>
      <c r="D2090" t="inlineStr">
        <is>
          <t>UPPSALA LÄN</t>
        </is>
      </c>
      <c r="E2090" t="inlineStr">
        <is>
          <t>HEBY</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56176-2021</t>
        </is>
      </c>
      <c r="B2091" s="1" t="n">
        <v>44477</v>
      </c>
      <c r="C2091" s="1" t="n">
        <v>45792</v>
      </c>
      <c r="D2091" t="inlineStr">
        <is>
          <t>UPPSALA LÄN</t>
        </is>
      </c>
      <c r="E2091" t="inlineStr">
        <is>
          <t>ENKÖPING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56302-2021</t>
        </is>
      </c>
      <c r="B2092" s="1" t="n">
        <v>44477</v>
      </c>
      <c r="C2092" s="1" t="n">
        <v>45792</v>
      </c>
      <c r="D2092" t="inlineStr">
        <is>
          <t>UPPSALA LÄN</t>
        </is>
      </c>
      <c r="E2092" t="inlineStr">
        <is>
          <t>HEBY</t>
        </is>
      </c>
      <c r="F2092" t="inlineStr">
        <is>
          <t>Bergvik skog väst AB</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56049-2021</t>
        </is>
      </c>
      <c r="B2093" s="1" t="n">
        <v>44477</v>
      </c>
      <c r="C2093" s="1" t="n">
        <v>45792</v>
      </c>
      <c r="D2093" t="inlineStr">
        <is>
          <t>UPPSALA LÄN</t>
        </is>
      </c>
      <c r="E2093" t="inlineStr">
        <is>
          <t>UPPSALA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56463-2021</t>
        </is>
      </c>
      <c r="B2094" s="1" t="n">
        <v>44479</v>
      </c>
      <c r="C2094" s="1" t="n">
        <v>45792</v>
      </c>
      <c r="D2094" t="inlineStr">
        <is>
          <t>UPPSALA LÄN</t>
        </is>
      </c>
      <c r="E2094" t="inlineStr">
        <is>
          <t>UPPSALA</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56376-2021</t>
        </is>
      </c>
      <c r="B2095" s="1" t="n">
        <v>44480</v>
      </c>
      <c r="C2095" s="1" t="n">
        <v>45792</v>
      </c>
      <c r="D2095" t="inlineStr">
        <is>
          <t>UPPSALA LÄN</t>
        </is>
      </c>
      <c r="E2095" t="inlineStr">
        <is>
          <t>HEBY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56352-2021</t>
        </is>
      </c>
      <c r="B2096" s="1" t="n">
        <v>44480</v>
      </c>
      <c r="C2096" s="1" t="n">
        <v>45792</v>
      </c>
      <c r="D2096" t="inlineStr">
        <is>
          <t>UPPSALA LÄN</t>
        </is>
      </c>
      <c r="E2096" t="inlineStr">
        <is>
          <t>HEBY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56498-2021</t>
        </is>
      </c>
      <c r="B2097" s="1" t="n">
        <v>44480</v>
      </c>
      <c r="C2097" s="1" t="n">
        <v>45792</v>
      </c>
      <c r="D2097" t="inlineStr">
        <is>
          <t>UPPSALA LÄN</t>
        </is>
      </c>
      <c r="E2097" t="inlineStr">
        <is>
          <t>TIERP</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56509-2021</t>
        </is>
      </c>
      <c r="B2098" s="1" t="n">
        <v>44480</v>
      </c>
      <c r="C2098" s="1" t="n">
        <v>45792</v>
      </c>
      <c r="D2098" t="inlineStr">
        <is>
          <t>UPPSALA LÄN</t>
        </is>
      </c>
      <c r="E2098" t="inlineStr">
        <is>
          <t>TIERP</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56578-2021</t>
        </is>
      </c>
      <c r="B2099" s="1" t="n">
        <v>44480</v>
      </c>
      <c r="C2099" s="1" t="n">
        <v>45792</v>
      </c>
      <c r="D2099" t="inlineStr">
        <is>
          <t>UPPSALA LÄN</t>
        </is>
      </c>
      <c r="E2099" t="inlineStr">
        <is>
          <t>HEBY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56740-2021</t>
        </is>
      </c>
      <c r="B2100" s="1" t="n">
        <v>44481</v>
      </c>
      <c r="C2100" s="1" t="n">
        <v>45792</v>
      </c>
      <c r="D2100" t="inlineStr">
        <is>
          <t>UPPSALA LÄN</t>
        </is>
      </c>
      <c r="E2100" t="inlineStr">
        <is>
          <t>TIERP</t>
        </is>
      </c>
      <c r="F2100" t="inlineStr">
        <is>
          <t>Bergvik skog öst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56769-2021</t>
        </is>
      </c>
      <c r="B2101" s="1" t="n">
        <v>44481</v>
      </c>
      <c r="C2101" s="1" t="n">
        <v>45792</v>
      </c>
      <c r="D2101" t="inlineStr">
        <is>
          <t>UPPSALA LÄN</t>
        </is>
      </c>
      <c r="E2101" t="inlineStr">
        <is>
          <t>UPPSALA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57003-2021</t>
        </is>
      </c>
      <c r="B2102" s="1" t="n">
        <v>44482</v>
      </c>
      <c r="C2102" s="1" t="n">
        <v>45792</v>
      </c>
      <c r="D2102" t="inlineStr">
        <is>
          <t>UPPSALA LÄN</t>
        </is>
      </c>
      <c r="E2102" t="inlineStr">
        <is>
          <t>ÖSTHAMMAR</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57043-2021</t>
        </is>
      </c>
      <c r="B2103" s="1" t="n">
        <v>44482</v>
      </c>
      <c r="C2103" s="1" t="n">
        <v>45792</v>
      </c>
      <c r="D2103" t="inlineStr">
        <is>
          <t>UPPSALA LÄN</t>
        </is>
      </c>
      <c r="E2103" t="inlineStr">
        <is>
          <t>ENKÖPING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57055-2021</t>
        </is>
      </c>
      <c r="B2104" s="1" t="n">
        <v>44482</v>
      </c>
      <c r="C2104" s="1" t="n">
        <v>45792</v>
      </c>
      <c r="D2104" t="inlineStr">
        <is>
          <t>UPPSALA LÄN</t>
        </is>
      </c>
      <c r="E2104" t="inlineStr">
        <is>
          <t>ENKÖPING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57028-2021</t>
        </is>
      </c>
      <c r="B2105" s="1" t="n">
        <v>44482</v>
      </c>
      <c r="C2105" s="1" t="n">
        <v>45792</v>
      </c>
      <c r="D2105" t="inlineStr">
        <is>
          <t>UPPSALA LÄN</t>
        </is>
      </c>
      <c r="E2105" t="inlineStr">
        <is>
          <t>TIERP</t>
        </is>
      </c>
      <c r="F2105" t="inlineStr">
        <is>
          <t>Bergvik skog väst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57066-2021</t>
        </is>
      </c>
      <c r="B2106" s="1" t="n">
        <v>44482</v>
      </c>
      <c r="C2106" s="1" t="n">
        <v>45792</v>
      </c>
      <c r="D2106" t="inlineStr">
        <is>
          <t>UPPSALA LÄN</t>
        </is>
      </c>
      <c r="E2106" t="inlineStr">
        <is>
          <t>ENKÖPING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57080-2021</t>
        </is>
      </c>
      <c r="B2107" s="1" t="n">
        <v>44482</v>
      </c>
      <c r="C2107" s="1" t="n">
        <v>45792</v>
      </c>
      <c r="D2107" t="inlineStr">
        <is>
          <t>UPPSALA LÄN</t>
        </is>
      </c>
      <c r="E2107" t="inlineStr">
        <is>
          <t>ÖSTHAMMAR</t>
        </is>
      </c>
      <c r="F2107" t="inlineStr">
        <is>
          <t>Bergvik skog öst AB</t>
        </is>
      </c>
      <c r="G2107" t="n">
        <v>13.4</v>
      </c>
      <c r="H2107" t="n">
        <v>0</v>
      </c>
      <c r="I2107" t="n">
        <v>0</v>
      </c>
      <c r="J2107" t="n">
        <v>0</v>
      </c>
      <c r="K2107" t="n">
        <v>0</v>
      </c>
      <c r="L2107" t="n">
        <v>0</v>
      </c>
      <c r="M2107" t="n">
        <v>0</v>
      </c>
      <c r="N2107" t="n">
        <v>0</v>
      </c>
      <c r="O2107" t="n">
        <v>0</v>
      </c>
      <c r="P2107" t="n">
        <v>0</v>
      </c>
      <c r="Q2107" t="n">
        <v>0</v>
      </c>
      <c r="R2107" s="2" t="inlineStr"/>
    </row>
    <row r="2108" ht="15" customHeight="1">
      <c r="A2108" t="inlineStr">
        <is>
          <t>A 57078-2021</t>
        </is>
      </c>
      <c r="B2108" s="1" t="n">
        <v>44482</v>
      </c>
      <c r="C2108" s="1" t="n">
        <v>45792</v>
      </c>
      <c r="D2108" t="inlineStr">
        <is>
          <t>UPPSALA LÄN</t>
        </is>
      </c>
      <c r="E2108" t="inlineStr">
        <is>
          <t>ENKÖPING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57142-2021</t>
        </is>
      </c>
      <c r="B2109" s="1" t="n">
        <v>44482</v>
      </c>
      <c r="C2109" s="1" t="n">
        <v>45792</v>
      </c>
      <c r="D2109" t="inlineStr">
        <is>
          <t>UPPSALA LÄN</t>
        </is>
      </c>
      <c r="E2109" t="inlineStr">
        <is>
          <t>ENKÖPING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57153-2021</t>
        </is>
      </c>
      <c r="B2110" s="1" t="n">
        <v>44482</v>
      </c>
      <c r="C2110" s="1" t="n">
        <v>45792</v>
      </c>
      <c r="D2110" t="inlineStr">
        <is>
          <t>UPPSALA LÄN</t>
        </is>
      </c>
      <c r="E2110" t="inlineStr">
        <is>
          <t>ENKÖPING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57147-2021</t>
        </is>
      </c>
      <c r="B2111" s="1" t="n">
        <v>44482</v>
      </c>
      <c r="C2111" s="1" t="n">
        <v>45792</v>
      </c>
      <c r="D2111" t="inlineStr">
        <is>
          <t>UPPSALA LÄN</t>
        </is>
      </c>
      <c r="E2111" t="inlineStr">
        <is>
          <t>ENKÖPING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57152-2021</t>
        </is>
      </c>
      <c r="B2112" s="1" t="n">
        <v>44482</v>
      </c>
      <c r="C2112" s="1" t="n">
        <v>45792</v>
      </c>
      <c r="D2112" t="inlineStr">
        <is>
          <t>UPPSALA LÄN</t>
        </is>
      </c>
      <c r="E2112" t="inlineStr">
        <is>
          <t>ENKÖPING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57647-2021</t>
        </is>
      </c>
      <c r="B2113" s="1" t="n">
        <v>44484</v>
      </c>
      <c r="C2113" s="1" t="n">
        <v>45792</v>
      </c>
      <c r="D2113" t="inlineStr">
        <is>
          <t>UPPSALA LÄN</t>
        </is>
      </c>
      <c r="E2113" t="inlineStr">
        <is>
          <t>UPPSALA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57890-2021</t>
        </is>
      </c>
      <c r="B2114" s="1" t="n">
        <v>44486</v>
      </c>
      <c r="C2114" s="1" t="n">
        <v>45792</v>
      </c>
      <c r="D2114" t="inlineStr">
        <is>
          <t>UPPSALA LÄN</t>
        </is>
      </c>
      <c r="E2114" t="inlineStr">
        <is>
          <t>UPPSALA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58334-2021</t>
        </is>
      </c>
      <c r="B2115" s="1" t="n">
        <v>44488</v>
      </c>
      <c r="C2115" s="1" t="n">
        <v>45792</v>
      </c>
      <c r="D2115" t="inlineStr">
        <is>
          <t>UPPSALA LÄN</t>
        </is>
      </c>
      <c r="E2115" t="inlineStr">
        <is>
          <t>ÖSTHAMMAR</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58767-2021</t>
        </is>
      </c>
      <c r="B2116" s="1" t="n">
        <v>44489</v>
      </c>
      <c r="C2116" s="1" t="n">
        <v>45792</v>
      </c>
      <c r="D2116" t="inlineStr">
        <is>
          <t>UPPSALA LÄN</t>
        </is>
      </c>
      <c r="E2116" t="inlineStr">
        <is>
          <t>UPPSALA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58897-2021</t>
        </is>
      </c>
      <c r="B2117" s="1" t="n">
        <v>44489</v>
      </c>
      <c r="C2117" s="1" t="n">
        <v>45792</v>
      </c>
      <c r="D2117" t="inlineStr">
        <is>
          <t>UPPSALA LÄN</t>
        </is>
      </c>
      <c r="E2117" t="inlineStr">
        <is>
          <t>UPPSALA</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59121-2021</t>
        </is>
      </c>
      <c r="B2118" s="1" t="n">
        <v>44490</v>
      </c>
      <c r="C2118" s="1" t="n">
        <v>45792</v>
      </c>
      <c r="D2118" t="inlineStr">
        <is>
          <t>UPPSALA LÄN</t>
        </is>
      </c>
      <c r="E2118" t="inlineStr">
        <is>
          <t>ENKÖPING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59241-2021</t>
        </is>
      </c>
      <c r="B2119" s="1" t="n">
        <v>44490</v>
      </c>
      <c r="C2119" s="1" t="n">
        <v>45792</v>
      </c>
      <c r="D2119" t="inlineStr">
        <is>
          <t>UPPSALA LÄN</t>
        </is>
      </c>
      <c r="E2119" t="inlineStr">
        <is>
          <t>UPPSALA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59378-2021</t>
        </is>
      </c>
      <c r="B2120" s="1" t="n">
        <v>44491</v>
      </c>
      <c r="C2120" s="1" t="n">
        <v>45792</v>
      </c>
      <c r="D2120" t="inlineStr">
        <is>
          <t>UPPSALA LÄN</t>
        </is>
      </c>
      <c r="E2120" t="inlineStr">
        <is>
          <t>TIERP</t>
        </is>
      </c>
      <c r="F2120" t="inlineStr">
        <is>
          <t>Bergvik skog öst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59484-2021</t>
        </is>
      </c>
      <c r="B2121" s="1" t="n">
        <v>44491</v>
      </c>
      <c r="C2121" s="1" t="n">
        <v>45792</v>
      </c>
      <c r="D2121" t="inlineStr">
        <is>
          <t>UPPSALA LÄN</t>
        </is>
      </c>
      <c r="E2121" t="inlineStr">
        <is>
          <t>UPPSALA</t>
        </is>
      </c>
      <c r="F2121" t="inlineStr">
        <is>
          <t>Bergvik skog öst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59500-2021</t>
        </is>
      </c>
      <c r="B2122" s="1" t="n">
        <v>44491</v>
      </c>
      <c r="C2122" s="1" t="n">
        <v>45792</v>
      </c>
      <c r="D2122" t="inlineStr">
        <is>
          <t>UPPSALA LÄN</t>
        </is>
      </c>
      <c r="E2122" t="inlineStr">
        <is>
          <t>UPPSALA</t>
        </is>
      </c>
      <c r="F2122" t="inlineStr">
        <is>
          <t>Bergvik skog öst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59350-2021</t>
        </is>
      </c>
      <c r="B2123" s="1" t="n">
        <v>44491</v>
      </c>
      <c r="C2123" s="1" t="n">
        <v>45792</v>
      </c>
      <c r="D2123" t="inlineStr">
        <is>
          <t>UPPSALA LÄN</t>
        </is>
      </c>
      <c r="E2123" t="inlineStr">
        <is>
          <t>TIERP</t>
        </is>
      </c>
      <c r="F2123" t="inlineStr">
        <is>
          <t>Bergvik skog öst AB</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59360-2021</t>
        </is>
      </c>
      <c r="B2124" s="1" t="n">
        <v>44491</v>
      </c>
      <c r="C2124" s="1" t="n">
        <v>45792</v>
      </c>
      <c r="D2124" t="inlineStr">
        <is>
          <t>UPPSALA LÄN</t>
        </is>
      </c>
      <c r="E2124" t="inlineStr">
        <is>
          <t>ÖSTHAMMAR</t>
        </is>
      </c>
      <c r="F2124" t="inlineStr">
        <is>
          <t>Bergvik skog öst AB</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59479-2021</t>
        </is>
      </c>
      <c r="B2125" s="1" t="n">
        <v>44491</v>
      </c>
      <c r="C2125" s="1" t="n">
        <v>45792</v>
      </c>
      <c r="D2125" t="inlineStr">
        <is>
          <t>UPPSALA LÄN</t>
        </is>
      </c>
      <c r="E2125" t="inlineStr">
        <is>
          <t>UPPSALA</t>
        </is>
      </c>
      <c r="F2125" t="inlineStr">
        <is>
          <t>Bergvik skog öst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59486-2021</t>
        </is>
      </c>
      <c r="B2126" s="1" t="n">
        <v>44491</v>
      </c>
      <c r="C2126" s="1" t="n">
        <v>45792</v>
      </c>
      <c r="D2126" t="inlineStr">
        <is>
          <t>UPPSALA LÄN</t>
        </is>
      </c>
      <c r="E2126" t="inlineStr">
        <is>
          <t>HEBY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59498-2021</t>
        </is>
      </c>
      <c r="B2127" s="1" t="n">
        <v>44491</v>
      </c>
      <c r="C2127" s="1" t="n">
        <v>45792</v>
      </c>
      <c r="D2127" t="inlineStr">
        <is>
          <t>UPPSALA LÄN</t>
        </is>
      </c>
      <c r="E2127" t="inlineStr">
        <is>
          <t>ÖSTHAMMAR</t>
        </is>
      </c>
      <c r="F2127" t="inlineStr">
        <is>
          <t>Bergvik skog öst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59599-2021</t>
        </is>
      </c>
      <c r="B2128" s="1" t="n">
        <v>44491</v>
      </c>
      <c r="C2128" s="1" t="n">
        <v>45792</v>
      </c>
      <c r="D2128" t="inlineStr">
        <is>
          <t>UPPSALA LÄN</t>
        </is>
      </c>
      <c r="E2128" t="inlineStr">
        <is>
          <t>HEBY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59881-2021</t>
        </is>
      </c>
      <c r="B2129" s="1" t="n">
        <v>44494</v>
      </c>
      <c r="C2129" s="1" t="n">
        <v>45792</v>
      </c>
      <c r="D2129" t="inlineStr">
        <is>
          <t>UPPSALA LÄN</t>
        </is>
      </c>
      <c r="E2129" t="inlineStr">
        <is>
          <t>UPPSALA</t>
        </is>
      </c>
      <c r="F2129" t="inlineStr">
        <is>
          <t>Allmännings- och besparingsskogar</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60047-2021</t>
        </is>
      </c>
      <c r="B2130" s="1" t="n">
        <v>44495</v>
      </c>
      <c r="C2130" s="1" t="n">
        <v>45792</v>
      </c>
      <c r="D2130" t="inlineStr">
        <is>
          <t>UPPSALA LÄN</t>
        </is>
      </c>
      <c r="E2130" t="inlineStr">
        <is>
          <t>ÖSTHAMMAR</t>
        </is>
      </c>
      <c r="F2130" t="inlineStr">
        <is>
          <t>Övriga Aktiebolag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60032-2021</t>
        </is>
      </c>
      <c r="B2131" s="1" t="n">
        <v>44495</v>
      </c>
      <c r="C2131" s="1" t="n">
        <v>45792</v>
      </c>
      <c r="D2131" t="inlineStr">
        <is>
          <t>UPPSALA LÄN</t>
        </is>
      </c>
      <c r="E2131" t="inlineStr">
        <is>
          <t>UPPSALA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60295-2021</t>
        </is>
      </c>
      <c r="B2132" s="1" t="n">
        <v>44495</v>
      </c>
      <c r="C2132" s="1" t="n">
        <v>45792</v>
      </c>
      <c r="D2132" t="inlineStr">
        <is>
          <t>UPPSALA LÄN</t>
        </is>
      </c>
      <c r="E2132" t="inlineStr">
        <is>
          <t>HEBY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60577-2021</t>
        </is>
      </c>
      <c r="B2133" s="1" t="n">
        <v>44496</v>
      </c>
      <c r="C2133" s="1" t="n">
        <v>45792</v>
      </c>
      <c r="D2133" t="inlineStr">
        <is>
          <t>UPPSALA LÄN</t>
        </is>
      </c>
      <c r="E2133" t="inlineStr">
        <is>
          <t>ÖSTHAMMAR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60584-2021</t>
        </is>
      </c>
      <c r="B2134" s="1" t="n">
        <v>44496</v>
      </c>
      <c r="C2134" s="1" t="n">
        <v>45792</v>
      </c>
      <c r="D2134" t="inlineStr">
        <is>
          <t>UPPSALA LÄN</t>
        </is>
      </c>
      <c r="E2134" t="inlineStr">
        <is>
          <t>ÖSTHAMMAR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60441-2021</t>
        </is>
      </c>
      <c r="B2135" s="1" t="n">
        <v>44496</v>
      </c>
      <c r="C2135" s="1" t="n">
        <v>45792</v>
      </c>
      <c r="D2135" t="inlineStr">
        <is>
          <t>UPPSALA LÄN</t>
        </is>
      </c>
      <c r="E2135" t="inlineStr">
        <is>
          <t>TIERP</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60533-2021</t>
        </is>
      </c>
      <c r="B2136" s="1" t="n">
        <v>44496</v>
      </c>
      <c r="C2136" s="1" t="n">
        <v>45792</v>
      </c>
      <c r="D2136" t="inlineStr">
        <is>
          <t>UPPSALA LÄN</t>
        </is>
      </c>
      <c r="E2136" t="inlineStr">
        <is>
          <t>ENKÖPING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60429-2021</t>
        </is>
      </c>
      <c r="B2137" s="1" t="n">
        <v>44496</v>
      </c>
      <c r="C2137" s="1" t="n">
        <v>45792</v>
      </c>
      <c r="D2137" t="inlineStr">
        <is>
          <t>UPPSALA LÄN</t>
        </is>
      </c>
      <c r="E2137" t="inlineStr">
        <is>
          <t>TIERP</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61008-2021</t>
        </is>
      </c>
      <c r="B2138" s="1" t="n">
        <v>44497</v>
      </c>
      <c r="C2138" s="1" t="n">
        <v>45792</v>
      </c>
      <c r="D2138" t="inlineStr">
        <is>
          <t>UPPSALA LÄN</t>
        </is>
      </c>
      <c r="E2138" t="inlineStr">
        <is>
          <t>UPPSALA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60885-2021</t>
        </is>
      </c>
      <c r="B2139" s="1" t="n">
        <v>44497</v>
      </c>
      <c r="C2139" s="1" t="n">
        <v>45792</v>
      </c>
      <c r="D2139" t="inlineStr">
        <is>
          <t>UPPSALA LÄN</t>
        </is>
      </c>
      <c r="E2139" t="inlineStr">
        <is>
          <t>KNIVSTA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60908-2021</t>
        </is>
      </c>
      <c r="B2140" s="1" t="n">
        <v>44497</v>
      </c>
      <c r="C2140" s="1" t="n">
        <v>45792</v>
      </c>
      <c r="D2140" t="inlineStr">
        <is>
          <t>UPPSALA LÄN</t>
        </is>
      </c>
      <c r="E2140" t="inlineStr">
        <is>
          <t>TIERP</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60917-2021</t>
        </is>
      </c>
      <c r="B2141" s="1" t="n">
        <v>44497</v>
      </c>
      <c r="C2141" s="1" t="n">
        <v>45792</v>
      </c>
      <c r="D2141" t="inlineStr">
        <is>
          <t>UPPSALA LÄN</t>
        </is>
      </c>
      <c r="E2141" t="inlineStr">
        <is>
          <t>UPPSALA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60874-2021</t>
        </is>
      </c>
      <c r="B2142" s="1" t="n">
        <v>44497</v>
      </c>
      <c r="C2142" s="1" t="n">
        <v>45792</v>
      </c>
      <c r="D2142" t="inlineStr">
        <is>
          <t>UPPSALA LÄN</t>
        </is>
      </c>
      <c r="E2142" t="inlineStr">
        <is>
          <t>ENKÖPING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61076-2021</t>
        </is>
      </c>
      <c r="B2143" s="1" t="n">
        <v>44497</v>
      </c>
      <c r="C2143" s="1" t="n">
        <v>45792</v>
      </c>
      <c r="D2143" t="inlineStr">
        <is>
          <t>UPPSALA LÄN</t>
        </is>
      </c>
      <c r="E2143" t="inlineStr">
        <is>
          <t>ENKÖPING</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60925-2021</t>
        </is>
      </c>
      <c r="B2144" s="1" t="n">
        <v>44497</v>
      </c>
      <c r="C2144" s="1" t="n">
        <v>45792</v>
      </c>
      <c r="D2144" t="inlineStr">
        <is>
          <t>UPPSALA LÄN</t>
        </is>
      </c>
      <c r="E2144" t="inlineStr">
        <is>
          <t>UPPSALA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61746-2021</t>
        </is>
      </c>
      <c r="B2145" s="1" t="n">
        <v>44498</v>
      </c>
      <c r="C2145" s="1" t="n">
        <v>45792</v>
      </c>
      <c r="D2145" t="inlineStr">
        <is>
          <t>UPPSALA LÄN</t>
        </is>
      </c>
      <c r="E2145" t="inlineStr">
        <is>
          <t>ÖSTHAMMAR</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61555-2021</t>
        </is>
      </c>
      <c r="B2146" s="1" t="n">
        <v>44501</v>
      </c>
      <c r="C2146" s="1" t="n">
        <v>45792</v>
      </c>
      <c r="D2146" t="inlineStr">
        <is>
          <t>UPPSALA LÄN</t>
        </is>
      </c>
      <c r="E2146" t="inlineStr">
        <is>
          <t>ÖSTHAMMAR</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61553-2021</t>
        </is>
      </c>
      <c r="B2147" s="1" t="n">
        <v>44501</v>
      </c>
      <c r="C2147" s="1" t="n">
        <v>45792</v>
      </c>
      <c r="D2147" t="inlineStr">
        <is>
          <t>UPPSALA LÄN</t>
        </is>
      </c>
      <c r="E2147" t="inlineStr">
        <is>
          <t>ENKÖPING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61560-2021</t>
        </is>
      </c>
      <c r="B2148" s="1" t="n">
        <v>44501</v>
      </c>
      <c r="C2148" s="1" t="n">
        <v>45792</v>
      </c>
      <c r="D2148" t="inlineStr">
        <is>
          <t>UPPSALA LÄN</t>
        </is>
      </c>
      <c r="E2148" t="inlineStr">
        <is>
          <t>ÖSTHAMMAR</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61817-2021</t>
        </is>
      </c>
      <c r="B2149" s="1" t="n">
        <v>44501</v>
      </c>
      <c r="C2149" s="1" t="n">
        <v>45792</v>
      </c>
      <c r="D2149" t="inlineStr">
        <is>
          <t>UPPSALA LÄN</t>
        </is>
      </c>
      <c r="E2149" t="inlineStr">
        <is>
          <t>ÖSTHAMMAR</t>
        </is>
      </c>
      <c r="F2149" t="inlineStr">
        <is>
          <t>Bergvik skog öst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61805-2021</t>
        </is>
      </c>
      <c r="B2150" s="1" t="n">
        <v>44501</v>
      </c>
      <c r="C2150" s="1" t="n">
        <v>45792</v>
      </c>
      <c r="D2150" t="inlineStr">
        <is>
          <t>UPPSALA LÄN</t>
        </is>
      </c>
      <c r="E2150" t="inlineStr">
        <is>
          <t>UPPSALA</t>
        </is>
      </c>
      <c r="F2150" t="inlineStr">
        <is>
          <t>Bergvik skog öst AB</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61952-2021</t>
        </is>
      </c>
      <c r="B2151" s="1" t="n">
        <v>44502</v>
      </c>
      <c r="C2151" s="1" t="n">
        <v>45792</v>
      </c>
      <c r="D2151" t="inlineStr">
        <is>
          <t>UPPSALA LÄN</t>
        </is>
      </c>
      <c r="E2151" t="inlineStr">
        <is>
          <t>ENKÖPING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62046-2021</t>
        </is>
      </c>
      <c r="B2152" s="1" t="n">
        <v>44502</v>
      </c>
      <c r="C2152" s="1" t="n">
        <v>45792</v>
      </c>
      <c r="D2152" t="inlineStr">
        <is>
          <t>UPPSALA LÄN</t>
        </is>
      </c>
      <c r="E2152" t="inlineStr">
        <is>
          <t>ENKÖPING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62471-2021</t>
        </is>
      </c>
      <c r="B2153" s="1" t="n">
        <v>44503</v>
      </c>
      <c r="C2153" s="1" t="n">
        <v>45792</v>
      </c>
      <c r="D2153" t="inlineStr">
        <is>
          <t>UPPSALA LÄN</t>
        </is>
      </c>
      <c r="E2153" t="inlineStr">
        <is>
          <t>UPPSALA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62441-2021</t>
        </is>
      </c>
      <c r="B2154" s="1" t="n">
        <v>44503</v>
      </c>
      <c r="C2154" s="1" t="n">
        <v>45792</v>
      </c>
      <c r="D2154" t="inlineStr">
        <is>
          <t>UPPSALA LÄN</t>
        </is>
      </c>
      <c r="E2154" t="inlineStr">
        <is>
          <t>KNIVSTA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62854-2021</t>
        </is>
      </c>
      <c r="B2155" s="1" t="n">
        <v>44504</v>
      </c>
      <c r="C2155" s="1" t="n">
        <v>45792</v>
      </c>
      <c r="D2155" t="inlineStr">
        <is>
          <t>UPPSALA LÄN</t>
        </is>
      </c>
      <c r="E2155" t="inlineStr">
        <is>
          <t>ÖSTHAMMAR</t>
        </is>
      </c>
      <c r="F2155" t="inlineStr">
        <is>
          <t>Bergvik skog öst AB</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62764-2021</t>
        </is>
      </c>
      <c r="B2156" s="1" t="n">
        <v>44504</v>
      </c>
      <c r="C2156" s="1" t="n">
        <v>45792</v>
      </c>
      <c r="D2156" t="inlineStr">
        <is>
          <t>UPPSALA LÄN</t>
        </is>
      </c>
      <c r="E2156" t="inlineStr">
        <is>
          <t>HEBY</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62782-2021</t>
        </is>
      </c>
      <c r="B2157" s="1" t="n">
        <v>44504</v>
      </c>
      <c r="C2157" s="1" t="n">
        <v>45792</v>
      </c>
      <c r="D2157" t="inlineStr">
        <is>
          <t>UPPSALA LÄN</t>
        </is>
      </c>
      <c r="E2157" t="inlineStr">
        <is>
          <t>ÖSTHAMMAR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62897-2021</t>
        </is>
      </c>
      <c r="B2158" s="1" t="n">
        <v>44504</v>
      </c>
      <c r="C2158" s="1" t="n">
        <v>45792</v>
      </c>
      <c r="D2158" t="inlineStr">
        <is>
          <t>UPPSALA LÄN</t>
        </is>
      </c>
      <c r="E2158" t="inlineStr">
        <is>
          <t>TIERP</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62865-2021</t>
        </is>
      </c>
      <c r="B2159" s="1" t="n">
        <v>44504</v>
      </c>
      <c r="C2159" s="1" t="n">
        <v>45792</v>
      </c>
      <c r="D2159" t="inlineStr">
        <is>
          <t>UPPSALA LÄN</t>
        </is>
      </c>
      <c r="E2159" t="inlineStr">
        <is>
          <t>UPPSALA</t>
        </is>
      </c>
      <c r="F2159" t="inlineStr">
        <is>
          <t>Bergvik skog öst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63011-2021</t>
        </is>
      </c>
      <c r="B2160" s="1" t="n">
        <v>44504</v>
      </c>
      <c r="C2160" s="1" t="n">
        <v>45792</v>
      </c>
      <c r="D2160" t="inlineStr">
        <is>
          <t>UPPSALA LÄN</t>
        </is>
      </c>
      <c r="E2160" t="inlineStr">
        <is>
          <t>UPPSALA</t>
        </is>
      </c>
      <c r="G2160" t="n">
        <v>11.2</v>
      </c>
      <c r="H2160" t="n">
        <v>0</v>
      </c>
      <c r="I2160" t="n">
        <v>0</v>
      </c>
      <c r="J2160" t="n">
        <v>0</v>
      </c>
      <c r="K2160" t="n">
        <v>0</v>
      </c>
      <c r="L2160" t="n">
        <v>0</v>
      </c>
      <c r="M2160" t="n">
        <v>0</v>
      </c>
      <c r="N2160" t="n">
        <v>0</v>
      </c>
      <c r="O2160" t="n">
        <v>0</v>
      </c>
      <c r="P2160" t="n">
        <v>0</v>
      </c>
      <c r="Q2160" t="n">
        <v>0</v>
      </c>
      <c r="R2160" s="2" t="inlineStr"/>
    </row>
    <row r="2161" ht="15" customHeight="1">
      <c r="A2161" t="inlineStr">
        <is>
          <t>A 63310-2021</t>
        </is>
      </c>
      <c r="B2161" s="1" t="n">
        <v>44508</v>
      </c>
      <c r="C2161" s="1" t="n">
        <v>45792</v>
      </c>
      <c r="D2161" t="inlineStr">
        <is>
          <t>UPPSALA LÄN</t>
        </is>
      </c>
      <c r="E2161" t="inlineStr">
        <is>
          <t>ENKÖPING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63400-2021</t>
        </is>
      </c>
      <c r="B2162" s="1" t="n">
        <v>44508</v>
      </c>
      <c r="C2162" s="1" t="n">
        <v>45792</v>
      </c>
      <c r="D2162" t="inlineStr">
        <is>
          <t>UPPSALA LÄN</t>
        </is>
      </c>
      <c r="E2162" t="inlineStr">
        <is>
          <t>ENKÖPING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63307-2021</t>
        </is>
      </c>
      <c r="B2163" s="1" t="n">
        <v>44508</v>
      </c>
      <c r="C2163" s="1" t="n">
        <v>45792</v>
      </c>
      <c r="D2163" t="inlineStr">
        <is>
          <t>UPPSALA LÄN</t>
        </is>
      </c>
      <c r="E2163" t="inlineStr">
        <is>
          <t>UPPSALA</t>
        </is>
      </c>
      <c r="F2163" t="inlineStr">
        <is>
          <t>Bergvik skog öst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63393-2021</t>
        </is>
      </c>
      <c r="B2164" s="1" t="n">
        <v>44508</v>
      </c>
      <c r="C2164" s="1" t="n">
        <v>45792</v>
      </c>
      <c r="D2164" t="inlineStr">
        <is>
          <t>UPPSALA LÄN</t>
        </is>
      </c>
      <c r="E2164" t="inlineStr">
        <is>
          <t>HEBY</t>
        </is>
      </c>
      <c r="F2164" t="inlineStr">
        <is>
          <t>Bergvik skog öst AB</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63405-2021</t>
        </is>
      </c>
      <c r="B2165" s="1" t="n">
        <v>44508</v>
      </c>
      <c r="C2165" s="1" t="n">
        <v>45792</v>
      </c>
      <c r="D2165" t="inlineStr">
        <is>
          <t>UPPSALA LÄN</t>
        </is>
      </c>
      <c r="E2165" t="inlineStr">
        <is>
          <t>ENKÖPING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63501-2021</t>
        </is>
      </c>
      <c r="B2166" s="1" t="n">
        <v>44508</v>
      </c>
      <c r="C2166" s="1" t="n">
        <v>45792</v>
      </c>
      <c r="D2166" t="inlineStr">
        <is>
          <t>UPPSALA LÄN</t>
        </is>
      </c>
      <c r="E2166" t="inlineStr">
        <is>
          <t>HEBY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63460-2021</t>
        </is>
      </c>
      <c r="B2167" s="1" t="n">
        <v>44508</v>
      </c>
      <c r="C2167" s="1" t="n">
        <v>45792</v>
      </c>
      <c r="D2167" t="inlineStr">
        <is>
          <t>UPPSALA LÄN</t>
        </is>
      </c>
      <c r="E2167" t="inlineStr">
        <is>
          <t>KNIVSTA</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62451-2021</t>
        </is>
      </c>
      <c r="B2168" s="1" t="n">
        <v>44509</v>
      </c>
      <c r="C2168" s="1" t="n">
        <v>45792</v>
      </c>
      <c r="D2168" t="inlineStr">
        <is>
          <t>UPPSALA LÄN</t>
        </is>
      </c>
      <c r="E2168" t="inlineStr">
        <is>
          <t>KNIVSTA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63826-2021</t>
        </is>
      </c>
      <c r="B2169" s="1" t="n">
        <v>44509</v>
      </c>
      <c r="C2169" s="1" t="n">
        <v>45792</v>
      </c>
      <c r="D2169" t="inlineStr">
        <is>
          <t>UPPSALA LÄN</t>
        </is>
      </c>
      <c r="E2169" t="inlineStr">
        <is>
          <t>HEBY</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63959-2021</t>
        </is>
      </c>
      <c r="B2170" s="1" t="n">
        <v>44509</v>
      </c>
      <c r="C2170" s="1" t="n">
        <v>45792</v>
      </c>
      <c r="D2170" t="inlineStr">
        <is>
          <t>UPPSALA LÄN</t>
        </is>
      </c>
      <c r="E2170" t="inlineStr">
        <is>
          <t>HEBY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63955-2021</t>
        </is>
      </c>
      <c r="B2171" s="1" t="n">
        <v>44509</v>
      </c>
      <c r="C2171" s="1" t="n">
        <v>45792</v>
      </c>
      <c r="D2171" t="inlineStr">
        <is>
          <t>UPPSALA LÄN</t>
        </is>
      </c>
      <c r="E2171" t="inlineStr">
        <is>
          <t>HEBY</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64016-2021</t>
        </is>
      </c>
      <c r="B2172" s="1" t="n">
        <v>44510</v>
      </c>
      <c r="C2172" s="1" t="n">
        <v>45792</v>
      </c>
      <c r="D2172" t="inlineStr">
        <is>
          <t>UPPSALA LÄN</t>
        </is>
      </c>
      <c r="E2172" t="inlineStr">
        <is>
          <t>UPPSALA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64044-2021</t>
        </is>
      </c>
      <c r="B2173" s="1" t="n">
        <v>44510</v>
      </c>
      <c r="C2173" s="1" t="n">
        <v>45792</v>
      </c>
      <c r="D2173" t="inlineStr">
        <is>
          <t>UPPSALA LÄN</t>
        </is>
      </c>
      <c r="E2173" t="inlineStr">
        <is>
          <t>KNIVSTA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64364-2021</t>
        </is>
      </c>
      <c r="B2174" s="1" t="n">
        <v>44511</v>
      </c>
      <c r="C2174" s="1" t="n">
        <v>45792</v>
      </c>
      <c r="D2174" t="inlineStr">
        <is>
          <t>UPPSALA LÄN</t>
        </is>
      </c>
      <c r="E2174" t="inlineStr">
        <is>
          <t>HEBY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64413-2021</t>
        </is>
      </c>
      <c r="B2175" s="1" t="n">
        <v>44511</v>
      </c>
      <c r="C2175" s="1" t="n">
        <v>45792</v>
      </c>
      <c r="D2175" t="inlineStr">
        <is>
          <t>UPPSALA LÄN</t>
        </is>
      </c>
      <c r="E2175" t="inlineStr">
        <is>
          <t>HEBY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64586-2021</t>
        </is>
      </c>
      <c r="B2176" s="1" t="n">
        <v>44511</v>
      </c>
      <c r="C2176" s="1" t="n">
        <v>45792</v>
      </c>
      <c r="D2176" t="inlineStr">
        <is>
          <t>UPPSALA LÄN</t>
        </is>
      </c>
      <c r="E2176" t="inlineStr">
        <is>
          <t>ÖSTHAMMAR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64771-2021</t>
        </is>
      </c>
      <c r="B2177" s="1" t="n">
        <v>44512</v>
      </c>
      <c r="C2177" s="1" t="n">
        <v>45792</v>
      </c>
      <c r="D2177" t="inlineStr">
        <is>
          <t>UPPSALA LÄN</t>
        </is>
      </c>
      <c r="E2177" t="inlineStr">
        <is>
          <t>HEBY</t>
        </is>
      </c>
      <c r="F2177" t="inlineStr">
        <is>
          <t>Bergvik skog öst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64857-2021</t>
        </is>
      </c>
      <c r="B2178" s="1" t="n">
        <v>44512</v>
      </c>
      <c r="C2178" s="1" t="n">
        <v>45792</v>
      </c>
      <c r="D2178" t="inlineStr">
        <is>
          <t>UPPSALA LÄN</t>
        </is>
      </c>
      <c r="E2178" t="inlineStr">
        <is>
          <t>UPPSALA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64811-2021</t>
        </is>
      </c>
      <c r="B2179" s="1" t="n">
        <v>44512</v>
      </c>
      <c r="C2179" s="1" t="n">
        <v>45792</v>
      </c>
      <c r="D2179" t="inlineStr">
        <is>
          <t>UPPSALA LÄN</t>
        </is>
      </c>
      <c r="E2179" t="inlineStr">
        <is>
          <t>ÖSTHAMMAR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64856-2021</t>
        </is>
      </c>
      <c r="B2180" s="1" t="n">
        <v>44512</v>
      </c>
      <c r="C2180" s="1" t="n">
        <v>45792</v>
      </c>
      <c r="D2180" t="inlineStr">
        <is>
          <t>UPPSALA LÄN</t>
        </is>
      </c>
      <c r="E2180" t="inlineStr">
        <is>
          <t>UPPSALA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64872-2021</t>
        </is>
      </c>
      <c r="B2181" s="1" t="n">
        <v>44512</v>
      </c>
      <c r="C2181" s="1" t="n">
        <v>45792</v>
      </c>
      <c r="D2181" t="inlineStr">
        <is>
          <t>UPPSALA LÄN</t>
        </is>
      </c>
      <c r="E2181" t="inlineStr">
        <is>
          <t>ÖSTHAMMAR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64858-2021</t>
        </is>
      </c>
      <c r="B2182" s="1" t="n">
        <v>44512</v>
      </c>
      <c r="C2182" s="1" t="n">
        <v>45792</v>
      </c>
      <c r="D2182" t="inlineStr">
        <is>
          <t>UPPSALA LÄN</t>
        </is>
      </c>
      <c r="E2182" t="inlineStr">
        <is>
          <t>UPPSALA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64899-2021</t>
        </is>
      </c>
      <c r="B2183" s="1" t="n">
        <v>44512</v>
      </c>
      <c r="C2183" s="1" t="n">
        <v>45792</v>
      </c>
      <c r="D2183" t="inlineStr">
        <is>
          <t>UPPSALA LÄN</t>
        </is>
      </c>
      <c r="E2183" t="inlineStr">
        <is>
          <t>HEBY</t>
        </is>
      </c>
      <c r="F2183" t="inlineStr">
        <is>
          <t>Bergvik skog öst AB</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64855-2021</t>
        </is>
      </c>
      <c r="B2184" s="1" t="n">
        <v>44512</v>
      </c>
      <c r="C2184" s="1" t="n">
        <v>45792</v>
      </c>
      <c r="D2184" t="inlineStr">
        <is>
          <t>UPPSALA LÄN</t>
        </is>
      </c>
      <c r="E2184" t="inlineStr">
        <is>
          <t>UPPSALA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64885-2021</t>
        </is>
      </c>
      <c r="B2185" s="1" t="n">
        <v>44512</v>
      </c>
      <c r="C2185" s="1" t="n">
        <v>45792</v>
      </c>
      <c r="D2185" t="inlineStr">
        <is>
          <t>UPPSALA LÄN</t>
        </is>
      </c>
      <c r="E2185" t="inlineStr">
        <is>
          <t>ÖSTHAMMAR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65020-2021</t>
        </is>
      </c>
      <c r="B2186" s="1" t="n">
        <v>44515</v>
      </c>
      <c r="C2186" s="1" t="n">
        <v>45792</v>
      </c>
      <c r="D2186" t="inlineStr">
        <is>
          <t>UPPSALA LÄN</t>
        </is>
      </c>
      <c r="E2186" t="inlineStr">
        <is>
          <t>ÖSTHAMMAR</t>
        </is>
      </c>
      <c r="F2186" t="inlineStr">
        <is>
          <t>Sveaskog</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65255-2021</t>
        </is>
      </c>
      <c r="B2187" s="1" t="n">
        <v>44515</v>
      </c>
      <c r="C2187" s="1" t="n">
        <v>45792</v>
      </c>
      <c r="D2187" t="inlineStr">
        <is>
          <t>UPPSALA LÄN</t>
        </is>
      </c>
      <c r="E2187" t="inlineStr">
        <is>
          <t>TIERP</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65132-2021</t>
        </is>
      </c>
      <c r="B2188" s="1" t="n">
        <v>44515</v>
      </c>
      <c r="C2188" s="1" t="n">
        <v>45792</v>
      </c>
      <c r="D2188" t="inlineStr">
        <is>
          <t>UPPSALA LÄN</t>
        </is>
      </c>
      <c r="E2188" t="inlineStr">
        <is>
          <t>UPPSALA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65104-2021</t>
        </is>
      </c>
      <c r="B2189" s="1" t="n">
        <v>44515</v>
      </c>
      <c r="C2189" s="1" t="n">
        <v>45792</v>
      </c>
      <c r="D2189" t="inlineStr">
        <is>
          <t>UPPSALA LÄN</t>
        </is>
      </c>
      <c r="E2189" t="inlineStr">
        <is>
          <t>ÖSTHAMMAR</t>
        </is>
      </c>
      <c r="F2189" t="inlineStr">
        <is>
          <t>Sveaskog</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65028-2021</t>
        </is>
      </c>
      <c r="B2190" s="1" t="n">
        <v>44515</v>
      </c>
      <c r="C2190" s="1" t="n">
        <v>45792</v>
      </c>
      <c r="D2190" t="inlineStr">
        <is>
          <t>UPPSALA LÄN</t>
        </is>
      </c>
      <c r="E2190" t="inlineStr">
        <is>
          <t>ÖSTHAMMAR</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65491-2021</t>
        </is>
      </c>
      <c r="B2191" s="1" t="n">
        <v>44516</v>
      </c>
      <c r="C2191" s="1" t="n">
        <v>45792</v>
      </c>
      <c r="D2191" t="inlineStr">
        <is>
          <t>UPPSALA LÄN</t>
        </is>
      </c>
      <c r="E2191" t="inlineStr">
        <is>
          <t>TIERP</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65626-2021</t>
        </is>
      </c>
      <c r="B2192" s="1" t="n">
        <v>44516</v>
      </c>
      <c r="C2192" s="1" t="n">
        <v>45792</v>
      </c>
      <c r="D2192" t="inlineStr">
        <is>
          <t>UPPSALA LÄN</t>
        </is>
      </c>
      <c r="E2192" t="inlineStr">
        <is>
          <t>HEBY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65623-2021</t>
        </is>
      </c>
      <c r="B2193" s="1" t="n">
        <v>44516</v>
      </c>
      <c r="C2193" s="1" t="n">
        <v>45792</v>
      </c>
      <c r="D2193" t="inlineStr">
        <is>
          <t>UPPSALA LÄN</t>
        </is>
      </c>
      <c r="E2193" t="inlineStr">
        <is>
          <t>HEBY</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65659-2021</t>
        </is>
      </c>
      <c r="B2194" s="1" t="n">
        <v>44516</v>
      </c>
      <c r="C2194" s="1" t="n">
        <v>45792</v>
      </c>
      <c r="D2194" t="inlineStr">
        <is>
          <t>UPPSALA LÄN</t>
        </is>
      </c>
      <c r="E2194" t="inlineStr">
        <is>
          <t>UPPSALA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65631-2021</t>
        </is>
      </c>
      <c r="B2195" s="1" t="n">
        <v>44516</v>
      </c>
      <c r="C2195" s="1" t="n">
        <v>45792</v>
      </c>
      <c r="D2195" t="inlineStr">
        <is>
          <t>UPPSALA LÄN</t>
        </is>
      </c>
      <c r="E2195" t="inlineStr">
        <is>
          <t>HEBY</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65695-2021</t>
        </is>
      </c>
      <c r="B2196" s="1" t="n">
        <v>44516</v>
      </c>
      <c r="C2196" s="1" t="n">
        <v>45792</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65809-2021</t>
        </is>
      </c>
      <c r="B2197" s="1" t="n">
        <v>44517</v>
      </c>
      <c r="C2197" s="1" t="n">
        <v>45792</v>
      </c>
      <c r="D2197" t="inlineStr">
        <is>
          <t>UPPSALA LÄN</t>
        </is>
      </c>
      <c r="E2197" t="inlineStr">
        <is>
          <t>UPPSALA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65811-2021</t>
        </is>
      </c>
      <c r="B2198" s="1" t="n">
        <v>44517</v>
      </c>
      <c r="C2198" s="1" t="n">
        <v>45792</v>
      </c>
      <c r="D2198" t="inlineStr">
        <is>
          <t>UPPSALA LÄN</t>
        </is>
      </c>
      <c r="E2198" t="inlineStr">
        <is>
          <t>UPPSALA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65964-2021</t>
        </is>
      </c>
      <c r="B2199" s="1" t="n">
        <v>44517</v>
      </c>
      <c r="C2199" s="1" t="n">
        <v>45792</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65836-2021</t>
        </is>
      </c>
      <c r="B2200" s="1" t="n">
        <v>44517</v>
      </c>
      <c r="C2200" s="1" t="n">
        <v>45792</v>
      </c>
      <c r="D2200" t="inlineStr">
        <is>
          <t>UPPSALA LÄN</t>
        </is>
      </c>
      <c r="E2200" t="inlineStr">
        <is>
          <t>HÅBO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66029-2021</t>
        </is>
      </c>
      <c r="B2201" s="1" t="n">
        <v>44517</v>
      </c>
      <c r="C2201" s="1" t="n">
        <v>45792</v>
      </c>
      <c r="D2201" t="inlineStr">
        <is>
          <t>UPPSALA LÄN</t>
        </is>
      </c>
      <c r="E2201" t="inlineStr">
        <is>
          <t>HEBY</t>
        </is>
      </c>
      <c r="F2201" t="inlineStr">
        <is>
          <t>Bergvik skog öst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66055-2021</t>
        </is>
      </c>
      <c r="B2202" s="1" t="n">
        <v>44517</v>
      </c>
      <c r="C2202" s="1" t="n">
        <v>45792</v>
      </c>
      <c r="D2202" t="inlineStr">
        <is>
          <t>UPPSALA LÄN</t>
        </is>
      </c>
      <c r="E2202" t="inlineStr">
        <is>
          <t>HEBY</t>
        </is>
      </c>
      <c r="F2202" t="inlineStr">
        <is>
          <t>Bergvik skog öst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66025-2021</t>
        </is>
      </c>
      <c r="B2203" s="1" t="n">
        <v>44517</v>
      </c>
      <c r="C2203" s="1" t="n">
        <v>45792</v>
      </c>
      <c r="D2203" t="inlineStr">
        <is>
          <t>UPPSALA LÄN</t>
        </is>
      </c>
      <c r="E2203" t="inlineStr">
        <is>
          <t>HEBY</t>
        </is>
      </c>
      <c r="F2203" t="inlineStr">
        <is>
          <t>Bergvik skog öst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66256-2021</t>
        </is>
      </c>
      <c r="B2204" s="1" t="n">
        <v>44518</v>
      </c>
      <c r="C2204" s="1" t="n">
        <v>45792</v>
      </c>
      <c r="D2204" t="inlineStr">
        <is>
          <t>UPPSALA LÄN</t>
        </is>
      </c>
      <c r="E2204" t="inlineStr">
        <is>
          <t>KNIVSTA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66239-2021</t>
        </is>
      </c>
      <c r="B2205" s="1" t="n">
        <v>44518</v>
      </c>
      <c r="C2205" s="1" t="n">
        <v>45792</v>
      </c>
      <c r="D2205" t="inlineStr">
        <is>
          <t>UPPSALA LÄN</t>
        </is>
      </c>
      <c r="E2205" t="inlineStr">
        <is>
          <t>UPPSALA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66241-2021</t>
        </is>
      </c>
      <c r="B2206" s="1" t="n">
        <v>44518</v>
      </c>
      <c r="C2206" s="1" t="n">
        <v>45792</v>
      </c>
      <c r="D2206" t="inlineStr">
        <is>
          <t>UPPSALA LÄN</t>
        </is>
      </c>
      <c r="E2206" t="inlineStr">
        <is>
          <t>TIERP</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66298-2021</t>
        </is>
      </c>
      <c r="B2207" s="1" t="n">
        <v>44518</v>
      </c>
      <c r="C2207" s="1" t="n">
        <v>45792</v>
      </c>
      <c r="D2207" t="inlineStr">
        <is>
          <t>UPPSALA LÄN</t>
        </is>
      </c>
      <c r="E2207" t="inlineStr">
        <is>
          <t>KNIVSTA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66310-2021</t>
        </is>
      </c>
      <c r="B2208" s="1" t="n">
        <v>44518</v>
      </c>
      <c r="C2208" s="1" t="n">
        <v>45792</v>
      </c>
      <c r="D2208" t="inlineStr">
        <is>
          <t>UPPSALA LÄN</t>
        </is>
      </c>
      <c r="E2208" t="inlineStr">
        <is>
          <t>KNIVSTA</t>
        </is>
      </c>
      <c r="G2208" t="n">
        <v>14.1</v>
      </c>
      <c r="H2208" t="n">
        <v>0</v>
      </c>
      <c r="I2208" t="n">
        <v>0</v>
      </c>
      <c r="J2208" t="n">
        <v>0</v>
      </c>
      <c r="K2208" t="n">
        <v>0</v>
      </c>
      <c r="L2208" t="n">
        <v>0</v>
      </c>
      <c r="M2208" t="n">
        <v>0</v>
      </c>
      <c r="N2208" t="n">
        <v>0</v>
      </c>
      <c r="O2208" t="n">
        <v>0</v>
      </c>
      <c r="P2208" t="n">
        <v>0</v>
      </c>
      <c r="Q2208" t="n">
        <v>0</v>
      </c>
      <c r="R2208" s="2" t="inlineStr"/>
    </row>
    <row r="2209" ht="15" customHeight="1">
      <c r="A2209" t="inlineStr">
        <is>
          <t>A 66284-2021</t>
        </is>
      </c>
      <c r="B2209" s="1" t="n">
        <v>44518</v>
      </c>
      <c r="C2209" s="1" t="n">
        <v>45792</v>
      </c>
      <c r="D2209" t="inlineStr">
        <is>
          <t>UPPSALA LÄN</t>
        </is>
      </c>
      <c r="E2209" t="inlineStr">
        <is>
          <t>KNIVSTA</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66293-2021</t>
        </is>
      </c>
      <c r="B2210" s="1" t="n">
        <v>44518</v>
      </c>
      <c r="C2210" s="1" t="n">
        <v>45792</v>
      </c>
      <c r="D2210" t="inlineStr">
        <is>
          <t>UPPSALA LÄN</t>
        </is>
      </c>
      <c r="E2210" t="inlineStr">
        <is>
          <t>KNIVSTA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66336-2021</t>
        </is>
      </c>
      <c r="B2211" s="1" t="n">
        <v>44518</v>
      </c>
      <c r="C2211" s="1" t="n">
        <v>45792</v>
      </c>
      <c r="D2211" t="inlineStr">
        <is>
          <t>UPPSALA LÄN</t>
        </is>
      </c>
      <c r="E2211" t="inlineStr">
        <is>
          <t>KNIVSTA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66305-2021</t>
        </is>
      </c>
      <c r="B2212" s="1" t="n">
        <v>44518</v>
      </c>
      <c r="C2212" s="1" t="n">
        <v>45792</v>
      </c>
      <c r="D2212" t="inlineStr">
        <is>
          <t>UPPSALA LÄN</t>
        </is>
      </c>
      <c r="E2212" t="inlineStr">
        <is>
          <t>KNIVSTA</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66519-2021</t>
        </is>
      </c>
      <c r="B2213" s="1" t="n">
        <v>44519</v>
      </c>
      <c r="C2213" s="1" t="n">
        <v>45792</v>
      </c>
      <c r="D2213" t="inlineStr">
        <is>
          <t>UPPSALA LÄN</t>
        </is>
      </c>
      <c r="E2213" t="inlineStr">
        <is>
          <t>HEBY</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66549-2021</t>
        </is>
      </c>
      <c r="B2214" s="1" t="n">
        <v>44519</v>
      </c>
      <c r="C2214" s="1" t="n">
        <v>45792</v>
      </c>
      <c r="D2214" t="inlineStr">
        <is>
          <t>UPPSALA LÄN</t>
        </is>
      </c>
      <c r="E2214" t="inlineStr">
        <is>
          <t>ÖSTHAMMAR</t>
        </is>
      </c>
      <c r="F2214" t="inlineStr">
        <is>
          <t>Bergvik skog öst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66517-2021</t>
        </is>
      </c>
      <c r="B2215" s="1" t="n">
        <v>44519</v>
      </c>
      <c r="C2215" s="1" t="n">
        <v>45792</v>
      </c>
      <c r="D2215" t="inlineStr">
        <is>
          <t>UPPSALA LÄN</t>
        </is>
      </c>
      <c r="E2215" t="inlineStr">
        <is>
          <t>HEBY</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66521-2021</t>
        </is>
      </c>
      <c r="B2216" s="1" t="n">
        <v>44519</v>
      </c>
      <c r="C2216" s="1" t="n">
        <v>45792</v>
      </c>
      <c r="D2216" t="inlineStr">
        <is>
          <t>UPPSALA LÄN</t>
        </is>
      </c>
      <c r="E2216" t="inlineStr">
        <is>
          <t>HEBY</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66690-2021</t>
        </is>
      </c>
      <c r="B2217" s="1" t="n">
        <v>44519</v>
      </c>
      <c r="C2217" s="1" t="n">
        <v>45792</v>
      </c>
      <c r="D2217" t="inlineStr">
        <is>
          <t>UPPSALA LÄN</t>
        </is>
      </c>
      <c r="E2217" t="inlineStr">
        <is>
          <t>UPPSALA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66686-2021</t>
        </is>
      </c>
      <c r="B2218" s="1" t="n">
        <v>44519</v>
      </c>
      <c r="C2218" s="1" t="n">
        <v>45792</v>
      </c>
      <c r="D2218" t="inlineStr">
        <is>
          <t>UPPSALA LÄN</t>
        </is>
      </c>
      <c r="E2218" t="inlineStr">
        <is>
          <t>UPPSALA</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66818-2021</t>
        </is>
      </c>
      <c r="B2219" s="1" t="n">
        <v>44522</v>
      </c>
      <c r="C2219" s="1" t="n">
        <v>45792</v>
      </c>
      <c r="D2219" t="inlineStr">
        <is>
          <t>UPPSALA LÄN</t>
        </is>
      </c>
      <c r="E2219" t="inlineStr">
        <is>
          <t>HEBY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66873-2021</t>
        </is>
      </c>
      <c r="B2220" s="1" t="n">
        <v>44522</v>
      </c>
      <c r="C2220" s="1" t="n">
        <v>45792</v>
      </c>
      <c r="D2220" t="inlineStr">
        <is>
          <t>UPPSALA LÄN</t>
        </is>
      </c>
      <c r="E2220" t="inlineStr">
        <is>
          <t>HEBY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66779-2021</t>
        </is>
      </c>
      <c r="B2221" s="1" t="n">
        <v>44522</v>
      </c>
      <c r="C2221" s="1" t="n">
        <v>45792</v>
      </c>
      <c r="D2221" t="inlineStr">
        <is>
          <t>UPPSALA LÄN</t>
        </is>
      </c>
      <c r="E2221" t="inlineStr">
        <is>
          <t>ÖSTHAMMAR</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66794-2021</t>
        </is>
      </c>
      <c r="B2222" s="1" t="n">
        <v>44522</v>
      </c>
      <c r="C2222" s="1" t="n">
        <v>45792</v>
      </c>
      <c r="D2222" t="inlineStr">
        <is>
          <t>UPPSALA LÄN</t>
        </is>
      </c>
      <c r="E2222" t="inlineStr">
        <is>
          <t>UPPSALA</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66927-2021</t>
        </is>
      </c>
      <c r="B2223" s="1" t="n">
        <v>44522</v>
      </c>
      <c r="C2223" s="1" t="n">
        <v>45792</v>
      </c>
      <c r="D2223" t="inlineStr">
        <is>
          <t>UPPSALA LÄN</t>
        </is>
      </c>
      <c r="E2223" t="inlineStr">
        <is>
          <t>UPPSALA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66983-2021</t>
        </is>
      </c>
      <c r="B2224" s="1" t="n">
        <v>44522</v>
      </c>
      <c r="C2224" s="1" t="n">
        <v>45792</v>
      </c>
      <c r="D2224" t="inlineStr">
        <is>
          <t>UPPSALA LÄN</t>
        </is>
      </c>
      <c r="E2224" t="inlineStr">
        <is>
          <t>UPPSALA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67005-2021</t>
        </is>
      </c>
      <c r="B2225" s="1" t="n">
        <v>44522</v>
      </c>
      <c r="C2225" s="1" t="n">
        <v>45792</v>
      </c>
      <c r="D2225" t="inlineStr">
        <is>
          <t>UPPSALA LÄN</t>
        </is>
      </c>
      <c r="E2225" t="inlineStr">
        <is>
          <t>HÅBO</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67033-2021</t>
        </is>
      </c>
      <c r="B2226" s="1" t="n">
        <v>44522</v>
      </c>
      <c r="C2226" s="1" t="n">
        <v>45792</v>
      </c>
      <c r="D2226" t="inlineStr">
        <is>
          <t>UPPSALA LÄN</t>
        </is>
      </c>
      <c r="E2226" t="inlineStr">
        <is>
          <t>ÖSTHAMMAR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67030-2021</t>
        </is>
      </c>
      <c r="B2227" s="1" t="n">
        <v>44522</v>
      </c>
      <c r="C2227" s="1" t="n">
        <v>45792</v>
      </c>
      <c r="D2227" t="inlineStr">
        <is>
          <t>UPPSALA LÄN</t>
        </is>
      </c>
      <c r="E2227" t="inlineStr">
        <is>
          <t>ÖSTHAMMAR</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67151-2021</t>
        </is>
      </c>
      <c r="B2228" s="1" t="n">
        <v>44523</v>
      </c>
      <c r="C2228" s="1" t="n">
        <v>45792</v>
      </c>
      <c r="D2228" t="inlineStr">
        <is>
          <t>UPPSALA LÄN</t>
        </is>
      </c>
      <c r="E2228" t="inlineStr">
        <is>
          <t>ÖSTHAMMAR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67199-2021</t>
        </is>
      </c>
      <c r="B2229" s="1" t="n">
        <v>44523</v>
      </c>
      <c r="C2229" s="1" t="n">
        <v>45792</v>
      </c>
      <c r="D2229" t="inlineStr">
        <is>
          <t>UPPSALA LÄN</t>
        </is>
      </c>
      <c r="E2229" t="inlineStr">
        <is>
          <t>ÖSTHAMMAR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67217-2021</t>
        </is>
      </c>
      <c r="B2230" s="1" t="n">
        <v>44523</v>
      </c>
      <c r="C2230" s="1" t="n">
        <v>45792</v>
      </c>
      <c r="D2230" t="inlineStr">
        <is>
          <t>UPPSALA LÄN</t>
        </is>
      </c>
      <c r="E2230" t="inlineStr">
        <is>
          <t>ÖSTHAMMAR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67664-2021</t>
        </is>
      </c>
      <c r="B2231" s="1" t="n">
        <v>44524</v>
      </c>
      <c r="C2231" s="1" t="n">
        <v>45792</v>
      </c>
      <c r="D2231" t="inlineStr">
        <is>
          <t>UPPSALA LÄN</t>
        </is>
      </c>
      <c r="E2231" t="inlineStr">
        <is>
          <t>HEBY</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67859-2021</t>
        </is>
      </c>
      <c r="B2232" s="1" t="n">
        <v>44525</v>
      </c>
      <c r="C2232" s="1" t="n">
        <v>45792</v>
      </c>
      <c r="D2232" t="inlineStr">
        <is>
          <t>UPPSALA LÄN</t>
        </is>
      </c>
      <c r="E2232" t="inlineStr">
        <is>
          <t>ÖSTHAMMAR</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67848-2021</t>
        </is>
      </c>
      <c r="B2233" s="1" t="n">
        <v>44525</v>
      </c>
      <c r="C2233" s="1" t="n">
        <v>45792</v>
      </c>
      <c r="D2233" t="inlineStr">
        <is>
          <t>UPPSALA LÄN</t>
        </is>
      </c>
      <c r="E2233" t="inlineStr">
        <is>
          <t>ÖSTHAMMAR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67982-2021</t>
        </is>
      </c>
      <c r="B2234" s="1" t="n">
        <v>44525</v>
      </c>
      <c r="C2234" s="1" t="n">
        <v>45792</v>
      </c>
      <c r="D2234" t="inlineStr">
        <is>
          <t>UPPSALA LÄN</t>
        </is>
      </c>
      <c r="E2234" t="inlineStr">
        <is>
          <t>ENKÖPING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67991-2021</t>
        </is>
      </c>
      <c r="B2235" s="1" t="n">
        <v>44525</v>
      </c>
      <c r="C2235" s="1" t="n">
        <v>45792</v>
      </c>
      <c r="D2235" t="inlineStr">
        <is>
          <t>UPPSALA LÄN</t>
        </is>
      </c>
      <c r="E2235" t="inlineStr">
        <is>
          <t>UPPSALA</t>
        </is>
      </c>
      <c r="F2235" t="inlineStr">
        <is>
          <t>Bergvik skog öst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67984-2021</t>
        </is>
      </c>
      <c r="B2236" s="1" t="n">
        <v>44525</v>
      </c>
      <c r="C2236" s="1" t="n">
        <v>45792</v>
      </c>
      <c r="D2236" t="inlineStr">
        <is>
          <t>UPPSALA LÄN</t>
        </is>
      </c>
      <c r="E2236" t="inlineStr">
        <is>
          <t>ENKÖPING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68236-2021</t>
        </is>
      </c>
      <c r="B2237" s="1" t="n">
        <v>44526</v>
      </c>
      <c r="C2237" s="1" t="n">
        <v>45792</v>
      </c>
      <c r="D2237" t="inlineStr">
        <is>
          <t>UPPSALA LÄN</t>
        </is>
      </c>
      <c r="E2237" t="inlineStr">
        <is>
          <t>HEBY</t>
        </is>
      </c>
      <c r="F2237" t="inlineStr">
        <is>
          <t>Bergvik skog öst AB</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68696-2021</t>
        </is>
      </c>
      <c r="B2238" s="1" t="n">
        <v>44526</v>
      </c>
      <c r="C2238" s="1" t="n">
        <v>45792</v>
      </c>
      <c r="D2238" t="inlineStr">
        <is>
          <t>UPPSALA LÄN</t>
        </is>
      </c>
      <c r="E2238" t="inlineStr">
        <is>
          <t>UPPSALA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68118-2021</t>
        </is>
      </c>
      <c r="B2239" s="1" t="n">
        <v>44526</v>
      </c>
      <c r="C2239" s="1" t="n">
        <v>45792</v>
      </c>
      <c r="D2239" t="inlineStr">
        <is>
          <t>UPPSALA LÄN</t>
        </is>
      </c>
      <c r="E2239" t="inlineStr">
        <is>
          <t>ENKÖPING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68127-2021</t>
        </is>
      </c>
      <c r="B2240" s="1" t="n">
        <v>44526</v>
      </c>
      <c r="C2240" s="1" t="n">
        <v>45792</v>
      </c>
      <c r="D2240" t="inlineStr">
        <is>
          <t>UPPSALA LÄN</t>
        </is>
      </c>
      <c r="E2240" t="inlineStr">
        <is>
          <t>ENKÖPING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68107-2021</t>
        </is>
      </c>
      <c r="B2241" s="1" t="n">
        <v>44526</v>
      </c>
      <c r="C2241" s="1" t="n">
        <v>45792</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68130-2021</t>
        </is>
      </c>
      <c r="B2242" s="1" t="n">
        <v>44526</v>
      </c>
      <c r="C2242" s="1" t="n">
        <v>45792</v>
      </c>
      <c r="D2242" t="inlineStr">
        <is>
          <t>UPPSALA LÄN</t>
        </is>
      </c>
      <c r="E2242" t="inlineStr">
        <is>
          <t>ENKÖPING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68123-2021</t>
        </is>
      </c>
      <c r="B2243" s="1" t="n">
        <v>44526</v>
      </c>
      <c r="C2243" s="1" t="n">
        <v>45792</v>
      </c>
      <c r="D2243" t="inlineStr">
        <is>
          <t>UPPSALA LÄN</t>
        </is>
      </c>
      <c r="E2243" t="inlineStr">
        <is>
          <t>ENKÖPING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68139-2021</t>
        </is>
      </c>
      <c r="B2244" s="1" t="n">
        <v>44526</v>
      </c>
      <c r="C2244" s="1" t="n">
        <v>45792</v>
      </c>
      <c r="D2244" t="inlineStr">
        <is>
          <t>UPPSALA LÄN</t>
        </is>
      </c>
      <c r="E2244" t="inlineStr">
        <is>
          <t>UPPSALA</t>
        </is>
      </c>
      <c r="F2244" t="inlineStr">
        <is>
          <t>Bergvik skog öst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68296-2021</t>
        </is>
      </c>
      <c r="B2245" s="1" t="n">
        <v>44526</v>
      </c>
      <c r="C2245" s="1" t="n">
        <v>45792</v>
      </c>
      <c r="D2245" t="inlineStr">
        <is>
          <t>UPPSALA LÄN</t>
        </is>
      </c>
      <c r="E2245" t="inlineStr">
        <is>
          <t>UPPSALA</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68520-2021</t>
        </is>
      </c>
      <c r="B2246" s="1" t="n">
        <v>44529</v>
      </c>
      <c r="C2246" s="1" t="n">
        <v>45792</v>
      </c>
      <c r="D2246" t="inlineStr">
        <is>
          <t>UPPSALA LÄN</t>
        </is>
      </c>
      <c r="E2246" t="inlineStr">
        <is>
          <t>HEBY</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68410-2021</t>
        </is>
      </c>
      <c r="B2247" s="1" t="n">
        <v>44529</v>
      </c>
      <c r="C2247" s="1" t="n">
        <v>45792</v>
      </c>
      <c r="D2247" t="inlineStr">
        <is>
          <t>UPPSALA LÄN</t>
        </is>
      </c>
      <c r="E2247" t="inlineStr">
        <is>
          <t>TIERP</t>
        </is>
      </c>
      <c r="F2247" t="inlineStr">
        <is>
          <t>Bergvik skog öst AB</t>
        </is>
      </c>
      <c r="G2247" t="n">
        <v>35.5</v>
      </c>
      <c r="H2247" t="n">
        <v>0</v>
      </c>
      <c r="I2247" t="n">
        <v>0</v>
      </c>
      <c r="J2247" t="n">
        <v>0</v>
      </c>
      <c r="K2247" t="n">
        <v>0</v>
      </c>
      <c r="L2247" t="n">
        <v>0</v>
      </c>
      <c r="M2247" t="n">
        <v>0</v>
      </c>
      <c r="N2247" t="n">
        <v>0</v>
      </c>
      <c r="O2247" t="n">
        <v>0</v>
      </c>
      <c r="P2247" t="n">
        <v>0</v>
      </c>
      <c r="Q2247" t="n">
        <v>0</v>
      </c>
      <c r="R2247" s="2" t="inlineStr"/>
    </row>
    <row r="2248" ht="15" customHeight="1">
      <c r="A2248" t="inlineStr">
        <is>
          <t>A 68585-2021</t>
        </is>
      </c>
      <c r="B2248" s="1" t="n">
        <v>44529</v>
      </c>
      <c r="C2248" s="1" t="n">
        <v>45792</v>
      </c>
      <c r="D2248" t="inlineStr">
        <is>
          <t>UPPSALA LÄN</t>
        </is>
      </c>
      <c r="E2248" t="inlineStr">
        <is>
          <t>HEBY</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69067-2021</t>
        </is>
      </c>
      <c r="B2249" s="1" t="n">
        <v>44530</v>
      </c>
      <c r="C2249" s="1" t="n">
        <v>45792</v>
      </c>
      <c r="D2249" t="inlineStr">
        <is>
          <t>UPPSALA LÄN</t>
        </is>
      </c>
      <c r="E2249" t="inlineStr">
        <is>
          <t>UPPSALA</t>
        </is>
      </c>
      <c r="F2249" t="inlineStr">
        <is>
          <t>Holmen skog AB</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69432-2021</t>
        </is>
      </c>
      <c r="B2250" s="1" t="n">
        <v>44531</v>
      </c>
      <c r="C2250" s="1" t="n">
        <v>45792</v>
      </c>
      <c r="D2250" t="inlineStr">
        <is>
          <t>UPPSALA LÄN</t>
        </is>
      </c>
      <c r="E2250" t="inlineStr">
        <is>
          <t>UPPSALA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69344-2021</t>
        </is>
      </c>
      <c r="B2251" s="1" t="n">
        <v>44531</v>
      </c>
      <c r="C2251" s="1" t="n">
        <v>45792</v>
      </c>
      <c r="D2251" t="inlineStr">
        <is>
          <t>UPPSALA LÄN</t>
        </is>
      </c>
      <c r="E2251" t="inlineStr">
        <is>
          <t>ENKÖPING</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69214-2021</t>
        </is>
      </c>
      <c r="B2252" s="1" t="n">
        <v>44531</v>
      </c>
      <c r="C2252" s="1" t="n">
        <v>45792</v>
      </c>
      <c r="D2252" t="inlineStr">
        <is>
          <t>UPPSALA LÄN</t>
        </is>
      </c>
      <c r="E2252" t="inlineStr">
        <is>
          <t>UPPSALA</t>
        </is>
      </c>
      <c r="F2252" t="inlineStr">
        <is>
          <t>Bergvik skog öst AB</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69377-2021</t>
        </is>
      </c>
      <c r="B2253" s="1" t="n">
        <v>44531</v>
      </c>
      <c r="C2253" s="1" t="n">
        <v>45792</v>
      </c>
      <c r="D2253" t="inlineStr">
        <is>
          <t>UPPSALA LÄN</t>
        </is>
      </c>
      <c r="E2253" t="inlineStr">
        <is>
          <t>HEBY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69397-2021</t>
        </is>
      </c>
      <c r="B2254" s="1" t="n">
        <v>44531</v>
      </c>
      <c r="C2254" s="1" t="n">
        <v>45792</v>
      </c>
      <c r="D2254" t="inlineStr">
        <is>
          <t>UPPSALA LÄN</t>
        </is>
      </c>
      <c r="E2254" t="inlineStr">
        <is>
          <t>UPPSALA</t>
        </is>
      </c>
      <c r="F2254" t="inlineStr">
        <is>
          <t>Bergvik skog öst AB</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69436-2021</t>
        </is>
      </c>
      <c r="B2255" s="1" t="n">
        <v>44531</v>
      </c>
      <c r="C2255" s="1" t="n">
        <v>45792</v>
      </c>
      <c r="D2255" t="inlineStr">
        <is>
          <t>UPPSALA LÄN</t>
        </is>
      </c>
      <c r="E2255" t="inlineStr">
        <is>
          <t>UPPSALA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69505-2021</t>
        </is>
      </c>
      <c r="B2256" s="1" t="n">
        <v>44531</v>
      </c>
      <c r="C2256" s="1" t="n">
        <v>45792</v>
      </c>
      <c r="D2256" t="inlineStr">
        <is>
          <t>UPPSALA LÄN</t>
        </is>
      </c>
      <c r="E2256" t="inlineStr">
        <is>
          <t>ÖSTHAMMAR</t>
        </is>
      </c>
      <c r="F2256" t="inlineStr">
        <is>
          <t>Bergvik skog öst AB</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69411-2021</t>
        </is>
      </c>
      <c r="B2257" s="1" t="n">
        <v>44531</v>
      </c>
      <c r="C2257" s="1" t="n">
        <v>45792</v>
      </c>
      <c r="D2257" t="inlineStr">
        <is>
          <t>UPPSALA LÄN</t>
        </is>
      </c>
      <c r="E2257" t="inlineStr">
        <is>
          <t>ÖSTHAMMAR</t>
        </is>
      </c>
      <c r="F2257" t="inlineStr">
        <is>
          <t>Bergvik skog öst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69439-2021</t>
        </is>
      </c>
      <c r="B2258" s="1" t="n">
        <v>44531</v>
      </c>
      <c r="C2258" s="1" t="n">
        <v>45792</v>
      </c>
      <c r="D2258" t="inlineStr">
        <is>
          <t>UPPSALA LÄN</t>
        </is>
      </c>
      <c r="E2258" t="inlineStr">
        <is>
          <t>UPPSALA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69518-2021</t>
        </is>
      </c>
      <c r="B2259" s="1" t="n">
        <v>44531</v>
      </c>
      <c r="C2259" s="1" t="n">
        <v>45792</v>
      </c>
      <c r="D2259" t="inlineStr">
        <is>
          <t>UPPSALA LÄN</t>
        </is>
      </c>
      <c r="E2259" t="inlineStr">
        <is>
          <t>ÖSTHAMMAR</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69595-2021</t>
        </is>
      </c>
      <c r="B2260" s="1" t="n">
        <v>44532</v>
      </c>
      <c r="C2260" s="1" t="n">
        <v>45792</v>
      </c>
      <c r="D2260" t="inlineStr">
        <is>
          <t>UPPSALA LÄN</t>
        </is>
      </c>
      <c r="E2260" t="inlineStr">
        <is>
          <t>UPPSALA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69698-2021</t>
        </is>
      </c>
      <c r="B2261" s="1" t="n">
        <v>44532</v>
      </c>
      <c r="C2261" s="1" t="n">
        <v>45792</v>
      </c>
      <c r="D2261" t="inlineStr">
        <is>
          <t>UPPSALA LÄN</t>
        </is>
      </c>
      <c r="E2261" t="inlineStr">
        <is>
          <t>UPPSALA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69691-2021</t>
        </is>
      </c>
      <c r="B2262" s="1" t="n">
        <v>44532</v>
      </c>
      <c r="C2262" s="1" t="n">
        <v>45792</v>
      </c>
      <c r="D2262" t="inlineStr">
        <is>
          <t>UPPSALA LÄN</t>
        </is>
      </c>
      <c r="E2262" t="inlineStr">
        <is>
          <t>UPPSALA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69597-2021</t>
        </is>
      </c>
      <c r="B2263" s="1" t="n">
        <v>44532</v>
      </c>
      <c r="C2263" s="1" t="n">
        <v>45792</v>
      </c>
      <c r="D2263" t="inlineStr">
        <is>
          <t>UPPSALA LÄN</t>
        </is>
      </c>
      <c r="E2263" t="inlineStr">
        <is>
          <t>HEBY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69791-2021</t>
        </is>
      </c>
      <c r="B2264" s="1" t="n">
        <v>44532</v>
      </c>
      <c r="C2264" s="1" t="n">
        <v>45792</v>
      </c>
      <c r="D2264" t="inlineStr">
        <is>
          <t>UPPSALA LÄN</t>
        </is>
      </c>
      <c r="E2264" t="inlineStr">
        <is>
          <t>ENKÖPING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69794-2021</t>
        </is>
      </c>
      <c r="B2265" s="1" t="n">
        <v>44532</v>
      </c>
      <c r="C2265" s="1" t="n">
        <v>45792</v>
      </c>
      <c r="D2265" t="inlineStr">
        <is>
          <t>UPPSALA LÄN</t>
        </is>
      </c>
      <c r="E2265" t="inlineStr">
        <is>
          <t>ENKÖPING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69841-2021</t>
        </is>
      </c>
      <c r="B2266" s="1" t="n">
        <v>44532</v>
      </c>
      <c r="C2266" s="1" t="n">
        <v>45792</v>
      </c>
      <c r="D2266" t="inlineStr">
        <is>
          <t>UPPSALA LÄN</t>
        </is>
      </c>
      <c r="E2266" t="inlineStr">
        <is>
          <t>TIERP</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69879-2021</t>
        </is>
      </c>
      <c r="B2267" s="1" t="n">
        <v>44532</v>
      </c>
      <c r="C2267" s="1" t="n">
        <v>45792</v>
      </c>
      <c r="D2267" t="inlineStr">
        <is>
          <t>UPPSALA LÄN</t>
        </is>
      </c>
      <c r="E2267" t="inlineStr">
        <is>
          <t>ENKÖPING</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70158-2021</t>
        </is>
      </c>
      <c r="B2268" s="1" t="n">
        <v>44533</v>
      </c>
      <c r="C2268" s="1" t="n">
        <v>45792</v>
      </c>
      <c r="D2268" t="inlineStr">
        <is>
          <t>UPPSALA LÄN</t>
        </is>
      </c>
      <c r="E2268" t="inlineStr">
        <is>
          <t>HEBY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70154-2021</t>
        </is>
      </c>
      <c r="B2269" s="1" t="n">
        <v>44533</v>
      </c>
      <c r="C2269" s="1" t="n">
        <v>45792</v>
      </c>
      <c r="D2269" t="inlineStr">
        <is>
          <t>UPPSALA LÄN</t>
        </is>
      </c>
      <c r="E2269" t="inlineStr">
        <is>
          <t>HEBY</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70032-2021</t>
        </is>
      </c>
      <c r="B2270" s="1" t="n">
        <v>44533</v>
      </c>
      <c r="C2270" s="1" t="n">
        <v>45792</v>
      </c>
      <c r="D2270" t="inlineStr">
        <is>
          <t>UPPSALA LÄN</t>
        </is>
      </c>
      <c r="E2270" t="inlineStr">
        <is>
          <t>UPPSALA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70031-2021</t>
        </is>
      </c>
      <c r="B2271" s="1" t="n">
        <v>44533</v>
      </c>
      <c r="C2271" s="1" t="n">
        <v>45792</v>
      </c>
      <c r="D2271" t="inlineStr">
        <is>
          <t>UPPSALA LÄN</t>
        </is>
      </c>
      <c r="E2271" t="inlineStr">
        <is>
          <t>UPPSALA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70008-2021</t>
        </is>
      </c>
      <c r="B2272" s="1" t="n">
        <v>44533</v>
      </c>
      <c r="C2272" s="1" t="n">
        <v>45792</v>
      </c>
      <c r="D2272" t="inlineStr">
        <is>
          <t>UPPSALA LÄN</t>
        </is>
      </c>
      <c r="E2272" t="inlineStr">
        <is>
          <t>ÖSTHAMMAR</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70359-2021</t>
        </is>
      </c>
      <c r="B2273" s="1" t="n">
        <v>44535</v>
      </c>
      <c r="C2273" s="1" t="n">
        <v>45792</v>
      </c>
      <c r="D2273" t="inlineStr">
        <is>
          <t>UPPSALA LÄN</t>
        </is>
      </c>
      <c r="E2273" t="inlineStr">
        <is>
          <t>UPPSALA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70228-2021</t>
        </is>
      </c>
      <c r="B2274" s="1" t="n">
        <v>44535</v>
      </c>
      <c r="C2274" s="1" t="n">
        <v>45792</v>
      </c>
      <c r="D2274" t="inlineStr">
        <is>
          <t>UPPSALA LÄN</t>
        </is>
      </c>
      <c r="E2274" t="inlineStr">
        <is>
          <t>UPPSALA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70408-2021</t>
        </is>
      </c>
      <c r="B2275" s="1" t="n">
        <v>44536</v>
      </c>
      <c r="C2275" s="1" t="n">
        <v>45792</v>
      </c>
      <c r="D2275" t="inlineStr">
        <is>
          <t>UPPSALA LÄN</t>
        </is>
      </c>
      <c r="E2275" t="inlineStr">
        <is>
          <t>ÖSTHAMMAR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70700-2021</t>
        </is>
      </c>
      <c r="B2276" s="1" t="n">
        <v>44537</v>
      </c>
      <c r="C2276" s="1" t="n">
        <v>45792</v>
      </c>
      <c r="D2276" t="inlineStr">
        <is>
          <t>UPPSALA LÄN</t>
        </is>
      </c>
      <c r="E2276" t="inlineStr">
        <is>
          <t>KNIVSTA</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70996-2021</t>
        </is>
      </c>
      <c r="B2277" s="1" t="n">
        <v>44538</v>
      </c>
      <c r="C2277" s="1" t="n">
        <v>45792</v>
      </c>
      <c r="D2277" t="inlineStr">
        <is>
          <t>UPPSALA LÄN</t>
        </is>
      </c>
      <c r="E2277" t="inlineStr">
        <is>
          <t>UPPSALA</t>
        </is>
      </c>
      <c r="F2277" t="inlineStr">
        <is>
          <t>Bergvik skog öst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70976-2021</t>
        </is>
      </c>
      <c r="B2278" s="1" t="n">
        <v>44538</v>
      </c>
      <c r="C2278" s="1" t="n">
        <v>45792</v>
      </c>
      <c r="D2278" t="inlineStr">
        <is>
          <t>UPPSALA LÄN</t>
        </is>
      </c>
      <c r="E2278" t="inlineStr">
        <is>
          <t>HEBY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71563-2021</t>
        </is>
      </c>
      <c r="B2279" s="1" t="n">
        <v>44540</v>
      </c>
      <c r="C2279" s="1" t="n">
        <v>45792</v>
      </c>
      <c r="D2279" t="inlineStr">
        <is>
          <t>UPPSALA LÄN</t>
        </is>
      </c>
      <c r="E2279" t="inlineStr">
        <is>
          <t>UPPSALA</t>
        </is>
      </c>
      <c r="F2279" t="inlineStr">
        <is>
          <t>Allmännings- och besparingsskogar</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71641-2021</t>
        </is>
      </c>
      <c r="B2280" s="1" t="n">
        <v>44543</v>
      </c>
      <c r="C2280" s="1" t="n">
        <v>45792</v>
      </c>
      <c r="D2280" t="inlineStr">
        <is>
          <t>UPPSALA LÄN</t>
        </is>
      </c>
      <c r="E2280" t="inlineStr">
        <is>
          <t>ENKÖPING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71675-2021</t>
        </is>
      </c>
      <c r="B2281" s="1" t="n">
        <v>44543</v>
      </c>
      <c r="C2281" s="1" t="n">
        <v>45792</v>
      </c>
      <c r="D2281" t="inlineStr">
        <is>
          <t>UPPSALA LÄN</t>
        </is>
      </c>
      <c r="E2281" t="inlineStr">
        <is>
          <t>UPPSALA</t>
        </is>
      </c>
      <c r="F2281" t="inlineStr">
        <is>
          <t>Bergvik skog öst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71774-2021</t>
        </is>
      </c>
      <c r="B2282" s="1" t="n">
        <v>44543</v>
      </c>
      <c r="C2282" s="1" t="n">
        <v>45792</v>
      </c>
      <c r="D2282" t="inlineStr">
        <is>
          <t>UPPSALA LÄN</t>
        </is>
      </c>
      <c r="E2282" t="inlineStr">
        <is>
          <t>TIERP</t>
        </is>
      </c>
      <c r="G2282" t="n">
        <v>12.9</v>
      </c>
      <c r="H2282" t="n">
        <v>0</v>
      </c>
      <c r="I2282" t="n">
        <v>0</v>
      </c>
      <c r="J2282" t="n">
        <v>0</v>
      </c>
      <c r="K2282" t="n">
        <v>0</v>
      </c>
      <c r="L2282" t="n">
        <v>0</v>
      </c>
      <c r="M2282" t="n">
        <v>0</v>
      </c>
      <c r="N2282" t="n">
        <v>0</v>
      </c>
      <c r="O2282" t="n">
        <v>0</v>
      </c>
      <c r="P2282" t="n">
        <v>0</v>
      </c>
      <c r="Q2282" t="n">
        <v>0</v>
      </c>
      <c r="R2282" s="2" t="inlineStr"/>
    </row>
    <row r="2283" ht="15" customHeight="1">
      <c r="A2283" t="inlineStr">
        <is>
          <t>A 71643-2021</t>
        </is>
      </c>
      <c r="B2283" s="1" t="n">
        <v>44543</v>
      </c>
      <c r="C2283" s="1" t="n">
        <v>45792</v>
      </c>
      <c r="D2283" t="inlineStr">
        <is>
          <t>UPPSALA LÄN</t>
        </is>
      </c>
      <c r="E2283" t="inlineStr">
        <is>
          <t>UPPSALA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71671-2021</t>
        </is>
      </c>
      <c r="B2284" s="1" t="n">
        <v>44543</v>
      </c>
      <c r="C2284" s="1" t="n">
        <v>45792</v>
      </c>
      <c r="D2284" t="inlineStr">
        <is>
          <t>UPPSALA LÄN</t>
        </is>
      </c>
      <c r="E2284" t="inlineStr">
        <is>
          <t>UPPSALA</t>
        </is>
      </c>
      <c r="F2284" t="inlineStr">
        <is>
          <t>Bergvik skog öst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72180-2021</t>
        </is>
      </c>
      <c r="B2285" s="1" t="n">
        <v>44543</v>
      </c>
      <c r="C2285" s="1" t="n">
        <v>45792</v>
      </c>
      <c r="D2285" t="inlineStr">
        <is>
          <t>UPPSALA LÄN</t>
        </is>
      </c>
      <c r="E2285" t="inlineStr">
        <is>
          <t>HEBY</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72179-2021</t>
        </is>
      </c>
      <c r="B2286" s="1" t="n">
        <v>44544</v>
      </c>
      <c r="C2286" s="1" t="n">
        <v>45792</v>
      </c>
      <c r="D2286" t="inlineStr">
        <is>
          <t>UPPSALA LÄN</t>
        </is>
      </c>
      <c r="E2286" t="inlineStr">
        <is>
          <t>HEBY</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72225-2021</t>
        </is>
      </c>
      <c r="B2287" s="1" t="n">
        <v>44544</v>
      </c>
      <c r="C2287" s="1" t="n">
        <v>45792</v>
      </c>
      <c r="D2287" t="inlineStr">
        <is>
          <t>UPPSALA LÄN</t>
        </is>
      </c>
      <c r="E2287" t="inlineStr">
        <is>
          <t>UPPSALA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72224-2021</t>
        </is>
      </c>
      <c r="B2288" s="1" t="n">
        <v>44544</v>
      </c>
      <c r="C2288" s="1" t="n">
        <v>45792</v>
      </c>
      <c r="D2288" t="inlineStr">
        <is>
          <t>UPPSALA LÄN</t>
        </is>
      </c>
      <c r="E2288" t="inlineStr">
        <is>
          <t>UPPSALA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72260-2021</t>
        </is>
      </c>
      <c r="B2289" s="1" t="n">
        <v>44545</v>
      </c>
      <c r="C2289" s="1" t="n">
        <v>45792</v>
      </c>
      <c r="D2289" t="inlineStr">
        <is>
          <t>UPPSALA LÄN</t>
        </is>
      </c>
      <c r="E2289" t="inlineStr">
        <is>
          <t>HEBY</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72471-2021</t>
        </is>
      </c>
      <c r="B2290" s="1" t="n">
        <v>44545</v>
      </c>
      <c r="C2290" s="1" t="n">
        <v>45792</v>
      </c>
      <c r="D2290" t="inlineStr">
        <is>
          <t>UPPSALA LÄN</t>
        </is>
      </c>
      <c r="E2290" t="inlineStr">
        <is>
          <t>KNIVSTA</t>
        </is>
      </c>
      <c r="F2290" t="inlineStr">
        <is>
          <t>Holmen skog AB</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72627-2021</t>
        </is>
      </c>
      <c r="B2291" s="1" t="n">
        <v>44546</v>
      </c>
      <c r="C2291" s="1" t="n">
        <v>45792</v>
      </c>
      <c r="D2291" t="inlineStr">
        <is>
          <t>UPPSALA LÄN</t>
        </is>
      </c>
      <c r="E2291" t="inlineStr">
        <is>
          <t>ÖSTHAMMAR</t>
        </is>
      </c>
      <c r="F2291" t="inlineStr">
        <is>
          <t>Bergvik skog öst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72628-2021</t>
        </is>
      </c>
      <c r="B2292" s="1" t="n">
        <v>44546</v>
      </c>
      <c r="C2292" s="1" t="n">
        <v>45792</v>
      </c>
      <c r="D2292" t="inlineStr">
        <is>
          <t>UPPSALA LÄN</t>
        </is>
      </c>
      <c r="E2292" t="inlineStr">
        <is>
          <t>ENKÖPING</t>
        </is>
      </c>
      <c r="F2292" t="inlineStr">
        <is>
          <t>Allmännings- och besparingsskogar</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72637-2021</t>
        </is>
      </c>
      <c r="B2293" s="1" t="n">
        <v>44546</v>
      </c>
      <c r="C2293" s="1" t="n">
        <v>45792</v>
      </c>
      <c r="D2293" t="inlineStr">
        <is>
          <t>UPPSALA LÄN</t>
        </is>
      </c>
      <c r="E2293" t="inlineStr">
        <is>
          <t>ÖSTHAMMAR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72914-2021</t>
        </is>
      </c>
      <c r="B2294" s="1" t="n">
        <v>44547</v>
      </c>
      <c r="C2294" s="1" t="n">
        <v>45792</v>
      </c>
      <c r="D2294" t="inlineStr">
        <is>
          <t>UPPSALA LÄN</t>
        </is>
      </c>
      <c r="E2294" t="inlineStr">
        <is>
          <t>TIERP</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72883-2021</t>
        </is>
      </c>
      <c r="B2295" s="1" t="n">
        <v>44547</v>
      </c>
      <c r="C2295" s="1" t="n">
        <v>45792</v>
      </c>
      <c r="D2295" t="inlineStr">
        <is>
          <t>UPPSALA LÄN</t>
        </is>
      </c>
      <c r="E2295" t="inlineStr">
        <is>
          <t>KNIVSTA</t>
        </is>
      </c>
      <c r="F2295" t="inlineStr">
        <is>
          <t>Holmen skog AB</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72840-2021</t>
        </is>
      </c>
      <c r="B2296" s="1" t="n">
        <v>44547</v>
      </c>
      <c r="C2296" s="1" t="n">
        <v>45792</v>
      </c>
      <c r="D2296" t="inlineStr">
        <is>
          <t>UPPSALA LÄN</t>
        </is>
      </c>
      <c r="E2296" t="inlineStr">
        <is>
          <t>ENKÖPING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72885-2021</t>
        </is>
      </c>
      <c r="B2297" s="1" t="n">
        <v>44547</v>
      </c>
      <c r="C2297" s="1" t="n">
        <v>45792</v>
      </c>
      <c r="D2297" t="inlineStr">
        <is>
          <t>UPPSALA LÄN</t>
        </is>
      </c>
      <c r="E2297" t="inlineStr">
        <is>
          <t>KNIVSTA</t>
        </is>
      </c>
      <c r="F2297" t="inlineStr">
        <is>
          <t>Holmen skog AB</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72969-2021</t>
        </is>
      </c>
      <c r="B2298" s="1" t="n">
        <v>44548</v>
      </c>
      <c r="C2298" s="1" t="n">
        <v>45792</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72967-2021</t>
        </is>
      </c>
      <c r="B2299" s="1" t="n">
        <v>44548</v>
      </c>
      <c r="C2299" s="1" t="n">
        <v>45792</v>
      </c>
      <c r="D2299" t="inlineStr">
        <is>
          <t>UPPSALA LÄN</t>
        </is>
      </c>
      <c r="E2299" t="inlineStr">
        <is>
          <t>KNIVSTA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72973-2021</t>
        </is>
      </c>
      <c r="B2300" s="1" t="n">
        <v>44548</v>
      </c>
      <c r="C2300" s="1" t="n">
        <v>45792</v>
      </c>
      <c r="D2300" t="inlineStr">
        <is>
          <t>UPPSALA LÄN</t>
        </is>
      </c>
      <c r="E2300" t="inlineStr">
        <is>
          <t>UPPSALA</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73326-2021</t>
        </is>
      </c>
      <c r="B2301" s="1" t="n">
        <v>44548</v>
      </c>
      <c r="C2301" s="1" t="n">
        <v>45792</v>
      </c>
      <c r="D2301" t="inlineStr">
        <is>
          <t>UPPSALA LÄN</t>
        </is>
      </c>
      <c r="E2301" t="inlineStr">
        <is>
          <t>UPPSALA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72975-2021</t>
        </is>
      </c>
      <c r="B2302" s="1" t="n">
        <v>44548</v>
      </c>
      <c r="C2302" s="1" t="n">
        <v>45792</v>
      </c>
      <c r="D2302" t="inlineStr">
        <is>
          <t>UPPSALA LÄN</t>
        </is>
      </c>
      <c r="E2302" t="inlineStr">
        <is>
          <t>TIERP</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72966-2021</t>
        </is>
      </c>
      <c r="B2303" s="1" t="n">
        <v>44548</v>
      </c>
      <c r="C2303" s="1" t="n">
        <v>45792</v>
      </c>
      <c r="D2303" t="inlineStr">
        <is>
          <t>UPPSALA LÄN</t>
        </is>
      </c>
      <c r="E2303" t="inlineStr">
        <is>
          <t>KNIVSTA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73044-2021</t>
        </is>
      </c>
      <c r="B2304" s="1" t="n">
        <v>44550</v>
      </c>
      <c r="C2304" s="1" t="n">
        <v>45792</v>
      </c>
      <c r="D2304" t="inlineStr">
        <is>
          <t>UPPSALA LÄN</t>
        </is>
      </c>
      <c r="E2304" t="inlineStr">
        <is>
          <t>UPPSALA</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73238-2021</t>
        </is>
      </c>
      <c r="B2305" s="1" t="n">
        <v>44550</v>
      </c>
      <c r="C2305" s="1" t="n">
        <v>45792</v>
      </c>
      <c r="D2305" t="inlineStr">
        <is>
          <t>UPPSALA LÄN</t>
        </is>
      </c>
      <c r="E2305" t="inlineStr">
        <is>
          <t>HEBY</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73483-2021</t>
        </is>
      </c>
      <c r="B2306" s="1" t="n">
        <v>44550</v>
      </c>
      <c r="C2306" s="1" t="n">
        <v>45792</v>
      </c>
      <c r="D2306" t="inlineStr">
        <is>
          <t>UPPSALA LÄN</t>
        </is>
      </c>
      <c r="E2306" t="inlineStr">
        <is>
          <t>ÖSTHAMMAR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73385-2021</t>
        </is>
      </c>
      <c r="B2307" s="1" t="n">
        <v>44551</v>
      </c>
      <c r="C2307" s="1" t="n">
        <v>45792</v>
      </c>
      <c r="D2307" t="inlineStr">
        <is>
          <t>UPPSALA LÄN</t>
        </is>
      </c>
      <c r="E2307" t="inlineStr">
        <is>
          <t>HEBY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73468-2021</t>
        </is>
      </c>
      <c r="B2308" s="1" t="n">
        <v>44551</v>
      </c>
      <c r="C2308" s="1" t="n">
        <v>45792</v>
      </c>
      <c r="D2308" t="inlineStr">
        <is>
          <t>UPPSALA LÄN</t>
        </is>
      </c>
      <c r="E2308" t="inlineStr">
        <is>
          <t>UPPSALA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73518-2021</t>
        </is>
      </c>
      <c r="B2309" s="1" t="n">
        <v>44551</v>
      </c>
      <c r="C2309" s="1" t="n">
        <v>45792</v>
      </c>
      <c r="D2309" t="inlineStr">
        <is>
          <t>UPPSALA LÄN</t>
        </is>
      </c>
      <c r="E2309" t="inlineStr">
        <is>
          <t>UPPSALA</t>
        </is>
      </c>
      <c r="F2309" t="inlineStr">
        <is>
          <t>Holmen skog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73531-2021</t>
        </is>
      </c>
      <c r="B2310" s="1" t="n">
        <v>44551</v>
      </c>
      <c r="C2310" s="1" t="n">
        <v>45792</v>
      </c>
      <c r="D2310" t="inlineStr">
        <is>
          <t>UPPSALA LÄN</t>
        </is>
      </c>
      <c r="E2310" t="inlineStr">
        <is>
          <t>UPPSALA</t>
        </is>
      </c>
      <c r="F2310" t="inlineStr">
        <is>
          <t>Holmen skog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73622-2021</t>
        </is>
      </c>
      <c r="B2311" s="1" t="n">
        <v>44552</v>
      </c>
      <c r="C2311" s="1" t="n">
        <v>45792</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73592-2021</t>
        </is>
      </c>
      <c r="B2312" s="1" t="n">
        <v>44552</v>
      </c>
      <c r="C2312" s="1" t="n">
        <v>45792</v>
      </c>
      <c r="D2312" t="inlineStr">
        <is>
          <t>UPPSALA LÄN</t>
        </is>
      </c>
      <c r="E2312" t="inlineStr">
        <is>
          <t>ÖSTHAMMAR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73754-2021</t>
        </is>
      </c>
      <c r="B2313" s="1" t="n">
        <v>44552</v>
      </c>
      <c r="C2313" s="1" t="n">
        <v>45792</v>
      </c>
      <c r="D2313" t="inlineStr">
        <is>
          <t>UPPSALA LÄN</t>
        </is>
      </c>
      <c r="E2313" t="inlineStr">
        <is>
          <t>KNIVSTA</t>
        </is>
      </c>
      <c r="F2313" t="inlineStr">
        <is>
          <t>Holmen skog AB</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74019-2021</t>
        </is>
      </c>
      <c r="B2314" s="1" t="n">
        <v>44553</v>
      </c>
      <c r="C2314" s="1" t="n">
        <v>45792</v>
      </c>
      <c r="D2314" t="inlineStr">
        <is>
          <t>UPPSALA LÄN</t>
        </is>
      </c>
      <c r="E2314" t="inlineStr">
        <is>
          <t>UPPSALA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73965-2021</t>
        </is>
      </c>
      <c r="B2315" s="1" t="n">
        <v>44553</v>
      </c>
      <c r="C2315" s="1" t="n">
        <v>45792</v>
      </c>
      <c r="D2315" t="inlineStr">
        <is>
          <t>UPPSALA LÄN</t>
        </is>
      </c>
      <c r="E2315" t="inlineStr">
        <is>
          <t>ÖSTHAMMAR</t>
        </is>
      </c>
      <c r="F2315" t="inlineStr">
        <is>
          <t>Bergvik skog öst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74023-2021</t>
        </is>
      </c>
      <c r="B2316" s="1" t="n">
        <v>44553</v>
      </c>
      <c r="C2316" s="1" t="n">
        <v>45792</v>
      </c>
      <c r="D2316" t="inlineStr">
        <is>
          <t>UPPSALA LÄN</t>
        </is>
      </c>
      <c r="E2316" t="inlineStr">
        <is>
          <t>UPPSALA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73982-2021</t>
        </is>
      </c>
      <c r="B2317" s="1" t="n">
        <v>44555</v>
      </c>
      <c r="C2317" s="1" t="n">
        <v>45792</v>
      </c>
      <c r="D2317" t="inlineStr">
        <is>
          <t>UPPSALA LÄN</t>
        </is>
      </c>
      <c r="E2317" t="inlineStr">
        <is>
          <t>ÖSTHAMMAR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73983-2021</t>
        </is>
      </c>
      <c r="B2318" s="1" t="n">
        <v>44555</v>
      </c>
      <c r="C2318" s="1" t="n">
        <v>45792</v>
      </c>
      <c r="D2318" t="inlineStr">
        <is>
          <t>UPPSALA LÄN</t>
        </is>
      </c>
      <c r="E2318" t="inlineStr">
        <is>
          <t>ÖSTHAMMAR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74090-2021</t>
        </is>
      </c>
      <c r="B2319" s="1" t="n">
        <v>44557</v>
      </c>
      <c r="C2319" s="1" t="n">
        <v>45792</v>
      </c>
      <c r="D2319" t="inlineStr">
        <is>
          <t>UPPSALA LÄN</t>
        </is>
      </c>
      <c r="E2319" t="inlineStr">
        <is>
          <t>ENKÖPING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74215-2021</t>
        </is>
      </c>
      <c r="B2320" s="1" t="n">
        <v>44558</v>
      </c>
      <c r="C2320" s="1" t="n">
        <v>45792</v>
      </c>
      <c r="D2320" t="inlineStr">
        <is>
          <t>UPPSALA LÄN</t>
        </is>
      </c>
      <c r="E2320" t="inlineStr">
        <is>
          <t>HEBY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74429-2021</t>
        </is>
      </c>
      <c r="B2321" s="1" t="n">
        <v>44560</v>
      </c>
      <c r="C2321" s="1" t="n">
        <v>45792</v>
      </c>
      <c r="D2321" t="inlineStr">
        <is>
          <t>UPPSALA LÄN</t>
        </is>
      </c>
      <c r="E2321" t="inlineStr">
        <is>
          <t>ÖSTHAMMAR</t>
        </is>
      </c>
      <c r="F2321" t="inlineStr">
        <is>
          <t>Bergvik skog öst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74467-2021</t>
        </is>
      </c>
      <c r="B2322" s="1" t="n">
        <v>44560</v>
      </c>
      <c r="C2322" s="1" t="n">
        <v>45792</v>
      </c>
      <c r="D2322" t="inlineStr">
        <is>
          <t>UPPSALA LÄN</t>
        </is>
      </c>
      <c r="E2322" t="inlineStr">
        <is>
          <t>ÖSTHAMMAR</t>
        </is>
      </c>
      <c r="F2322" t="inlineStr">
        <is>
          <t>Bergvik skog öst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74473-2021</t>
        </is>
      </c>
      <c r="B2323" s="1" t="n">
        <v>44560</v>
      </c>
      <c r="C2323" s="1" t="n">
        <v>45792</v>
      </c>
      <c r="D2323" t="inlineStr">
        <is>
          <t>UPPSALA LÄN</t>
        </is>
      </c>
      <c r="E2323" t="inlineStr">
        <is>
          <t>TIERP</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74493-2021</t>
        </is>
      </c>
      <c r="B2324" s="1" t="n">
        <v>44560</v>
      </c>
      <c r="C2324" s="1" t="n">
        <v>45792</v>
      </c>
      <c r="D2324" t="inlineStr">
        <is>
          <t>UPPSALA LÄN</t>
        </is>
      </c>
      <c r="E2324" t="inlineStr">
        <is>
          <t>UPPSALA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74428-2021</t>
        </is>
      </c>
      <c r="B2325" s="1" t="n">
        <v>44560</v>
      </c>
      <c r="C2325" s="1" t="n">
        <v>45792</v>
      </c>
      <c r="D2325" t="inlineStr">
        <is>
          <t>UPPSALA LÄN</t>
        </is>
      </c>
      <c r="E2325" t="inlineStr">
        <is>
          <t>ÖSTHAMMAR</t>
        </is>
      </c>
      <c r="F2325" t="inlineStr">
        <is>
          <t>Bergvik skog öst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74436-2021</t>
        </is>
      </c>
      <c r="B2326" s="1" t="n">
        <v>44560</v>
      </c>
      <c r="C2326" s="1" t="n">
        <v>45792</v>
      </c>
      <c r="D2326" t="inlineStr">
        <is>
          <t>UPPSALA LÄN</t>
        </is>
      </c>
      <c r="E2326" t="inlineStr">
        <is>
          <t>ÖSTHAMMAR</t>
        </is>
      </c>
      <c r="F2326" t="inlineStr">
        <is>
          <t>Bergvik skog öst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74495-2021</t>
        </is>
      </c>
      <c r="B2327" s="1" t="n">
        <v>44560</v>
      </c>
      <c r="C2327" s="1" t="n">
        <v>45792</v>
      </c>
      <c r="D2327" t="inlineStr">
        <is>
          <t>UPPSALA LÄN</t>
        </is>
      </c>
      <c r="E2327" t="inlineStr">
        <is>
          <t>UPPSALA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312-2022</t>
        </is>
      </c>
      <c r="B2328" s="1" t="n">
        <v>44565</v>
      </c>
      <c r="C2328" s="1" t="n">
        <v>45792</v>
      </c>
      <c r="D2328" t="inlineStr">
        <is>
          <t>UPPSALA LÄN</t>
        </is>
      </c>
      <c r="E2328" t="inlineStr">
        <is>
          <t>HEBY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279-2022</t>
        </is>
      </c>
      <c r="B2329" s="1" t="n">
        <v>44565</v>
      </c>
      <c r="C2329" s="1" t="n">
        <v>45792</v>
      </c>
      <c r="D2329" t="inlineStr">
        <is>
          <t>UPPSALA LÄN</t>
        </is>
      </c>
      <c r="E2329" t="inlineStr">
        <is>
          <t>HEBY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498-2022</t>
        </is>
      </c>
      <c r="B2330" s="1" t="n">
        <v>44566</v>
      </c>
      <c r="C2330" s="1" t="n">
        <v>45792</v>
      </c>
      <c r="D2330" t="inlineStr">
        <is>
          <t>UPPSALA LÄN</t>
        </is>
      </c>
      <c r="E2330" t="inlineStr">
        <is>
          <t>ENKÖPING</t>
        </is>
      </c>
      <c r="F2330" t="inlineStr">
        <is>
          <t>Övriga statliga verk och myndigheter</t>
        </is>
      </c>
      <c r="G2330" t="n">
        <v>11.1</v>
      </c>
      <c r="H2330" t="n">
        <v>0</v>
      </c>
      <c r="I2330" t="n">
        <v>0</v>
      </c>
      <c r="J2330" t="n">
        <v>0</v>
      </c>
      <c r="K2330" t="n">
        <v>0</v>
      </c>
      <c r="L2330" t="n">
        <v>0</v>
      </c>
      <c r="M2330" t="n">
        <v>0</v>
      </c>
      <c r="N2330" t="n">
        <v>0</v>
      </c>
      <c r="O2330" t="n">
        <v>0</v>
      </c>
      <c r="P2330" t="n">
        <v>0</v>
      </c>
      <c r="Q2330" t="n">
        <v>0</v>
      </c>
      <c r="R2330" s="2" t="inlineStr"/>
    </row>
    <row r="2331" ht="15" customHeight="1">
      <c r="A2331" t="inlineStr">
        <is>
          <t>A 612-2022</t>
        </is>
      </c>
      <c r="B2331" s="1" t="n">
        <v>44567</v>
      </c>
      <c r="C2331" s="1" t="n">
        <v>45792</v>
      </c>
      <c r="D2331" t="inlineStr">
        <is>
          <t>UPPSALA LÄN</t>
        </is>
      </c>
      <c r="E2331" t="inlineStr">
        <is>
          <t>UPPSALA</t>
        </is>
      </c>
      <c r="F2331" t="inlineStr">
        <is>
          <t>Holmen skog AB</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671-2022</t>
        </is>
      </c>
      <c r="B2332" s="1" t="n">
        <v>44568</v>
      </c>
      <c r="C2332" s="1" t="n">
        <v>45792</v>
      </c>
      <c r="D2332" t="inlineStr">
        <is>
          <t>UPPSALA LÄN</t>
        </is>
      </c>
      <c r="E2332" t="inlineStr">
        <is>
          <t>ENKÖPING</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733-2022</t>
        </is>
      </c>
      <c r="B2333" s="1" t="n">
        <v>44568</v>
      </c>
      <c r="C2333" s="1" t="n">
        <v>45792</v>
      </c>
      <c r="D2333" t="inlineStr">
        <is>
          <t>UPPSALA LÄN</t>
        </is>
      </c>
      <c r="E2333" t="inlineStr">
        <is>
          <t>UPPSALA</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963-2022</t>
        </is>
      </c>
      <c r="B2334" s="1" t="n">
        <v>44568</v>
      </c>
      <c r="C2334" s="1" t="n">
        <v>45792</v>
      </c>
      <c r="D2334" t="inlineStr">
        <is>
          <t>UPPSALA LÄN</t>
        </is>
      </c>
      <c r="E2334" t="inlineStr">
        <is>
          <t>HEBY</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752-2022</t>
        </is>
      </c>
      <c r="B2335" s="1" t="n">
        <v>44569</v>
      </c>
      <c r="C2335" s="1" t="n">
        <v>45792</v>
      </c>
      <c r="D2335" t="inlineStr">
        <is>
          <t>UPPSALA LÄN</t>
        </is>
      </c>
      <c r="E2335" t="inlineStr">
        <is>
          <t>UPPSALA</t>
        </is>
      </c>
      <c r="F2335" t="inlineStr">
        <is>
          <t>Holmen skog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750-2022</t>
        </is>
      </c>
      <c r="B2336" s="1" t="n">
        <v>44569</v>
      </c>
      <c r="C2336" s="1" t="n">
        <v>45792</v>
      </c>
      <c r="D2336" t="inlineStr">
        <is>
          <t>UPPSALA LÄN</t>
        </is>
      </c>
      <c r="E2336" t="inlineStr">
        <is>
          <t>UPPSALA</t>
        </is>
      </c>
      <c r="F2336" t="inlineStr">
        <is>
          <t>Holmen skog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759-2022</t>
        </is>
      </c>
      <c r="B2337" s="1" t="n">
        <v>44569</v>
      </c>
      <c r="C2337" s="1" t="n">
        <v>45792</v>
      </c>
      <c r="D2337" t="inlineStr">
        <is>
          <t>UPPSALA LÄN</t>
        </is>
      </c>
      <c r="E2337" t="inlineStr">
        <is>
          <t>UPPSALA</t>
        </is>
      </c>
      <c r="F2337" t="inlineStr">
        <is>
          <t>Holmen skog AB</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758-2022</t>
        </is>
      </c>
      <c r="B2338" s="1" t="n">
        <v>44569</v>
      </c>
      <c r="C2338" s="1" t="n">
        <v>45792</v>
      </c>
      <c r="D2338" t="inlineStr">
        <is>
          <t>UPPSALA LÄN</t>
        </is>
      </c>
      <c r="E2338" t="inlineStr">
        <is>
          <t>UPPSALA</t>
        </is>
      </c>
      <c r="F2338" t="inlineStr">
        <is>
          <t>Holmen skog AB</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917-2022</t>
        </is>
      </c>
      <c r="B2339" s="1" t="n">
        <v>44571</v>
      </c>
      <c r="C2339" s="1" t="n">
        <v>45792</v>
      </c>
      <c r="D2339" t="inlineStr">
        <is>
          <t>UPPSALA LÄN</t>
        </is>
      </c>
      <c r="E2339" t="inlineStr">
        <is>
          <t>UPPSALA</t>
        </is>
      </c>
      <c r="F2339" t="inlineStr">
        <is>
          <t>Bergvik skog öst AB</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871-2022</t>
        </is>
      </c>
      <c r="B2340" s="1" t="n">
        <v>44571</v>
      </c>
      <c r="C2340" s="1" t="n">
        <v>45792</v>
      </c>
      <c r="D2340" t="inlineStr">
        <is>
          <t>UPPSALA LÄN</t>
        </is>
      </c>
      <c r="E2340" t="inlineStr">
        <is>
          <t>TIERP</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874-2022</t>
        </is>
      </c>
      <c r="B2341" s="1" t="n">
        <v>44571</v>
      </c>
      <c r="C2341" s="1" t="n">
        <v>45792</v>
      </c>
      <c r="D2341" t="inlineStr">
        <is>
          <t>UPPSALA LÄN</t>
        </is>
      </c>
      <c r="E2341" t="inlineStr">
        <is>
          <t>UPPSALA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1037-2022</t>
        </is>
      </c>
      <c r="B2342" s="1" t="n">
        <v>44571</v>
      </c>
      <c r="C2342" s="1" t="n">
        <v>45792</v>
      </c>
      <c r="D2342" t="inlineStr">
        <is>
          <t>UPPSALA LÄN</t>
        </is>
      </c>
      <c r="E2342" t="inlineStr">
        <is>
          <t>UPPSALA</t>
        </is>
      </c>
      <c r="F2342" t="inlineStr">
        <is>
          <t>Holmen skog AB</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1148-2022</t>
        </is>
      </c>
      <c r="B2343" s="1" t="n">
        <v>44572</v>
      </c>
      <c r="C2343" s="1" t="n">
        <v>45792</v>
      </c>
      <c r="D2343" t="inlineStr">
        <is>
          <t>UPPSALA LÄN</t>
        </is>
      </c>
      <c r="E2343" t="inlineStr">
        <is>
          <t>UPPSALA</t>
        </is>
      </c>
      <c r="F2343" t="inlineStr">
        <is>
          <t>Kyrkan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1238-2022</t>
        </is>
      </c>
      <c r="B2344" s="1" t="n">
        <v>44572</v>
      </c>
      <c r="C2344" s="1" t="n">
        <v>45792</v>
      </c>
      <c r="D2344" t="inlineStr">
        <is>
          <t>UPPSALA LÄN</t>
        </is>
      </c>
      <c r="E2344" t="inlineStr">
        <is>
          <t>ÖSTHAMMAR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1323-2022</t>
        </is>
      </c>
      <c r="B2345" s="1" t="n">
        <v>44572</v>
      </c>
      <c r="C2345" s="1" t="n">
        <v>45792</v>
      </c>
      <c r="D2345" t="inlineStr">
        <is>
          <t>UPPSALA LÄN</t>
        </is>
      </c>
      <c r="E2345" t="inlineStr">
        <is>
          <t>KNIVSTA</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1298-2022</t>
        </is>
      </c>
      <c r="B2346" s="1" t="n">
        <v>44572</v>
      </c>
      <c r="C2346" s="1" t="n">
        <v>45792</v>
      </c>
      <c r="D2346" t="inlineStr">
        <is>
          <t>UPPSALA LÄN</t>
        </is>
      </c>
      <c r="E2346" t="inlineStr">
        <is>
          <t>UPPSALA</t>
        </is>
      </c>
      <c r="F2346" t="inlineStr">
        <is>
          <t>Holmen skog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1462-2022</t>
        </is>
      </c>
      <c r="B2347" s="1" t="n">
        <v>44573</v>
      </c>
      <c r="C2347" s="1" t="n">
        <v>45792</v>
      </c>
      <c r="D2347" t="inlineStr">
        <is>
          <t>UPPSALA LÄN</t>
        </is>
      </c>
      <c r="E2347" t="inlineStr">
        <is>
          <t>HEBY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1609-2022</t>
        </is>
      </c>
      <c r="B2348" s="1" t="n">
        <v>44573</v>
      </c>
      <c r="C2348" s="1" t="n">
        <v>45792</v>
      </c>
      <c r="D2348" t="inlineStr">
        <is>
          <t>UPPSALA LÄN</t>
        </is>
      </c>
      <c r="E2348" t="inlineStr">
        <is>
          <t>ÖSTHAMMAR</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1731-2022</t>
        </is>
      </c>
      <c r="B2349" s="1" t="n">
        <v>44574</v>
      </c>
      <c r="C2349" s="1" t="n">
        <v>45792</v>
      </c>
      <c r="D2349" t="inlineStr">
        <is>
          <t>UPPSALA LÄN</t>
        </is>
      </c>
      <c r="E2349" t="inlineStr">
        <is>
          <t>UPPSALA</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1755-2022</t>
        </is>
      </c>
      <c r="B2350" s="1" t="n">
        <v>44574</v>
      </c>
      <c r="C2350" s="1" t="n">
        <v>45792</v>
      </c>
      <c r="D2350" t="inlineStr">
        <is>
          <t>UPPSALA LÄN</t>
        </is>
      </c>
      <c r="E2350" t="inlineStr">
        <is>
          <t>HEBY</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1752-2022</t>
        </is>
      </c>
      <c r="B2351" s="1" t="n">
        <v>44574</v>
      </c>
      <c r="C2351" s="1" t="n">
        <v>45792</v>
      </c>
      <c r="D2351" t="inlineStr">
        <is>
          <t>UPPSALA LÄN</t>
        </is>
      </c>
      <c r="E2351" t="inlineStr">
        <is>
          <t>HEBY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1760-2022</t>
        </is>
      </c>
      <c r="B2352" s="1" t="n">
        <v>44574</v>
      </c>
      <c r="C2352" s="1" t="n">
        <v>45792</v>
      </c>
      <c r="D2352" t="inlineStr">
        <is>
          <t>UPPSALA LÄN</t>
        </is>
      </c>
      <c r="E2352" t="inlineStr">
        <is>
          <t>HEBY</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1963-2022</t>
        </is>
      </c>
      <c r="B2353" s="1" t="n">
        <v>44575</v>
      </c>
      <c r="C2353" s="1" t="n">
        <v>45792</v>
      </c>
      <c r="D2353" t="inlineStr">
        <is>
          <t>UPPSALA LÄN</t>
        </is>
      </c>
      <c r="E2353" t="inlineStr">
        <is>
          <t>UPPSALA</t>
        </is>
      </c>
      <c r="F2353" t="inlineStr">
        <is>
          <t>Bergvik skog öst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1971-2022</t>
        </is>
      </c>
      <c r="B2354" s="1" t="n">
        <v>44575</v>
      </c>
      <c r="C2354" s="1" t="n">
        <v>45792</v>
      </c>
      <c r="D2354" t="inlineStr">
        <is>
          <t>UPPSALA LÄN</t>
        </is>
      </c>
      <c r="E2354" t="inlineStr">
        <is>
          <t>ENKÖPING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1962-2022</t>
        </is>
      </c>
      <c r="B2355" s="1" t="n">
        <v>44575</v>
      </c>
      <c r="C2355" s="1" t="n">
        <v>45792</v>
      </c>
      <c r="D2355" t="inlineStr">
        <is>
          <t>UPPSALA LÄN</t>
        </is>
      </c>
      <c r="E2355" t="inlineStr">
        <is>
          <t>ENKÖPING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1975-2022</t>
        </is>
      </c>
      <c r="B2356" s="1" t="n">
        <v>44575</v>
      </c>
      <c r="C2356" s="1" t="n">
        <v>45792</v>
      </c>
      <c r="D2356" t="inlineStr">
        <is>
          <t>UPPSALA LÄN</t>
        </is>
      </c>
      <c r="E2356" t="inlineStr">
        <is>
          <t>UPPSALA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1979-2022</t>
        </is>
      </c>
      <c r="B2357" s="1" t="n">
        <v>44575</v>
      </c>
      <c r="C2357" s="1" t="n">
        <v>45792</v>
      </c>
      <c r="D2357" t="inlineStr">
        <is>
          <t>UPPSALA LÄN</t>
        </is>
      </c>
      <c r="E2357" t="inlineStr">
        <is>
          <t>ENKÖPING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1936-2022</t>
        </is>
      </c>
      <c r="B2358" s="1" t="n">
        <v>44575</v>
      </c>
      <c r="C2358" s="1" t="n">
        <v>45792</v>
      </c>
      <c r="D2358" t="inlineStr">
        <is>
          <t>UPPSALA LÄN</t>
        </is>
      </c>
      <c r="E2358" t="inlineStr">
        <is>
          <t>UPPSALA</t>
        </is>
      </c>
      <c r="F2358" t="inlineStr">
        <is>
          <t>Bergvik skog öst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1992-2022</t>
        </is>
      </c>
      <c r="B2359" s="1" t="n">
        <v>44575</v>
      </c>
      <c r="C2359" s="1" t="n">
        <v>45792</v>
      </c>
      <c r="D2359" t="inlineStr">
        <is>
          <t>UPPSALA LÄN</t>
        </is>
      </c>
      <c r="E2359" t="inlineStr">
        <is>
          <t>ENKÖPING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1960-2022</t>
        </is>
      </c>
      <c r="B2360" s="1" t="n">
        <v>44575</v>
      </c>
      <c r="C2360" s="1" t="n">
        <v>45792</v>
      </c>
      <c r="D2360" t="inlineStr">
        <is>
          <t>UPPSALA LÄN</t>
        </is>
      </c>
      <c r="E2360" t="inlineStr">
        <is>
          <t>ENKÖPING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1965-2022</t>
        </is>
      </c>
      <c r="B2361" s="1" t="n">
        <v>44575</v>
      </c>
      <c r="C2361" s="1" t="n">
        <v>45792</v>
      </c>
      <c r="D2361" t="inlineStr">
        <is>
          <t>UPPSALA LÄN</t>
        </is>
      </c>
      <c r="E2361" t="inlineStr">
        <is>
          <t>ENKÖPING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1978-2022</t>
        </is>
      </c>
      <c r="B2362" s="1" t="n">
        <v>44575</v>
      </c>
      <c r="C2362" s="1" t="n">
        <v>45792</v>
      </c>
      <c r="D2362" t="inlineStr">
        <is>
          <t>UPPSALA LÄN</t>
        </is>
      </c>
      <c r="E2362" t="inlineStr">
        <is>
          <t>UPPSALA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2017-2022</t>
        </is>
      </c>
      <c r="B2363" s="1" t="n">
        <v>44575</v>
      </c>
      <c r="C2363" s="1" t="n">
        <v>45792</v>
      </c>
      <c r="D2363" t="inlineStr">
        <is>
          <t>UPPSALA LÄN</t>
        </is>
      </c>
      <c r="E2363" t="inlineStr">
        <is>
          <t>UPPSALA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2085-2022</t>
        </is>
      </c>
      <c r="B2364" s="1" t="n">
        <v>44576</v>
      </c>
      <c r="C2364" s="1" t="n">
        <v>45792</v>
      </c>
      <c r="D2364" t="inlineStr">
        <is>
          <t>UPPSALA LÄN</t>
        </is>
      </c>
      <c r="E2364" t="inlineStr">
        <is>
          <t>ÖSTHAMMAR</t>
        </is>
      </c>
      <c r="F2364" t="inlineStr">
        <is>
          <t>Bergvik skog öst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2108-2022</t>
        </is>
      </c>
      <c r="B2365" s="1" t="n">
        <v>44577</v>
      </c>
      <c r="C2365" s="1" t="n">
        <v>45792</v>
      </c>
      <c r="D2365" t="inlineStr">
        <is>
          <t>UPPSALA LÄN</t>
        </is>
      </c>
      <c r="E2365" t="inlineStr">
        <is>
          <t>ÖSTHAMMAR</t>
        </is>
      </c>
      <c r="F2365" t="inlineStr">
        <is>
          <t>Bergvik skog öst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2168-2022</t>
        </is>
      </c>
      <c r="B2366" s="1" t="n">
        <v>44578</v>
      </c>
      <c r="C2366" s="1" t="n">
        <v>45792</v>
      </c>
      <c r="D2366" t="inlineStr">
        <is>
          <t>UPPSALA LÄN</t>
        </is>
      </c>
      <c r="E2366" t="inlineStr">
        <is>
          <t>ÖSTHAMMAR</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2228-2022</t>
        </is>
      </c>
      <c r="B2367" s="1" t="n">
        <v>44578</v>
      </c>
      <c r="C2367" s="1" t="n">
        <v>45792</v>
      </c>
      <c r="D2367" t="inlineStr">
        <is>
          <t>UPPSALA LÄN</t>
        </is>
      </c>
      <c r="E2367" t="inlineStr">
        <is>
          <t>UPPSALA</t>
        </is>
      </c>
      <c r="F2367" t="inlineStr">
        <is>
          <t>Bergvik skog öst AB</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2128-2022</t>
        </is>
      </c>
      <c r="B2368" s="1" t="n">
        <v>44578</v>
      </c>
      <c r="C2368" s="1" t="n">
        <v>45792</v>
      </c>
      <c r="D2368" t="inlineStr">
        <is>
          <t>UPPSALA LÄN</t>
        </is>
      </c>
      <c r="E2368" t="inlineStr">
        <is>
          <t>HEBY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2248-2022</t>
        </is>
      </c>
      <c r="B2369" s="1" t="n">
        <v>44578</v>
      </c>
      <c r="C2369" s="1" t="n">
        <v>45792</v>
      </c>
      <c r="D2369" t="inlineStr">
        <is>
          <t>UPPSALA LÄN</t>
        </is>
      </c>
      <c r="E2369" t="inlineStr">
        <is>
          <t>TIERP</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3638-2022</t>
        </is>
      </c>
      <c r="B2370" s="1" t="n">
        <v>44578</v>
      </c>
      <c r="C2370" s="1" t="n">
        <v>45792</v>
      </c>
      <c r="D2370" t="inlineStr">
        <is>
          <t>UPPSALA LÄN</t>
        </is>
      </c>
      <c r="E2370" t="inlineStr">
        <is>
          <t>ÖSTHAMMAR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2535-2022</t>
        </is>
      </c>
      <c r="B2371" s="1" t="n">
        <v>44579</v>
      </c>
      <c r="C2371" s="1" t="n">
        <v>45792</v>
      </c>
      <c r="D2371" t="inlineStr">
        <is>
          <t>UPPSALA LÄN</t>
        </is>
      </c>
      <c r="E2371" t="inlineStr">
        <is>
          <t>TIERP</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2534-2022</t>
        </is>
      </c>
      <c r="B2372" s="1" t="n">
        <v>44579</v>
      </c>
      <c r="C2372" s="1" t="n">
        <v>45792</v>
      </c>
      <c r="D2372" t="inlineStr">
        <is>
          <t>UPPSALA LÄN</t>
        </is>
      </c>
      <c r="E2372" t="inlineStr">
        <is>
          <t>TIERP</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2559-2022</t>
        </is>
      </c>
      <c r="B2373" s="1" t="n">
        <v>44580</v>
      </c>
      <c r="C2373" s="1" t="n">
        <v>45792</v>
      </c>
      <c r="D2373" t="inlineStr">
        <is>
          <t>UPPSALA LÄN</t>
        </is>
      </c>
      <c r="E2373" t="inlineStr">
        <is>
          <t>TIERP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2680-2022</t>
        </is>
      </c>
      <c r="B2374" s="1" t="n">
        <v>44580</v>
      </c>
      <c r="C2374" s="1" t="n">
        <v>45792</v>
      </c>
      <c r="D2374" t="inlineStr">
        <is>
          <t>UPPSALA LÄN</t>
        </is>
      </c>
      <c r="E2374" t="inlineStr">
        <is>
          <t>ENKÖPING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2771-2022</t>
        </is>
      </c>
      <c r="B2375" s="1" t="n">
        <v>44581</v>
      </c>
      <c r="C2375" s="1" t="n">
        <v>45792</v>
      </c>
      <c r="D2375" t="inlineStr">
        <is>
          <t>UPPSALA LÄN</t>
        </is>
      </c>
      <c r="E2375" t="inlineStr">
        <is>
          <t>TIERP</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2795-2022</t>
        </is>
      </c>
      <c r="B2376" s="1" t="n">
        <v>44581</v>
      </c>
      <c r="C2376" s="1" t="n">
        <v>45792</v>
      </c>
      <c r="D2376" t="inlineStr">
        <is>
          <t>UPPSALA LÄN</t>
        </is>
      </c>
      <c r="E2376" t="inlineStr">
        <is>
          <t>TIERP</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2814-2022</t>
        </is>
      </c>
      <c r="B2377" s="1" t="n">
        <v>44581</v>
      </c>
      <c r="C2377" s="1" t="n">
        <v>45792</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2927-2022</t>
        </is>
      </c>
      <c r="B2378" s="1" t="n">
        <v>44581</v>
      </c>
      <c r="C2378" s="1" t="n">
        <v>45792</v>
      </c>
      <c r="D2378" t="inlineStr">
        <is>
          <t>UPPSALA LÄN</t>
        </is>
      </c>
      <c r="E2378" t="inlineStr">
        <is>
          <t>UPPSALA</t>
        </is>
      </c>
      <c r="F2378" t="inlineStr">
        <is>
          <t>Holmen skog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3259-2022</t>
        </is>
      </c>
      <c r="B2379" s="1" t="n">
        <v>44583</v>
      </c>
      <c r="C2379" s="1" t="n">
        <v>45792</v>
      </c>
      <c r="D2379" t="inlineStr">
        <is>
          <t>UPPSALA LÄN</t>
        </is>
      </c>
      <c r="E2379" t="inlineStr">
        <is>
          <t>UPPSALA</t>
        </is>
      </c>
      <c r="F2379" t="inlineStr">
        <is>
          <t>Holmen skog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3261-2022</t>
        </is>
      </c>
      <c r="B2380" s="1" t="n">
        <v>44583</v>
      </c>
      <c r="C2380" s="1" t="n">
        <v>45792</v>
      </c>
      <c r="D2380" t="inlineStr">
        <is>
          <t>UPPSALA LÄN</t>
        </is>
      </c>
      <c r="E2380" t="inlineStr">
        <is>
          <t>UPPSALA</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3252-2022</t>
        </is>
      </c>
      <c r="B2381" s="1" t="n">
        <v>44583</v>
      </c>
      <c r="C2381" s="1" t="n">
        <v>45792</v>
      </c>
      <c r="D2381" t="inlineStr">
        <is>
          <t>UPPSALA LÄN</t>
        </is>
      </c>
      <c r="E2381" t="inlineStr">
        <is>
          <t>UPPSALA</t>
        </is>
      </c>
      <c r="F2381" t="inlineStr">
        <is>
          <t>Holmen skog AB</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3258-2022</t>
        </is>
      </c>
      <c r="B2382" s="1" t="n">
        <v>44583</v>
      </c>
      <c r="C2382" s="1" t="n">
        <v>45792</v>
      </c>
      <c r="D2382" t="inlineStr">
        <is>
          <t>UPPSALA LÄN</t>
        </is>
      </c>
      <c r="E2382" t="inlineStr">
        <is>
          <t>UPPSALA</t>
        </is>
      </c>
      <c r="F2382" t="inlineStr">
        <is>
          <t>Holmen skog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3262-2022</t>
        </is>
      </c>
      <c r="B2383" s="1" t="n">
        <v>44583</v>
      </c>
      <c r="C2383" s="1" t="n">
        <v>45792</v>
      </c>
      <c r="D2383" t="inlineStr">
        <is>
          <t>UPPSALA LÄN</t>
        </is>
      </c>
      <c r="E2383" t="inlineStr">
        <is>
          <t>UPPSALA</t>
        </is>
      </c>
      <c r="F2383" t="inlineStr">
        <is>
          <t>Holmen skog AB</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3255-2022</t>
        </is>
      </c>
      <c r="B2384" s="1" t="n">
        <v>44583</v>
      </c>
      <c r="C2384" s="1" t="n">
        <v>45792</v>
      </c>
      <c r="D2384" t="inlineStr">
        <is>
          <t>UPPSALA LÄN</t>
        </is>
      </c>
      <c r="E2384" t="inlineStr">
        <is>
          <t>UPPSALA</t>
        </is>
      </c>
      <c r="F2384" t="inlineStr">
        <is>
          <t>Holmen skog AB</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3260-2022</t>
        </is>
      </c>
      <c r="B2385" s="1" t="n">
        <v>44583</v>
      </c>
      <c r="C2385" s="1" t="n">
        <v>45792</v>
      </c>
      <c r="D2385" t="inlineStr">
        <is>
          <t>UPPSALA LÄN</t>
        </is>
      </c>
      <c r="E2385" t="inlineStr">
        <is>
          <t>UPPSALA</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3284-2022</t>
        </is>
      </c>
      <c r="B2386" s="1" t="n">
        <v>44584</v>
      </c>
      <c r="C2386" s="1" t="n">
        <v>45792</v>
      </c>
      <c r="D2386" t="inlineStr">
        <is>
          <t>UPPSALA LÄN</t>
        </is>
      </c>
      <c r="E2386" t="inlineStr">
        <is>
          <t>UPPSALA</t>
        </is>
      </c>
      <c r="F2386" t="inlineStr">
        <is>
          <t>Holmen skog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3287-2022</t>
        </is>
      </c>
      <c r="B2387" s="1" t="n">
        <v>44584</v>
      </c>
      <c r="C2387" s="1" t="n">
        <v>45792</v>
      </c>
      <c r="D2387" t="inlineStr">
        <is>
          <t>UPPSALA LÄN</t>
        </is>
      </c>
      <c r="E2387" t="inlineStr">
        <is>
          <t>UPPSALA</t>
        </is>
      </c>
      <c r="F2387" t="inlineStr">
        <is>
          <t>Holmen skog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3496-2022</t>
        </is>
      </c>
      <c r="B2388" s="1" t="n">
        <v>44585</v>
      </c>
      <c r="C2388" s="1" t="n">
        <v>45792</v>
      </c>
      <c r="D2388" t="inlineStr">
        <is>
          <t>UPPSALA LÄN</t>
        </is>
      </c>
      <c r="E2388" t="inlineStr">
        <is>
          <t>HEBY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3574-2022</t>
        </is>
      </c>
      <c r="B2389" s="1" t="n">
        <v>44586</v>
      </c>
      <c r="C2389" s="1" t="n">
        <v>45792</v>
      </c>
      <c r="D2389" t="inlineStr">
        <is>
          <t>UPPSALA LÄN</t>
        </is>
      </c>
      <c r="E2389" t="inlineStr">
        <is>
          <t>HEBY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3641-2022</t>
        </is>
      </c>
      <c r="B2390" s="1" t="n">
        <v>44586</v>
      </c>
      <c r="C2390" s="1" t="n">
        <v>45792</v>
      </c>
      <c r="D2390" t="inlineStr">
        <is>
          <t>UPPSALA LÄN</t>
        </is>
      </c>
      <c r="E2390" t="inlineStr">
        <is>
          <t>HEBY</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3725-2022</t>
        </is>
      </c>
      <c r="B2391" s="1" t="n">
        <v>44586</v>
      </c>
      <c r="C2391" s="1" t="n">
        <v>45792</v>
      </c>
      <c r="D2391" t="inlineStr">
        <is>
          <t>UPPSALA LÄN</t>
        </is>
      </c>
      <c r="E2391" t="inlineStr">
        <is>
          <t>ÖSTHAMMAR</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3732-2022</t>
        </is>
      </c>
      <c r="B2392" s="1" t="n">
        <v>44586</v>
      </c>
      <c r="C2392" s="1" t="n">
        <v>45792</v>
      </c>
      <c r="D2392" t="inlineStr">
        <is>
          <t>UPPSALA LÄN</t>
        </is>
      </c>
      <c r="E2392" t="inlineStr">
        <is>
          <t>ÖSTHAMMAR</t>
        </is>
      </c>
      <c r="F2392" t="inlineStr">
        <is>
          <t>Bergvik skog öst AB</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3740-2022</t>
        </is>
      </c>
      <c r="B2393" s="1" t="n">
        <v>44586</v>
      </c>
      <c r="C2393" s="1" t="n">
        <v>45792</v>
      </c>
      <c r="D2393" t="inlineStr">
        <is>
          <t>UPPSALA LÄN</t>
        </is>
      </c>
      <c r="E2393" t="inlineStr">
        <is>
          <t>ÖSTHAMMAR</t>
        </is>
      </c>
      <c r="F2393" t="inlineStr">
        <is>
          <t>Bergvik skog öst AB</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3861-2022</t>
        </is>
      </c>
      <c r="B2394" s="1" t="n">
        <v>44587</v>
      </c>
      <c r="C2394" s="1" t="n">
        <v>45792</v>
      </c>
      <c r="D2394" t="inlineStr">
        <is>
          <t>UPPSALA LÄN</t>
        </is>
      </c>
      <c r="E2394" t="inlineStr">
        <is>
          <t>ENKÖPING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3991-2022</t>
        </is>
      </c>
      <c r="B2395" s="1" t="n">
        <v>44587</v>
      </c>
      <c r="C2395" s="1" t="n">
        <v>45792</v>
      </c>
      <c r="D2395" t="inlineStr">
        <is>
          <t>UPPSALA LÄN</t>
        </is>
      </c>
      <c r="E2395" t="inlineStr">
        <is>
          <t>ÖSTHAMMAR</t>
        </is>
      </c>
      <c r="F2395" t="inlineStr">
        <is>
          <t>Bergvik skog öst AB</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3988-2022</t>
        </is>
      </c>
      <c r="B2396" s="1" t="n">
        <v>44587</v>
      </c>
      <c r="C2396" s="1" t="n">
        <v>45792</v>
      </c>
      <c r="D2396" t="inlineStr">
        <is>
          <t>UPPSALA LÄN</t>
        </is>
      </c>
      <c r="E2396" t="inlineStr">
        <is>
          <t>HEBY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4059-2022</t>
        </is>
      </c>
      <c r="B2397" s="1" t="n">
        <v>44588</v>
      </c>
      <c r="C2397" s="1" t="n">
        <v>45792</v>
      </c>
      <c r="D2397" t="inlineStr">
        <is>
          <t>UPPSALA LÄN</t>
        </is>
      </c>
      <c r="E2397" t="inlineStr">
        <is>
          <t>UPPSALA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4083-2022</t>
        </is>
      </c>
      <c r="B2398" s="1" t="n">
        <v>44588</v>
      </c>
      <c r="C2398" s="1" t="n">
        <v>45792</v>
      </c>
      <c r="D2398" t="inlineStr">
        <is>
          <t>UPPSALA LÄN</t>
        </is>
      </c>
      <c r="E2398" t="inlineStr">
        <is>
          <t>TIERP</t>
        </is>
      </c>
      <c r="G2398" t="n">
        <v>26.1</v>
      </c>
      <c r="H2398" t="n">
        <v>0</v>
      </c>
      <c r="I2398" t="n">
        <v>0</v>
      </c>
      <c r="J2398" t="n">
        <v>0</v>
      </c>
      <c r="K2398" t="n">
        <v>0</v>
      </c>
      <c r="L2398" t="n">
        <v>0</v>
      </c>
      <c r="M2398" t="n">
        <v>0</v>
      </c>
      <c r="N2398" t="n">
        <v>0</v>
      </c>
      <c r="O2398" t="n">
        <v>0</v>
      </c>
      <c r="P2398" t="n">
        <v>0</v>
      </c>
      <c r="Q2398" t="n">
        <v>0</v>
      </c>
      <c r="R2398" s="2" t="inlineStr"/>
    </row>
    <row r="2399" ht="15" customHeight="1">
      <c r="A2399" t="inlineStr">
        <is>
          <t>A 4101-2022</t>
        </is>
      </c>
      <c r="B2399" s="1" t="n">
        <v>44588</v>
      </c>
      <c r="C2399" s="1" t="n">
        <v>45792</v>
      </c>
      <c r="D2399" t="inlineStr">
        <is>
          <t>UPPSALA LÄN</t>
        </is>
      </c>
      <c r="E2399" t="inlineStr">
        <is>
          <t>ÖSTHAMMAR</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4170-2022</t>
        </is>
      </c>
      <c r="B2400" s="1" t="n">
        <v>44588</v>
      </c>
      <c r="C2400" s="1" t="n">
        <v>45792</v>
      </c>
      <c r="D2400" t="inlineStr">
        <is>
          <t>UPPSALA LÄN</t>
        </is>
      </c>
      <c r="E2400" t="inlineStr">
        <is>
          <t>ENKÖPING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4312-2022</t>
        </is>
      </c>
      <c r="B2401" s="1" t="n">
        <v>44588</v>
      </c>
      <c r="C2401" s="1" t="n">
        <v>45792</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4318-2022</t>
        </is>
      </c>
      <c r="B2402" s="1" t="n">
        <v>44588</v>
      </c>
      <c r="C2402" s="1" t="n">
        <v>45792</v>
      </c>
      <c r="D2402" t="inlineStr">
        <is>
          <t>UPPSALA LÄN</t>
        </is>
      </c>
      <c r="E2402" t="inlineStr">
        <is>
          <t>ÖSTHAMMAR</t>
        </is>
      </c>
      <c r="F2402" t="inlineStr">
        <is>
          <t>Bergvik skog öst AB</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4315-2022</t>
        </is>
      </c>
      <c r="B2403" s="1" t="n">
        <v>44588</v>
      </c>
      <c r="C2403" s="1" t="n">
        <v>45792</v>
      </c>
      <c r="D2403" t="inlineStr">
        <is>
          <t>UPPSALA LÄN</t>
        </is>
      </c>
      <c r="E2403" t="inlineStr">
        <is>
          <t>ÖSTHAMMAR</t>
        </is>
      </c>
      <c r="F2403" t="inlineStr">
        <is>
          <t>Bergvik skog öst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4444-2022</t>
        </is>
      </c>
      <c r="B2404" s="1" t="n">
        <v>44589</v>
      </c>
      <c r="C2404" s="1" t="n">
        <v>45792</v>
      </c>
      <c r="D2404" t="inlineStr">
        <is>
          <t>UPPSALA LÄN</t>
        </is>
      </c>
      <c r="E2404" t="inlineStr">
        <is>
          <t>UPPSALA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4491-2022</t>
        </is>
      </c>
      <c r="B2405" s="1" t="n">
        <v>44589</v>
      </c>
      <c r="C2405" s="1" t="n">
        <v>45792</v>
      </c>
      <c r="D2405" t="inlineStr">
        <is>
          <t>UPPSALA LÄN</t>
        </is>
      </c>
      <c r="E2405" t="inlineStr">
        <is>
          <t>ÖSTHAMMAR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4357-2022</t>
        </is>
      </c>
      <c r="B2406" s="1" t="n">
        <v>44589</v>
      </c>
      <c r="C2406" s="1" t="n">
        <v>45792</v>
      </c>
      <c r="D2406" t="inlineStr">
        <is>
          <t>UPPSALA LÄN</t>
        </is>
      </c>
      <c r="E2406" t="inlineStr">
        <is>
          <t>ÖSTHAMMAR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4563-2022</t>
        </is>
      </c>
      <c r="B2407" s="1" t="n">
        <v>44591</v>
      </c>
      <c r="C2407" s="1" t="n">
        <v>45792</v>
      </c>
      <c r="D2407" t="inlineStr">
        <is>
          <t>UPPSALA LÄN</t>
        </is>
      </c>
      <c r="E2407" t="inlineStr">
        <is>
          <t>ÖSTHAMMAR</t>
        </is>
      </c>
      <c r="F2407" t="inlineStr">
        <is>
          <t>Bergvik skog öst AB</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4562-2022</t>
        </is>
      </c>
      <c r="B2408" s="1" t="n">
        <v>44591</v>
      </c>
      <c r="C2408" s="1" t="n">
        <v>45792</v>
      </c>
      <c r="D2408" t="inlineStr">
        <is>
          <t>UPPSALA LÄN</t>
        </is>
      </c>
      <c r="E2408" t="inlineStr">
        <is>
          <t>ÖSTHAMMAR</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4561-2022</t>
        </is>
      </c>
      <c r="B2409" s="1" t="n">
        <v>44591</v>
      </c>
      <c r="C2409" s="1" t="n">
        <v>45792</v>
      </c>
      <c r="D2409" t="inlineStr">
        <is>
          <t>UPPSALA LÄN</t>
        </is>
      </c>
      <c r="E2409" t="inlineStr">
        <is>
          <t>ÖSTHAMMAR</t>
        </is>
      </c>
      <c r="F2409" t="inlineStr">
        <is>
          <t>Bergvik skog öst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4559-2022</t>
        </is>
      </c>
      <c r="B2410" s="1" t="n">
        <v>44591</v>
      </c>
      <c r="C2410" s="1" t="n">
        <v>45792</v>
      </c>
      <c r="D2410" t="inlineStr">
        <is>
          <t>UPPSALA LÄN</t>
        </is>
      </c>
      <c r="E2410" t="inlineStr">
        <is>
          <t>ÖSTHAMMAR</t>
        </is>
      </c>
      <c r="F2410" t="inlineStr">
        <is>
          <t>Bergvik skog öst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4565-2022</t>
        </is>
      </c>
      <c r="B2411" s="1" t="n">
        <v>44591</v>
      </c>
      <c r="C2411" s="1" t="n">
        <v>45792</v>
      </c>
      <c r="D2411" t="inlineStr">
        <is>
          <t>UPPSALA LÄN</t>
        </is>
      </c>
      <c r="E2411" t="inlineStr">
        <is>
          <t>ÖSTHAMMAR</t>
        </is>
      </c>
      <c r="F2411" t="inlineStr">
        <is>
          <t>Bergvik skog öst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4597-2022</t>
        </is>
      </c>
      <c r="B2412" s="1" t="n">
        <v>44592</v>
      </c>
      <c r="C2412" s="1" t="n">
        <v>45792</v>
      </c>
      <c r="D2412" t="inlineStr">
        <is>
          <t>UPPSALA LÄN</t>
        </is>
      </c>
      <c r="E2412" t="inlineStr">
        <is>
          <t>TIERP</t>
        </is>
      </c>
      <c r="F2412" t="inlineStr">
        <is>
          <t>Bergvik skog öst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4929-2022</t>
        </is>
      </c>
      <c r="B2413" s="1" t="n">
        <v>44593</v>
      </c>
      <c r="C2413" s="1" t="n">
        <v>45792</v>
      </c>
      <c r="D2413" t="inlineStr">
        <is>
          <t>UPPSALA LÄN</t>
        </is>
      </c>
      <c r="E2413" t="inlineStr">
        <is>
          <t>UPPSALA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5023-2022</t>
        </is>
      </c>
      <c r="B2414" s="1" t="n">
        <v>44593</v>
      </c>
      <c r="C2414" s="1" t="n">
        <v>45792</v>
      </c>
      <c r="D2414" t="inlineStr">
        <is>
          <t>UPPSALA LÄN</t>
        </is>
      </c>
      <c r="E2414" t="inlineStr">
        <is>
          <t>TIERP</t>
        </is>
      </c>
      <c r="F2414" t="inlineStr">
        <is>
          <t>Bergvik skog väst AB</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5027-2022</t>
        </is>
      </c>
      <c r="B2415" s="1" t="n">
        <v>44593</v>
      </c>
      <c r="C2415" s="1" t="n">
        <v>45792</v>
      </c>
      <c r="D2415" t="inlineStr">
        <is>
          <t>UPPSALA LÄN</t>
        </is>
      </c>
      <c r="E2415" t="inlineStr">
        <is>
          <t>UPPSALA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5081-2022</t>
        </is>
      </c>
      <c r="B2416" s="1" t="n">
        <v>44593</v>
      </c>
      <c r="C2416" s="1" t="n">
        <v>45792</v>
      </c>
      <c r="D2416" t="inlineStr">
        <is>
          <t>UPPSALA LÄN</t>
        </is>
      </c>
      <c r="E2416" t="inlineStr">
        <is>
          <t>UPPSALA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5007-2022</t>
        </is>
      </c>
      <c r="B2417" s="1" t="n">
        <v>44593</v>
      </c>
      <c r="C2417" s="1" t="n">
        <v>45792</v>
      </c>
      <c r="D2417" t="inlineStr">
        <is>
          <t>UPPSALA LÄN</t>
        </is>
      </c>
      <c r="E2417" t="inlineStr">
        <is>
          <t>UPPSALA</t>
        </is>
      </c>
      <c r="F2417" t="inlineStr">
        <is>
          <t>BillerudKorsnäs AB</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5006-2022</t>
        </is>
      </c>
      <c r="B2418" s="1" t="n">
        <v>44593</v>
      </c>
      <c r="C2418" s="1" t="n">
        <v>45792</v>
      </c>
      <c r="D2418" t="inlineStr">
        <is>
          <t>UPPSALA LÄN</t>
        </is>
      </c>
      <c r="E2418" t="inlineStr">
        <is>
          <t>UPPSALA</t>
        </is>
      </c>
      <c r="F2418" t="inlineStr">
        <is>
          <t>BillerudKorsnäs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5028-2022</t>
        </is>
      </c>
      <c r="B2419" s="1" t="n">
        <v>44593</v>
      </c>
      <c r="C2419" s="1" t="n">
        <v>45792</v>
      </c>
      <c r="D2419" t="inlineStr">
        <is>
          <t>UPPSALA LÄN</t>
        </is>
      </c>
      <c r="E2419" t="inlineStr">
        <is>
          <t>UPPSALA</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5161-2022</t>
        </is>
      </c>
      <c r="B2420" s="1" t="n">
        <v>44594</v>
      </c>
      <c r="C2420" s="1" t="n">
        <v>45792</v>
      </c>
      <c r="D2420" t="inlineStr">
        <is>
          <t>UPPSALA LÄN</t>
        </is>
      </c>
      <c r="E2420" t="inlineStr">
        <is>
          <t>HEBY</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5188-2022</t>
        </is>
      </c>
      <c r="B2421" s="1" t="n">
        <v>44594</v>
      </c>
      <c r="C2421" s="1" t="n">
        <v>45792</v>
      </c>
      <c r="D2421" t="inlineStr">
        <is>
          <t>UPPSALA LÄN</t>
        </is>
      </c>
      <c r="E2421" t="inlineStr">
        <is>
          <t>ENKÖPING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5309-2022</t>
        </is>
      </c>
      <c r="B2422" s="1" t="n">
        <v>44594</v>
      </c>
      <c r="C2422" s="1" t="n">
        <v>45792</v>
      </c>
      <c r="D2422" t="inlineStr">
        <is>
          <t>UPPSALA LÄN</t>
        </is>
      </c>
      <c r="E2422" t="inlineStr">
        <is>
          <t>UPPSALA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5170-2022</t>
        </is>
      </c>
      <c r="B2423" s="1" t="n">
        <v>44594</v>
      </c>
      <c r="C2423" s="1" t="n">
        <v>45792</v>
      </c>
      <c r="D2423" t="inlineStr">
        <is>
          <t>UPPSALA LÄN</t>
        </is>
      </c>
      <c r="E2423" t="inlineStr">
        <is>
          <t>TIERP</t>
        </is>
      </c>
      <c r="F2423" t="inlineStr">
        <is>
          <t>Bergvik skog öst AB</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5189-2022</t>
        </is>
      </c>
      <c r="B2424" s="1" t="n">
        <v>44594</v>
      </c>
      <c r="C2424" s="1" t="n">
        <v>45792</v>
      </c>
      <c r="D2424" t="inlineStr">
        <is>
          <t>UPPSALA LÄN</t>
        </is>
      </c>
      <c r="E2424" t="inlineStr">
        <is>
          <t>UPPSALA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5204-2022</t>
        </is>
      </c>
      <c r="B2425" s="1" t="n">
        <v>44594</v>
      </c>
      <c r="C2425" s="1" t="n">
        <v>45792</v>
      </c>
      <c r="D2425" t="inlineStr">
        <is>
          <t>UPPSALA LÄN</t>
        </is>
      </c>
      <c r="E2425" t="inlineStr">
        <is>
          <t>TIERP</t>
        </is>
      </c>
      <c r="F2425" t="inlineStr">
        <is>
          <t>Bergvik skog öst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5266-2022</t>
        </is>
      </c>
      <c r="B2426" s="1" t="n">
        <v>44594</v>
      </c>
      <c r="C2426" s="1" t="n">
        <v>45792</v>
      </c>
      <c r="D2426" t="inlineStr">
        <is>
          <t>UPPSALA LÄN</t>
        </is>
      </c>
      <c r="E2426" t="inlineStr">
        <is>
          <t>TIERP</t>
        </is>
      </c>
      <c r="F2426" t="inlineStr">
        <is>
          <t>Bergvik skog väst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5589-2022</t>
        </is>
      </c>
      <c r="B2427" s="1" t="n">
        <v>44595</v>
      </c>
      <c r="C2427" s="1" t="n">
        <v>45792</v>
      </c>
      <c r="D2427" t="inlineStr">
        <is>
          <t>UPPSALA LÄN</t>
        </is>
      </c>
      <c r="E2427" t="inlineStr">
        <is>
          <t>HEBY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5526-2022</t>
        </is>
      </c>
      <c r="B2428" s="1" t="n">
        <v>44595</v>
      </c>
      <c r="C2428" s="1" t="n">
        <v>45792</v>
      </c>
      <c r="D2428" t="inlineStr">
        <is>
          <t>UPPSALA LÄN</t>
        </is>
      </c>
      <c r="E2428" t="inlineStr">
        <is>
          <t>ENKÖPING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5855-2022</t>
        </is>
      </c>
      <c r="B2429" s="1" t="n">
        <v>44596</v>
      </c>
      <c r="C2429" s="1" t="n">
        <v>45792</v>
      </c>
      <c r="D2429" t="inlineStr">
        <is>
          <t>UPPSALA LÄN</t>
        </is>
      </c>
      <c r="E2429" t="inlineStr">
        <is>
          <t>ÖSTHAMMAR</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5918-2022</t>
        </is>
      </c>
      <c r="B2430" s="1" t="n">
        <v>44597</v>
      </c>
      <c r="C2430" s="1" t="n">
        <v>45792</v>
      </c>
      <c r="D2430" t="inlineStr">
        <is>
          <t>UPPSALA LÄN</t>
        </is>
      </c>
      <c r="E2430" t="inlineStr">
        <is>
          <t>TIERP</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5974-2022</t>
        </is>
      </c>
      <c r="B2431" s="1" t="n">
        <v>44597</v>
      </c>
      <c r="C2431" s="1" t="n">
        <v>45792</v>
      </c>
      <c r="D2431" t="inlineStr">
        <is>
          <t>UPPSALA LÄN</t>
        </is>
      </c>
      <c r="E2431" t="inlineStr">
        <is>
          <t>ÖSTHAMMAR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5933-2022</t>
        </is>
      </c>
      <c r="B2432" s="1" t="n">
        <v>44598</v>
      </c>
      <c r="C2432" s="1" t="n">
        <v>45792</v>
      </c>
      <c r="D2432" t="inlineStr">
        <is>
          <t>UPPSALA LÄN</t>
        </is>
      </c>
      <c r="E2432" t="inlineStr">
        <is>
          <t>ÖSTHAMMAR</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5934-2022</t>
        </is>
      </c>
      <c r="B2433" s="1" t="n">
        <v>44598</v>
      </c>
      <c r="C2433" s="1" t="n">
        <v>45792</v>
      </c>
      <c r="D2433" t="inlineStr">
        <is>
          <t>UPPSALA LÄN</t>
        </is>
      </c>
      <c r="E2433" t="inlineStr">
        <is>
          <t>ÖSTHAMMAR</t>
        </is>
      </c>
      <c r="F2433" t="inlineStr">
        <is>
          <t>Bergvik skog öst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5932-2022</t>
        </is>
      </c>
      <c r="B2434" s="1" t="n">
        <v>44598</v>
      </c>
      <c r="C2434" s="1" t="n">
        <v>45792</v>
      </c>
      <c r="D2434" t="inlineStr">
        <is>
          <t>UPPSALA LÄN</t>
        </is>
      </c>
      <c r="E2434" t="inlineStr">
        <is>
          <t>ÖSTHAMMAR</t>
        </is>
      </c>
      <c r="F2434" t="inlineStr">
        <is>
          <t>Bergvik skog öst AB</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5924-2022</t>
        </is>
      </c>
      <c r="B2435" s="1" t="n">
        <v>44598</v>
      </c>
      <c r="C2435" s="1" t="n">
        <v>45792</v>
      </c>
      <c r="D2435" t="inlineStr">
        <is>
          <t>UPPSALA LÄN</t>
        </is>
      </c>
      <c r="E2435" t="inlineStr">
        <is>
          <t>UPPSALA</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5931-2022</t>
        </is>
      </c>
      <c r="B2436" s="1" t="n">
        <v>44598</v>
      </c>
      <c r="C2436" s="1" t="n">
        <v>45792</v>
      </c>
      <c r="D2436" t="inlineStr">
        <is>
          <t>UPPSALA LÄN</t>
        </is>
      </c>
      <c r="E2436" t="inlineStr">
        <is>
          <t>ÖSTHAMMAR</t>
        </is>
      </c>
      <c r="F2436" t="inlineStr">
        <is>
          <t>Bergvik skog öst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5989-2022</t>
        </is>
      </c>
      <c r="B2437" s="1" t="n">
        <v>44599</v>
      </c>
      <c r="C2437" s="1" t="n">
        <v>45792</v>
      </c>
      <c r="D2437" t="inlineStr">
        <is>
          <t>UPPSALA LÄN</t>
        </is>
      </c>
      <c r="E2437" t="inlineStr">
        <is>
          <t>UPPSALA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6009-2022</t>
        </is>
      </c>
      <c r="B2438" s="1" t="n">
        <v>44599</v>
      </c>
      <c r="C2438" s="1" t="n">
        <v>45792</v>
      </c>
      <c r="D2438" t="inlineStr">
        <is>
          <t>UPPSALA LÄN</t>
        </is>
      </c>
      <c r="E2438" t="inlineStr">
        <is>
          <t>UPPSALA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5996-2022</t>
        </is>
      </c>
      <c r="B2439" s="1" t="n">
        <v>44599</v>
      </c>
      <c r="C2439" s="1" t="n">
        <v>45792</v>
      </c>
      <c r="D2439" t="inlineStr">
        <is>
          <t>UPPSALA LÄN</t>
        </is>
      </c>
      <c r="E2439" t="inlineStr">
        <is>
          <t>UPPSALA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6044-2022</t>
        </is>
      </c>
      <c r="B2440" s="1" t="n">
        <v>44599</v>
      </c>
      <c r="C2440" s="1" t="n">
        <v>45792</v>
      </c>
      <c r="D2440" t="inlineStr">
        <is>
          <t>UPPSALA LÄN</t>
        </is>
      </c>
      <c r="E2440" t="inlineStr">
        <is>
          <t>HEBY</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6143-2022</t>
        </is>
      </c>
      <c r="B2441" s="1" t="n">
        <v>44599</v>
      </c>
      <c r="C2441" s="1" t="n">
        <v>45792</v>
      </c>
      <c r="D2441" t="inlineStr">
        <is>
          <t>UPPSALA LÄN</t>
        </is>
      </c>
      <c r="E2441" t="inlineStr">
        <is>
          <t>ÖSTHAMMAR</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6153-2022</t>
        </is>
      </c>
      <c r="B2442" s="1" t="n">
        <v>44599</v>
      </c>
      <c r="C2442" s="1" t="n">
        <v>45792</v>
      </c>
      <c r="D2442" t="inlineStr">
        <is>
          <t>UPPSALA LÄN</t>
        </is>
      </c>
      <c r="E2442" t="inlineStr">
        <is>
          <t>ÖSTHAMMAR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6254-2022</t>
        </is>
      </c>
      <c r="B2443" s="1" t="n">
        <v>44600</v>
      </c>
      <c r="C2443" s="1" t="n">
        <v>45792</v>
      </c>
      <c r="D2443" t="inlineStr">
        <is>
          <t>UPPSALA LÄN</t>
        </is>
      </c>
      <c r="E2443" t="inlineStr">
        <is>
          <t>TIERP</t>
        </is>
      </c>
      <c r="F2443" t="inlineStr">
        <is>
          <t>Bergvik skog öst AB</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6206-2022</t>
        </is>
      </c>
      <c r="B2444" s="1" t="n">
        <v>44600</v>
      </c>
      <c r="C2444" s="1" t="n">
        <v>45792</v>
      </c>
      <c r="D2444" t="inlineStr">
        <is>
          <t>UPPSALA LÄN</t>
        </is>
      </c>
      <c r="E2444" t="inlineStr">
        <is>
          <t>ÖSTHAMMAR</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6339-2022</t>
        </is>
      </c>
      <c r="B2445" s="1" t="n">
        <v>44600</v>
      </c>
      <c r="C2445" s="1" t="n">
        <v>45792</v>
      </c>
      <c r="D2445" t="inlineStr">
        <is>
          <t>UPPSALA LÄN</t>
        </is>
      </c>
      <c r="E2445" t="inlineStr">
        <is>
          <t>UPPSALA</t>
        </is>
      </c>
      <c r="G2445" t="n">
        <v>18.7</v>
      </c>
      <c r="H2445" t="n">
        <v>0</v>
      </c>
      <c r="I2445" t="n">
        <v>0</v>
      </c>
      <c r="J2445" t="n">
        <v>0</v>
      </c>
      <c r="K2445" t="n">
        <v>0</v>
      </c>
      <c r="L2445" t="n">
        <v>0</v>
      </c>
      <c r="M2445" t="n">
        <v>0</v>
      </c>
      <c r="N2445" t="n">
        <v>0</v>
      </c>
      <c r="O2445" t="n">
        <v>0</v>
      </c>
      <c r="P2445" t="n">
        <v>0</v>
      </c>
      <c r="Q2445" t="n">
        <v>0</v>
      </c>
      <c r="R2445" s="2" t="inlineStr"/>
    </row>
    <row r="2446" ht="15" customHeight="1">
      <c r="A2446" t="inlineStr">
        <is>
          <t>A 6356-2022</t>
        </is>
      </c>
      <c r="B2446" s="1" t="n">
        <v>44600</v>
      </c>
      <c r="C2446" s="1" t="n">
        <v>45792</v>
      </c>
      <c r="D2446" t="inlineStr">
        <is>
          <t>UPPSALA LÄN</t>
        </is>
      </c>
      <c r="E2446" t="inlineStr">
        <is>
          <t>ENKÖPING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6313-2022</t>
        </is>
      </c>
      <c r="B2447" s="1" t="n">
        <v>44600</v>
      </c>
      <c r="C2447" s="1" t="n">
        <v>45792</v>
      </c>
      <c r="D2447" t="inlineStr">
        <is>
          <t>UPPSALA LÄN</t>
        </is>
      </c>
      <c r="E2447" t="inlineStr">
        <is>
          <t>ÖSTHAMMAR</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6408-2022</t>
        </is>
      </c>
      <c r="B2448" s="1" t="n">
        <v>44600</v>
      </c>
      <c r="C2448" s="1" t="n">
        <v>45792</v>
      </c>
      <c r="D2448" t="inlineStr">
        <is>
          <t>UPPSALA LÄN</t>
        </is>
      </c>
      <c r="E2448" t="inlineStr">
        <is>
          <t>UPPSALA</t>
        </is>
      </c>
      <c r="F2448" t="inlineStr">
        <is>
          <t>Bergvik skog öst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6523-2022</t>
        </is>
      </c>
      <c r="B2449" s="1" t="n">
        <v>44601</v>
      </c>
      <c r="C2449" s="1" t="n">
        <v>45792</v>
      </c>
      <c r="D2449" t="inlineStr">
        <is>
          <t>UPPSALA LÄN</t>
        </is>
      </c>
      <c r="E2449" t="inlineStr">
        <is>
          <t>HEBY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6717-2022</t>
        </is>
      </c>
      <c r="B2450" s="1" t="n">
        <v>44602</v>
      </c>
      <c r="C2450" s="1" t="n">
        <v>45792</v>
      </c>
      <c r="D2450" t="inlineStr">
        <is>
          <t>UPPSALA LÄN</t>
        </is>
      </c>
      <c r="E2450" t="inlineStr">
        <is>
          <t>UPPSALA</t>
        </is>
      </c>
      <c r="F2450" t="inlineStr">
        <is>
          <t>Övriga Aktiebolag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6853-2022</t>
        </is>
      </c>
      <c r="B2451" s="1" t="n">
        <v>44602</v>
      </c>
      <c r="C2451" s="1" t="n">
        <v>45792</v>
      </c>
      <c r="D2451" t="inlineStr">
        <is>
          <t>UPPSALA LÄN</t>
        </is>
      </c>
      <c r="E2451" t="inlineStr">
        <is>
          <t>UPPSALA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6863-2022</t>
        </is>
      </c>
      <c r="B2452" s="1" t="n">
        <v>44602</v>
      </c>
      <c r="C2452" s="1" t="n">
        <v>45792</v>
      </c>
      <c r="D2452" t="inlineStr">
        <is>
          <t>UPPSALA LÄN</t>
        </is>
      </c>
      <c r="E2452" t="inlineStr">
        <is>
          <t>UPPSALA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6892-2022</t>
        </is>
      </c>
      <c r="B2453" s="1" t="n">
        <v>44602</v>
      </c>
      <c r="C2453" s="1" t="n">
        <v>45792</v>
      </c>
      <c r="D2453" t="inlineStr">
        <is>
          <t>UPPSALA LÄN</t>
        </is>
      </c>
      <c r="E2453" t="inlineStr">
        <is>
          <t>ÖSTHAMMAR</t>
        </is>
      </c>
      <c r="F2453" t="inlineStr">
        <is>
          <t>Bergvik skog öst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6850-2022</t>
        </is>
      </c>
      <c r="B2454" s="1" t="n">
        <v>44602</v>
      </c>
      <c r="C2454" s="1" t="n">
        <v>45792</v>
      </c>
      <c r="D2454" t="inlineStr">
        <is>
          <t>UPPSALA LÄN</t>
        </is>
      </c>
      <c r="E2454" t="inlineStr">
        <is>
          <t>UPPSALA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6851-2022</t>
        </is>
      </c>
      <c r="B2455" s="1" t="n">
        <v>44602</v>
      </c>
      <c r="C2455" s="1" t="n">
        <v>45792</v>
      </c>
      <c r="D2455" t="inlineStr">
        <is>
          <t>UPPSALA LÄN</t>
        </is>
      </c>
      <c r="E2455" t="inlineStr">
        <is>
          <t>UPPSALA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6855-2022</t>
        </is>
      </c>
      <c r="B2456" s="1" t="n">
        <v>44602</v>
      </c>
      <c r="C2456" s="1" t="n">
        <v>45792</v>
      </c>
      <c r="D2456" t="inlineStr">
        <is>
          <t>UPPSALA LÄN</t>
        </is>
      </c>
      <c r="E2456" t="inlineStr">
        <is>
          <t>UPPSALA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6860-2022</t>
        </is>
      </c>
      <c r="B2457" s="1" t="n">
        <v>44602</v>
      </c>
      <c r="C2457" s="1" t="n">
        <v>45792</v>
      </c>
      <c r="D2457" t="inlineStr">
        <is>
          <t>UPPSALA LÄN</t>
        </is>
      </c>
      <c r="E2457" t="inlineStr">
        <is>
          <t>UPPSALA</t>
        </is>
      </c>
      <c r="G2457" t="n">
        <v>14.8</v>
      </c>
      <c r="H2457" t="n">
        <v>0</v>
      </c>
      <c r="I2457" t="n">
        <v>0</v>
      </c>
      <c r="J2457" t="n">
        <v>0</v>
      </c>
      <c r="K2457" t="n">
        <v>0</v>
      </c>
      <c r="L2457" t="n">
        <v>0</v>
      </c>
      <c r="M2457" t="n">
        <v>0</v>
      </c>
      <c r="N2457" t="n">
        <v>0</v>
      </c>
      <c r="O2457" t="n">
        <v>0</v>
      </c>
      <c r="P2457" t="n">
        <v>0</v>
      </c>
      <c r="Q2457" t="n">
        <v>0</v>
      </c>
      <c r="R2457" s="2" t="inlineStr"/>
    </row>
    <row r="2458" ht="15" customHeight="1">
      <c r="A2458" t="inlineStr">
        <is>
          <t>A 6866-2022</t>
        </is>
      </c>
      <c r="B2458" s="1" t="n">
        <v>44602</v>
      </c>
      <c r="C2458" s="1" t="n">
        <v>45792</v>
      </c>
      <c r="D2458" t="inlineStr">
        <is>
          <t>UPPSALA LÄN</t>
        </is>
      </c>
      <c r="E2458" t="inlineStr">
        <is>
          <t>HEBY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7068-2022</t>
        </is>
      </c>
      <c r="B2459" s="1" t="n">
        <v>44603</v>
      </c>
      <c r="C2459" s="1" t="n">
        <v>45792</v>
      </c>
      <c r="D2459" t="inlineStr">
        <is>
          <t>UPPSALA LÄN</t>
        </is>
      </c>
      <c r="E2459" t="inlineStr">
        <is>
          <t>TIERP</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6989-2022</t>
        </is>
      </c>
      <c r="B2460" s="1" t="n">
        <v>44603</v>
      </c>
      <c r="C2460" s="1" t="n">
        <v>45792</v>
      </c>
      <c r="D2460" t="inlineStr">
        <is>
          <t>UPPSALA LÄN</t>
        </is>
      </c>
      <c r="E2460" t="inlineStr">
        <is>
          <t>UPPSALA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7040-2022</t>
        </is>
      </c>
      <c r="B2461" s="1" t="n">
        <v>44603</v>
      </c>
      <c r="C2461" s="1" t="n">
        <v>45792</v>
      </c>
      <c r="D2461" t="inlineStr">
        <is>
          <t>UPPSALA LÄN</t>
        </is>
      </c>
      <c r="E2461" t="inlineStr">
        <is>
          <t>UPPSALA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7090-2022</t>
        </is>
      </c>
      <c r="B2462" s="1" t="n">
        <v>44603</v>
      </c>
      <c r="C2462" s="1" t="n">
        <v>45792</v>
      </c>
      <c r="D2462" t="inlineStr">
        <is>
          <t>UPPSALA LÄN</t>
        </is>
      </c>
      <c r="E2462" t="inlineStr">
        <is>
          <t>ENKÖPING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7124-2022</t>
        </is>
      </c>
      <c r="B2463" s="1" t="n">
        <v>44603</v>
      </c>
      <c r="C2463" s="1" t="n">
        <v>45792</v>
      </c>
      <c r="D2463" t="inlineStr">
        <is>
          <t>UPPSALA LÄN</t>
        </is>
      </c>
      <c r="E2463" t="inlineStr">
        <is>
          <t>UPPSALA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7181-2022</t>
        </is>
      </c>
      <c r="B2464" s="1" t="n">
        <v>44605</v>
      </c>
      <c r="C2464" s="1" t="n">
        <v>45792</v>
      </c>
      <c r="D2464" t="inlineStr">
        <is>
          <t>UPPSALA LÄN</t>
        </is>
      </c>
      <c r="E2464" t="inlineStr">
        <is>
          <t>ÖSTHAMMAR</t>
        </is>
      </c>
      <c r="F2464" t="inlineStr">
        <is>
          <t>Bergvik skog öst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7302-2022</t>
        </is>
      </c>
      <c r="B2465" s="1" t="n">
        <v>44606</v>
      </c>
      <c r="C2465" s="1" t="n">
        <v>45792</v>
      </c>
      <c r="D2465" t="inlineStr">
        <is>
          <t>UPPSALA LÄN</t>
        </is>
      </c>
      <c r="E2465" t="inlineStr">
        <is>
          <t>ÖSTHAMMAR</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7284-2022</t>
        </is>
      </c>
      <c r="B2466" s="1" t="n">
        <v>44606</v>
      </c>
      <c r="C2466" s="1" t="n">
        <v>45792</v>
      </c>
      <c r="D2466" t="inlineStr">
        <is>
          <t>UPPSALA LÄN</t>
        </is>
      </c>
      <c r="E2466" t="inlineStr">
        <is>
          <t>ENKÖPING</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7409-2022</t>
        </is>
      </c>
      <c r="B2467" s="1" t="n">
        <v>44606</v>
      </c>
      <c r="C2467" s="1" t="n">
        <v>45792</v>
      </c>
      <c r="D2467" t="inlineStr">
        <is>
          <t>UPPSALA LÄN</t>
        </is>
      </c>
      <c r="E2467" t="inlineStr">
        <is>
          <t>UPPSALA</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7463-2022</t>
        </is>
      </c>
      <c r="B2468" s="1" t="n">
        <v>44607</v>
      </c>
      <c r="C2468" s="1" t="n">
        <v>45792</v>
      </c>
      <c r="D2468" t="inlineStr">
        <is>
          <t>UPPSALA LÄN</t>
        </is>
      </c>
      <c r="E2468" t="inlineStr">
        <is>
          <t>ENKÖPING</t>
        </is>
      </c>
      <c r="F2468" t="inlineStr">
        <is>
          <t>Övriga statliga verk och myndigheter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7475-2022</t>
        </is>
      </c>
      <c r="B2469" s="1" t="n">
        <v>44607</v>
      </c>
      <c r="C2469" s="1" t="n">
        <v>45792</v>
      </c>
      <c r="D2469" t="inlineStr">
        <is>
          <t>UPPSALA LÄN</t>
        </is>
      </c>
      <c r="E2469" t="inlineStr">
        <is>
          <t>ÖSTHAMMAR</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7488-2022</t>
        </is>
      </c>
      <c r="B2470" s="1" t="n">
        <v>44607</v>
      </c>
      <c r="C2470" s="1" t="n">
        <v>45792</v>
      </c>
      <c r="D2470" t="inlineStr">
        <is>
          <t>UPPSALA LÄN</t>
        </is>
      </c>
      <c r="E2470" t="inlineStr">
        <is>
          <t>ÖSTHAMMAR</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7858-2022</t>
        </is>
      </c>
      <c r="B2471" s="1" t="n">
        <v>44608</v>
      </c>
      <c r="C2471" s="1" t="n">
        <v>45792</v>
      </c>
      <c r="D2471" t="inlineStr">
        <is>
          <t>UPPSALA LÄN</t>
        </is>
      </c>
      <c r="E2471" t="inlineStr">
        <is>
          <t>ÖSTHAMMAR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7871-2022</t>
        </is>
      </c>
      <c r="B2472" s="1" t="n">
        <v>44608</v>
      </c>
      <c r="C2472" s="1" t="n">
        <v>45792</v>
      </c>
      <c r="D2472" t="inlineStr">
        <is>
          <t>UPPSALA LÄN</t>
        </is>
      </c>
      <c r="E2472" t="inlineStr">
        <is>
          <t>ÖSTHAMMAR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7899-2022</t>
        </is>
      </c>
      <c r="B2473" s="1" t="n">
        <v>44608</v>
      </c>
      <c r="C2473" s="1" t="n">
        <v>45792</v>
      </c>
      <c r="D2473" t="inlineStr">
        <is>
          <t>UPPSALA LÄN</t>
        </is>
      </c>
      <c r="E2473" t="inlineStr">
        <is>
          <t>UPPSALA</t>
        </is>
      </c>
      <c r="F2473" t="inlineStr">
        <is>
          <t>Övriga Aktiebolag</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8090-2022</t>
        </is>
      </c>
      <c r="B2474" s="1" t="n">
        <v>44608</v>
      </c>
      <c r="C2474" s="1" t="n">
        <v>45792</v>
      </c>
      <c r="D2474" t="inlineStr">
        <is>
          <t>UPPSALA LÄN</t>
        </is>
      </c>
      <c r="E2474" t="inlineStr">
        <is>
          <t>UPPSALA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7996-2022</t>
        </is>
      </c>
      <c r="B2475" s="1" t="n">
        <v>44609</v>
      </c>
      <c r="C2475" s="1" t="n">
        <v>45792</v>
      </c>
      <c r="D2475" t="inlineStr">
        <is>
          <t>UPPSALA LÄN</t>
        </is>
      </c>
      <c r="E2475" t="inlineStr">
        <is>
          <t>UPPSALA</t>
        </is>
      </c>
      <c r="F2475" t="inlineStr">
        <is>
          <t>Övriga Aktiebolag</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8007-2022</t>
        </is>
      </c>
      <c r="B2476" s="1" t="n">
        <v>44609</v>
      </c>
      <c r="C2476" s="1" t="n">
        <v>45792</v>
      </c>
      <c r="D2476" t="inlineStr">
        <is>
          <t>UPPSALA LÄN</t>
        </is>
      </c>
      <c r="E2476" t="inlineStr">
        <is>
          <t>UPPSALA</t>
        </is>
      </c>
      <c r="F2476" t="inlineStr">
        <is>
          <t>Övriga Aktiebolag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7997-2022</t>
        </is>
      </c>
      <c r="B2477" s="1" t="n">
        <v>44609</v>
      </c>
      <c r="C2477" s="1" t="n">
        <v>45792</v>
      </c>
      <c r="D2477" t="inlineStr">
        <is>
          <t>UPPSALA LÄN</t>
        </is>
      </c>
      <c r="E2477" t="inlineStr">
        <is>
          <t>ÖSTHAMMAR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8020-2022</t>
        </is>
      </c>
      <c r="B2478" s="1" t="n">
        <v>44609</v>
      </c>
      <c r="C2478" s="1" t="n">
        <v>45792</v>
      </c>
      <c r="D2478" t="inlineStr">
        <is>
          <t>UPPSALA LÄN</t>
        </is>
      </c>
      <c r="E2478" t="inlineStr">
        <is>
          <t>ENKÖPING</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8132-2022</t>
        </is>
      </c>
      <c r="B2479" s="1" t="n">
        <v>44609</v>
      </c>
      <c r="C2479" s="1" t="n">
        <v>45792</v>
      </c>
      <c r="D2479" t="inlineStr">
        <is>
          <t>UPPSALA LÄN</t>
        </is>
      </c>
      <c r="E2479" t="inlineStr">
        <is>
          <t>UPPSALA</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8152-2022</t>
        </is>
      </c>
      <c r="B2480" s="1" t="n">
        <v>44609</v>
      </c>
      <c r="C2480" s="1" t="n">
        <v>45792</v>
      </c>
      <c r="D2480" t="inlineStr">
        <is>
          <t>UPPSALA LÄN</t>
        </is>
      </c>
      <c r="E2480" t="inlineStr">
        <is>
          <t>ENKÖPING</t>
        </is>
      </c>
      <c r="F2480" t="inlineStr">
        <is>
          <t>Kyrkan</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8169-2022</t>
        </is>
      </c>
      <c r="B2481" s="1" t="n">
        <v>44609</v>
      </c>
      <c r="C2481" s="1" t="n">
        <v>45792</v>
      </c>
      <c r="D2481" t="inlineStr">
        <is>
          <t>UPPSALA LÄN</t>
        </is>
      </c>
      <c r="E2481" t="inlineStr">
        <is>
          <t>HEBY</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8182-2022</t>
        </is>
      </c>
      <c r="B2482" s="1" t="n">
        <v>44609</v>
      </c>
      <c r="C2482" s="1" t="n">
        <v>45792</v>
      </c>
      <c r="D2482" t="inlineStr">
        <is>
          <t>UPPSALA LÄN</t>
        </is>
      </c>
      <c r="E2482" t="inlineStr">
        <is>
          <t>HEBY</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8139-2022</t>
        </is>
      </c>
      <c r="B2483" s="1" t="n">
        <v>44609</v>
      </c>
      <c r="C2483" s="1" t="n">
        <v>45792</v>
      </c>
      <c r="D2483" t="inlineStr">
        <is>
          <t>UPPSALA LÄN</t>
        </is>
      </c>
      <c r="E2483" t="inlineStr">
        <is>
          <t>UPPSALA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8283-2022</t>
        </is>
      </c>
      <c r="B2484" s="1" t="n">
        <v>44610</v>
      </c>
      <c r="C2484" s="1" t="n">
        <v>45792</v>
      </c>
      <c r="D2484" t="inlineStr">
        <is>
          <t>UPPSALA LÄN</t>
        </is>
      </c>
      <c r="E2484" t="inlineStr">
        <is>
          <t>ÖSTHAMMAR</t>
        </is>
      </c>
      <c r="F2484" t="inlineStr">
        <is>
          <t>Övriga Aktiebolag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8404-2022</t>
        </is>
      </c>
      <c r="B2485" s="1" t="n">
        <v>44610</v>
      </c>
      <c r="C2485" s="1" t="n">
        <v>45792</v>
      </c>
      <c r="D2485" t="inlineStr">
        <is>
          <t>UPPSALA LÄN</t>
        </is>
      </c>
      <c r="E2485" t="inlineStr">
        <is>
          <t>UPPSALA</t>
        </is>
      </c>
      <c r="F2485" t="inlineStr">
        <is>
          <t>Allmännings- och besparingsskogar</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8475-2022</t>
        </is>
      </c>
      <c r="B2486" s="1" t="n">
        <v>44610</v>
      </c>
      <c r="C2486" s="1" t="n">
        <v>45792</v>
      </c>
      <c r="D2486" t="inlineStr">
        <is>
          <t>UPPSALA LÄN</t>
        </is>
      </c>
      <c r="E2486" t="inlineStr">
        <is>
          <t>UPPSALA</t>
        </is>
      </c>
      <c r="F2486" t="inlineStr">
        <is>
          <t>Allmännings- och besparingsskogar</t>
        </is>
      </c>
      <c r="G2486" t="n">
        <v>32.7</v>
      </c>
      <c r="H2486" t="n">
        <v>0</v>
      </c>
      <c r="I2486" t="n">
        <v>0</v>
      </c>
      <c r="J2486" t="n">
        <v>0</v>
      </c>
      <c r="K2486" t="n">
        <v>0</v>
      </c>
      <c r="L2486" t="n">
        <v>0</v>
      </c>
      <c r="M2486" t="n">
        <v>0</v>
      </c>
      <c r="N2486" t="n">
        <v>0</v>
      </c>
      <c r="O2486" t="n">
        <v>0</v>
      </c>
      <c r="P2486" t="n">
        <v>0</v>
      </c>
      <c r="Q2486" t="n">
        <v>0</v>
      </c>
      <c r="R2486" s="2" t="inlineStr"/>
    </row>
    <row r="2487" ht="15" customHeight="1">
      <c r="A2487" t="inlineStr">
        <is>
          <t>A 8465-2022</t>
        </is>
      </c>
      <c r="B2487" s="1" t="n">
        <v>44610</v>
      </c>
      <c r="C2487" s="1" t="n">
        <v>45792</v>
      </c>
      <c r="D2487" t="inlineStr">
        <is>
          <t>UPPSALA LÄN</t>
        </is>
      </c>
      <c r="E2487" t="inlineStr">
        <is>
          <t>UPPSALA</t>
        </is>
      </c>
      <c r="F2487" t="inlineStr">
        <is>
          <t>Allmännings- och besparingsskogar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8451-2022</t>
        </is>
      </c>
      <c r="B2488" s="1" t="n">
        <v>44612</v>
      </c>
      <c r="C2488" s="1" t="n">
        <v>45792</v>
      </c>
      <c r="D2488" t="inlineStr">
        <is>
          <t>UPPSALA LÄN</t>
        </is>
      </c>
      <c r="E2488" t="inlineStr">
        <is>
          <t>UPPSALA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8576-2022</t>
        </is>
      </c>
      <c r="B2489" s="1" t="n">
        <v>44613</v>
      </c>
      <c r="C2489" s="1" t="n">
        <v>45792</v>
      </c>
      <c r="D2489" t="inlineStr">
        <is>
          <t>UPPSALA LÄN</t>
        </is>
      </c>
      <c r="E2489" t="inlineStr">
        <is>
          <t>KNIVSTA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8660-2022</t>
        </is>
      </c>
      <c r="B2490" s="1" t="n">
        <v>44613</v>
      </c>
      <c r="C2490" s="1" t="n">
        <v>45792</v>
      </c>
      <c r="D2490" t="inlineStr">
        <is>
          <t>UPPSALA LÄN</t>
        </is>
      </c>
      <c r="E2490" t="inlineStr">
        <is>
          <t>HEBY</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8592-2022</t>
        </is>
      </c>
      <c r="B2491" s="1" t="n">
        <v>44613</v>
      </c>
      <c r="C2491" s="1" t="n">
        <v>45792</v>
      </c>
      <c r="D2491" t="inlineStr">
        <is>
          <t>UPPSALA LÄN</t>
        </is>
      </c>
      <c r="E2491" t="inlineStr">
        <is>
          <t>ÖSTHAMMAR</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8708-2022</t>
        </is>
      </c>
      <c r="B2492" s="1" t="n">
        <v>44613</v>
      </c>
      <c r="C2492" s="1" t="n">
        <v>45792</v>
      </c>
      <c r="D2492" t="inlineStr">
        <is>
          <t>UPPSALA LÄN</t>
        </is>
      </c>
      <c r="E2492" t="inlineStr">
        <is>
          <t>ÖSTHAMMAR</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8710-2022</t>
        </is>
      </c>
      <c r="B2493" s="1" t="n">
        <v>44613</v>
      </c>
      <c r="C2493" s="1" t="n">
        <v>45792</v>
      </c>
      <c r="D2493" t="inlineStr">
        <is>
          <t>UPPSALA LÄN</t>
        </is>
      </c>
      <c r="E2493" t="inlineStr">
        <is>
          <t>ÖSTHAMMAR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8537-2022</t>
        </is>
      </c>
      <c r="B2494" s="1" t="n">
        <v>44613</v>
      </c>
      <c r="C2494" s="1" t="n">
        <v>45792</v>
      </c>
      <c r="D2494" t="inlineStr">
        <is>
          <t>UPPSALA LÄN</t>
        </is>
      </c>
      <c r="E2494" t="inlineStr">
        <is>
          <t>ÖSTHAMMAR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8554-2022</t>
        </is>
      </c>
      <c r="B2495" s="1" t="n">
        <v>44613</v>
      </c>
      <c r="C2495" s="1" t="n">
        <v>45792</v>
      </c>
      <c r="D2495" t="inlineStr">
        <is>
          <t>UPPSALA LÄN</t>
        </is>
      </c>
      <c r="E2495" t="inlineStr">
        <is>
          <t>ÖSTHAMMAR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8556-2022</t>
        </is>
      </c>
      <c r="B2496" s="1" t="n">
        <v>44613</v>
      </c>
      <c r="C2496" s="1" t="n">
        <v>45792</v>
      </c>
      <c r="D2496" t="inlineStr">
        <is>
          <t>UPPSALA LÄN</t>
        </is>
      </c>
      <c r="E2496" t="inlineStr">
        <is>
          <t>ÖSTHAMMAR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8775-2022</t>
        </is>
      </c>
      <c r="B2497" s="1" t="n">
        <v>44614</v>
      </c>
      <c r="C2497" s="1" t="n">
        <v>45792</v>
      </c>
      <c r="D2497" t="inlineStr">
        <is>
          <t>UPPSALA LÄN</t>
        </is>
      </c>
      <c r="E2497" t="inlineStr">
        <is>
          <t>ÖSTHAMMAR</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8758-2022</t>
        </is>
      </c>
      <c r="B2498" s="1" t="n">
        <v>44614</v>
      </c>
      <c r="C2498" s="1" t="n">
        <v>45792</v>
      </c>
      <c r="D2498" t="inlineStr">
        <is>
          <t>UPPSALA LÄN</t>
        </is>
      </c>
      <c r="E2498" t="inlineStr">
        <is>
          <t>HEBY</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8837-2022</t>
        </is>
      </c>
      <c r="B2499" s="1" t="n">
        <v>44614</v>
      </c>
      <c r="C2499" s="1" t="n">
        <v>45792</v>
      </c>
      <c r="D2499" t="inlineStr">
        <is>
          <t>UPPSALA LÄN</t>
        </is>
      </c>
      <c r="E2499" t="inlineStr">
        <is>
          <t>HEBY</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8762-2022</t>
        </is>
      </c>
      <c r="B2500" s="1" t="n">
        <v>44614</v>
      </c>
      <c r="C2500" s="1" t="n">
        <v>45792</v>
      </c>
      <c r="D2500" t="inlineStr">
        <is>
          <t>UPPSALA LÄN</t>
        </is>
      </c>
      <c r="E2500" t="inlineStr">
        <is>
          <t>HEBY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8750-2022</t>
        </is>
      </c>
      <c r="B2501" s="1" t="n">
        <v>44614</v>
      </c>
      <c r="C2501" s="1" t="n">
        <v>45792</v>
      </c>
      <c r="D2501" t="inlineStr">
        <is>
          <t>UPPSALA LÄN</t>
        </is>
      </c>
      <c r="E2501" t="inlineStr">
        <is>
          <t>ÖSTHAMMAR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8856-2022</t>
        </is>
      </c>
      <c r="B2502" s="1" t="n">
        <v>44614</v>
      </c>
      <c r="C2502" s="1" t="n">
        <v>45792</v>
      </c>
      <c r="D2502" t="inlineStr">
        <is>
          <t>UPPSALA LÄN</t>
        </is>
      </c>
      <c r="E2502" t="inlineStr">
        <is>
          <t>HEBY</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8850-2022</t>
        </is>
      </c>
      <c r="B2503" s="1" t="n">
        <v>44614</v>
      </c>
      <c r="C2503" s="1" t="n">
        <v>45792</v>
      </c>
      <c r="D2503" t="inlineStr">
        <is>
          <t>UPPSALA LÄN</t>
        </is>
      </c>
      <c r="E2503" t="inlineStr">
        <is>
          <t>HEBY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8877-2022</t>
        </is>
      </c>
      <c r="B2504" s="1" t="n">
        <v>44614</v>
      </c>
      <c r="C2504" s="1" t="n">
        <v>45792</v>
      </c>
      <c r="D2504" t="inlineStr">
        <is>
          <t>UPPSALA LÄN</t>
        </is>
      </c>
      <c r="E2504" t="inlineStr">
        <is>
          <t>UPPSALA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8933-2022</t>
        </is>
      </c>
      <c r="B2505" s="1" t="n">
        <v>44614</v>
      </c>
      <c r="C2505" s="1" t="n">
        <v>45792</v>
      </c>
      <c r="D2505" t="inlineStr">
        <is>
          <t>UPPSALA LÄN</t>
        </is>
      </c>
      <c r="E2505" t="inlineStr">
        <is>
          <t>UPPSALA</t>
        </is>
      </c>
      <c r="F2505" t="inlineStr">
        <is>
          <t>Holmen skog AB</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9167-2022</t>
        </is>
      </c>
      <c r="B2506" s="1" t="n">
        <v>44615</v>
      </c>
      <c r="C2506" s="1" t="n">
        <v>45792</v>
      </c>
      <c r="D2506" t="inlineStr">
        <is>
          <t>UPPSALA LÄN</t>
        </is>
      </c>
      <c r="E2506" t="inlineStr">
        <is>
          <t>HEBY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9288-2022</t>
        </is>
      </c>
      <c r="B2507" s="1" t="n">
        <v>44616</v>
      </c>
      <c r="C2507" s="1" t="n">
        <v>45792</v>
      </c>
      <c r="D2507" t="inlineStr">
        <is>
          <t>UPPSALA LÄN</t>
        </is>
      </c>
      <c r="E2507" t="inlineStr">
        <is>
          <t>TIERP</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9206-2022</t>
        </is>
      </c>
      <c r="B2508" s="1" t="n">
        <v>44616</v>
      </c>
      <c r="C2508" s="1" t="n">
        <v>45792</v>
      </c>
      <c r="D2508" t="inlineStr">
        <is>
          <t>UPPSALA LÄN</t>
        </is>
      </c>
      <c r="E2508" t="inlineStr">
        <is>
          <t>UPPSALA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9246-2022</t>
        </is>
      </c>
      <c r="B2509" s="1" t="n">
        <v>44616</v>
      </c>
      <c r="C2509" s="1" t="n">
        <v>45792</v>
      </c>
      <c r="D2509" t="inlineStr">
        <is>
          <t>UPPSALA LÄN</t>
        </is>
      </c>
      <c r="E2509" t="inlineStr">
        <is>
          <t>HEBY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9242-2022</t>
        </is>
      </c>
      <c r="B2510" s="1" t="n">
        <v>44616</v>
      </c>
      <c r="C2510" s="1" t="n">
        <v>45792</v>
      </c>
      <c r="D2510" t="inlineStr">
        <is>
          <t>UPPSALA LÄN</t>
        </is>
      </c>
      <c r="E2510" t="inlineStr">
        <is>
          <t>UPPSALA</t>
        </is>
      </c>
      <c r="F2510" t="inlineStr">
        <is>
          <t>Övriga Aktiebolag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9564-2022</t>
        </is>
      </c>
      <c r="B2511" s="1" t="n">
        <v>44617</v>
      </c>
      <c r="C2511" s="1" t="n">
        <v>45792</v>
      </c>
      <c r="D2511" t="inlineStr">
        <is>
          <t>UPPSALA LÄN</t>
        </is>
      </c>
      <c r="E2511" t="inlineStr">
        <is>
          <t>TIERP</t>
        </is>
      </c>
      <c r="G2511" t="n">
        <v>11.9</v>
      </c>
      <c r="H2511" t="n">
        <v>0</v>
      </c>
      <c r="I2511" t="n">
        <v>0</v>
      </c>
      <c r="J2511" t="n">
        <v>0</v>
      </c>
      <c r="K2511" t="n">
        <v>0</v>
      </c>
      <c r="L2511" t="n">
        <v>0</v>
      </c>
      <c r="M2511" t="n">
        <v>0</v>
      </c>
      <c r="N2511" t="n">
        <v>0</v>
      </c>
      <c r="O2511" t="n">
        <v>0</v>
      </c>
      <c r="P2511" t="n">
        <v>0</v>
      </c>
      <c r="Q2511" t="n">
        <v>0</v>
      </c>
      <c r="R2511" s="2" t="inlineStr"/>
    </row>
    <row r="2512" ht="15" customHeight="1">
      <c r="A2512" t="inlineStr">
        <is>
          <t>A 9592-2022</t>
        </is>
      </c>
      <c r="B2512" s="1" t="n">
        <v>44617</v>
      </c>
      <c r="C2512" s="1" t="n">
        <v>45792</v>
      </c>
      <c r="D2512" t="inlineStr">
        <is>
          <t>UPPSALA LÄN</t>
        </is>
      </c>
      <c r="E2512" t="inlineStr">
        <is>
          <t>UPPSALA</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9755-2022</t>
        </is>
      </c>
      <c r="B2513" s="1" t="n">
        <v>44618</v>
      </c>
      <c r="C2513" s="1" t="n">
        <v>45792</v>
      </c>
      <c r="D2513" t="inlineStr">
        <is>
          <t>UPPSALA LÄN</t>
        </is>
      </c>
      <c r="E2513" t="inlineStr">
        <is>
          <t>ÖSTHAMMAR</t>
        </is>
      </c>
      <c r="F2513" t="inlineStr">
        <is>
          <t>Bergvik skog öst AB</t>
        </is>
      </c>
      <c r="G2513" t="n">
        <v>13.9</v>
      </c>
      <c r="H2513" t="n">
        <v>0</v>
      </c>
      <c r="I2513" t="n">
        <v>0</v>
      </c>
      <c r="J2513" t="n">
        <v>0</v>
      </c>
      <c r="K2513" t="n">
        <v>0</v>
      </c>
      <c r="L2513" t="n">
        <v>0</v>
      </c>
      <c r="M2513" t="n">
        <v>0</v>
      </c>
      <c r="N2513" t="n">
        <v>0</v>
      </c>
      <c r="O2513" t="n">
        <v>0</v>
      </c>
      <c r="P2513" t="n">
        <v>0</v>
      </c>
      <c r="Q2513" t="n">
        <v>0</v>
      </c>
      <c r="R2513" s="2" t="inlineStr"/>
    </row>
    <row r="2514" ht="15" customHeight="1">
      <c r="A2514" t="inlineStr">
        <is>
          <t>A 9794-2022</t>
        </is>
      </c>
      <c r="B2514" s="1" t="n">
        <v>44620</v>
      </c>
      <c r="C2514" s="1" t="n">
        <v>45792</v>
      </c>
      <c r="D2514" t="inlineStr">
        <is>
          <t>UPPSALA LÄN</t>
        </is>
      </c>
      <c r="E2514" t="inlineStr">
        <is>
          <t>HEBY</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9824-2022</t>
        </is>
      </c>
      <c r="B2515" s="1" t="n">
        <v>44620</v>
      </c>
      <c r="C2515" s="1" t="n">
        <v>45792</v>
      </c>
      <c r="D2515" t="inlineStr">
        <is>
          <t>UPPSALA LÄN</t>
        </is>
      </c>
      <c r="E2515" t="inlineStr">
        <is>
          <t>HEBY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9895-2022</t>
        </is>
      </c>
      <c r="B2516" s="1" t="n">
        <v>44620</v>
      </c>
      <c r="C2516" s="1" t="n">
        <v>45792</v>
      </c>
      <c r="D2516" t="inlineStr">
        <is>
          <t>UPPSALA LÄN</t>
        </is>
      </c>
      <c r="E2516" t="inlineStr">
        <is>
          <t>TIERP</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9789-2022</t>
        </is>
      </c>
      <c r="B2517" s="1" t="n">
        <v>44620</v>
      </c>
      <c r="C2517" s="1" t="n">
        <v>45792</v>
      </c>
      <c r="D2517" t="inlineStr">
        <is>
          <t>UPPSALA LÄN</t>
        </is>
      </c>
      <c r="E2517" t="inlineStr">
        <is>
          <t>ÖSTHAMMAR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9795-2022</t>
        </is>
      </c>
      <c r="B2518" s="1" t="n">
        <v>44620</v>
      </c>
      <c r="C2518" s="1" t="n">
        <v>45792</v>
      </c>
      <c r="D2518" t="inlineStr">
        <is>
          <t>UPPSALA LÄN</t>
        </is>
      </c>
      <c r="E2518" t="inlineStr">
        <is>
          <t>ÖSTHAMMAR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9815-2022</t>
        </is>
      </c>
      <c r="B2519" s="1" t="n">
        <v>44620</v>
      </c>
      <c r="C2519" s="1" t="n">
        <v>45792</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10202-2022</t>
        </is>
      </c>
      <c r="B2520" s="1" t="n">
        <v>44622</v>
      </c>
      <c r="C2520" s="1" t="n">
        <v>45792</v>
      </c>
      <c r="D2520" t="inlineStr">
        <is>
          <t>UPPSALA LÄN</t>
        </is>
      </c>
      <c r="E2520" t="inlineStr">
        <is>
          <t>ENKÖPING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10207-2022</t>
        </is>
      </c>
      <c r="B2521" s="1" t="n">
        <v>44622</v>
      </c>
      <c r="C2521" s="1" t="n">
        <v>45792</v>
      </c>
      <c r="D2521" t="inlineStr">
        <is>
          <t>UPPSALA LÄN</t>
        </is>
      </c>
      <c r="E2521" t="inlineStr">
        <is>
          <t>ENKÖPING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10287-2022</t>
        </is>
      </c>
      <c r="B2522" s="1" t="n">
        <v>44622</v>
      </c>
      <c r="C2522" s="1" t="n">
        <v>45792</v>
      </c>
      <c r="D2522" t="inlineStr">
        <is>
          <t>UPPSALA LÄN</t>
        </is>
      </c>
      <c r="E2522" t="inlineStr">
        <is>
          <t>ÖSTHAMMAR</t>
        </is>
      </c>
      <c r="F2522" t="inlineStr">
        <is>
          <t>Bergvik skog öst AB</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10294-2022</t>
        </is>
      </c>
      <c r="B2523" s="1" t="n">
        <v>44622</v>
      </c>
      <c r="C2523" s="1" t="n">
        <v>45792</v>
      </c>
      <c r="D2523" t="inlineStr">
        <is>
          <t>UPPSALA LÄN</t>
        </is>
      </c>
      <c r="E2523" t="inlineStr">
        <is>
          <t>ÖSTHAMMAR</t>
        </is>
      </c>
      <c r="F2523" t="inlineStr">
        <is>
          <t>Bergvik skog öst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10288-2022</t>
        </is>
      </c>
      <c r="B2524" s="1" t="n">
        <v>44622</v>
      </c>
      <c r="C2524" s="1" t="n">
        <v>45792</v>
      </c>
      <c r="D2524" t="inlineStr">
        <is>
          <t>UPPSALA LÄN</t>
        </is>
      </c>
      <c r="E2524" t="inlineStr">
        <is>
          <t>ÖSTHAMMAR</t>
        </is>
      </c>
      <c r="F2524" t="inlineStr">
        <is>
          <t>Bergvik skog öst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10298-2022</t>
        </is>
      </c>
      <c r="B2525" s="1" t="n">
        <v>44622</v>
      </c>
      <c r="C2525" s="1" t="n">
        <v>45792</v>
      </c>
      <c r="D2525" t="inlineStr">
        <is>
          <t>UPPSALA LÄN</t>
        </is>
      </c>
      <c r="E2525" t="inlineStr">
        <is>
          <t>ÖSTHAMMAR</t>
        </is>
      </c>
      <c r="F2525" t="inlineStr">
        <is>
          <t>Bergvik skog öst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10414-2022</t>
        </is>
      </c>
      <c r="B2526" s="1" t="n">
        <v>44623</v>
      </c>
      <c r="C2526" s="1" t="n">
        <v>45792</v>
      </c>
      <c r="D2526" t="inlineStr">
        <is>
          <t>UPPSALA LÄN</t>
        </is>
      </c>
      <c r="E2526" t="inlineStr">
        <is>
          <t>HEBY</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10411-2022</t>
        </is>
      </c>
      <c r="B2527" s="1" t="n">
        <v>44623</v>
      </c>
      <c r="C2527" s="1" t="n">
        <v>45792</v>
      </c>
      <c r="D2527" t="inlineStr">
        <is>
          <t>UPPSALA LÄN</t>
        </is>
      </c>
      <c r="E2527" t="inlineStr">
        <is>
          <t>UPPSALA</t>
        </is>
      </c>
      <c r="F2527" t="inlineStr">
        <is>
          <t>Övriga Aktiebolag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10447-2022</t>
        </is>
      </c>
      <c r="B2528" s="1" t="n">
        <v>44623</v>
      </c>
      <c r="C2528" s="1" t="n">
        <v>45792</v>
      </c>
      <c r="D2528" t="inlineStr">
        <is>
          <t>UPPSALA LÄN</t>
        </is>
      </c>
      <c r="E2528" t="inlineStr">
        <is>
          <t>HEBY</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10383-2022</t>
        </is>
      </c>
      <c r="B2529" s="1" t="n">
        <v>44623</v>
      </c>
      <c r="C2529" s="1" t="n">
        <v>45792</v>
      </c>
      <c r="D2529" t="inlineStr">
        <is>
          <t>UPPSALA LÄN</t>
        </is>
      </c>
      <c r="E2529" t="inlineStr">
        <is>
          <t>UPPSALA</t>
        </is>
      </c>
      <c r="F2529" t="inlineStr">
        <is>
          <t>Övriga Aktiebolag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10456-2022</t>
        </is>
      </c>
      <c r="B2530" s="1" t="n">
        <v>44623</v>
      </c>
      <c r="C2530" s="1" t="n">
        <v>45792</v>
      </c>
      <c r="D2530" t="inlineStr">
        <is>
          <t>UPPSALA LÄN</t>
        </is>
      </c>
      <c r="E2530" t="inlineStr">
        <is>
          <t>UPPSALA</t>
        </is>
      </c>
      <c r="F2530" t="inlineStr">
        <is>
          <t>Övriga Aktiebolag</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10458-2022</t>
        </is>
      </c>
      <c r="B2531" s="1" t="n">
        <v>44623</v>
      </c>
      <c r="C2531" s="1" t="n">
        <v>45792</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10465-2022</t>
        </is>
      </c>
      <c r="B2532" s="1" t="n">
        <v>44623</v>
      </c>
      <c r="C2532" s="1" t="n">
        <v>45792</v>
      </c>
      <c r="D2532" t="inlineStr">
        <is>
          <t>UPPSALA LÄN</t>
        </is>
      </c>
      <c r="E2532" t="inlineStr">
        <is>
          <t>ENKÖPING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10464-2022</t>
        </is>
      </c>
      <c r="B2533" s="1" t="n">
        <v>44623</v>
      </c>
      <c r="C2533" s="1" t="n">
        <v>45792</v>
      </c>
      <c r="D2533" t="inlineStr">
        <is>
          <t>UPPSALA LÄN</t>
        </is>
      </c>
      <c r="E2533" t="inlineStr">
        <is>
          <t>UPPSALA</t>
        </is>
      </c>
      <c r="F2533" t="inlineStr">
        <is>
          <t>Övriga Aktiebolag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10645-2022</t>
        </is>
      </c>
      <c r="B2534" s="1" t="n">
        <v>44624</v>
      </c>
      <c r="C2534" s="1" t="n">
        <v>45792</v>
      </c>
      <c r="D2534" t="inlineStr">
        <is>
          <t>UPPSALA LÄN</t>
        </is>
      </c>
      <c r="E2534" t="inlineStr">
        <is>
          <t>HEBY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10565-2022</t>
        </is>
      </c>
      <c r="B2535" s="1" t="n">
        <v>44624</v>
      </c>
      <c r="C2535" s="1" t="n">
        <v>45792</v>
      </c>
      <c r="D2535" t="inlineStr">
        <is>
          <t>UPPSALA LÄN</t>
        </is>
      </c>
      <c r="E2535" t="inlineStr">
        <is>
          <t>UPPSALA</t>
        </is>
      </c>
      <c r="F2535" t="inlineStr">
        <is>
          <t>Bergvik skog öst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10646-2022</t>
        </is>
      </c>
      <c r="B2536" s="1" t="n">
        <v>44624</v>
      </c>
      <c r="C2536" s="1" t="n">
        <v>45792</v>
      </c>
      <c r="D2536" t="inlineStr">
        <is>
          <t>UPPSALA LÄN</t>
        </is>
      </c>
      <c r="E2536" t="inlineStr">
        <is>
          <t>HEBY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10674-2022</t>
        </is>
      </c>
      <c r="B2537" s="1" t="n">
        <v>44624</v>
      </c>
      <c r="C2537" s="1" t="n">
        <v>45792</v>
      </c>
      <c r="D2537" t="inlineStr">
        <is>
          <t>UPPSALA LÄN</t>
        </is>
      </c>
      <c r="E2537" t="inlineStr">
        <is>
          <t>UPPSALA</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10783-2022</t>
        </is>
      </c>
      <c r="B2538" s="1" t="n">
        <v>44627</v>
      </c>
      <c r="C2538" s="1" t="n">
        <v>45792</v>
      </c>
      <c r="D2538" t="inlineStr">
        <is>
          <t>UPPSALA LÄN</t>
        </is>
      </c>
      <c r="E2538" t="inlineStr">
        <is>
          <t>TIERP</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10780-2022</t>
        </is>
      </c>
      <c r="B2539" s="1" t="n">
        <v>44627</v>
      </c>
      <c r="C2539" s="1" t="n">
        <v>45792</v>
      </c>
      <c r="D2539" t="inlineStr">
        <is>
          <t>UPPSALA LÄN</t>
        </is>
      </c>
      <c r="E2539" t="inlineStr">
        <is>
          <t>TIERP</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10785-2022</t>
        </is>
      </c>
      <c r="B2540" s="1" t="n">
        <v>44627</v>
      </c>
      <c r="C2540" s="1" t="n">
        <v>45792</v>
      </c>
      <c r="D2540" t="inlineStr">
        <is>
          <t>UPPSALA LÄN</t>
        </is>
      </c>
      <c r="E2540" t="inlineStr">
        <is>
          <t>TIERP</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10777-2022</t>
        </is>
      </c>
      <c r="B2541" s="1" t="n">
        <v>44627</v>
      </c>
      <c r="C2541" s="1" t="n">
        <v>45792</v>
      </c>
      <c r="D2541" t="inlineStr">
        <is>
          <t>UPPSALA LÄN</t>
        </is>
      </c>
      <c r="E2541" t="inlineStr">
        <is>
          <t>TIERP</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10980-2022</t>
        </is>
      </c>
      <c r="B2542" s="1" t="n">
        <v>44628</v>
      </c>
      <c r="C2542" s="1" t="n">
        <v>45792</v>
      </c>
      <c r="D2542" t="inlineStr">
        <is>
          <t>UPPSALA LÄN</t>
        </is>
      </c>
      <c r="E2542" t="inlineStr">
        <is>
          <t>ÖSTHAMMAR</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11162-2022</t>
        </is>
      </c>
      <c r="B2543" s="1" t="n">
        <v>44629</v>
      </c>
      <c r="C2543" s="1" t="n">
        <v>45792</v>
      </c>
      <c r="D2543" t="inlineStr">
        <is>
          <t>UPPSALA LÄN</t>
        </is>
      </c>
      <c r="E2543" t="inlineStr">
        <is>
          <t>UPPSALA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11224-2022</t>
        </is>
      </c>
      <c r="B2544" s="1" t="n">
        <v>44629</v>
      </c>
      <c r="C2544" s="1" t="n">
        <v>45792</v>
      </c>
      <c r="D2544" t="inlineStr">
        <is>
          <t>UPPSALA LÄN</t>
        </is>
      </c>
      <c r="E2544" t="inlineStr">
        <is>
          <t>UPPSALA</t>
        </is>
      </c>
      <c r="F2544" t="inlineStr">
        <is>
          <t>Bergvik skog öst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11547-2022</t>
        </is>
      </c>
      <c r="B2545" s="1" t="n">
        <v>44631</v>
      </c>
      <c r="C2545" s="1" t="n">
        <v>45792</v>
      </c>
      <c r="D2545" t="inlineStr">
        <is>
          <t>UPPSALA LÄN</t>
        </is>
      </c>
      <c r="E2545" t="inlineStr">
        <is>
          <t>ÖSTHAMMAR</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11529-2022</t>
        </is>
      </c>
      <c r="B2546" s="1" t="n">
        <v>44631</v>
      </c>
      <c r="C2546" s="1" t="n">
        <v>45792</v>
      </c>
      <c r="D2546" t="inlineStr">
        <is>
          <t>UPPSALA LÄN</t>
        </is>
      </c>
      <c r="E2546" t="inlineStr">
        <is>
          <t>TIERP</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11496-2022</t>
        </is>
      </c>
      <c r="B2547" s="1" t="n">
        <v>44631</v>
      </c>
      <c r="C2547" s="1" t="n">
        <v>45792</v>
      </c>
      <c r="D2547" t="inlineStr">
        <is>
          <t>UPPSALA LÄN</t>
        </is>
      </c>
      <c r="E2547" t="inlineStr">
        <is>
          <t>TIERP</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11643-2022</t>
        </is>
      </c>
      <c r="B2548" s="1" t="n">
        <v>44631</v>
      </c>
      <c r="C2548" s="1" t="n">
        <v>45792</v>
      </c>
      <c r="D2548" t="inlineStr">
        <is>
          <t>UPPSALA LÄN</t>
        </is>
      </c>
      <c r="E2548" t="inlineStr">
        <is>
          <t>ÖSTHAMMAR</t>
        </is>
      </c>
      <c r="F2548" t="inlineStr">
        <is>
          <t>Bergvik skog öst AB</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11787-2022</t>
        </is>
      </c>
      <c r="B2549" s="1" t="n">
        <v>44634</v>
      </c>
      <c r="C2549" s="1" t="n">
        <v>45792</v>
      </c>
      <c r="D2549" t="inlineStr">
        <is>
          <t>UPPSALA LÄN</t>
        </is>
      </c>
      <c r="E2549" t="inlineStr">
        <is>
          <t>UPPSALA</t>
        </is>
      </c>
      <c r="F2549" t="inlineStr">
        <is>
          <t>Holmen skog AB</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11824-2022</t>
        </is>
      </c>
      <c r="B2550" s="1" t="n">
        <v>44634</v>
      </c>
      <c r="C2550" s="1" t="n">
        <v>45792</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11693-2022</t>
        </is>
      </c>
      <c r="B2551" s="1" t="n">
        <v>44634</v>
      </c>
      <c r="C2551" s="1" t="n">
        <v>45792</v>
      </c>
      <c r="D2551" t="inlineStr">
        <is>
          <t>UPPSALA LÄN</t>
        </is>
      </c>
      <c r="E2551" t="inlineStr">
        <is>
          <t>UPPSALA</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11884-2022</t>
        </is>
      </c>
      <c r="B2552" s="1" t="n">
        <v>44635</v>
      </c>
      <c r="C2552" s="1" t="n">
        <v>45792</v>
      </c>
      <c r="D2552" t="inlineStr">
        <is>
          <t>UPPSALA LÄN</t>
        </is>
      </c>
      <c r="E2552" t="inlineStr">
        <is>
          <t>ÖSTHAMMAR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11987-2022</t>
        </is>
      </c>
      <c r="B2553" s="1" t="n">
        <v>44635</v>
      </c>
      <c r="C2553" s="1" t="n">
        <v>45792</v>
      </c>
      <c r="D2553" t="inlineStr">
        <is>
          <t>UPPSALA LÄN</t>
        </is>
      </c>
      <c r="E2553" t="inlineStr">
        <is>
          <t>ÖSTHAMMAR</t>
        </is>
      </c>
      <c r="F2553" t="inlineStr">
        <is>
          <t>Bergvik skog öst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11986-2022</t>
        </is>
      </c>
      <c r="B2554" s="1" t="n">
        <v>44635</v>
      </c>
      <c r="C2554" s="1" t="n">
        <v>45792</v>
      </c>
      <c r="D2554" t="inlineStr">
        <is>
          <t>UPPSALA LÄN</t>
        </is>
      </c>
      <c r="E2554" t="inlineStr">
        <is>
          <t>ÖSTHAMMAR</t>
        </is>
      </c>
      <c r="F2554" t="inlineStr">
        <is>
          <t>Bergvik skog öst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12176-2022</t>
        </is>
      </c>
      <c r="B2555" s="1" t="n">
        <v>44636</v>
      </c>
      <c r="C2555" s="1" t="n">
        <v>45792</v>
      </c>
      <c r="D2555" t="inlineStr">
        <is>
          <t>UPPSALA LÄN</t>
        </is>
      </c>
      <c r="E2555" t="inlineStr">
        <is>
          <t>ÖSTHAMMAR</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12189-2022</t>
        </is>
      </c>
      <c r="B2556" s="1" t="n">
        <v>44636</v>
      </c>
      <c r="C2556" s="1" t="n">
        <v>45792</v>
      </c>
      <c r="D2556" t="inlineStr">
        <is>
          <t>UPPSALA LÄN</t>
        </is>
      </c>
      <c r="E2556" t="inlineStr">
        <is>
          <t>TIERP</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12194-2022</t>
        </is>
      </c>
      <c r="B2557" s="1" t="n">
        <v>44636</v>
      </c>
      <c r="C2557" s="1" t="n">
        <v>45792</v>
      </c>
      <c r="D2557" t="inlineStr">
        <is>
          <t>UPPSALA LÄN</t>
        </is>
      </c>
      <c r="E2557" t="inlineStr">
        <is>
          <t>TIERP</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12221-2022</t>
        </is>
      </c>
      <c r="B2558" s="1" t="n">
        <v>44637</v>
      </c>
      <c r="C2558" s="1" t="n">
        <v>45792</v>
      </c>
      <c r="D2558" t="inlineStr">
        <is>
          <t>UPPSALA LÄN</t>
        </is>
      </c>
      <c r="E2558" t="inlineStr">
        <is>
          <t>UPPSALA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12293-2022</t>
        </is>
      </c>
      <c r="B2559" s="1" t="n">
        <v>44637</v>
      </c>
      <c r="C2559" s="1" t="n">
        <v>45792</v>
      </c>
      <c r="D2559" t="inlineStr">
        <is>
          <t>UPPSALA LÄN</t>
        </is>
      </c>
      <c r="E2559" t="inlineStr">
        <is>
          <t>UPPSALA</t>
        </is>
      </c>
      <c r="F2559" t="inlineStr">
        <is>
          <t>Kommuner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12449-2022</t>
        </is>
      </c>
      <c r="B2560" s="1" t="n">
        <v>44638</v>
      </c>
      <c r="C2560" s="1" t="n">
        <v>45792</v>
      </c>
      <c r="D2560" t="inlineStr">
        <is>
          <t>UPPSALA LÄN</t>
        </is>
      </c>
      <c r="E2560" t="inlineStr">
        <is>
          <t>TIERP</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12624-2022</t>
        </is>
      </c>
      <c r="B2561" s="1" t="n">
        <v>44641</v>
      </c>
      <c r="C2561" s="1" t="n">
        <v>45792</v>
      </c>
      <c r="D2561" t="inlineStr">
        <is>
          <t>UPPSALA LÄN</t>
        </is>
      </c>
      <c r="E2561" t="inlineStr">
        <is>
          <t>TIERP</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13009-2022</t>
        </is>
      </c>
      <c r="B2562" s="1" t="n">
        <v>44643</v>
      </c>
      <c r="C2562" s="1" t="n">
        <v>45792</v>
      </c>
      <c r="D2562" t="inlineStr">
        <is>
          <t>UPPSALA LÄN</t>
        </is>
      </c>
      <c r="E2562" t="inlineStr">
        <is>
          <t>UPPSALA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12999-2022</t>
        </is>
      </c>
      <c r="B2563" s="1" t="n">
        <v>44643</v>
      </c>
      <c r="C2563" s="1" t="n">
        <v>45792</v>
      </c>
      <c r="D2563" t="inlineStr">
        <is>
          <t>UPPSALA LÄN</t>
        </is>
      </c>
      <c r="E2563" t="inlineStr">
        <is>
          <t>ÖSTHAMMAR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13044-2022</t>
        </is>
      </c>
      <c r="B2564" s="1" t="n">
        <v>44643</v>
      </c>
      <c r="C2564" s="1" t="n">
        <v>45792</v>
      </c>
      <c r="D2564" t="inlineStr">
        <is>
          <t>UPPSALA LÄN</t>
        </is>
      </c>
      <c r="E2564" t="inlineStr">
        <is>
          <t>ÖSTHAMMAR</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13093-2022</t>
        </is>
      </c>
      <c r="B2565" s="1" t="n">
        <v>44643</v>
      </c>
      <c r="C2565" s="1" t="n">
        <v>45792</v>
      </c>
      <c r="D2565" t="inlineStr">
        <is>
          <t>UPPSALA LÄN</t>
        </is>
      </c>
      <c r="E2565" t="inlineStr">
        <is>
          <t>ÖSTHAMMAR</t>
        </is>
      </c>
      <c r="F2565" t="inlineStr">
        <is>
          <t>Bergvik skog öst AB</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13134-2022</t>
        </is>
      </c>
      <c r="B2566" s="1" t="n">
        <v>44644</v>
      </c>
      <c r="C2566" s="1" t="n">
        <v>45792</v>
      </c>
      <c r="D2566" t="inlineStr">
        <is>
          <t>UPPSALA LÄN</t>
        </is>
      </c>
      <c r="E2566" t="inlineStr">
        <is>
          <t>UPPSALA</t>
        </is>
      </c>
      <c r="F2566" t="inlineStr">
        <is>
          <t>Övriga Aktiebolag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13237-2022</t>
        </is>
      </c>
      <c r="B2567" s="1" t="n">
        <v>44644</v>
      </c>
      <c r="C2567" s="1" t="n">
        <v>45792</v>
      </c>
      <c r="D2567" t="inlineStr">
        <is>
          <t>UPPSALA LÄN</t>
        </is>
      </c>
      <c r="E2567" t="inlineStr">
        <is>
          <t>TIERP</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13213-2022</t>
        </is>
      </c>
      <c r="B2568" s="1" t="n">
        <v>44644</v>
      </c>
      <c r="C2568" s="1" t="n">
        <v>45792</v>
      </c>
      <c r="D2568" t="inlineStr">
        <is>
          <t>UPPSALA LÄN</t>
        </is>
      </c>
      <c r="E2568" t="inlineStr">
        <is>
          <t>HEBY</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13243-2022</t>
        </is>
      </c>
      <c r="B2569" s="1" t="n">
        <v>44644</v>
      </c>
      <c r="C2569" s="1" t="n">
        <v>45792</v>
      </c>
      <c r="D2569" t="inlineStr">
        <is>
          <t>UPPSALA LÄN</t>
        </is>
      </c>
      <c r="E2569" t="inlineStr">
        <is>
          <t>HEBY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13128-2022</t>
        </is>
      </c>
      <c r="B2570" s="1" t="n">
        <v>44644</v>
      </c>
      <c r="C2570" s="1" t="n">
        <v>45792</v>
      </c>
      <c r="D2570" t="inlineStr">
        <is>
          <t>UPPSALA LÄN</t>
        </is>
      </c>
      <c r="E2570" t="inlineStr">
        <is>
          <t>UPPSALA</t>
        </is>
      </c>
      <c r="F2570" t="inlineStr">
        <is>
          <t>Övriga Aktiebolag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13238-2022</t>
        </is>
      </c>
      <c r="B2571" s="1" t="n">
        <v>44644</v>
      </c>
      <c r="C2571" s="1" t="n">
        <v>45792</v>
      </c>
      <c r="D2571" t="inlineStr">
        <is>
          <t>UPPSALA LÄN</t>
        </is>
      </c>
      <c r="E2571" t="inlineStr">
        <is>
          <t>ÖSTHAMMAR</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13279-2022</t>
        </is>
      </c>
      <c r="B2572" s="1" t="n">
        <v>44644</v>
      </c>
      <c r="C2572" s="1" t="n">
        <v>45792</v>
      </c>
      <c r="D2572" t="inlineStr">
        <is>
          <t>UPPSALA LÄN</t>
        </is>
      </c>
      <c r="E2572" t="inlineStr">
        <is>
          <t>ÖSTHAMMAR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13386-2022</t>
        </is>
      </c>
      <c r="B2573" s="1" t="n">
        <v>44645</v>
      </c>
      <c r="C2573" s="1" t="n">
        <v>45792</v>
      </c>
      <c r="D2573" t="inlineStr">
        <is>
          <t>UPPSALA LÄN</t>
        </is>
      </c>
      <c r="E2573" t="inlineStr">
        <is>
          <t>UPPSALA</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13343-2022</t>
        </is>
      </c>
      <c r="B2574" s="1" t="n">
        <v>44645</v>
      </c>
      <c r="C2574" s="1" t="n">
        <v>45792</v>
      </c>
      <c r="D2574" t="inlineStr">
        <is>
          <t>UPPSALA LÄN</t>
        </is>
      </c>
      <c r="E2574" t="inlineStr">
        <is>
          <t>UPPSALA</t>
        </is>
      </c>
      <c r="F2574" t="inlineStr">
        <is>
          <t>Övriga Aktiebolag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13656-2022</t>
        </is>
      </c>
      <c r="B2575" s="1" t="n">
        <v>44648</v>
      </c>
      <c r="C2575" s="1" t="n">
        <v>45792</v>
      </c>
      <c r="D2575" t="inlineStr">
        <is>
          <t>UPPSALA LÄN</t>
        </is>
      </c>
      <c r="E2575" t="inlineStr">
        <is>
          <t>TIERP</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13650-2022</t>
        </is>
      </c>
      <c r="B2576" s="1" t="n">
        <v>44648</v>
      </c>
      <c r="C2576" s="1" t="n">
        <v>45792</v>
      </c>
      <c r="D2576" t="inlineStr">
        <is>
          <t>UPPSALA LÄN</t>
        </is>
      </c>
      <c r="E2576" t="inlineStr">
        <is>
          <t>TIERP</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13892-2022</t>
        </is>
      </c>
      <c r="B2577" s="1" t="n">
        <v>44649</v>
      </c>
      <c r="C2577" s="1" t="n">
        <v>45792</v>
      </c>
      <c r="D2577" t="inlineStr">
        <is>
          <t>UPPSALA LÄN</t>
        </is>
      </c>
      <c r="E2577" t="inlineStr">
        <is>
          <t>UPPSALA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13867-2022</t>
        </is>
      </c>
      <c r="B2578" s="1" t="n">
        <v>44649</v>
      </c>
      <c r="C2578" s="1" t="n">
        <v>45792</v>
      </c>
      <c r="D2578" t="inlineStr">
        <is>
          <t>UPPSALA LÄN</t>
        </is>
      </c>
      <c r="E2578" t="inlineStr">
        <is>
          <t>ÖSTHAMMAR</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13901-2022</t>
        </is>
      </c>
      <c r="B2579" s="1" t="n">
        <v>44649</v>
      </c>
      <c r="C2579" s="1" t="n">
        <v>45792</v>
      </c>
      <c r="D2579" t="inlineStr">
        <is>
          <t>UPPSALA LÄN</t>
        </is>
      </c>
      <c r="E2579" t="inlineStr">
        <is>
          <t>UPPSALA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13988-2022</t>
        </is>
      </c>
      <c r="B2580" s="1" t="n">
        <v>44650</v>
      </c>
      <c r="C2580" s="1" t="n">
        <v>45792</v>
      </c>
      <c r="D2580" t="inlineStr">
        <is>
          <t>UPPSALA LÄN</t>
        </is>
      </c>
      <c r="E2580" t="inlineStr">
        <is>
          <t>HEBY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14008-2022</t>
        </is>
      </c>
      <c r="B2581" s="1" t="n">
        <v>44650</v>
      </c>
      <c r="C2581" s="1" t="n">
        <v>45792</v>
      </c>
      <c r="D2581" t="inlineStr">
        <is>
          <t>UPPSALA LÄN</t>
        </is>
      </c>
      <c r="E2581" t="inlineStr">
        <is>
          <t>HEBY</t>
        </is>
      </c>
      <c r="F2581" t="inlineStr">
        <is>
          <t>Bergvik skog öst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14272-2022</t>
        </is>
      </c>
      <c r="B2582" s="1" t="n">
        <v>44651</v>
      </c>
      <c r="C2582" s="1" t="n">
        <v>45792</v>
      </c>
      <c r="D2582" t="inlineStr">
        <is>
          <t>UPPSALA LÄN</t>
        </is>
      </c>
      <c r="E2582" t="inlineStr">
        <is>
          <t>ÖSTHAMMAR</t>
        </is>
      </c>
      <c r="F2582" t="inlineStr">
        <is>
          <t>Bergvik skog öst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14124-2022</t>
        </is>
      </c>
      <c r="B2583" s="1" t="n">
        <v>44651</v>
      </c>
      <c r="C2583" s="1" t="n">
        <v>45792</v>
      </c>
      <c r="D2583" t="inlineStr">
        <is>
          <t>UPPSALA LÄN</t>
        </is>
      </c>
      <c r="E2583" t="inlineStr">
        <is>
          <t>ÖSTHAMMAR</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14187-2022</t>
        </is>
      </c>
      <c r="B2584" s="1" t="n">
        <v>44651</v>
      </c>
      <c r="C2584" s="1" t="n">
        <v>45792</v>
      </c>
      <c r="D2584" t="inlineStr">
        <is>
          <t>UPPSALA LÄN</t>
        </is>
      </c>
      <c r="E2584" t="inlineStr">
        <is>
          <t>ÖSTHAMMAR</t>
        </is>
      </c>
      <c r="F2584" t="inlineStr">
        <is>
          <t>Övriga Aktiebolag</t>
        </is>
      </c>
      <c r="G2584" t="n">
        <v>14.1</v>
      </c>
      <c r="H2584" t="n">
        <v>0</v>
      </c>
      <c r="I2584" t="n">
        <v>0</v>
      </c>
      <c r="J2584" t="n">
        <v>0</v>
      </c>
      <c r="K2584" t="n">
        <v>0</v>
      </c>
      <c r="L2584" t="n">
        <v>0</v>
      </c>
      <c r="M2584" t="n">
        <v>0</v>
      </c>
      <c r="N2584" t="n">
        <v>0</v>
      </c>
      <c r="O2584" t="n">
        <v>0</v>
      </c>
      <c r="P2584" t="n">
        <v>0</v>
      </c>
      <c r="Q2584" t="n">
        <v>0</v>
      </c>
      <c r="R2584" s="2" t="inlineStr"/>
    </row>
    <row r="2585" ht="15" customHeight="1">
      <c r="A2585" t="inlineStr">
        <is>
          <t>A 14271-2022</t>
        </is>
      </c>
      <c r="B2585" s="1" t="n">
        <v>44651</v>
      </c>
      <c r="C2585" s="1" t="n">
        <v>45792</v>
      </c>
      <c r="D2585" t="inlineStr">
        <is>
          <t>UPPSALA LÄN</t>
        </is>
      </c>
      <c r="E2585" t="inlineStr">
        <is>
          <t>ÖSTHAMMAR</t>
        </is>
      </c>
      <c r="F2585" t="inlineStr">
        <is>
          <t>Bergvik skog öst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14337-2022</t>
        </is>
      </c>
      <c r="B2586" s="1" t="n">
        <v>44652</v>
      </c>
      <c r="C2586" s="1" t="n">
        <v>45792</v>
      </c>
      <c r="D2586" t="inlineStr">
        <is>
          <t>UPPSALA LÄN</t>
        </is>
      </c>
      <c r="E2586" t="inlineStr">
        <is>
          <t>UPPSALA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14355-2022</t>
        </is>
      </c>
      <c r="B2587" s="1" t="n">
        <v>44652</v>
      </c>
      <c r="C2587" s="1" t="n">
        <v>45792</v>
      </c>
      <c r="D2587" t="inlineStr">
        <is>
          <t>UPPSALA LÄN</t>
        </is>
      </c>
      <c r="E2587" t="inlineStr">
        <is>
          <t>UPPSALA</t>
        </is>
      </c>
      <c r="F2587" t="inlineStr">
        <is>
          <t>Bergvik skog öst AB</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14340-2022</t>
        </is>
      </c>
      <c r="B2588" s="1" t="n">
        <v>44652</v>
      </c>
      <c r="C2588" s="1" t="n">
        <v>45792</v>
      </c>
      <c r="D2588" t="inlineStr">
        <is>
          <t>UPPSALA LÄN</t>
        </is>
      </c>
      <c r="E2588" t="inlineStr">
        <is>
          <t>UPPSALA</t>
        </is>
      </c>
      <c r="F2588" t="inlineStr">
        <is>
          <t>Bergvik skog öst AB</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14531-2022</t>
        </is>
      </c>
      <c r="B2589" s="1" t="n">
        <v>44655</v>
      </c>
      <c r="C2589" s="1" t="n">
        <v>45792</v>
      </c>
      <c r="D2589" t="inlineStr">
        <is>
          <t>UPPSALA LÄN</t>
        </is>
      </c>
      <c r="E2589" t="inlineStr">
        <is>
          <t>ENKÖPING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14603-2022</t>
        </is>
      </c>
      <c r="B2590" s="1" t="n">
        <v>44655</v>
      </c>
      <c r="C2590" s="1" t="n">
        <v>45792</v>
      </c>
      <c r="D2590" t="inlineStr">
        <is>
          <t>UPPSALA LÄN</t>
        </is>
      </c>
      <c r="E2590" t="inlineStr">
        <is>
          <t>HEBY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14602-2022</t>
        </is>
      </c>
      <c r="B2591" s="1" t="n">
        <v>44655</v>
      </c>
      <c r="C2591" s="1" t="n">
        <v>45792</v>
      </c>
      <c r="D2591" t="inlineStr">
        <is>
          <t>UPPSALA LÄN</t>
        </is>
      </c>
      <c r="E2591" t="inlineStr">
        <is>
          <t>HEBY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14622-2022</t>
        </is>
      </c>
      <c r="B2592" s="1" t="n">
        <v>44655</v>
      </c>
      <c r="C2592" s="1" t="n">
        <v>45792</v>
      </c>
      <c r="D2592" t="inlineStr">
        <is>
          <t>UPPSALA LÄN</t>
        </is>
      </c>
      <c r="E2592" t="inlineStr">
        <is>
          <t>UPPSALA</t>
        </is>
      </c>
      <c r="F2592" t="inlineStr">
        <is>
          <t>Övriga Aktiebolag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14671-2022</t>
        </is>
      </c>
      <c r="B2593" s="1" t="n">
        <v>44655</v>
      </c>
      <c r="C2593" s="1" t="n">
        <v>45792</v>
      </c>
      <c r="D2593" t="inlineStr">
        <is>
          <t>UPPSALA LÄN</t>
        </is>
      </c>
      <c r="E2593" t="inlineStr">
        <is>
          <t>ÖSTHAMMAR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14860-2022</t>
        </is>
      </c>
      <c r="B2594" s="1" t="n">
        <v>44656</v>
      </c>
      <c r="C2594" s="1" t="n">
        <v>45792</v>
      </c>
      <c r="D2594" t="inlineStr">
        <is>
          <t>UPPSALA LÄN</t>
        </is>
      </c>
      <c r="E2594" t="inlineStr">
        <is>
          <t>TIERP</t>
        </is>
      </c>
      <c r="F2594" t="inlineStr">
        <is>
          <t>Bergvik skog öst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15064-2022</t>
        </is>
      </c>
      <c r="B2595" s="1" t="n">
        <v>44657</v>
      </c>
      <c r="C2595" s="1" t="n">
        <v>45792</v>
      </c>
      <c r="D2595" t="inlineStr">
        <is>
          <t>UPPSALA LÄN</t>
        </is>
      </c>
      <c r="E2595" t="inlineStr">
        <is>
          <t>ÖSTHAMMAR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15021-2022</t>
        </is>
      </c>
      <c r="B2596" s="1" t="n">
        <v>44657</v>
      </c>
      <c r="C2596" s="1" t="n">
        <v>45792</v>
      </c>
      <c r="D2596" t="inlineStr">
        <is>
          <t>UPPSALA LÄN</t>
        </is>
      </c>
      <c r="E2596" t="inlineStr">
        <is>
          <t>ENKÖPING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15311-2022</t>
        </is>
      </c>
      <c r="B2597" s="1" t="n">
        <v>44659</v>
      </c>
      <c r="C2597" s="1" t="n">
        <v>45792</v>
      </c>
      <c r="D2597" t="inlineStr">
        <is>
          <t>UPPSALA LÄN</t>
        </is>
      </c>
      <c r="E2597" t="inlineStr">
        <is>
          <t>ÖSTHAMMAR</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15326-2022</t>
        </is>
      </c>
      <c r="B2598" s="1" t="n">
        <v>44659</v>
      </c>
      <c r="C2598" s="1" t="n">
        <v>45792</v>
      </c>
      <c r="D2598" t="inlineStr">
        <is>
          <t>UPPSALA LÄN</t>
        </is>
      </c>
      <c r="E2598" t="inlineStr">
        <is>
          <t>HEBY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15436-2022</t>
        </is>
      </c>
      <c r="B2599" s="1" t="n">
        <v>44659</v>
      </c>
      <c r="C2599" s="1" t="n">
        <v>45792</v>
      </c>
      <c r="D2599" t="inlineStr">
        <is>
          <t>UPPSALA LÄN</t>
        </is>
      </c>
      <c r="E2599" t="inlineStr">
        <is>
          <t>UPPSALA</t>
        </is>
      </c>
      <c r="G2599" t="n">
        <v>14.4</v>
      </c>
      <c r="H2599" t="n">
        <v>0</v>
      </c>
      <c r="I2599" t="n">
        <v>0</v>
      </c>
      <c r="J2599" t="n">
        <v>0</v>
      </c>
      <c r="K2599" t="n">
        <v>0</v>
      </c>
      <c r="L2599" t="n">
        <v>0</v>
      </c>
      <c r="M2599" t="n">
        <v>0</v>
      </c>
      <c r="N2599" t="n">
        <v>0</v>
      </c>
      <c r="O2599" t="n">
        <v>0</v>
      </c>
      <c r="P2599" t="n">
        <v>0</v>
      </c>
      <c r="Q2599" t="n">
        <v>0</v>
      </c>
      <c r="R2599" s="2" t="inlineStr"/>
    </row>
    <row r="2600" ht="15" customHeight="1">
      <c r="A2600" t="inlineStr">
        <is>
          <t>A 15377-2022</t>
        </is>
      </c>
      <c r="B2600" s="1" t="n">
        <v>44659</v>
      </c>
      <c r="C2600" s="1" t="n">
        <v>45792</v>
      </c>
      <c r="D2600" t="inlineStr">
        <is>
          <t>UPPSALA LÄN</t>
        </is>
      </c>
      <c r="E2600" t="inlineStr">
        <is>
          <t>UPPSALA</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15310-2022</t>
        </is>
      </c>
      <c r="B2601" s="1" t="n">
        <v>44659</v>
      </c>
      <c r="C2601" s="1" t="n">
        <v>45792</v>
      </c>
      <c r="D2601" t="inlineStr">
        <is>
          <t>UPPSALA LÄN</t>
        </is>
      </c>
      <c r="E2601" t="inlineStr">
        <is>
          <t>UPPSALA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15334-2022</t>
        </is>
      </c>
      <c r="B2602" s="1" t="n">
        <v>44659</v>
      </c>
      <c r="C2602" s="1" t="n">
        <v>45792</v>
      </c>
      <c r="D2602" t="inlineStr">
        <is>
          <t>UPPSALA LÄN</t>
        </is>
      </c>
      <c r="E2602" t="inlineStr">
        <is>
          <t>ÖSTHAMMAR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15447-2022</t>
        </is>
      </c>
      <c r="B2603" s="1" t="n">
        <v>44660</v>
      </c>
      <c r="C2603" s="1" t="n">
        <v>45792</v>
      </c>
      <c r="D2603" t="inlineStr">
        <is>
          <t>UPPSALA LÄN</t>
        </is>
      </c>
      <c r="E2603" t="inlineStr">
        <is>
          <t>ÖSTHAMMAR</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15445-2022</t>
        </is>
      </c>
      <c r="B2604" s="1" t="n">
        <v>44660</v>
      </c>
      <c r="C2604" s="1" t="n">
        <v>45792</v>
      </c>
      <c r="D2604" t="inlineStr">
        <is>
          <t>UPPSALA LÄN</t>
        </is>
      </c>
      <c r="E2604" t="inlineStr">
        <is>
          <t>ÖSTHAMMAR</t>
        </is>
      </c>
      <c r="F2604" t="inlineStr">
        <is>
          <t>Bergvik skog öst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15449-2022</t>
        </is>
      </c>
      <c r="B2605" s="1" t="n">
        <v>44660</v>
      </c>
      <c r="C2605" s="1" t="n">
        <v>45792</v>
      </c>
      <c r="D2605" t="inlineStr">
        <is>
          <t>UPPSALA LÄN</t>
        </is>
      </c>
      <c r="E2605" t="inlineStr">
        <is>
          <t>ÖSTHAMMAR</t>
        </is>
      </c>
      <c r="F2605" t="inlineStr">
        <is>
          <t>Bergvik skog öst AB</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15456-2022</t>
        </is>
      </c>
      <c r="B2606" s="1" t="n">
        <v>44661</v>
      </c>
      <c r="C2606" s="1" t="n">
        <v>45792</v>
      </c>
      <c r="D2606" t="inlineStr">
        <is>
          <t>UPPSALA LÄN</t>
        </is>
      </c>
      <c r="E2606" t="inlineStr">
        <is>
          <t>ÖSTHAMMAR</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15457-2022</t>
        </is>
      </c>
      <c r="B2607" s="1" t="n">
        <v>44661</v>
      </c>
      <c r="C2607" s="1" t="n">
        <v>45792</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15619-2022</t>
        </is>
      </c>
      <c r="B2608" s="1" t="n">
        <v>44662</v>
      </c>
      <c r="C2608" s="1" t="n">
        <v>45792</v>
      </c>
      <c r="D2608" t="inlineStr">
        <is>
          <t>UPPSALA LÄN</t>
        </is>
      </c>
      <c r="E2608" t="inlineStr">
        <is>
          <t>HEBY</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15614-2022</t>
        </is>
      </c>
      <c r="B2609" s="1" t="n">
        <v>44662</v>
      </c>
      <c r="C2609" s="1" t="n">
        <v>45792</v>
      </c>
      <c r="D2609" t="inlineStr">
        <is>
          <t>UPPSALA LÄN</t>
        </is>
      </c>
      <c r="E2609" t="inlineStr">
        <is>
          <t>HEBY</t>
        </is>
      </c>
      <c r="F2609" t="inlineStr">
        <is>
          <t>Bergvik skog öst AB</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15583-2022</t>
        </is>
      </c>
      <c r="B2610" s="1" t="n">
        <v>44662</v>
      </c>
      <c r="C2610" s="1" t="n">
        <v>45792</v>
      </c>
      <c r="D2610" t="inlineStr">
        <is>
          <t>UPPSALA LÄN</t>
        </is>
      </c>
      <c r="E2610" t="inlineStr">
        <is>
          <t>UPPSALA</t>
        </is>
      </c>
      <c r="F2610" t="inlineStr">
        <is>
          <t>Övriga Aktiebolag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15735-2022</t>
        </is>
      </c>
      <c r="B2611" s="1" t="n">
        <v>44663</v>
      </c>
      <c r="C2611" s="1" t="n">
        <v>45792</v>
      </c>
      <c r="D2611" t="inlineStr">
        <is>
          <t>UPPSALA LÄN</t>
        </is>
      </c>
      <c r="E2611" t="inlineStr">
        <is>
          <t>UPPSALA</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15847-2022</t>
        </is>
      </c>
      <c r="B2612" s="1" t="n">
        <v>44664</v>
      </c>
      <c r="C2612" s="1" t="n">
        <v>45792</v>
      </c>
      <c r="D2612" t="inlineStr">
        <is>
          <t>UPPSALA LÄN</t>
        </is>
      </c>
      <c r="E2612" t="inlineStr">
        <is>
          <t>ÖSTHAMMAR</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15924-2022</t>
        </is>
      </c>
      <c r="B2613" s="1" t="n">
        <v>44664</v>
      </c>
      <c r="C2613" s="1" t="n">
        <v>45792</v>
      </c>
      <c r="D2613" t="inlineStr">
        <is>
          <t>UPPSALA LÄN</t>
        </is>
      </c>
      <c r="E2613" t="inlineStr">
        <is>
          <t>ENKÖPING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15942-2022</t>
        </is>
      </c>
      <c r="B2614" s="1" t="n">
        <v>44664</v>
      </c>
      <c r="C2614" s="1" t="n">
        <v>45792</v>
      </c>
      <c r="D2614" t="inlineStr">
        <is>
          <t>UPPSALA LÄN</t>
        </is>
      </c>
      <c r="E2614" t="inlineStr">
        <is>
          <t>ENKÖPING</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15845-2022</t>
        </is>
      </c>
      <c r="B2615" s="1" t="n">
        <v>44664</v>
      </c>
      <c r="C2615" s="1" t="n">
        <v>45792</v>
      </c>
      <c r="D2615" t="inlineStr">
        <is>
          <t>UPPSALA LÄN</t>
        </is>
      </c>
      <c r="E2615" t="inlineStr">
        <is>
          <t>ÖSTHAMMAR</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15928-2022</t>
        </is>
      </c>
      <c r="B2616" s="1" t="n">
        <v>44664</v>
      </c>
      <c r="C2616" s="1" t="n">
        <v>45792</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15943-2022</t>
        </is>
      </c>
      <c r="B2617" s="1" t="n">
        <v>44664</v>
      </c>
      <c r="C2617" s="1" t="n">
        <v>45792</v>
      </c>
      <c r="D2617" t="inlineStr">
        <is>
          <t>UPPSALA LÄN</t>
        </is>
      </c>
      <c r="E2617" t="inlineStr">
        <is>
          <t>ENKÖPING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15939-2022</t>
        </is>
      </c>
      <c r="B2618" s="1" t="n">
        <v>44664</v>
      </c>
      <c r="C2618" s="1" t="n">
        <v>45792</v>
      </c>
      <c r="D2618" t="inlineStr">
        <is>
          <t>UPPSALA LÄN</t>
        </is>
      </c>
      <c r="E2618" t="inlineStr">
        <is>
          <t>ENKÖPING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16141-2022</t>
        </is>
      </c>
      <c r="B2619" s="1" t="n">
        <v>44665</v>
      </c>
      <c r="C2619" s="1" t="n">
        <v>45792</v>
      </c>
      <c r="D2619" t="inlineStr">
        <is>
          <t>UPPSALA LÄN</t>
        </is>
      </c>
      <c r="E2619" t="inlineStr">
        <is>
          <t>ÖSTHAMMAR</t>
        </is>
      </c>
      <c r="F2619" t="inlineStr">
        <is>
          <t>Bergvik skog öst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16126-2022</t>
        </is>
      </c>
      <c r="B2620" s="1" t="n">
        <v>44665</v>
      </c>
      <c r="C2620" s="1" t="n">
        <v>45792</v>
      </c>
      <c r="D2620" t="inlineStr">
        <is>
          <t>UPPSALA LÄN</t>
        </is>
      </c>
      <c r="E2620" t="inlineStr">
        <is>
          <t>UPPSALA</t>
        </is>
      </c>
      <c r="F2620" t="inlineStr">
        <is>
          <t>Bergvik skog öst AB</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16142-2022</t>
        </is>
      </c>
      <c r="B2621" s="1" t="n">
        <v>44665</v>
      </c>
      <c r="C2621" s="1" t="n">
        <v>45792</v>
      </c>
      <c r="D2621" t="inlineStr">
        <is>
          <t>UPPSALA LÄN</t>
        </is>
      </c>
      <c r="E2621" t="inlineStr">
        <is>
          <t>ÖSTHAMMAR</t>
        </is>
      </c>
      <c r="F2621" t="inlineStr">
        <is>
          <t>Bergvik skog öst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16167-2022</t>
        </is>
      </c>
      <c r="B2622" s="1" t="n">
        <v>44667</v>
      </c>
      <c r="C2622" s="1" t="n">
        <v>45792</v>
      </c>
      <c r="D2622" t="inlineStr">
        <is>
          <t>UPPSALA LÄN</t>
        </is>
      </c>
      <c r="E2622" t="inlineStr">
        <is>
          <t>ÖSTHAMMAR</t>
        </is>
      </c>
      <c r="F2622" t="inlineStr">
        <is>
          <t>Bergvik skog öst AB</t>
        </is>
      </c>
      <c r="G2622" t="n">
        <v>18.7</v>
      </c>
      <c r="H2622" t="n">
        <v>0</v>
      </c>
      <c r="I2622" t="n">
        <v>0</v>
      </c>
      <c r="J2622" t="n">
        <v>0</v>
      </c>
      <c r="K2622" t="n">
        <v>0</v>
      </c>
      <c r="L2622" t="n">
        <v>0</v>
      </c>
      <c r="M2622" t="n">
        <v>0</v>
      </c>
      <c r="N2622" t="n">
        <v>0</v>
      </c>
      <c r="O2622" t="n">
        <v>0</v>
      </c>
      <c r="P2622" t="n">
        <v>0</v>
      </c>
      <c r="Q2622" t="n">
        <v>0</v>
      </c>
      <c r="R2622" s="2" t="inlineStr"/>
    </row>
    <row r="2623" ht="15" customHeight="1">
      <c r="A2623" t="inlineStr">
        <is>
          <t>A 16185-2022</t>
        </is>
      </c>
      <c r="B2623" s="1" t="n">
        <v>44669</v>
      </c>
      <c r="C2623" s="1" t="n">
        <v>45792</v>
      </c>
      <c r="D2623" t="inlineStr">
        <is>
          <t>UPPSALA LÄN</t>
        </is>
      </c>
      <c r="E2623" t="inlineStr">
        <is>
          <t>ÖSTHAMMAR</t>
        </is>
      </c>
      <c r="F2623" t="inlineStr">
        <is>
          <t>Bergvik skog öst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16184-2022</t>
        </is>
      </c>
      <c r="B2624" s="1" t="n">
        <v>44669</v>
      </c>
      <c r="C2624" s="1" t="n">
        <v>45792</v>
      </c>
      <c r="D2624" t="inlineStr">
        <is>
          <t>UPPSALA LÄN</t>
        </is>
      </c>
      <c r="E2624" t="inlineStr">
        <is>
          <t>ÖSTHAMMAR</t>
        </is>
      </c>
      <c r="F2624" t="inlineStr">
        <is>
          <t>Bergvik skog öst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16253-2022</t>
        </is>
      </c>
      <c r="B2625" s="1" t="n">
        <v>44670</v>
      </c>
      <c r="C2625" s="1" t="n">
        <v>45792</v>
      </c>
      <c r="D2625" t="inlineStr">
        <is>
          <t>UPPSALA LÄN</t>
        </is>
      </c>
      <c r="E2625" t="inlineStr">
        <is>
          <t>TIERP</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16254-2022</t>
        </is>
      </c>
      <c r="B2626" s="1" t="n">
        <v>44670</v>
      </c>
      <c r="C2626" s="1" t="n">
        <v>45792</v>
      </c>
      <c r="D2626" t="inlineStr">
        <is>
          <t>UPPSALA LÄN</t>
        </is>
      </c>
      <c r="E2626" t="inlineStr">
        <is>
          <t>ÖSTHAMMAR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16556-2022</t>
        </is>
      </c>
      <c r="B2627" s="1" t="n">
        <v>44672</v>
      </c>
      <c r="C2627" s="1" t="n">
        <v>45792</v>
      </c>
      <c r="D2627" t="inlineStr">
        <is>
          <t>UPPSALA LÄN</t>
        </is>
      </c>
      <c r="E2627" t="inlineStr">
        <is>
          <t>TIERP</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16773-2022</t>
        </is>
      </c>
      <c r="B2628" s="1" t="n">
        <v>44673</v>
      </c>
      <c r="C2628" s="1" t="n">
        <v>45792</v>
      </c>
      <c r="D2628" t="inlineStr">
        <is>
          <t>UPPSALA LÄN</t>
        </is>
      </c>
      <c r="E2628" t="inlineStr">
        <is>
          <t>KNIVSTA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16804-2022</t>
        </is>
      </c>
      <c r="B2629" s="1" t="n">
        <v>44673</v>
      </c>
      <c r="C2629" s="1" t="n">
        <v>45792</v>
      </c>
      <c r="D2629" t="inlineStr">
        <is>
          <t>UPPSALA LÄN</t>
        </is>
      </c>
      <c r="E2629" t="inlineStr">
        <is>
          <t>UPPSALA</t>
        </is>
      </c>
      <c r="F2629" t="inlineStr">
        <is>
          <t>Bergvik skog öst AB</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16828-2022</t>
        </is>
      </c>
      <c r="B2630" s="1" t="n">
        <v>44673</v>
      </c>
      <c r="C2630" s="1" t="n">
        <v>45792</v>
      </c>
      <c r="D2630" t="inlineStr">
        <is>
          <t>UPPSALA LÄN</t>
        </is>
      </c>
      <c r="E2630" t="inlineStr">
        <is>
          <t>UPPSALA</t>
        </is>
      </c>
      <c r="F2630" t="inlineStr">
        <is>
          <t>Bergvik skog öst AB</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16827-2022</t>
        </is>
      </c>
      <c r="B2631" s="1" t="n">
        <v>44673</v>
      </c>
      <c r="C2631" s="1" t="n">
        <v>45792</v>
      </c>
      <c r="D2631" t="inlineStr">
        <is>
          <t>UPPSALA LÄN</t>
        </is>
      </c>
      <c r="E2631" t="inlineStr">
        <is>
          <t>UPPSALA</t>
        </is>
      </c>
      <c r="F2631" t="inlineStr">
        <is>
          <t>Bergvik skog öst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16798-2022</t>
        </is>
      </c>
      <c r="B2632" s="1" t="n">
        <v>44673</v>
      </c>
      <c r="C2632" s="1" t="n">
        <v>45792</v>
      </c>
      <c r="D2632" t="inlineStr">
        <is>
          <t>UPPSALA LÄN</t>
        </is>
      </c>
      <c r="E2632" t="inlineStr">
        <is>
          <t>HEBY</t>
        </is>
      </c>
      <c r="F2632" t="inlineStr">
        <is>
          <t>Allmännings- och besparingsskogar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16775-2022</t>
        </is>
      </c>
      <c r="B2633" s="1" t="n">
        <v>44673</v>
      </c>
      <c r="C2633" s="1" t="n">
        <v>45792</v>
      </c>
      <c r="D2633" t="inlineStr">
        <is>
          <t>UPPSALA LÄN</t>
        </is>
      </c>
      <c r="E2633" t="inlineStr">
        <is>
          <t>KNIVSTA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16831-2022</t>
        </is>
      </c>
      <c r="B2634" s="1" t="n">
        <v>44673</v>
      </c>
      <c r="C2634" s="1" t="n">
        <v>45792</v>
      </c>
      <c r="D2634" t="inlineStr">
        <is>
          <t>UPPSALA LÄN</t>
        </is>
      </c>
      <c r="E2634" t="inlineStr">
        <is>
          <t>UPPSALA</t>
        </is>
      </c>
      <c r="F2634" t="inlineStr">
        <is>
          <t>Bergvik skog öst AB</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16826-2022</t>
        </is>
      </c>
      <c r="B2635" s="1" t="n">
        <v>44673</v>
      </c>
      <c r="C2635" s="1" t="n">
        <v>45792</v>
      </c>
      <c r="D2635" t="inlineStr">
        <is>
          <t>UPPSALA LÄN</t>
        </is>
      </c>
      <c r="E2635" t="inlineStr">
        <is>
          <t>UPPSALA</t>
        </is>
      </c>
      <c r="F2635" t="inlineStr">
        <is>
          <t>Bergvik skog öst AB</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16942-2022</t>
        </is>
      </c>
      <c r="B2636" s="1" t="n">
        <v>44676</v>
      </c>
      <c r="C2636" s="1" t="n">
        <v>45792</v>
      </c>
      <c r="D2636" t="inlineStr">
        <is>
          <t>UPPSALA LÄN</t>
        </is>
      </c>
      <c r="E2636" t="inlineStr">
        <is>
          <t>UPPSALA</t>
        </is>
      </c>
      <c r="F2636" t="inlineStr">
        <is>
          <t>Bergvik skog öst AB</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16892-2022</t>
        </is>
      </c>
      <c r="B2637" s="1" t="n">
        <v>44676</v>
      </c>
      <c r="C2637" s="1" t="n">
        <v>45792</v>
      </c>
      <c r="D2637" t="inlineStr">
        <is>
          <t>UPPSALA LÄN</t>
        </is>
      </c>
      <c r="E2637" t="inlineStr">
        <is>
          <t>UPPSALA</t>
        </is>
      </c>
      <c r="F2637" t="inlineStr">
        <is>
          <t>Bergvik skog öst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16916-2022</t>
        </is>
      </c>
      <c r="B2638" s="1" t="n">
        <v>44676</v>
      </c>
      <c r="C2638" s="1" t="n">
        <v>45792</v>
      </c>
      <c r="D2638" t="inlineStr">
        <is>
          <t>UPPSALA LÄN</t>
        </is>
      </c>
      <c r="E2638" t="inlineStr">
        <is>
          <t>ENKÖPING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16967-2022</t>
        </is>
      </c>
      <c r="B2639" s="1" t="n">
        <v>44676</v>
      </c>
      <c r="C2639" s="1" t="n">
        <v>45792</v>
      </c>
      <c r="D2639" t="inlineStr">
        <is>
          <t>UPPSALA LÄN</t>
        </is>
      </c>
      <c r="E2639" t="inlineStr">
        <is>
          <t>ENKÖPING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16978-2022</t>
        </is>
      </c>
      <c r="B2640" s="1" t="n">
        <v>44676</v>
      </c>
      <c r="C2640" s="1" t="n">
        <v>45792</v>
      </c>
      <c r="D2640" t="inlineStr">
        <is>
          <t>UPPSALA LÄN</t>
        </is>
      </c>
      <c r="E2640" t="inlineStr">
        <is>
          <t>UPPSALA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16898-2022</t>
        </is>
      </c>
      <c r="B2641" s="1" t="n">
        <v>44676</v>
      </c>
      <c r="C2641" s="1" t="n">
        <v>45792</v>
      </c>
      <c r="D2641" t="inlineStr">
        <is>
          <t>UPPSALA LÄN</t>
        </is>
      </c>
      <c r="E2641" t="inlineStr">
        <is>
          <t>UPPSALA</t>
        </is>
      </c>
      <c r="F2641" t="inlineStr">
        <is>
          <t>Bergvik skog öst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16933-2022</t>
        </is>
      </c>
      <c r="B2642" s="1" t="n">
        <v>44676</v>
      </c>
      <c r="C2642" s="1" t="n">
        <v>45792</v>
      </c>
      <c r="D2642" t="inlineStr">
        <is>
          <t>UPPSALA LÄN</t>
        </is>
      </c>
      <c r="E2642" t="inlineStr">
        <is>
          <t>ÖSTHAMMAR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16990-2022</t>
        </is>
      </c>
      <c r="B2643" s="1" t="n">
        <v>44676</v>
      </c>
      <c r="C2643" s="1" t="n">
        <v>45792</v>
      </c>
      <c r="D2643" t="inlineStr">
        <is>
          <t>UPPSALA LÄN</t>
        </is>
      </c>
      <c r="E2643" t="inlineStr">
        <is>
          <t>ÄLVKARLEBY</t>
        </is>
      </c>
      <c r="F2643" t="inlineStr">
        <is>
          <t>Bergvik skog väst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17013-2022</t>
        </is>
      </c>
      <c r="B2644" s="1" t="n">
        <v>44676</v>
      </c>
      <c r="C2644" s="1" t="n">
        <v>45792</v>
      </c>
      <c r="D2644" t="inlineStr">
        <is>
          <t>UPPSALA LÄN</t>
        </is>
      </c>
      <c r="E2644" t="inlineStr">
        <is>
          <t>ÖSTHAMMAR</t>
        </is>
      </c>
      <c r="F2644" t="inlineStr">
        <is>
          <t>Bergvik skog öst AB</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17158-2022</t>
        </is>
      </c>
      <c r="B2645" s="1" t="n">
        <v>44677</v>
      </c>
      <c r="C2645" s="1" t="n">
        <v>45792</v>
      </c>
      <c r="D2645" t="inlineStr">
        <is>
          <t>UPPSALA LÄN</t>
        </is>
      </c>
      <c r="E2645" t="inlineStr">
        <is>
          <t>TIERP</t>
        </is>
      </c>
      <c r="F2645" t="inlineStr">
        <is>
          <t>Övriga Aktiebolag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17074-2022</t>
        </is>
      </c>
      <c r="B2646" s="1" t="n">
        <v>44677</v>
      </c>
      <c r="C2646" s="1" t="n">
        <v>45792</v>
      </c>
      <c r="D2646" t="inlineStr">
        <is>
          <t>UPPSALA LÄN</t>
        </is>
      </c>
      <c r="E2646" t="inlineStr">
        <is>
          <t>TIERP</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17298-2022</t>
        </is>
      </c>
      <c r="B2647" s="1" t="n">
        <v>44678</v>
      </c>
      <c r="C2647" s="1" t="n">
        <v>45792</v>
      </c>
      <c r="D2647" t="inlineStr">
        <is>
          <t>UPPSALA LÄN</t>
        </is>
      </c>
      <c r="E2647" t="inlineStr">
        <is>
          <t>ENKÖPING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17332-2022</t>
        </is>
      </c>
      <c r="B2648" s="1" t="n">
        <v>44678</v>
      </c>
      <c r="C2648" s="1" t="n">
        <v>45792</v>
      </c>
      <c r="D2648" t="inlineStr">
        <is>
          <t>UPPSALA LÄN</t>
        </is>
      </c>
      <c r="E2648" t="inlineStr">
        <is>
          <t>HEBY</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17232-2022</t>
        </is>
      </c>
      <c r="B2649" s="1" t="n">
        <v>44678</v>
      </c>
      <c r="C2649" s="1" t="n">
        <v>45792</v>
      </c>
      <c r="D2649" t="inlineStr">
        <is>
          <t>UPPSALA LÄN</t>
        </is>
      </c>
      <c r="E2649" t="inlineStr">
        <is>
          <t>UPPSALA</t>
        </is>
      </c>
      <c r="F2649" t="inlineStr">
        <is>
          <t>Övriga Aktiebolag</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17465-2022</t>
        </is>
      </c>
      <c r="B2650" s="1" t="n">
        <v>44679</v>
      </c>
      <c r="C2650" s="1" t="n">
        <v>45792</v>
      </c>
      <c r="D2650" t="inlineStr">
        <is>
          <t>UPPSALA LÄN</t>
        </is>
      </c>
      <c r="E2650" t="inlineStr">
        <is>
          <t>ENKÖPING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17467-2022</t>
        </is>
      </c>
      <c r="B2651" s="1" t="n">
        <v>44679</v>
      </c>
      <c r="C2651" s="1" t="n">
        <v>45792</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17562-2022</t>
        </is>
      </c>
      <c r="B2652" s="1" t="n">
        <v>44679</v>
      </c>
      <c r="C2652" s="1" t="n">
        <v>45792</v>
      </c>
      <c r="D2652" t="inlineStr">
        <is>
          <t>UPPSALA LÄN</t>
        </is>
      </c>
      <c r="E2652" t="inlineStr">
        <is>
          <t>UPPSALA</t>
        </is>
      </c>
      <c r="F2652" t="inlineStr">
        <is>
          <t>Bergvik skog öst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17558-2022</t>
        </is>
      </c>
      <c r="B2653" s="1" t="n">
        <v>44679</v>
      </c>
      <c r="C2653" s="1" t="n">
        <v>45792</v>
      </c>
      <c r="D2653" t="inlineStr">
        <is>
          <t>UPPSALA LÄN</t>
        </is>
      </c>
      <c r="E2653" t="inlineStr">
        <is>
          <t>UPPSALA</t>
        </is>
      </c>
      <c r="F2653" t="inlineStr">
        <is>
          <t>Bergvik skog öst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17453-2022</t>
        </is>
      </c>
      <c r="B2654" s="1" t="n">
        <v>44679</v>
      </c>
      <c r="C2654" s="1" t="n">
        <v>45792</v>
      </c>
      <c r="D2654" t="inlineStr">
        <is>
          <t>UPPSALA LÄN</t>
        </is>
      </c>
      <c r="E2654" t="inlineStr">
        <is>
          <t>ENKÖPING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17719-2022</t>
        </is>
      </c>
      <c r="B2655" s="1" t="n">
        <v>44680</v>
      </c>
      <c r="C2655" s="1" t="n">
        <v>45792</v>
      </c>
      <c r="D2655" t="inlineStr">
        <is>
          <t>UPPSALA LÄN</t>
        </is>
      </c>
      <c r="E2655" t="inlineStr">
        <is>
          <t>ENKÖPING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17704-2022</t>
        </is>
      </c>
      <c r="B2656" s="1" t="n">
        <v>44680</v>
      </c>
      <c r="C2656" s="1" t="n">
        <v>45792</v>
      </c>
      <c r="D2656" t="inlineStr">
        <is>
          <t>UPPSALA LÄN</t>
        </is>
      </c>
      <c r="E2656" t="inlineStr">
        <is>
          <t>ENKÖPING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17947-2022</t>
        </is>
      </c>
      <c r="B2657" s="1" t="n">
        <v>44683</v>
      </c>
      <c r="C2657" s="1" t="n">
        <v>45792</v>
      </c>
      <c r="D2657" t="inlineStr">
        <is>
          <t>UPPSALA LÄN</t>
        </is>
      </c>
      <c r="E2657" t="inlineStr">
        <is>
          <t>ÖSTHAMMAR</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17981-2022</t>
        </is>
      </c>
      <c r="B2658" s="1" t="n">
        <v>44683</v>
      </c>
      <c r="C2658" s="1" t="n">
        <v>45792</v>
      </c>
      <c r="D2658" t="inlineStr">
        <is>
          <t>UPPSALA LÄN</t>
        </is>
      </c>
      <c r="E2658" t="inlineStr">
        <is>
          <t>UPPSALA</t>
        </is>
      </c>
      <c r="F2658" t="inlineStr">
        <is>
          <t>Bergvik skog öst AB</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18097-2022</t>
        </is>
      </c>
      <c r="B2659" s="1" t="n">
        <v>44684</v>
      </c>
      <c r="C2659" s="1" t="n">
        <v>45792</v>
      </c>
      <c r="D2659" t="inlineStr">
        <is>
          <t>UPPSALA LÄN</t>
        </is>
      </c>
      <c r="E2659" t="inlineStr">
        <is>
          <t>TIERP</t>
        </is>
      </c>
      <c r="F2659" t="inlineStr">
        <is>
          <t>Bergvik skog öst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18144-2022</t>
        </is>
      </c>
      <c r="B2660" s="1" t="n">
        <v>44684</v>
      </c>
      <c r="C2660" s="1" t="n">
        <v>45792</v>
      </c>
      <c r="D2660" t="inlineStr">
        <is>
          <t>UPPSALA LÄN</t>
        </is>
      </c>
      <c r="E2660" t="inlineStr">
        <is>
          <t>HEBY</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18183-2022</t>
        </is>
      </c>
      <c r="B2661" s="1" t="n">
        <v>44684</v>
      </c>
      <c r="C2661" s="1" t="n">
        <v>45792</v>
      </c>
      <c r="D2661" t="inlineStr">
        <is>
          <t>UPPSALA LÄN</t>
        </is>
      </c>
      <c r="E2661" t="inlineStr">
        <is>
          <t>ÖSTHAMMAR</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18130-2022</t>
        </is>
      </c>
      <c r="B2662" s="1" t="n">
        <v>44684</v>
      </c>
      <c r="C2662" s="1" t="n">
        <v>45792</v>
      </c>
      <c r="D2662" t="inlineStr">
        <is>
          <t>UPPSALA LÄN</t>
        </is>
      </c>
      <c r="E2662" t="inlineStr">
        <is>
          <t>TIERP</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18330-2022</t>
        </is>
      </c>
      <c r="B2663" s="1" t="n">
        <v>44685</v>
      </c>
      <c r="C2663" s="1" t="n">
        <v>45792</v>
      </c>
      <c r="D2663" t="inlineStr">
        <is>
          <t>UPPSALA LÄN</t>
        </is>
      </c>
      <c r="E2663" t="inlineStr">
        <is>
          <t>UPPSALA</t>
        </is>
      </c>
      <c r="F2663" t="inlineStr">
        <is>
          <t>Bergvik skog öst AB</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18336-2022</t>
        </is>
      </c>
      <c r="B2664" s="1" t="n">
        <v>44685</v>
      </c>
      <c r="C2664" s="1" t="n">
        <v>45792</v>
      </c>
      <c r="D2664" t="inlineStr">
        <is>
          <t>UPPSALA LÄN</t>
        </is>
      </c>
      <c r="E2664" t="inlineStr">
        <is>
          <t>HEBY</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18258-2022</t>
        </is>
      </c>
      <c r="B2665" s="1" t="n">
        <v>44685</v>
      </c>
      <c r="C2665" s="1" t="n">
        <v>45792</v>
      </c>
      <c r="D2665" t="inlineStr">
        <is>
          <t>UPPSALA LÄN</t>
        </is>
      </c>
      <c r="E2665" t="inlineStr">
        <is>
          <t>KNIVSTA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18521-2022</t>
        </is>
      </c>
      <c r="B2666" s="1" t="n">
        <v>44686</v>
      </c>
      <c r="C2666" s="1" t="n">
        <v>45792</v>
      </c>
      <c r="D2666" t="inlineStr">
        <is>
          <t>UPPSALA LÄN</t>
        </is>
      </c>
      <c r="E2666" t="inlineStr">
        <is>
          <t>UPPSALA</t>
        </is>
      </c>
      <c r="F2666" t="inlineStr">
        <is>
          <t>Bergvik skog öst AB</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18431-2022</t>
        </is>
      </c>
      <c r="B2667" s="1" t="n">
        <v>44686</v>
      </c>
      <c r="C2667" s="1" t="n">
        <v>45792</v>
      </c>
      <c r="D2667" t="inlineStr">
        <is>
          <t>UPPSALA LÄN</t>
        </is>
      </c>
      <c r="E2667" t="inlineStr">
        <is>
          <t>TIERP</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18732-2022</t>
        </is>
      </c>
      <c r="B2668" s="1" t="n">
        <v>44687</v>
      </c>
      <c r="C2668" s="1" t="n">
        <v>45792</v>
      </c>
      <c r="D2668" t="inlineStr">
        <is>
          <t>UPPSALA LÄN</t>
        </is>
      </c>
      <c r="E2668" t="inlineStr">
        <is>
          <t>ÖSTHAMMAR</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18583-2022</t>
        </is>
      </c>
      <c r="B2669" s="1" t="n">
        <v>44687</v>
      </c>
      <c r="C2669" s="1" t="n">
        <v>45792</v>
      </c>
      <c r="D2669" t="inlineStr">
        <is>
          <t>UPPSALA LÄN</t>
        </is>
      </c>
      <c r="E2669" t="inlineStr">
        <is>
          <t>UPPSALA</t>
        </is>
      </c>
      <c r="F2669" t="inlineStr">
        <is>
          <t>Övriga Aktiebolag</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18609-2022</t>
        </is>
      </c>
      <c r="B2670" s="1" t="n">
        <v>44687</v>
      </c>
      <c r="C2670" s="1" t="n">
        <v>45792</v>
      </c>
      <c r="D2670" t="inlineStr">
        <is>
          <t>UPPSALA LÄN</t>
        </is>
      </c>
      <c r="E2670" t="inlineStr">
        <is>
          <t>TIERP</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18727-2022</t>
        </is>
      </c>
      <c r="B2671" s="1" t="n">
        <v>44687</v>
      </c>
      <c r="C2671" s="1" t="n">
        <v>45792</v>
      </c>
      <c r="D2671" t="inlineStr">
        <is>
          <t>UPPSALA LÄN</t>
        </is>
      </c>
      <c r="E2671" t="inlineStr">
        <is>
          <t>ÖSTHAMMAR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18728-2022</t>
        </is>
      </c>
      <c r="B2672" s="1" t="n">
        <v>44687</v>
      </c>
      <c r="C2672" s="1" t="n">
        <v>45792</v>
      </c>
      <c r="D2672" t="inlineStr">
        <is>
          <t>UPPSALA LÄN</t>
        </is>
      </c>
      <c r="E2672" t="inlineStr">
        <is>
          <t>ÖSTHAMMAR</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18734-2022</t>
        </is>
      </c>
      <c r="B2673" s="1" t="n">
        <v>44687</v>
      </c>
      <c r="C2673" s="1" t="n">
        <v>45792</v>
      </c>
      <c r="D2673" t="inlineStr">
        <is>
          <t>UPPSALA LÄN</t>
        </is>
      </c>
      <c r="E2673" t="inlineStr">
        <is>
          <t>ÖSTHAMMAR</t>
        </is>
      </c>
      <c r="F2673" t="inlineStr">
        <is>
          <t>Bergvik skog öst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18731-2022</t>
        </is>
      </c>
      <c r="B2674" s="1" t="n">
        <v>44687</v>
      </c>
      <c r="C2674" s="1" t="n">
        <v>45792</v>
      </c>
      <c r="D2674" t="inlineStr">
        <is>
          <t>UPPSALA LÄN</t>
        </is>
      </c>
      <c r="E2674" t="inlineStr">
        <is>
          <t>ÖSTHAMMAR</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18736-2022</t>
        </is>
      </c>
      <c r="B2675" s="1" t="n">
        <v>44687</v>
      </c>
      <c r="C2675" s="1" t="n">
        <v>45792</v>
      </c>
      <c r="D2675" t="inlineStr">
        <is>
          <t>UPPSALA LÄN</t>
        </is>
      </c>
      <c r="E2675" t="inlineStr">
        <is>
          <t>ÖSTHAMMAR</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18785-2022</t>
        </is>
      </c>
      <c r="B2676" s="1" t="n">
        <v>44687</v>
      </c>
      <c r="C2676" s="1" t="n">
        <v>45792</v>
      </c>
      <c r="D2676" t="inlineStr">
        <is>
          <t>UPPSALA LÄN</t>
        </is>
      </c>
      <c r="E2676" t="inlineStr">
        <is>
          <t>ENKÖPING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18781-2022</t>
        </is>
      </c>
      <c r="B2677" s="1" t="n">
        <v>44689</v>
      </c>
      <c r="C2677" s="1" t="n">
        <v>45792</v>
      </c>
      <c r="D2677" t="inlineStr">
        <is>
          <t>UPPSALA LÄN</t>
        </is>
      </c>
      <c r="E2677" t="inlineStr">
        <is>
          <t>TIERP</t>
        </is>
      </c>
      <c r="F2677" t="inlineStr">
        <is>
          <t>Kyrkan</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18820-2022</t>
        </is>
      </c>
      <c r="B2678" s="1" t="n">
        <v>44690</v>
      </c>
      <c r="C2678" s="1" t="n">
        <v>45792</v>
      </c>
      <c r="D2678" t="inlineStr">
        <is>
          <t>UPPSALA LÄN</t>
        </is>
      </c>
      <c r="E2678" t="inlineStr">
        <is>
          <t>KNIVSTA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18960-2022</t>
        </is>
      </c>
      <c r="B2679" s="1" t="n">
        <v>44690</v>
      </c>
      <c r="C2679" s="1" t="n">
        <v>45792</v>
      </c>
      <c r="D2679" t="inlineStr">
        <is>
          <t>UPPSALA LÄN</t>
        </is>
      </c>
      <c r="E2679" t="inlineStr">
        <is>
          <t>UPPSALA</t>
        </is>
      </c>
      <c r="F2679" t="inlineStr">
        <is>
          <t>Bergvik skog öst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19034-2022</t>
        </is>
      </c>
      <c r="B2680" s="1" t="n">
        <v>44691</v>
      </c>
      <c r="C2680" s="1" t="n">
        <v>45792</v>
      </c>
      <c r="D2680" t="inlineStr">
        <is>
          <t>UPPSALA LÄN</t>
        </is>
      </c>
      <c r="E2680" t="inlineStr">
        <is>
          <t>UPPSALA</t>
        </is>
      </c>
      <c r="F2680" t="inlineStr">
        <is>
          <t>Bergvik skog öst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19174-2022</t>
        </is>
      </c>
      <c r="B2681" s="1" t="n">
        <v>44691</v>
      </c>
      <c r="C2681" s="1" t="n">
        <v>45792</v>
      </c>
      <c r="D2681" t="inlineStr">
        <is>
          <t>UPPSALA LÄN</t>
        </is>
      </c>
      <c r="E2681" t="inlineStr">
        <is>
          <t>ÖSTHAMMAR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19181-2022</t>
        </is>
      </c>
      <c r="B2682" s="1" t="n">
        <v>44691</v>
      </c>
      <c r="C2682" s="1" t="n">
        <v>45792</v>
      </c>
      <c r="D2682" t="inlineStr">
        <is>
          <t>UPPSALA LÄN</t>
        </is>
      </c>
      <c r="E2682" t="inlineStr">
        <is>
          <t>ÖSTHAMMAR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19184-2022</t>
        </is>
      </c>
      <c r="B2683" s="1" t="n">
        <v>44691</v>
      </c>
      <c r="C2683" s="1" t="n">
        <v>45792</v>
      </c>
      <c r="D2683" t="inlineStr">
        <is>
          <t>UPPSALA LÄN</t>
        </is>
      </c>
      <c r="E2683" t="inlineStr">
        <is>
          <t>HEBY</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19287-2022</t>
        </is>
      </c>
      <c r="B2684" s="1" t="n">
        <v>44692</v>
      </c>
      <c r="C2684" s="1" t="n">
        <v>45792</v>
      </c>
      <c r="D2684" t="inlineStr">
        <is>
          <t>UPPSALA LÄN</t>
        </is>
      </c>
      <c r="E2684" t="inlineStr">
        <is>
          <t>ÖSTHAMMAR</t>
        </is>
      </c>
      <c r="F2684" t="inlineStr">
        <is>
          <t>Bergvik skog öst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19240-2022</t>
        </is>
      </c>
      <c r="B2685" s="1" t="n">
        <v>44692</v>
      </c>
      <c r="C2685" s="1" t="n">
        <v>45792</v>
      </c>
      <c r="D2685" t="inlineStr">
        <is>
          <t>UPPSALA LÄN</t>
        </is>
      </c>
      <c r="E2685" t="inlineStr">
        <is>
          <t>UPPSALA</t>
        </is>
      </c>
      <c r="F2685" t="inlineStr">
        <is>
          <t>Bergvik skog öst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19375-2022</t>
        </is>
      </c>
      <c r="B2686" s="1" t="n">
        <v>44692</v>
      </c>
      <c r="C2686" s="1" t="n">
        <v>45792</v>
      </c>
      <c r="D2686" t="inlineStr">
        <is>
          <t>UPPSALA LÄN</t>
        </is>
      </c>
      <c r="E2686" t="inlineStr">
        <is>
          <t>UPPSALA</t>
        </is>
      </c>
      <c r="F2686" t="inlineStr">
        <is>
          <t>Bergvik skog öst AB</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19380-2022</t>
        </is>
      </c>
      <c r="B2687" s="1" t="n">
        <v>44692</v>
      </c>
      <c r="C2687" s="1" t="n">
        <v>45792</v>
      </c>
      <c r="D2687" t="inlineStr">
        <is>
          <t>UPPSALA LÄN</t>
        </is>
      </c>
      <c r="E2687" t="inlineStr">
        <is>
          <t>UPPSALA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19382-2022</t>
        </is>
      </c>
      <c r="B2688" s="1" t="n">
        <v>44692</v>
      </c>
      <c r="C2688" s="1" t="n">
        <v>45792</v>
      </c>
      <c r="D2688" t="inlineStr">
        <is>
          <t>UPPSALA LÄN</t>
        </is>
      </c>
      <c r="E2688" t="inlineStr">
        <is>
          <t>UPPSALA</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19487-2022</t>
        </is>
      </c>
      <c r="B2689" s="1" t="n">
        <v>44693</v>
      </c>
      <c r="C2689" s="1" t="n">
        <v>45792</v>
      </c>
      <c r="D2689" t="inlineStr">
        <is>
          <t>UPPSALA LÄN</t>
        </is>
      </c>
      <c r="E2689" t="inlineStr">
        <is>
          <t>ENKÖPING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19488-2022</t>
        </is>
      </c>
      <c r="B2690" s="1" t="n">
        <v>44693</v>
      </c>
      <c r="C2690" s="1" t="n">
        <v>45792</v>
      </c>
      <c r="D2690" t="inlineStr">
        <is>
          <t>UPPSALA LÄN</t>
        </is>
      </c>
      <c r="E2690" t="inlineStr">
        <is>
          <t>ENKÖPING</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19654-2022</t>
        </is>
      </c>
      <c r="B2691" s="1" t="n">
        <v>44694</v>
      </c>
      <c r="C2691" s="1" t="n">
        <v>45792</v>
      </c>
      <c r="D2691" t="inlineStr">
        <is>
          <t>UPPSALA LÄN</t>
        </is>
      </c>
      <c r="E2691" t="inlineStr">
        <is>
          <t>HEBY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19735-2022</t>
        </is>
      </c>
      <c r="B2692" s="1" t="n">
        <v>44694</v>
      </c>
      <c r="C2692" s="1" t="n">
        <v>45792</v>
      </c>
      <c r="D2692" t="inlineStr">
        <is>
          <t>UPPSALA LÄN</t>
        </is>
      </c>
      <c r="E2692" t="inlineStr">
        <is>
          <t>HEBY</t>
        </is>
      </c>
      <c r="F2692" t="inlineStr">
        <is>
          <t>Bergvik skog väst AB</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19707-2022</t>
        </is>
      </c>
      <c r="B2693" s="1" t="n">
        <v>44694</v>
      </c>
      <c r="C2693" s="1" t="n">
        <v>45792</v>
      </c>
      <c r="D2693" t="inlineStr">
        <is>
          <t>UPPSALA LÄN</t>
        </is>
      </c>
      <c r="E2693" t="inlineStr">
        <is>
          <t>ÖSTHAMMAR</t>
        </is>
      </c>
      <c r="F2693" t="inlineStr">
        <is>
          <t>Allmännings- och besparingsskogar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19683-2022</t>
        </is>
      </c>
      <c r="B2694" s="1" t="n">
        <v>44694</v>
      </c>
      <c r="C2694" s="1" t="n">
        <v>45792</v>
      </c>
      <c r="D2694" t="inlineStr">
        <is>
          <t>UPPSALA LÄN</t>
        </is>
      </c>
      <c r="E2694" t="inlineStr">
        <is>
          <t>HEBY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19721-2022</t>
        </is>
      </c>
      <c r="B2695" s="1" t="n">
        <v>44694</v>
      </c>
      <c r="C2695" s="1" t="n">
        <v>45792</v>
      </c>
      <c r="D2695" t="inlineStr">
        <is>
          <t>UPPSALA LÄN</t>
        </is>
      </c>
      <c r="E2695" t="inlineStr">
        <is>
          <t>HEBY</t>
        </is>
      </c>
      <c r="F2695" t="inlineStr">
        <is>
          <t>Bergvik skog väst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19731-2022</t>
        </is>
      </c>
      <c r="B2696" s="1" t="n">
        <v>44694</v>
      </c>
      <c r="C2696" s="1" t="n">
        <v>45792</v>
      </c>
      <c r="D2696" t="inlineStr">
        <is>
          <t>UPPSALA LÄN</t>
        </is>
      </c>
      <c r="E2696" t="inlineStr">
        <is>
          <t>ENKÖPING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19840-2022</t>
        </is>
      </c>
      <c r="B2697" s="1" t="n">
        <v>44696</v>
      </c>
      <c r="C2697" s="1" t="n">
        <v>45792</v>
      </c>
      <c r="D2697" t="inlineStr">
        <is>
          <t>UPPSALA LÄN</t>
        </is>
      </c>
      <c r="E2697" t="inlineStr">
        <is>
          <t>TIERP</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19965-2022</t>
        </is>
      </c>
      <c r="B2698" s="1" t="n">
        <v>44697</v>
      </c>
      <c r="C2698" s="1" t="n">
        <v>45792</v>
      </c>
      <c r="D2698" t="inlineStr">
        <is>
          <t>UPPSALA LÄN</t>
        </is>
      </c>
      <c r="E2698" t="inlineStr">
        <is>
          <t>ENKÖPING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19990-2022</t>
        </is>
      </c>
      <c r="B2699" s="1" t="n">
        <v>44697</v>
      </c>
      <c r="C2699" s="1" t="n">
        <v>45792</v>
      </c>
      <c r="D2699" t="inlineStr">
        <is>
          <t>UPPSALA LÄN</t>
        </is>
      </c>
      <c r="E2699" t="inlineStr">
        <is>
          <t>HEBY</t>
        </is>
      </c>
      <c r="F2699" t="inlineStr">
        <is>
          <t>Bergvik skog väst AB</t>
        </is>
      </c>
      <c r="G2699" t="n">
        <v>14.3</v>
      </c>
      <c r="H2699" t="n">
        <v>0</v>
      </c>
      <c r="I2699" t="n">
        <v>0</v>
      </c>
      <c r="J2699" t="n">
        <v>0</v>
      </c>
      <c r="K2699" t="n">
        <v>0</v>
      </c>
      <c r="L2699" t="n">
        <v>0</v>
      </c>
      <c r="M2699" t="n">
        <v>0</v>
      </c>
      <c r="N2699" t="n">
        <v>0</v>
      </c>
      <c r="O2699" t="n">
        <v>0</v>
      </c>
      <c r="P2699" t="n">
        <v>0</v>
      </c>
      <c r="Q2699" t="n">
        <v>0</v>
      </c>
      <c r="R2699" s="2" t="inlineStr"/>
    </row>
    <row r="2700" ht="15" customHeight="1">
      <c r="A2700" t="inlineStr">
        <is>
          <t>A 19896-2022</t>
        </is>
      </c>
      <c r="B2700" s="1" t="n">
        <v>44697</v>
      </c>
      <c r="C2700" s="1" t="n">
        <v>45792</v>
      </c>
      <c r="D2700" t="inlineStr">
        <is>
          <t>UPPSALA LÄN</t>
        </is>
      </c>
      <c r="E2700" t="inlineStr">
        <is>
          <t>HEBY</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20288-2022</t>
        </is>
      </c>
      <c r="B2701" s="1" t="n">
        <v>44698</v>
      </c>
      <c r="C2701" s="1" t="n">
        <v>45792</v>
      </c>
      <c r="D2701" t="inlineStr">
        <is>
          <t>UPPSALA LÄN</t>
        </is>
      </c>
      <c r="E2701" t="inlineStr">
        <is>
          <t>TIERP</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20265-2022</t>
        </is>
      </c>
      <c r="B2702" s="1" t="n">
        <v>44698</v>
      </c>
      <c r="C2702" s="1" t="n">
        <v>45792</v>
      </c>
      <c r="D2702" t="inlineStr">
        <is>
          <t>UPPSALA LÄN</t>
        </is>
      </c>
      <c r="E2702" t="inlineStr">
        <is>
          <t>UPPSALA</t>
        </is>
      </c>
      <c r="F2702" t="inlineStr">
        <is>
          <t>Bergvik skog öst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20321-2022</t>
        </is>
      </c>
      <c r="B2703" s="1" t="n">
        <v>44699</v>
      </c>
      <c r="C2703" s="1" t="n">
        <v>45792</v>
      </c>
      <c r="D2703" t="inlineStr">
        <is>
          <t>UPPSALA LÄN</t>
        </is>
      </c>
      <c r="E2703" t="inlineStr">
        <is>
          <t>ENKÖPING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20468-2022</t>
        </is>
      </c>
      <c r="B2704" s="1" t="n">
        <v>44699</v>
      </c>
      <c r="C2704" s="1" t="n">
        <v>45792</v>
      </c>
      <c r="D2704" t="inlineStr">
        <is>
          <t>UPPSALA LÄN</t>
        </is>
      </c>
      <c r="E2704" t="inlineStr">
        <is>
          <t>ÖSTHAMMAR</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20497-2022</t>
        </is>
      </c>
      <c r="B2705" s="1" t="n">
        <v>44699</v>
      </c>
      <c r="C2705" s="1" t="n">
        <v>45792</v>
      </c>
      <c r="D2705" t="inlineStr">
        <is>
          <t>UPPSALA LÄN</t>
        </is>
      </c>
      <c r="E2705" t="inlineStr">
        <is>
          <t>UPPSALA</t>
        </is>
      </c>
      <c r="F2705" t="inlineStr">
        <is>
          <t>Övriga statliga verk och myndigheter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20627-2022</t>
        </is>
      </c>
      <c r="B2706" s="1" t="n">
        <v>44700</v>
      </c>
      <c r="C2706" s="1" t="n">
        <v>45792</v>
      </c>
      <c r="D2706" t="inlineStr">
        <is>
          <t>UPPSALA LÄN</t>
        </is>
      </c>
      <c r="E2706" t="inlineStr">
        <is>
          <t>HEBY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20587-2022</t>
        </is>
      </c>
      <c r="B2707" s="1" t="n">
        <v>44700</v>
      </c>
      <c r="C2707" s="1" t="n">
        <v>45792</v>
      </c>
      <c r="D2707" t="inlineStr">
        <is>
          <t>UPPSALA LÄN</t>
        </is>
      </c>
      <c r="E2707" t="inlineStr">
        <is>
          <t>TIERP</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20770-2022</t>
        </is>
      </c>
      <c r="B2708" s="1" t="n">
        <v>44700</v>
      </c>
      <c r="C2708" s="1" t="n">
        <v>45792</v>
      </c>
      <c r="D2708" t="inlineStr">
        <is>
          <t>UPPSALA LÄN</t>
        </is>
      </c>
      <c r="E2708" t="inlineStr">
        <is>
          <t>UPPSALA</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20764-2022</t>
        </is>
      </c>
      <c r="B2709" s="1" t="n">
        <v>44700</v>
      </c>
      <c r="C2709" s="1" t="n">
        <v>45792</v>
      </c>
      <c r="D2709" t="inlineStr">
        <is>
          <t>UPPSALA LÄN</t>
        </is>
      </c>
      <c r="E2709" t="inlineStr">
        <is>
          <t>UPPSALA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20882-2022</t>
        </is>
      </c>
      <c r="B2710" s="1" t="n">
        <v>44701</v>
      </c>
      <c r="C2710" s="1" t="n">
        <v>45792</v>
      </c>
      <c r="D2710" t="inlineStr">
        <is>
          <t>UPPSALA LÄN</t>
        </is>
      </c>
      <c r="E2710" t="inlineStr">
        <is>
          <t>HEBY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20885-2022</t>
        </is>
      </c>
      <c r="B2711" s="1" t="n">
        <v>44701</v>
      </c>
      <c r="C2711" s="1" t="n">
        <v>45792</v>
      </c>
      <c r="D2711" t="inlineStr">
        <is>
          <t>UPPSALA LÄN</t>
        </is>
      </c>
      <c r="E2711" t="inlineStr">
        <is>
          <t>TIERP</t>
        </is>
      </c>
      <c r="F2711" t="inlineStr">
        <is>
          <t>Övriga Aktiebolag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20997-2022</t>
        </is>
      </c>
      <c r="B2712" s="1" t="n">
        <v>44701</v>
      </c>
      <c r="C2712" s="1" t="n">
        <v>45792</v>
      </c>
      <c r="D2712" t="inlineStr">
        <is>
          <t>UPPSALA LÄN</t>
        </is>
      </c>
      <c r="E2712" t="inlineStr">
        <is>
          <t>TIERP</t>
        </is>
      </c>
      <c r="F2712" t="inlineStr">
        <is>
          <t>Bergvik skog väst AB</t>
        </is>
      </c>
      <c r="G2712" t="n">
        <v>40</v>
      </c>
      <c r="H2712" t="n">
        <v>0</v>
      </c>
      <c r="I2712" t="n">
        <v>0</v>
      </c>
      <c r="J2712" t="n">
        <v>0</v>
      </c>
      <c r="K2712" t="n">
        <v>0</v>
      </c>
      <c r="L2712" t="n">
        <v>0</v>
      </c>
      <c r="M2712" t="n">
        <v>0</v>
      </c>
      <c r="N2712" t="n">
        <v>0</v>
      </c>
      <c r="O2712" t="n">
        <v>0</v>
      </c>
      <c r="P2712" t="n">
        <v>0</v>
      </c>
      <c r="Q2712" t="n">
        <v>0</v>
      </c>
      <c r="R2712" s="2" t="inlineStr"/>
    </row>
    <row r="2713" ht="15" customHeight="1">
      <c r="A2713" t="inlineStr">
        <is>
          <t>A 20938-2022</t>
        </is>
      </c>
      <c r="B2713" s="1" t="n">
        <v>44701</v>
      </c>
      <c r="C2713" s="1" t="n">
        <v>45792</v>
      </c>
      <c r="D2713" t="inlineStr">
        <is>
          <t>UPPSALA LÄN</t>
        </is>
      </c>
      <c r="E2713" t="inlineStr">
        <is>
          <t>UPPSALA</t>
        </is>
      </c>
      <c r="F2713" t="inlineStr">
        <is>
          <t>Bergvik skog öst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20911-2022</t>
        </is>
      </c>
      <c r="B2714" s="1" t="n">
        <v>44701</v>
      </c>
      <c r="C2714" s="1" t="n">
        <v>45792</v>
      </c>
      <c r="D2714" t="inlineStr">
        <is>
          <t>UPPSALA LÄN</t>
        </is>
      </c>
      <c r="E2714" t="inlineStr">
        <is>
          <t>TIERP</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21000-2022</t>
        </is>
      </c>
      <c r="B2715" s="1" t="n">
        <v>44701</v>
      </c>
      <c r="C2715" s="1" t="n">
        <v>45792</v>
      </c>
      <c r="D2715" t="inlineStr">
        <is>
          <t>UPPSALA LÄN</t>
        </is>
      </c>
      <c r="E2715" t="inlineStr">
        <is>
          <t>HEBY</t>
        </is>
      </c>
      <c r="F2715" t="inlineStr">
        <is>
          <t>Bergvik skog väst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20936-2022</t>
        </is>
      </c>
      <c r="B2716" s="1" t="n">
        <v>44701</v>
      </c>
      <c r="C2716" s="1" t="n">
        <v>45792</v>
      </c>
      <c r="D2716" t="inlineStr">
        <is>
          <t>UPPSALA LÄN</t>
        </is>
      </c>
      <c r="E2716" t="inlineStr">
        <is>
          <t>UPPSALA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20980-2022</t>
        </is>
      </c>
      <c r="B2717" s="1" t="n">
        <v>44702</v>
      </c>
      <c r="C2717" s="1" t="n">
        <v>45792</v>
      </c>
      <c r="D2717" t="inlineStr">
        <is>
          <t>UPPSALA LÄN</t>
        </is>
      </c>
      <c r="E2717" t="inlineStr">
        <is>
          <t>UPPSALA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21034-2022</t>
        </is>
      </c>
      <c r="B2718" s="1" t="n">
        <v>44704</v>
      </c>
      <c r="C2718" s="1" t="n">
        <v>45792</v>
      </c>
      <c r="D2718" t="inlineStr">
        <is>
          <t>UPPSALA LÄN</t>
        </is>
      </c>
      <c r="E2718" t="inlineStr">
        <is>
          <t>TIERP</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21047-2022</t>
        </is>
      </c>
      <c r="B2719" s="1" t="n">
        <v>44704</v>
      </c>
      <c r="C2719" s="1" t="n">
        <v>45792</v>
      </c>
      <c r="D2719" t="inlineStr">
        <is>
          <t>UPPSALA LÄN</t>
        </is>
      </c>
      <c r="E2719" t="inlineStr">
        <is>
          <t>TIERP</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21017-2022</t>
        </is>
      </c>
      <c r="B2720" s="1" t="n">
        <v>44704</v>
      </c>
      <c r="C2720" s="1" t="n">
        <v>45792</v>
      </c>
      <c r="D2720" t="inlineStr">
        <is>
          <t>UPPSALA LÄN</t>
        </is>
      </c>
      <c r="E2720" t="inlineStr">
        <is>
          <t>TIERP</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21032-2022</t>
        </is>
      </c>
      <c r="B2721" s="1" t="n">
        <v>44704</v>
      </c>
      <c r="C2721" s="1" t="n">
        <v>45792</v>
      </c>
      <c r="D2721" t="inlineStr">
        <is>
          <t>UPPSALA LÄN</t>
        </is>
      </c>
      <c r="E2721" t="inlineStr">
        <is>
          <t>TIERP</t>
        </is>
      </c>
      <c r="F2721" t="inlineStr">
        <is>
          <t>Bergvik skog öst AB</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21132-2022</t>
        </is>
      </c>
      <c r="B2722" s="1" t="n">
        <v>44704</v>
      </c>
      <c r="C2722" s="1" t="n">
        <v>45792</v>
      </c>
      <c r="D2722" t="inlineStr">
        <is>
          <t>UPPSALA LÄN</t>
        </is>
      </c>
      <c r="E2722" t="inlineStr">
        <is>
          <t>TIERP</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21181-2022</t>
        </is>
      </c>
      <c r="B2723" s="1" t="n">
        <v>44704</v>
      </c>
      <c r="C2723" s="1" t="n">
        <v>45792</v>
      </c>
      <c r="D2723" t="inlineStr">
        <is>
          <t>UPPSALA LÄN</t>
        </is>
      </c>
      <c r="E2723" t="inlineStr">
        <is>
          <t>UPPSALA</t>
        </is>
      </c>
      <c r="F2723" t="inlineStr">
        <is>
          <t>Bergvik skog öst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21228-2022</t>
        </is>
      </c>
      <c r="B2724" s="1" t="n">
        <v>44704</v>
      </c>
      <c r="C2724" s="1" t="n">
        <v>45792</v>
      </c>
      <c r="D2724" t="inlineStr">
        <is>
          <t>UPPSALA LÄN</t>
        </is>
      </c>
      <c r="E2724" t="inlineStr">
        <is>
          <t>UPPSALA</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21332-2022</t>
        </is>
      </c>
      <c r="B2725" s="1" t="n">
        <v>44705</v>
      </c>
      <c r="C2725" s="1" t="n">
        <v>45792</v>
      </c>
      <c r="D2725" t="inlineStr">
        <is>
          <t>UPPSALA LÄN</t>
        </is>
      </c>
      <c r="E2725" t="inlineStr">
        <is>
          <t>TIERP</t>
        </is>
      </c>
      <c r="F2725" t="inlineStr">
        <is>
          <t>Övriga Aktiebolag</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21387-2022</t>
        </is>
      </c>
      <c r="B2726" s="1" t="n">
        <v>44705</v>
      </c>
      <c r="C2726" s="1" t="n">
        <v>45792</v>
      </c>
      <c r="D2726" t="inlineStr">
        <is>
          <t>UPPSALA LÄN</t>
        </is>
      </c>
      <c r="E2726" t="inlineStr">
        <is>
          <t>UPPSALA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21391-2022</t>
        </is>
      </c>
      <c r="B2727" s="1" t="n">
        <v>44705</v>
      </c>
      <c r="C2727" s="1" t="n">
        <v>45792</v>
      </c>
      <c r="D2727" t="inlineStr">
        <is>
          <t>UPPSALA LÄN</t>
        </is>
      </c>
      <c r="E2727" t="inlineStr">
        <is>
          <t>UPPSALA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21394-2022</t>
        </is>
      </c>
      <c r="B2728" s="1" t="n">
        <v>44705</v>
      </c>
      <c r="C2728" s="1" t="n">
        <v>45792</v>
      </c>
      <c r="D2728" t="inlineStr">
        <is>
          <t>UPPSALA LÄN</t>
        </is>
      </c>
      <c r="E2728" t="inlineStr">
        <is>
          <t>UPPSALA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21522-2022</t>
        </is>
      </c>
      <c r="B2729" s="1" t="n">
        <v>44706</v>
      </c>
      <c r="C2729" s="1" t="n">
        <v>45792</v>
      </c>
      <c r="D2729" t="inlineStr">
        <is>
          <t>UPPSALA LÄN</t>
        </is>
      </c>
      <c r="E2729" t="inlineStr">
        <is>
          <t>ÖSTHAMMAR</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21775-2022</t>
        </is>
      </c>
      <c r="B2730" s="1" t="n">
        <v>44708</v>
      </c>
      <c r="C2730" s="1" t="n">
        <v>45792</v>
      </c>
      <c r="D2730" t="inlineStr">
        <is>
          <t>UPPSALA LÄN</t>
        </is>
      </c>
      <c r="E2730" t="inlineStr">
        <is>
          <t>TIERP</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21749-2022</t>
        </is>
      </c>
      <c r="B2731" s="1" t="n">
        <v>44708</v>
      </c>
      <c r="C2731" s="1" t="n">
        <v>45792</v>
      </c>
      <c r="D2731" t="inlineStr">
        <is>
          <t>UPPSALA LÄN</t>
        </is>
      </c>
      <c r="E2731" t="inlineStr">
        <is>
          <t>HEBY</t>
        </is>
      </c>
      <c r="F2731" t="inlineStr">
        <is>
          <t>Övriga Aktiebolag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21776-2022</t>
        </is>
      </c>
      <c r="B2732" s="1" t="n">
        <v>44708</v>
      </c>
      <c r="C2732" s="1" t="n">
        <v>45792</v>
      </c>
      <c r="D2732" t="inlineStr">
        <is>
          <t>UPPSALA LÄN</t>
        </is>
      </c>
      <c r="E2732" t="inlineStr">
        <is>
          <t>TIERP</t>
        </is>
      </c>
      <c r="F2732" t="inlineStr">
        <is>
          <t>Bergvik skog väst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21830-2022</t>
        </is>
      </c>
      <c r="B2733" s="1" t="n">
        <v>44710</v>
      </c>
      <c r="C2733" s="1" t="n">
        <v>45792</v>
      </c>
      <c r="D2733" t="inlineStr">
        <is>
          <t>UPPSALA LÄN</t>
        </is>
      </c>
      <c r="E2733" t="inlineStr">
        <is>
          <t>ÖSTHAMMAR</t>
        </is>
      </c>
      <c r="F2733" t="inlineStr">
        <is>
          <t>Bergvik skog öst AB</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21829-2022</t>
        </is>
      </c>
      <c r="B2734" s="1" t="n">
        <v>44710</v>
      </c>
      <c r="C2734" s="1" t="n">
        <v>45792</v>
      </c>
      <c r="D2734" t="inlineStr">
        <is>
          <t>UPPSALA LÄN</t>
        </is>
      </c>
      <c r="E2734" t="inlineStr">
        <is>
          <t>ÖSTHAMMAR</t>
        </is>
      </c>
      <c r="F2734" t="inlineStr">
        <is>
          <t>Bergvik skog öst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21863-2022</t>
        </is>
      </c>
      <c r="B2735" s="1" t="n">
        <v>44711</v>
      </c>
      <c r="C2735" s="1" t="n">
        <v>45792</v>
      </c>
      <c r="D2735" t="inlineStr">
        <is>
          <t>UPPSALA LÄN</t>
        </is>
      </c>
      <c r="E2735" t="inlineStr">
        <is>
          <t>HEBY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22031-2022</t>
        </is>
      </c>
      <c r="B2736" s="1" t="n">
        <v>44711</v>
      </c>
      <c r="C2736" s="1" t="n">
        <v>45792</v>
      </c>
      <c r="D2736" t="inlineStr">
        <is>
          <t>UPPSALA LÄN</t>
        </is>
      </c>
      <c r="E2736" t="inlineStr">
        <is>
          <t>HEBY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22021-2022</t>
        </is>
      </c>
      <c r="B2737" s="1" t="n">
        <v>44711</v>
      </c>
      <c r="C2737" s="1" t="n">
        <v>45792</v>
      </c>
      <c r="D2737" t="inlineStr">
        <is>
          <t>UPPSALA LÄN</t>
        </is>
      </c>
      <c r="E2737" t="inlineStr">
        <is>
          <t>UPPSALA</t>
        </is>
      </c>
      <c r="F2737" t="inlineStr">
        <is>
          <t>Allmännings- och besparingsskogar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22207-2022</t>
        </is>
      </c>
      <c r="B2738" s="1" t="n">
        <v>44712</v>
      </c>
      <c r="C2738" s="1" t="n">
        <v>45792</v>
      </c>
      <c r="D2738" t="inlineStr">
        <is>
          <t>UPPSALA LÄN</t>
        </is>
      </c>
      <c r="E2738" t="inlineStr">
        <is>
          <t>ÖSTHAMMAR</t>
        </is>
      </c>
      <c r="F2738" t="inlineStr">
        <is>
          <t>Bergvik skog öst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22216-2022</t>
        </is>
      </c>
      <c r="B2739" s="1" t="n">
        <v>44712</v>
      </c>
      <c r="C2739" s="1" t="n">
        <v>45792</v>
      </c>
      <c r="D2739" t="inlineStr">
        <is>
          <t>UPPSALA LÄN</t>
        </is>
      </c>
      <c r="E2739" t="inlineStr">
        <is>
          <t>HEBY</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22390-2022</t>
        </is>
      </c>
      <c r="B2740" s="1" t="n">
        <v>44713</v>
      </c>
      <c r="C2740" s="1" t="n">
        <v>45792</v>
      </c>
      <c r="D2740" t="inlineStr">
        <is>
          <t>UPPSALA LÄN</t>
        </is>
      </c>
      <c r="E2740" t="inlineStr">
        <is>
          <t>UPPSALA</t>
        </is>
      </c>
      <c r="F2740" t="inlineStr">
        <is>
          <t>Bergvik skog öst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22429-2022</t>
        </is>
      </c>
      <c r="B2741" s="1" t="n">
        <v>44713</v>
      </c>
      <c r="C2741" s="1" t="n">
        <v>45792</v>
      </c>
      <c r="D2741" t="inlineStr">
        <is>
          <t>UPPSALA LÄN</t>
        </is>
      </c>
      <c r="E2741" t="inlineStr">
        <is>
          <t>UPPSALA</t>
        </is>
      </c>
      <c r="F2741" t="inlineStr">
        <is>
          <t>Bergvik skog öst AB</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22580-2022</t>
        </is>
      </c>
      <c r="B2742" s="1" t="n">
        <v>44713</v>
      </c>
      <c r="C2742" s="1" t="n">
        <v>45792</v>
      </c>
      <c r="D2742" t="inlineStr">
        <is>
          <t>UPPSALA LÄN</t>
        </is>
      </c>
      <c r="E2742" t="inlineStr">
        <is>
          <t>HEBY</t>
        </is>
      </c>
      <c r="F2742" t="inlineStr">
        <is>
          <t>Bergvik skog väst AB</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22663-2022</t>
        </is>
      </c>
      <c r="B2743" s="1" t="n">
        <v>44713</v>
      </c>
      <c r="C2743" s="1" t="n">
        <v>45792</v>
      </c>
      <c r="D2743" t="inlineStr">
        <is>
          <t>UPPSALA LÄN</t>
        </is>
      </c>
      <c r="E2743" t="inlineStr">
        <is>
          <t>TIERP</t>
        </is>
      </c>
      <c r="F2743" t="inlineStr">
        <is>
          <t>Bergvik skog väst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22592-2022</t>
        </is>
      </c>
      <c r="B2744" s="1" t="n">
        <v>44713</v>
      </c>
      <c r="C2744" s="1" t="n">
        <v>45792</v>
      </c>
      <c r="D2744" t="inlineStr">
        <is>
          <t>UPPSALA LÄN</t>
        </is>
      </c>
      <c r="E2744" t="inlineStr">
        <is>
          <t>TIERP</t>
        </is>
      </c>
      <c r="F2744" t="inlineStr">
        <is>
          <t>Bergvik skog väst AB</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22619-2022</t>
        </is>
      </c>
      <c r="B2745" s="1" t="n">
        <v>44714</v>
      </c>
      <c r="C2745" s="1" t="n">
        <v>45792</v>
      </c>
      <c r="D2745" t="inlineStr">
        <is>
          <t>UPPSALA LÄN</t>
        </is>
      </c>
      <c r="E2745" t="inlineStr">
        <is>
          <t>ÖSTHAMMAR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22645-2022</t>
        </is>
      </c>
      <c r="B2746" s="1" t="n">
        <v>44714</v>
      </c>
      <c r="C2746" s="1" t="n">
        <v>45792</v>
      </c>
      <c r="D2746" t="inlineStr">
        <is>
          <t>UPPSALA LÄN</t>
        </is>
      </c>
      <c r="E2746" t="inlineStr">
        <is>
          <t>UPPSALA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22804-2022</t>
        </is>
      </c>
      <c r="B2747" s="1" t="n">
        <v>44715</v>
      </c>
      <c r="C2747" s="1" t="n">
        <v>45792</v>
      </c>
      <c r="D2747" t="inlineStr">
        <is>
          <t>UPPSALA LÄN</t>
        </is>
      </c>
      <c r="E2747" t="inlineStr">
        <is>
          <t>ÖSTHAMMAR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22887-2022</t>
        </is>
      </c>
      <c r="B2748" s="1" t="n">
        <v>44715</v>
      </c>
      <c r="C2748" s="1" t="n">
        <v>45792</v>
      </c>
      <c r="D2748" t="inlineStr">
        <is>
          <t>UPPSALA LÄN</t>
        </is>
      </c>
      <c r="E2748" t="inlineStr">
        <is>
          <t>ÖSTHAMMAR</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22873-2022</t>
        </is>
      </c>
      <c r="B2749" s="1" t="n">
        <v>44715</v>
      </c>
      <c r="C2749" s="1" t="n">
        <v>45792</v>
      </c>
      <c r="D2749" t="inlineStr">
        <is>
          <t>UPPSALA LÄN</t>
        </is>
      </c>
      <c r="E2749" t="inlineStr">
        <is>
          <t>HEBY</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22916-2022</t>
        </is>
      </c>
      <c r="B2750" s="1" t="n">
        <v>44715</v>
      </c>
      <c r="C2750" s="1" t="n">
        <v>45792</v>
      </c>
      <c r="D2750" t="inlineStr">
        <is>
          <t>UPPSALA LÄN</t>
        </is>
      </c>
      <c r="E2750" t="inlineStr">
        <is>
          <t>ÄLVKARLEBY</t>
        </is>
      </c>
      <c r="F2750" t="inlineStr">
        <is>
          <t>Bergvik skog väst AB</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22945-2022</t>
        </is>
      </c>
      <c r="B2751" s="1" t="n">
        <v>44715</v>
      </c>
      <c r="C2751" s="1" t="n">
        <v>45792</v>
      </c>
      <c r="D2751" t="inlineStr">
        <is>
          <t>UPPSALA LÄN</t>
        </is>
      </c>
      <c r="E2751" t="inlineStr">
        <is>
          <t>ÖSTHAMMAR</t>
        </is>
      </c>
      <c r="F2751" t="inlineStr">
        <is>
          <t>Bergvik skog öst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22810-2022</t>
        </is>
      </c>
      <c r="B2752" s="1" t="n">
        <v>44715</v>
      </c>
      <c r="C2752" s="1" t="n">
        <v>45792</v>
      </c>
      <c r="D2752" t="inlineStr">
        <is>
          <t>UPPSALA LÄN</t>
        </is>
      </c>
      <c r="E2752" t="inlineStr">
        <is>
          <t>TIERP</t>
        </is>
      </c>
      <c r="F2752" t="inlineStr">
        <is>
          <t>Övriga Aktiebolag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22993-2022</t>
        </is>
      </c>
      <c r="B2753" s="1" t="n">
        <v>44718</v>
      </c>
      <c r="C2753" s="1" t="n">
        <v>45792</v>
      </c>
      <c r="D2753" t="inlineStr">
        <is>
          <t>UPPSALA LÄN</t>
        </is>
      </c>
      <c r="E2753" t="inlineStr">
        <is>
          <t>ÖSTHAMMAR</t>
        </is>
      </c>
      <c r="F2753" t="inlineStr">
        <is>
          <t>Bergvik skog öst AB</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22994-2022</t>
        </is>
      </c>
      <c r="B2754" s="1" t="n">
        <v>44718</v>
      </c>
      <c r="C2754" s="1" t="n">
        <v>45792</v>
      </c>
      <c r="D2754" t="inlineStr">
        <is>
          <t>UPPSALA LÄN</t>
        </is>
      </c>
      <c r="E2754" t="inlineStr">
        <is>
          <t>ÖSTHAMMAR</t>
        </is>
      </c>
      <c r="F2754" t="inlineStr">
        <is>
          <t>Bergvik skog öst AB</t>
        </is>
      </c>
      <c r="G2754" t="n">
        <v>29.9</v>
      </c>
      <c r="H2754" t="n">
        <v>0</v>
      </c>
      <c r="I2754" t="n">
        <v>0</v>
      </c>
      <c r="J2754" t="n">
        <v>0</v>
      </c>
      <c r="K2754" t="n">
        <v>0</v>
      </c>
      <c r="L2754" t="n">
        <v>0</v>
      </c>
      <c r="M2754" t="n">
        <v>0</v>
      </c>
      <c r="N2754" t="n">
        <v>0</v>
      </c>
      <c r="O2754" t="n">
        <v>0</v>
      </c>
      <c r="P2754" t="n">
        <v>0</v>
      </c>
      <c r="Q2754" t="n">
        <v>0</v>
      </c>
      <c r="R2754" s="2" t="inlineStr"/>
    </row>
    <row r="2755" ht="15" customHeight="1">
      <c r="A2755" t="inlineStr">
        <is>
          <t>A 23250-2022</t>
        </is>
      </c>
      <c r="B2755" s="1" t="n">
        <v>44719</v>
      </c>
      <c r="C2755" s="1" t="n">
        <v>45792</v>
      </c>
      <c r="D2755" t="inlineStr">
        <is>
          <t>UPPSALA LÄN</t>
        </is>
      </c>
      <c r="E2755" t="inlineStr">
        <is>
          <t>HÅBO</t>
        </is>
      </c>
      <c r="F2755" t="inlineStr">
        <is>
          <t>Naturvårdsverket</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23307-2022</t>
        </is>
      </c>
      <c r="B2756" s="1" t="n">
        <v>44720</v>
      </c>
      <c r="C2756" s="1" t="n">
        <v>45792</v>
      </c>
      <c r="D2756" t="inlineStr">
        <is>
          <t>UPPSALA LÄN</t>
        </is>
      </c>
      <c r="E2756" t="inlineStr">
        <is>
          <t>ENKÖPING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23324-2022</t>
        </is>
      </c>
      <c r="B2757" s="1" t="n">
        <v>44720</v>
      </c>
      <c r="C2757" s="1" t="n">
        <v>45792</v>
      </c>
      <c r="D2757" t="inlineStr">
        <is>
          <t>UPPSALA LÄN</t>
        </is>
      </c>
      <c r="E2757" t="inlineStr">
        <is>
          <t>UPPSALA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23289-2022</t>
        </is>
      </c>
      <c r="B2758" s="1" t="n">
        <v>44720</v>
      </c>
      <c r="C2758" s="1" t="n">
        <v>45792</v>
      </c>
      <c r="D2758" t="inlineStr">
        <is>
          <t>UPPSALA LÄN</t>
        </is>
      </c>
      <c r="E2758" t="inlineStr">
        <is>
          <t>UPPSALA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23603-2022</t>
        </is>
      </c>
      <c r="B2759" s="1" t="n">
        <v>44721</v>
      </c>
      <c r="C2759" s="1" t="n">
        <v>45792</v>
      </c>
      <c r="D2759" t="inlineStr">
        <is>
          <t>UPPSALA LÄN</t>
        </is>
      </c>
      <c r="E2759" t="inlineStr">
        <is>
          <t>ÖSTHAMMAR</t>
        </is>
      </c>
      <c r="F2759" t="inlineStr">
        <is>
          <t>Övriga Aktiebolag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23761-2022</t>
        </is>
      </c>
      <c r="B2760" s="1" t="n">
        <v>44722</v>
      </c>
      <c r="C2760" s="1" t="n">
        <v>45792</v>
      </c>
      <c r="D2760" t="inlineStr">
        <is>
          <t>UPPSALA LÄN</t>
        </is>
      </c>
      <c r="E2760" t="inlineStr">
        <is>
          <t>UPPSALA</t>
        </is>
      </c>
      <c r="F2760" t="inlineStr">
        <is>
          <t>Bergvik skog öst AB</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23713-2022</t>
        </is>
      </c>
      <c r="B2761" s="1" t="n">
        <v>44722</v>
      </c>
      <c r="C2761" s="1" t="n">
        <v>45792</v>
      </c>
      <c r="D2761" t="inlineStr">
        <is>
          <t>UPPSALA LÄN</t>
        </is>
      </c>
      <c r="E2761" t="inlineStr">
        <is>
          <t>UPPSALA</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23717-2022</t>
        </is>
      </c>
      <c r="B2762" s="1" t="n">
        <v>44722</v>
      </c>
      <c r="C2762" s="1" t="n">
        <v>45792</v>
      </c>
      <c r="D2762" t="inlineStr">
        <is>
          <t>UPPSALA LÄN</t>
        </is>
      </c>
      <c r="E2762" t="inlineStr">
        <is>
          <t>UPPSALA</t>
        </is>
      </c>
      <c r="F2762" t="inlineStr">
        <is>
          <t>Bergvik skog öst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23730-2022</t>
        </is>
      </c>
      <c r="B2763" s="1" t="n">
        <v>44722</v>
      </c>
      <c r="C2763" s="1" t="n">
        <v>45792</v>
      </c>
      <c r="D2763" t="inlineStr">
        <is>
          <t>UPPSALA LÄN</t>
        </is>
      </c>
      <c r="E2763" t="inlineStr">
        <is>
          <t>UPPSALA</t>
        </is>
      </c>
      <c r="F2763" t="inlineStr">
        <is>
          <t>Bergvik skog öst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23979-2022</t>
        </is>
      </c>
      <c r="B2764" s="1" t="n">
        <v>44722</v>
      </c>
      <c r="C2764" s="1" t="n">
        <v>45792</v>
      </c>
      <c r="D2764" t="inlineStr">
        <is>
          <t>UPPSALA LÄN</t>
        </is>
      </c>
      <c r="E2764" t="inlineStr">
        <is>
          <t>HEBY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23959-2022</t>
        </is>
      </c>
      <c r="B2765" s="1" t="n">
        <v>44722</v>
      </c>
      <c r="C2765" s="1" t="n">
        <v>45792</v>
      </c>
      <c r="D2765" t="inlineStr">
        <is>
          <t>UPPSALA LÄN</t>
        </is>
      </c>
      <c r="E2765" t="inlineStr">
        <is>
          <t>TIERP</t>
        </is>
      </c>
      <c r="F2765" t="inlineStr">
        <is>
          <t>Bergvik skog öst AB</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24026-2022</t>
        </is>
      </c>
      <c r="B2766" s="1" t="n">
        <v>44723</v>
      </c>
      <c r="C2766" s="1" t="n">
        <v>45792</v>
      </c>
      <c r="D2766" t="inlineStr">
        <is>
          <t>UPPSALA LÄN</t>
        </is>
      </c>
      <c r="E2766" t="inlineStr">
        <is>
          <t>HEBY</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24132-2022</t>
        </is>
      </c>
      <c r="B2767" s="1" t="n">
        <v>44725</v>
      </c>
      <c r="C2767" s="1" t="n">
        <v>45792</v>
      </c>
      <c r="D2767" t="inlineStr">
        <is>
          <t>UPPSALA LÄN</t>
        </is>
      </c>
      <c r="E2767" t="inlineStr">
        <is>
          <t>KNIVSTA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24138-2022</t>
        </is>
      </c>
      <c r="B2768" s="1" t="n">
        <v>44725</v>
      </c>
      <c r="C2768" s="1" t="n">
        <v>45792</v>
      </c>
      <c r="D2768" t="inlineStr">
        <is>
          <t>UPPSALA LÄN</t>
        </is>
      </c>
      <c r="E2768" t="inlineStr">
        <is>
          <t>ÖSTHAMMAR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24141-2022</t>
        </is>
      </c>
      <c r="B2769" s="1" t="n">
        <v>44725</v>
      </c>
      <c r="C2769" s="1" t="n">
        <v>45792</v>
      </c>
      <c r="D2769" t="inlineStr">
        <is>
          <t>UPPSALA LÄN</t>
        </is>
      </c>
      <c r="E2769" t="inlineStr">
        <is>
          <t>ENKÖPING</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24149-2022</t>
        </is>
      </c>
      <c r="B2770" s="1" t="n">
        <v>44725</v>
      </c>
      <c r="C2770" s="1" t="n">
        <v>45792</v>
      </c>
      <c r="D2770" t="inlineStr">
        <is>
          <t>UPPSALA LÄN</t>
        </is>
      </c>
      <c r="E2770" t="inlineStr">
        <is>
          <t>ÖSTHAMMAR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24181-2022</t>
        </is>
      </c>
      <c r="B2771" s="1" t="n">
        <v>44725</v>
      </c>
      <c r="C2771" s="1" t="n">
        <v>45792</v>
      </c>
      <c r="D2771" t="inlineStr">
        <is>
          <t>UPPSALA LÄN</t>
        </is>
      </c>
      <c r="E2771" t="inlineStr">
        <is>
          <t>ÖSTHAMMAR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24264-2022</t>
        </is>
      </c>
      <c r="B2772" s="1" t="n">
        <v>44725</v>
      </c>
      <c r="C2772" s="1" t="n">
        <v>45792</v>
      </c>
      <c r="D2772" t="inlineStr">
        <is>
          <t>UPPSALA LÄN</t>
        </is>
      </c>
      <c r="E2772" t="inlineStr">
        <is>
          <t>TIERP</t>
        </is>
      </c>
      <c r="G2772" t="n">
        <v>2</v>
      </c>
      <c r="H2772" t="n">
        <v>0</v>
      </c>
      <c r="I2772" t="n">
        <v>0</v>
      </c>
      <c r="J2772" t="n">
        <v>0</v>
      </c>
      <c r="K2772" t="n">
        <v>0</v>
      </c>
      <c r="L2772" t="n">
        <v>0</v>
      </c>
      <c r="M2772" t="n">
        <v>0</v>
      </c>
      <c r="N2772" t="n">
        <v>0</v>
      </c>
      <c r="O2772" t="n">
        <v>0</v>
      </c>
      <c r="P2772" t="n">
        <v>0</v>
      </c>
      <c r="Q2772" t="n">
        <v>0</v>
      </c>
      <c r="R2772" s="2" t="inlineStr"/>
      <c r="U2772">
        <f>HYPERLINK("https://klasma.github.io/Logging_0360/knärot/A 24264-2022 karta knärot.png", "A 24264-2022")</f>
        <v/>
      </c>
      <c r="V2772">
        <f>HYPERLINK("https://klasma.github.io/Logging_0360/klagomål/A 24264-2022 FSC-klagomål.docx", "A 24264-2022")</f>
        <v/>
      </c>
      <c r="W2772">
        <f>HYPERLINK("https://klasma.github.io/Logging_0360/klagomålsmail/A 24264-2022 FSC-klagomål mail.docx", "A 24264-2022")</f>
        <v/>
      </c>
      <c r="X2772">
        <f>HYPERLINK("https://klasma.github.io/Logging_0360/tillsyn/A 24264-2022 tillsynsbegäran.docx", "A 24264-2022")</f>
        <v/>
      </c>
      <c r="Y2772">
        <f>HYPERLINK("https://klasma.github.io/Logging_0360/tillsynsmail/A 24264-2022 tillsynsbegäran mail.docx", "A 24264-2022")</f>
        <v/>
      </c>
    </row>
    <row r="2773" ht="15" customHeight="1">
      <c r="A2773" t="inlineStr">
        <is>
          <t>A 24259-2022</t>
        </is>
      </c>
      <c r="B2773" s="1" t="n">
        <v>44725</v>
      </c>
      <c r="C2773" s="1" t="n">
        <v>45792</v>
      </c>
      <c r="D2773" t="inlineStr">
        <is>
          <t>UPPSALA LÄN</t>
        </is>
      </c>
      <c r="E2773" t="inlineStr">
        <is>
          <t>ÖSTHAMMAR</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24091-2022</t>
        </is>
      </c>
      <c r="B2774" s="1" t="n">
        <v>44725</v>
      </c>
      <c r="C2774" s="1" t="n">
        <v>45792</v>
      </c>
      <c r="D2774" t="inlineStr">
        <is>
          <t>UPPSALA LÄN</t>
        </is>
      </c>
      <c r="E2774" t="inlineStr">
        <is>
          <t>HEBY</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24420-2022</t>
        </is>
      </c>
      <c r="B2775" s="1" t="n">
        <v>44726</v>
      </c>
      <c r="C2775" s="1" t="n">
        <v>45792</v>
      </c>
      <c r="D2775" t="inlineStr">
        <is>
          <t>UPPSALA LÄN</t>
        </is>
      </c>
      <c r="E2775" t="inlineStr">
        <is>
          <t>UPPSALA</t>
        </is>
      </c>
      <c r="F2775" t="inlineStr">
        <is>
          <t>Bergvik skog öst AB</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24447-2022</t>
        </is>
      </c>
      <c r="B2776" s="1" t="n">
        <v>44726</v>
      </c>
      <c r="C2776" s="1" t="n">
        <v>45792</v>
      </c>
      <c r="D2776" t="inlineStr">
        <is>
          <t>UPPSALA LÄN</t>
        </is>
      </c>
      <c r="E2776" t="inlineStr">
        <is>
          <t>ÖSTHAMMAR</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24367-2022</t>
        </is>
      </c>
      <c r="B2777" s="1" t="n">
        <v>44726</v>
      </c>
      <c r="C2777" s="1" t="n">
        <v>45792</v>
      </c>
      <c r="D2777" t="inlineStr">
        <is>
          <t>UPPSALA LÄN</t>
        </is>
      </c>
      <c r="E2777" t="inlineStr">
        <is>
          <t>ÖSTHAMMAR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24401-2022</t>
        </is>
      </c>
      <c r="B2778" s="1" t="n">
        <v>44726</v>
      </c>
      <c r="C2778" s="1" t="n">
        <v>45792</v>
      </c>
      <c r="D2778" t="inlineStr">
        <is>
          <t>UPPSALA LÄN</t>
        </is>
      </c>
      <c r="E2778" t="inlineStr">
        <is>
          <t>UPPSALA</t>
        </is>
      </c>
      <c r="F2778" t="inlineStr">
        <is>
          <t>Bergvik skog öst AB</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24409-2022</t>
        </is>
      </c>
      <c r="B2779" s="1" t="n">
        <v>44726</v>
      </c>
      <c r="C2779" s="1" t="n">
        <v>45792</v>
      </c>
      <c r="D2779" t="inlineStr">
        <is>
          <t>UPPSALA LÄN</t>
        </is>
      </c>
      <c r="E2779" t="inlineStr">
        <is>
          <t>UPPSALA</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24341-2022</t>
        </is>
      </c>
      <c r="B2780" s="1" t="n">
        <v>44726</v>
      </c>
      <c r="C2780" s="1" t="n">
        <v>45792</v>
      </c>
      <c r="D2780" t="inlineStr">
        <is>
          <t>UPPSALA LÄN</t>
        </is>
      </c>
      <c r="E2780" t="inlineStr">
        <is>
          <t>TIERP</t>
        </is>
      </c>
      <c r="F2780" t="inlineStr">
        <is>
          <t>Bergvik skog väst AB</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24817-2022</t>
        </is>
      </c>
      <c r="B2781" s="1" t="n">
        <v>44728</v>
      </c>
      <c r="C2781" s="1" t="n">
        <v>45792</v>
      </c>
      <c r="D2781" t="inlineStr">
        <is>
          <t>UPPSALA LÄN</t>
        </is>
      </c>
      <c r="E2781" t="inlineStr">
        <is>
          <t>ÖSTHAMMAR</t>
        </is>
      </c>
      <c r="F2781" t="inlineStr">
        <is>
          <t>Sveaskog</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24815-2022</t>
        </is>
      </c>
      <c r="B2782" s="1" t="n">
        <v>44728</v>
      </c>
      <c r="C2782" s="1" t="n">
        <v>45792</v>
      </c>
      <c r="D2782" t="inlineStr">
        <is>
          <t>UPPSALA LÄN</t>
        </is>
      </c>
      <c r="E2782" t="inlineStr">
        <is>
          <t>ENKÖPING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24869-2022</t>
        </is>
      </c>
      <c r="B2783" s="1" t="n">
        <v>44728</v>
      </c>
      <c r="C2783" s="1" t="n">
        <v>45792</v>
      </c>
      <c r="D2783" t="inlineStr">
        <is>
          <t>UPPSALA LÄN</t>
        </is>
      </c>
      <c r="E2783" t="inlineStr">
        <is>
          <t>TIERP</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24883-2022</t>
        </is>
      </c>
      <c r="B2784" s="1" t="n">
        <v>44728</v>
      </c>
      <c r="C2784" s="1" t="n">
        <v>45792</v>
      </c>
      <c r="D2784" t="inlineStr">
        <is>
          <t>UPPSALA LÄN</t>
        </is>
      </c>
      <c r="E2784" t="inlineStr">
        <is>
          <t>ENKÖPING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25076-2022</t>
        </is>
      </c>
      <c r="B2785" s="1" t="n">
        <v>44729</v>
      </c>
      <c r="C2785" s="1" t="n">
        <v>45792</v>
      </c>
      <c r="D2785" t="inlineStr">
        <is>
          <t>UPPSALA LÄN</t>
        </is>
      </c>
      <c r="E2785" t="inlineStr">
        <is>
          <t>ÖSTHAMMAR</t>
        </is>
      </c>
      <c r="F2785" t="inlineStr">
        <is>
          <t>Sveaskog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25178-2022</t>
        </is>
      </c>
      <c r="B2786" s="1" t="n">
        <v>44729</v>
      </c>
      <c r="C2786" s="1" t="n">
        <v>45792</v>
      </c>
      <c r="D2786" t="inlineStr">
        <is>
          <t>UPPSALA LÄN</t>
        </is>
      </c>
      <c r="E2786" t="inlineStr">
        <is>
          <t>UPPSALA</t>
        </is>
      </c>
      <c r="F2786" t="inlineStr">
        <is>
          <t>Holmen skog AB</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25120-2022</t>
        </is>
      </c>
      <c r="B2787" s="1" t="n">
        <v>44729</v>
      </c>
      <c r="C2787" s="1" t="n">
        <v>45792</v>
      </c>
      <c r="D2787" t="inlineStr">
        <is>
          <t>UPPSALA LÄN</t>
        </is>
      </c>
      <c r="E2787" t="inlineStr">
        <is>
          <t>UPPSALA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25418-2022</t>
        </is>
      </c>
      <c r="B2788" s="1" t="n">
        <v>44732</v>
      </c>
      <c r="C2788" s="1" t="n">
        <v>45792</v>
      </c>
      <c r="D2788" t="inlineStr">
        <is>
          <t>UPPSALA LÄN</t>
        </is>
      </c>
      <c r="E2788" t="inlineStr">
        <is>
          <t>ÖSTHAMMAR</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25476-2022</t>
        </is>
      </c>
      <c r="B2789" s="1" t="n">
        <v>44732</v>
      </c>
      <c r="C2789" s="1" t="n">
        <v>45792</v>
      </c>
      <c r="D2789" t="inlineStr">
        <is>
          <t>UPPSALA LÄN</t>
        </is>
      </c>
      <c r="E2789" t="inlineStr">
        <is>
          <t>TIERP</t>
        </is>
      </c>
      <c r="F2789" t="inlineStr">
        <is>
          <t>Bergvik skog öst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25419-2022</t>
        </is>
      </c>
      <c r="B2790" s="1" t="n">
        <v>44732</v>
      </c>
      <c r="C2790" s="1" t="n">
        <v>45792</v>
      </c>
      <c r="D2790" t="inlineStr">
        <is>
          <t>UPPSALA LÄN</t>
        </is>
      </c>
      <c r="E2790" t="inlineStr">
        <is>
          <t>HEBY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25434-2022</t>
        </is>
      </c>
      <c r="B2791" s="1" t="n">
        <v>44732</v>
      </c>
      <c r="C2791" s="1" t="n">
        <v>45792</v>
      </c>
      <c r="D2791" t="inlineStr">
        <is>
          <t>UPPSALA LÄN</t>
        </is>
      </c>
      <c r="E2791" t="inlineStr">
        <is>
          <t>ÖSTHAMMAR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25759-2022</t>
        </is>
      </c>
      <c r="B2792" s="1" t="n">
        <v>44733</v>
      </c>
      <c r="C2792" s="1" t="n">
        <v>45792</v>
      </c>
      <c r="D2792" t="inlineStr">
        <is>
          <t>UPPSALA LÄN</t>
        </is>
      </c>
      <c r="E2792" t="inlineStr">
        <is>
          <t>UPPSALA</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25809-2022</t>
        </is>
      </c>
      <c r="B2793" s="1" t="n">
        <v>44733</v>
      </c>
      <c r="C2793" s="1" t="n">
        <v>45792</v>
      </c>
      <c r="D2793" t="inlineStr">
        <is>
          <t>UPPSALA LÄN</t>
        </is>
      </c>
      <c r="E2793" t="inlineStr">
        <is>
          <t>UPPSALA</t>
        </is>
      </c>
      <c r="F2793" t="inlineStr">
        <is>
          <t>Bergvik skog öst AB</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25745-2022</t>
        </is>
      </c>
      <c r="B2794" s="1" t="n">
        <v>44733</v>
      </c>
      <c r="C2794" s="1" t="n">
        <v>45792</v>
      </c>
      <c r="D2794" t="inlineStr">
        <is>
          <t>UPPSALA LÄN</t>
        </is>
      </c>
      <c r="E2794" t="inlineStr">
        <is>
          <t>UPPSALA</t>
        </is>
      </c>
      <c r="F2794" t="inlineStr">
        <is>
          <t>Bergvik skog öst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25776-2022</t>
        </is>
      </c>
      <c r="B2795" s="1" t="n">
        <v>44733</v>
      </c>
      <c r="C2795" s="1" t="n">
        <v>45792</v>
      </c>
      <c r="D2795" t="inlineStr">
        <is>
          <t>UPPSALA LÄN</t>
        </is>
      </c>
      <c r="E2795" t="inlineStr">
        <is>
          <t>UPPSALA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25917-2022</t>
        </is>
      </c>
      <c r="B2796" s="1" t="n">
        <v>44733</v>
      </c>
      <c r="C2796" s="1" t="n">
        <v>45792</v>
      </c>
      <c r="D2796" t="inlineStr">
        <is>
          <t>UPPSALA LÄN</t>
        </is>
      </c>
      <c r="E2796" t="inlineStr">
        <is>
          <t>HEBY</t>
        </is>
      </c>
      <c r="F2796" t="inlineStr">
        <is>
          <t>Bergvik skog väst AB</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26008-2022</t>
        </is>
      </c>
      <c r="B2797" s="1" t="n">
        <v>44734</v>
      </c>
      <c r="C2797" s="1" t="n">
        <v>45792</v>
      </c>
      <c r="D2797" t="inlineStr">
        <is>
          <t>UPPSALA LÄN</t>
        </is>
      </c>
      <c r="E2797" t="inlineStr">
        <is>
          <t>ÖSTHAMMAR</t>
        </is>
      </c>
      <c r="F2797" t="inlineStr">
        <is>
          <t>Bergvik skog öst AB</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25987-2022</t>
        </is>
      </c>
      <c r="B2798" s="1" t="n">
        <v>44734</v>
      </c>
      <c r="C2798" s="1" t="n">
        <v>45792</v>
      </c>
      <c r="D2798" t="inlineStr">
        <is>
          <t>UPPSALA LÄN</t>
        </is>
      </c>
      <c r="E2798" t="inlineStr">
        <is>
          <t>ÖSTHAMMAR</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25998-2022</t>
        </is>
      </c>
      <c r="B2799" s="1" t="n">
        <v>44734</v>
      </c>
      <c r="C2799" s="1" t="n">
        <v>45792</v>
      </c>
      <c r="D2799" t="inlineStr">
        <is>
          <t>UPPSALA LÄN</t>
        </is>
      </c>
      <c r="E2799" t="inlineStr">
        <is>
          <t>HEBY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25983-2022</t>
        </is>
      </c>
      <c r="B2800" s="1" t="n">
        <v>44734</v>
      </c>
      <c r="C2800" s="1" t="n">
        <v>45792</v>
      </c>
      <c r="D2800" t="inlineStr">
        <is>
          <t>UPPSALA LÄN</t>
        </is>
      </c>
      <c r="E2800" t="inlineStr">
        <is>
          <t>ÖSTHAMMAR</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25995-2022</t>
        </is>
      </c>
      <c r="B2801" s="1" t="n">
        <v>44734</v>
      </c>
      <c r="C2801" s="1" t="n">
        <v>45792</v>
      </c>
      <c r="D2801" t="inlineStr">
        <is>
          <t>UPPSALA LÄN</t>
        </is>
      </c>
      <c r="E2801" t="inlineStr">
        <is>
          <t>HEBY</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26004-2022</t>
        </is>
      </c>
      <c r="B2802" s="1" t="n">
        <v>44734</v>
      </c>
      <c r="C2802" s="1" t="n">
        <v>45792</v>
      </c>
      <c r="D2802" t="inlineStr">
        <is>
          <t>UPPSALA LÄN</t>
        </is>
      </c>
      <c r="E2802" t="inlineStr">
        <is>
          <t>ÖSTHAMMAR</t>
        </is>
      </c>
      <c r="F2802" t="inlineStr">
        <is>
          <t>Bergvik skog öst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25958-2022</t>
        </is>
      </c>
      <c r="B2803" s="1" t="n">
        <v>44734</v>
      </c>
      <c r="C2803" s="1" t="n">
        <v>45792</v>
      </c>
      <c r="D2803" t="inlineStr">
        <is>
          <t>UPPSALA LÄN</t>
        </is>
      </c>
      <c r="E2803" t="inlineStr">
        <is>
          <t>TIERP</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25975-2022</t>
        </is>
      </c>
      <c r="B2804" s="1" t="n">
        <v>44734</v>
      </c>
      <c r="C2804" s="1" t="n">
        <v>45792</v>
      </c>
      <c r="D2804" t="inlineStr">
        <is>
          <t>UPPSALA LÄN</t>
        </is>
      </c>
      <c r="E2804" t="inlineStr">
        <is>
          <t>HEBY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25997-2022</t>
        </is>
      </c>
      <c r="B2805" s="1" t="n">
        <v>44734</v>
      </c>
      <c r="C2805" s="1" t="n">
        <v>45792</v>
      </c>
      <c r="D2805" t="inlineStr">
        <is>
          <t>UPPSALA LÄN</t>
        </is>
      </c>
      <c r="E2805" t="inlineStr">
        <is>
          <t>HEBY</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26111-2022</t>
        </is>
      </c>
      <c r="B2806" s="1" t="n">
        <v>44734</v>
      </c>
      <c r="C2806" s="1" t="n">
        <v>45792</v>
      </c>
      <c r="D2806" t="inlineStr">
        <is>
          <t>UPPSALA LÄN</t>
        </is>
      </c>
      <c r="E2806" t="inlineStr">
        <is>
          <t>TIERP</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26085-2022</t>
        </is>
      </c>
      <c r="B2807" s="1" t="n">
        <v>44734</v>
      </c>
      <c r="C2807" s="1" t="n">
        <v>45792</v>
      </c>
      <c r="D2807" t="inlineStr">
        <is>
          <t>UPPSALA LÄN</t>
        </is>
      </c>
      <c r="E2807" t="inlineStr">
        <is>
          <t>HEBY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26182-2022</t>
        </is>
      </c>
      <c r="B2808" s="1" t="n">
        <v>44735</v>
      </c>
      <c r="C2808" s="1" t="n">
        <v>45792</v>
      </c>
      <c r="D2808" t="inlineStr">
        <is>
          <t>UPPSALA LÄN</t>
        </is>
      </c>
      <c r="E2808" t="inlineStr">
        <is>
          <t>KNIVSTA</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26315-2022</t>
        </is>
      </c>
      <c r="B2809" s="1" t="n">
        <v>44735</v>
      </c>
      <c r="C2809" s="1" t="n">
        <v>45792</v>
      </c>
      <c r="D2809" t="inlineStr">
        <is>
          <t>UPPSALA LÄN</t>
        </is>
      </c>
      <c r="E2809" t="inlineStr">
        <is>
          <t>HEBY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26161-2022</t>
        </is>
      </c>
      <c r="B2810" s="1" t="n">
        <v>44735</v>
      </c>
      <c r="C2810" s="1" t="n">
        <v>45792</v>
      </c>
      <c r="D2810" t="inlineStr">
        <is>
          <t>UPPSALA LÄN</t>
        </is>
      </c>
      <c r="E2810" t="inlineStr">
        <is>
          <t>TIERP</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26239-2022</t>
        </is>
      </c>
      <c r="B2811" s="1" t="n">
        <v>44735</v>
      </c>
      <c r="C2811" s="1" t="n">
        <v>45792</v>
      </c>
      <c r="D2811" t="inlineStr">
        <is>
          <t>UPPSALA LÄN</t>
        </is>
      </c>
      <c r="E2811" t="inlineStr">
        <is>
          <t>KNIVSTA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26292-2022</t>
        </is>
      </c>
      <c r="B2812" s="1" t="n">
        <v>44735</v>
      </c>
      <c r="C2812" s="1" t="n">
        <v>45792</v>
      </c>
      <c r="D2812" t="inlineStr">
        <is>
          <t>UPPSALA LÄN</t>
        </is>
      </c>
      <c r="E2812" t="inlineStr">
        <is>
          <t>ENKÖPING</t>
        </is>
      </c>
      <c r="F2812" t="inlineStr">
        <is>
          <t>Kyrkan</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26316-2022</t>
        </is>
      </c>
      <c r="B2813" s="1" t="n">
        <v>44735</v>
      </c>
      <c r="C2813" s="1" t="n">
        <v>45792</v>
      </c>
      <c r="D2813" t="inlineStr">
        <is>
          <t>UPPSALA LÄN</t>
        </is>
      </c>
      <c r="E2813" t="inlineStr">
        <is>
          <t>HEBY</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26319-2022</t>
        </is>
      </c>
      <c r="B2814" s="1" t="n">
        <v>44735</v>
      </c>
      <c r="C2814" s="1" t="n">
        <v>45792</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26534-2022</t>
        </is>
      </c>
      <c r="B2815" s="1" t="n">
        <v>44739</v>
      </c>
      <c r="C2815" s="1" t="n">
        <v>45792</v>
      </c>
      <c r="D2815" t="inlineStr">
        <is>
          <t>UPPSALA LÄN</t>
        </is>
      </c>
      <c r="E2815" t="inlineStr">
        <is>
          <t>ÖSTHAMMAR</t>
        </is>
      </c>
      <c r="F2815" t="inlineStr">
        <is>
          <t>Övriga statliga verk och myndigheter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26567-2022</t>
        </is>
      </c>
      <c r="B2816" s="1" t="n">
        <v>44739</v>
      </c>
      <c r="C2816" s="1" t="n">
        <v>45792</v>
      </c>
      <c r="D2816" t="inlineStr">
        <is>
          <t>UPPSALA LÄN</t>
        </is>
      </c>
      <c r="E2816" t="inlineStr">
        <is>
          <t>HEBY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26537-2022</t>
        </is>
      </c>
      <c r="B2817" s="1" t="n">
        <v>44739</v>
      </c>
      <c r="C2817" s="1" t="n">
        <v>45792</v>
      </c>
      <c r="D2817" t="inlineStr">
        <is>
          <t>UPPSALA LÄN</t>
        </is>
      </c>
      <c r="E2817" t="inlineStr">
        <is>
          <t>TIERP</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26656-2022</t>
        </is>
      </c>
      <c r="B2818" s="1" t="n">
        <v>44739</v>
      </c>
      <c r="C2818" s="1" t="n">
        <v>45792</v>
      </c>
      <c r="D2818" t="inlineStr">
        <is>
          <t>UPPSALA LÄN</t>
        </is>
      </c>
      <c r="E2818" t="inlineStr">
        <is>
          <t>TIERP</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26609-2022</t>
        </is>
      </c>
      <c r="B2819" s="1" t="n">
        <v>44739</v>
      </c>
      <c r="C2819" s="1" t="n">
        <v>45792</v>
      </c>
      <c r="D2819" t="inlineStr">
        <is>
          <t>UPPSALA LÄN</t>
        </is>
      </c>
      <c r="E2819" t="inlineStr">
        <is>
          <t>UPPSALA</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26552-2022</t>
        </is>
      </c>
      <c r="B2820" s="1" t="n">
        <v>44739</v>
      </c>
      <c r="C2820" s="1" t="n">
        <v>45792</v>
      </c>
      <c r="D2820" t="inlineStr">
        <is>
          <t>UPPSALA LÄN</t>
        </is>
      </c>
      <c r="E2820" t="inlineStr">
        <is>
          <t>ÖSTHAMMAR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26561-2022</t>
        </is>
      </c>
      <c r="B2821" s="1" t="n">
        <v>44739</v>
      </c>
      <c r="C2821" s="1" t="n">
        <v>45792</v>
      </c>
      <c r="D2821" t="inlineStr">
        <is>
          <t>UPPSALA LÄN</t>
        </is>
      </c>
      <c r="E2821" t="inlineStr">
        <is>
          <t>ÖSTHAMMAR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26815-2022</t>
        </is>
      </c>
      <c r="B2822" s="1" t="n">
        <v>44740</v>
      </c>
      <c r="C2822" s="1" t="n">
        <v>45792</v>
      </c>
      <c r="D2822" t="inlineStr">
        <is>
          <t>UPPSALA LÄN</t>
        </is>
      </c>
      <c r="E2822" t="inlineStr">
        <is>
          <t>ÄLVKARLEBY</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26958-2022</t>
        </is>
      </c>
      <c r="B2823" s="1" t="n">
        <v>44740</v>
      </c>
      <c r="C2823" s="1" t="n">
        <v>45792</v>
      </c>
      <c r="D2823" t="inlineStr">
        <is>
          <t>UPPSALA LÄN</t>
        </is>
      </c>
      <c r="E2823" t="inlineStr">
        <is>
          <t>UPPSALA</t>
        </is>
      </c>
      <c r="F2823" t="inlineStr">
        <is>
          <t>Bergvik skog öst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26972-2022</t>
        </is>
      </c>
      <c r="B2824" s="1" t="n">
        <v>44740</v>
      </c>
      <c r="C2824" s="1" t="n">
        <v>45792</v>
      </c>
      <c r="D2824" t="inlineStr">
        <is>
          <t>UPPSALA LÄN</t>
        </is>
      </c>
      <c r="E2824" t="inlineStr">
        <is>
          <t>UPPSALA</t>
        </is>
      </c>
      <c r="F2824" t="inlineStr">
        <is>
          <t>Bergvik skog öst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27372-2022</t>
        </is>
      </c>
      <c r="B2825" s="1" t="n">
        <v>44742</v>
      </c>
      <c r="C2825" s="1" t="n">
        <v>45792</v>
      </c>
      <c r="D2825" t="inlineStr">
        <is>
          <t>UPPSALA LÄN</t>
        </is>
      </c>
      <c r="E2825" t="inlineStr">
        <is>
          <t>UPPSALA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27369-2022</t>
        </is>
      </c>
      <c r="B2826" s="1" t="n">
        <v>44742</v>
      </c>
      <c r="C2826" s="1" t="n">
        <v>45792</v>
      </c>
      <c r="D2826" t="inlineStr">
        <is>
          <t>UPPSALA LÄN</t>
        </is>
      </c>
      <c r="E2826" t="inlineStr">
        <is>
          <t>UPPSALA</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27390-2022</t>
        </is>
      </c>
      <c r="B2827" s="1" t="n">
        <v>44742</v>
      </c>
      <c r="C2827" s="1" t="n">
        <v>45792</v>
      </c>
      <c r="D2827" t="inlineStr">
        <is>
          <t>UPPSALA LÄN</t>
        </is>
      </c>
      <c r="E2827" t="inlineStr">
        <is>
          <t>UPPSALA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27397-2022</t>
        </is>
      </c>
      <c r="B2828" s="1" t="n">
        <v>44742</v>
      </c>
      <c r="C2828" s="1" t="n">
        <v>45792</v>
      </c>
      <c r="D2828" t="inlineStr">
        <is>
          <t>UPPSALA LÄN</t>
        </is>
      </c>
      <c r="E2828" t="inlineStr">
        <is>
          <t>UPPSALA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27533-2022</t>
        </is>
      </c>
      <c r="B2829" s="1" t="n">
        <v>44742</v>
      </c>
      <c r="C2829" s="1" t="n">
        <v>45792</v>
      </c>
      <c r="D2829" t="inlineStr">
        <is>
          <t>UPPSALA LÄN</t>
        </is>
      </c>
      <c r="E2829" t="inlineStr">
        <is>
          <t>TIERP</t>
        </is>
      </c>
      <c r="F2829" t="inlineStr">
        <is>
          <t>Bergvik skog öst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27546-2022</t>
        </is>
      </c>
      <c r="B2830" s="1" t="n">
        <v>44742</v>
      </c>
      <c r="C2830" s="1" t="n">
        <v>45792</v>
      </c>
      <c r="D2830" t="inlineStr">
        <is>
          <t>UPPSALA LÄN</t>
        </is>
      </c>
      <c r="E2830" t="inlineStr">
        <is>
          <t>UPPSALA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27543-2022</t>
        </is>
      </c>
      <c r="B2831" s="1" t="n">
        <v>44742</v>
      </c>
      <c r="C2831" s="1" t="n">
        <v>45792</v>
      </c>
      <c r="D2831" t="inlineStr">
        <is>
          <t>UPPSALA LÄN</t>
        </is>
      </c>
      <c r="E2831" t="inlineStr">
        <is>
          <t>UPPSALA</t>
        </is>
      </c>
      <c r="F2831" t="inlineStr">
        <is>
          <t>Kyrkan</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27858-2022</t>
        </is>
      </c>
      <c r="B2832" s="1" t="n">
        <v>44743</v>
      </c>
      <c r="C2832" s="1" t="n">
        <v>45792</v>
      </c>
      <c r="D2832" t="inlineStr">
        <is>
          <t>UPPSALA LÄN</t>
        </is>
      </c>
      <c r="E2832" t="inlineStr">
        <is>
          <t>HEBY</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27763-2022</t>
        </is>
      </c>
      <c r="B2833" s="1" t="n">
        <v>44743</v>
      </c>
      <c r="C2833" s="1" t="n">
        <v>45792</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27838-2022</t>
        </is>
      </c>
      <c r="B2834" s="1" t="n">
        <v>44743</v>
      </c>
      <c r="C2834" s="1" t="n">
        <v>45792</v>
      </c>
      <c r="D2834" t="inlineStr">
        <is>
          <t>UPPSALA LÄN</t>
        </is>
      </c>
      <c r="E2834" t="inlineStr">
        <is>
          <t>TIERP</t>
        </is>
      </c>
      <c r="G2834" t="n">
        <v>15.2</v>
      </c>
      <c r="H2834" t="n">
        <v>0</v>
      </c>
      <c r="I2834" t="n">
        <v>0</v>
      </c>
      <c r="J2834" t="n">
        <v>0</v>
      </c>
      <c r="K2834" t="n">
        <v>0</v>
      </c>
      <c r="L2834" t="n">
        <v>0</v>
      </c>
      <c r="M2834" t="n">
        <v>0</v>
      </c>
      <c r="N2834" t="n">
        <v>0</v>
      </c>
      <c r="O2834" t="n">
        <v>0</v>
      </c>
      <c r="P2834" t="n">
        <v>0</v>
      </c>
      <c r="Q2834" t="n">
        <v>0</v>
      </c>
      <c r="R2834" s="2" t="inlineStr"/>
    </row>
    <row r="2835" ht="15" customHeight="1">
      <c r="A2835" t="inlineStr">
        <is>
          <t>A 27860-2022</t>
        </is>
      </c>
      <c r="B2835" s="1" t="n">
        <v>44743</v>
      </c>
      <c r="C2835" s="1" t="n">
        <v>45792</v>
      </c>
      <c r="D2835" t="inlineStr">
        <is>
          <t>UPPSALA LÄN</t>
        </is>
      </c>
      <c r="E2835" t="inlineStr">
        <is>
          <t>TIERP</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27762-2022</t>
        </is>
      </c>
      <c r="B2836" s="1" t="n">
        <v>44743</v>
      </c>
      <c r="C2836" s="1" t="n">
        <v>45792</v>
      </c>
      <c r="D2836" t="inlineStr">
        <is>
          <t>UPPSALA LÄN</t>
        </is>
      </c>
      <c r="E2836" t="inlineStr">
        <is>
          <t>UPPSALA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28228-2022</t>
        </is>
      </c>
      <c r="B2837" s="1" t="n">
        <v>44746</v>
      </c>
      <c r="C2837" s="1" t="n">
        <v>45792</v>
      </c>
      <c r="D2837" t="inlineStr">
        <is>
          <t>UPPSALA LÄN</t>
        </is>
      </c>
      <c r="E2837" t="inlineStr">
        <is>
          <t>ÖSTHAMMAR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28346-2022</t>
        </is>
      </c>
      <c r="B2838" s="1" t="n">
        <v>44747</v>
      </c>
      <c r="C2838" s="1" t="n">
        <v>45792</v>
      </c>
      <c r="D2838" t="inlineStr">
        <is>
          <t>UPPSALA LÄN</t>
        </is>
      </c>
      <c r="E2838" t="inlineStr">
        <is>
          <t>TIERP</t>
        </is>
      </c>
      <c r="F2838" t="inlineStr">
        <is>
          <t>Bergvik skog väst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28565-2022</t>
        </is>
      </c>
      <c r="B2839" s="1" t="n">
        <v>44748</v>
      </c>
      <c r="C2839" s="1" t="n">
        <v>45792</v>
      </c>
      <c r="D2839" t="inlineStr">
        <is>
          <t>UPPSALA LÄN</t>
        </is>
      </c>
      <c r="E2839" t="inlineStr">
        <is>
          <t>TIERP</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28620-2022</t>
        </is>
      </c>
      <c r="B2840" s="1" t="n">
        <v>44748</v>
      </c>
      <c r="C2840" s="1" t="n">
        <v>45792</v>
      </c>
      <c r="D2840" t="inlineStr">
        <is>
          <t>UPPSALA LÄN</t>
        </is>
      </c>
      <c r="E2840" t="inlineStr">
        <is>
          <t>HEBY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28881-2022</t>
        </is>
      </c>
      <c r="B2841" s="1" t="n">
        <v>44749</v>
      </c>
      <c r="C2841" s="1" t="n">
        <v>45792</v>
      </c>
      <c r="D2841" t="inlineStr">
        <is>
          <t>UPPSALA LÄN</t>
        </is>
      </c>
      <c r="E2841" t="inlineStr">
        <is>
          <t>TIERP</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28915-2022</t>
        </is>
      </c>
      <c r="B2842" s="1" t="n">
        <v>44749</v>
      </c>
      <c r="C2842" s="1" t="n">
        <v>45792</v>
      </c>
      <c r="D2842" t="inlineStr">
        <is>
          <t>UPPSALA LÄN</t>
        </is>
      </c>
      <c r="E2842" t="inlineStr">
        <is>
          <t>TIERP</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29103-2022</t>
        </is>
      </c>
      <c r="B2843" s="1" t="n">
        <v>44750</v>
      </c>
      <c r="C2843" s="1" t="n">
        <v>45792</v>
      </c>
      <c r="D2843" t="inlineStr">
        <is>
          <t>UPPSALA LÄN</t>
        </is>
      </c>
      <c r="E2843" t="inlineStr">
        <is>
          <t>TIERP</t>
        </is>
      </c>
      <c r="F2843" t="inlineStr">
        <is>
          <t>Bergvik skog väst AB</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29116-2022</t>
        </is>
      </c>
      <c r="B2844" s="1" t="n">
        <v>44750</v>
      </c>
      <c r="C2844" s="1" t="n">
        <v>45792</v>
      </c>
      <c r="D2844" t="inlineStr">
        <is>
          <t>UPPSALA LÄN</t>
        </is>
      </c>
      <c r="E2844" t="inlineStr">
        <is>
          <t>ÄLVKARLEBY</t>
        </is>
      </c>
      <c r="F2844" t="inlineStr">
        <is>
          <t>Kommuner</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29277-2022</t>
        </is>
      </c>
      <c r="B2845" s="1" t="n">
        <v>44750</v>
      </c>
      <c r="C2845" s="1" t="n">
        <v>45792</v>
      </c>
      <c r="D2845" t="inlineStr">
        <is>
          <t>UPPSALA LÄN</t>
        </is>
      </c>
      <c r="E2845" t="inlineStr">
        <is>
          <t>UPPSALA</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29168-2022</t>
        </is>
      </c>
      <c r="B2846" s="1" t="n">
        <v>44750</v>
      </c>
      <c r="C2846" s="1" t="n">
        <v>45792</v>
      </c>
      <c r="D2846" t="inlineStr">
        <is>
          <t>UPPSALA LÄN</t>
        </is>
      </c>
      <c r="E2846" t="inlineStr">
        <is>
          <t>ÄLVKARLEBY</t>
        </is>
      </c>
      <c r="F2846" t="inlineStr">
        <is>
          <t>Kommuner</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29156-2022</t>
        </is>
      </c>
      <c r="B2847" s="1" t="n">
        <v>44750</v>
      </c>
      <c r="C2847" s="1" t="n">
        <v>45792</v>
      </c>
      <c r="D2847" t="inlineStr">
        <is>
          <t>UPPSALA LÄN</t>
        </is>
      </c>
      <c r="E2847" t="inlineStr">
        <is>
          <t>TIERP</t>
        </is>
      </c>
      <c r="F2847" t="inlineStr">
        <is>
          <t>Övriga Aktiebolag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29134-2022</t>
        </is>
      </c>
      <c r="B2848" s="1" t="n">
        <v>44750</v>
      </c>
      <c r="C2848" s="1" t="n">
        <v>45792</v>
      </c>
      <c r="D2848" t="inlineStr">
        <is>
          <t>UPPSALA LÄN</t>
        </is>
      </c>
      <c r="E2848" t="inlineStr">
        <is>
          <t>UPPSALA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29340-2022</t>
        </is>
      </c>
      <c r="B2849" s="1" t="n">
        <v>44752</v>
      </c>
      <c r="C2849" s="1" t="n">
        <v>45792</v>
      </c>
      <c r="D2849" t="inlineStr">
        <is>
          <t>UPPSALA LÄN</t>
        </is>
      </c>
      <c r="E2849" t="inlineStr">
        <is>
          <t>HEBY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29387-2022</t>
        </is>
      </c>
      <c r="B2850" s="1" t="n">
        <v>44753</v>
      </c>
      <c r="C2850" s="1" t="n">
        <v>45792</v>
      </c>
      <c r="D2850" t="inlineStr">
        <is>
          <t>UPPSALA LÄN</t>
        </is>
      </c>
      <c r="E2850" t="inlineStr">
        <is>
          <t>HEBY</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29391-2022</t>
        </is>
      </c>
      <c r="B2851" s="1" t="n">
        <v>44753</v>
      </c>
      <c r="C2851" s="1" t="n">
        <v>45792</v>
      </c>
      <c r="D2851" t="inlineStr">
        <is>
          <t>UPPSALA LÄN</t>
        </is>
      </c>
      <c r="E2851" t="inlineStr">
        <is>
          <t>HEBY</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29479-2022</t>
        </is>
      </c>
      <c r="B2852" s="1" t="n">
        <v>44753</v>
      </c>
      <c r="C2852" s="1" t="n">
        <v>45792</v>
      </c>
      <c r="D2852" t="inlineStr">
        <is>
          <t>UPPSALA LÄN</t>
        </is>
      </c>
      <c r="E2852" t="inlineStr">
        <is>
          <t>ENKÖPING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29484-2022</t>
        </is>
      </c>
      <c r="B2853" s="1" t="n">
        <v>44753</v>
      </c>
      <c r="C2853" s="1" t="n">
        <v>45792</v>
      </c>
      <c r="D2853" t="inlineStr">
        <is>
          <t>UPPSALA LÄN</t>
        </is>
      </c>
      <c r="E2853" t="inlineStr">
        <is>
          <t>ENKÖPING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29396-2022</t>
        </is>
      </c>
      <c r="B2854" s="1" t="n">
        <v>44753</v>
      </c>
      <c r="C2854" s="1" t="n">
        <v>45792</v>
      </c>
      <c r="D2854" t="inlineStr">
        <is>
          <t>UPPSALA LÄN</t>
        </is>
      </c>
      <c r="E2854" t="inlineStr">
        <is>
          <t>HEBY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29435-2022</t>
        </is>
      </c>
      <c r="B2855" s="1" t="n">
        <v>44753</v>
      </c>
      <c r="C2855" s="1" t="n">
        <v>45792</v>
      </c>
      <c r="D2855" t="inlineStr">
        <is>
          <t>UPPSALA LÄN</t>
        </is>
      </c>
      <c r="E2855" t="inlineStr">
        <is>
          <t>ENKÖPING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29483-2022</t>
        </is>
      </c>
      <c r="B2856" s="1" t="n">
        <v>44753</v>
      </c>
      <c r="C2856" s="1" t="n">
        <v>45792</v>
      </c>
      <c r="D2856" t="inlineStr">
        <is>
          <t>UPPSALA LÄN</t>
        </is>
      </c>
      <c r="E2856" t="inlineStr">
        <is>
          <t>ENKÖPING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29475-2022</t>
        </is>
      </c>
      <c r="B2857" s="1" t="n">
        <v>44753</v>
      </c>
      <c r="C2857" s="1" t="n">
        <v>45792</v>
      </c>
      <c r="D2857" t="inlineStr">
        <is>
          <t>UPPSALA LÄN</t>
        </is>
      </c>
      <c r="E2857" t="inlineStr">
        <is>
          <t>ENKÖPING</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29425-2022</t>
        </is>
      </c>
      <c r="B2858" s="1" t="n">
        <v>44753</v>
      </c>
      <c r="C2858" s="1" t="n">
        <v>45792</v>
      </c>
      <c r="D2858" t="inlineStr">
        <is>
          <t>UPPSALA LÄN</t>
        </is>
      </c>
      <c r="E2858" t="inlineStr">
        <is>
          <t>ENKÖPING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29433-2022</t>
        </is>
      </c>
      <c r="B2859" s="1" t="n">
        <v>44753</v>
      </c>
      <c r="C2859" s="1" t="n">
        <v>45792</v>
      </c>
      <c r="D2859" t="inlineStr">
        <is>
          <t>UPPSALA LÄN</t>
        </is>
      </c>
      <c r="E2859" t="inlineStr">
        <is>
          <t>ENKÖPING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29482-2022</t>
        </is>
      </c>
      <c r="B2860" s="1" t="n">
        <v>44753</v>
      </c>
      <c r="C2860" s="1" t="n">
        <v>45792</v>
      </c>
      <c r="D2860" t="inlineStr">
        <is>
          <t>UPPSALA LÄN</t>
        </is>
      </c>
      <c r="E2860" t="inlineStr">
        <is>
          <t>ENKÖPING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29570-2022</t>
        </is>
      </c>
      <c r="B2861" s="1" t="n">
        <v>44754</v>
      </c>
      <c r="C2861" s="1" t="n">
        <v>45792</v>
      </c>
      <c r="D2861" t="inlineStr">
        <is>
          <t>UPPSALA LÄN</t>
        </is>
      </c>
      <c r="E2861" t="inlineStr">
        <is>
          <t>HEBY</t>
        </is>
      </c>
      <c r="F2861" t="inlineStr">
        <is>
          <t>Bergvik skog öst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29644-2022</t>
        </is>
      </c>
      <c r="B2862" s="1" t="n">
        <v>44754</v>
      </c>
      <c r="C2862" s="1" t="n">
        <v>45792</v>
      </c>
      <c r="D2862" t="inlineStr">
        <is>
          <t>UPPSALA LÄN</t>
        </is>
      </c>
      <c r="E2862" t="inlineStr">
        <is>
          <t>HEBY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29737-2022</t>
        </is>
      </c>
      <c r="B2863" s="1" t="n">
        <v>44755</v>
      </c>
      <c r="C2863" s="1" t="n">
        <v>45792</v>
      </c>
      <c r="D2863" t="inlineStr">
        <is>
          <t>UPPSALA LÄN</t>
        </is>
      </c>
      <c r="E2863" t="inlineStr">
        <is>
          <t>TIERP</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29753-2022</t>
        </is>
      </c>
      <c r="B2864" s="1" t="n">
        <v>44755</v>
      </c>
      <c r="C2864" s="1" t="n">
        <v>45792</v>
      </c>
      <c r="D2864" t="inlineStr">
        <is>
          <t>UPPSALA LÄN</t>
        </is>
      </c>
      <c r="E2864" t="inlineStr">
        <is>
          <t>ÖSTHAMMAR</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29935-2022</t>
        </is>
      </c>
      <c r="B2865" s="1" t="n">
        <v>44756</v>
      </c>
      <c r="C2865" s="1" t="n">
        <v>45792</v>
      </c>
      <c r="D2865" t="inlineStr">
        <is>
          <t>UPPSALA LÄN</t>
        </is>
      </c>
      <c r="E2865" t="inlineStr">
        <is>
          <t>HEBY</t>
        </is>
      </c>
      <c r="F2865" t="inlineStr">
        <is>
          <t>Övriga Aktiebolag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29899-2022</t>
        </is>
      </c>
      <c r="B2866" s="1" t="n">
        <v>44756</v>
      </c>
      <c r="C2866" s="1" t="n">
        <v>45792</v>
      </c>
      <c r="D2866" t="inlineStr">
        <is>
          <t>UPPSALA LÄN</t>
        </is>
      </c>
      <c r="E2866" t="inlineStr">
        <is>
          <t>TIERP</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29981-2022</t>
        </is>
      </c>
      <c r="B2867" s="1" t="n">
        <v>44756</v>
      </c>
      <c r="C2867" s="1" t="n">
        <v>45792</v>
      </c>
      <c r="D2867" t="inlineStr">
        <is>
          <t>UPPSALA LÄN</t>
        </is>
      </c>
      <c r="E2867" t="inlineStr">
        <is>
          <t>TIERP</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29986-2022</t>
        </is>
      </c>
      <c r="B2868" s="1" t="n">
        <v>44756</v>
      </c>
      <c r="C2868" s="1" t="n">
        <v>45792</v>
      </c>
      <c r="D2868" t="inlineStr">
        <is>
          <t>UPPSALA LÄN</t>
        </is>
      </c>
      <c r="E2868" t="inlineStr">
        <is>
          <t>UPPSALA</t>
        </is>
      </c>
      <c r="F2868" t="inlineStr">
        <is>
          <t>Bergvik skog öst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29991-2022</t>
        </is>
      </c>
      <c r="B2869" s="1" t="n">
        <v>44756</v>
      </c>
      <c r="C2869" s="1" t="n">
        <v>45792</v>
      </c>
      <c r="D2869" t="inlineStr">
        <is>
          <t>UPPSALA LÄN</t>
        </is>
      </c>
      <c r="E2869" t="inlineStr">
        <is>
          <t>UPPSALA</t>
        </is>
      </c>
      <c r="F2869" t="inlineStr">
        <is>
          <t>Bergvik skog öst AB</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29983-2022</t>
        </is>
      </c>
      <c r="B2870" s="1" t="n">
        <v>44756</v>
      </c>
      <c r="C2870" s="1" t="n">
        <v>45792</v>
      </c>
      <c r="D2870" t="inlineStr">
        <is>
          <t>UPPSALA LÄN</t>
        </is>
      </c>
      <c r="E2870" t="inlineStr">
        <is>
          <t>TIERP</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30052-2022</t>
        </is>
      </c>
      <c r="B2871" s="1" t="n">
        <v>44757</v>
      </c>
      <c r="C2871" s="1" t="n">
        <v>45792</v>
      </c>
      <c r="D2871" t="inlineStr">
        <is>
          <t>UPPSALA LÄN</t>
        </is>
      </c>
      <c r="E2871" t="inlineStr">
        <is>
          <t>UPPSALA</t>
        </is>
      </c>
      <c r="F2871" t="inlineStr">
        <is>
          <t>Bergvik skog öst AB</t>
        </is>
      </c>
      <c r="G2871" t="n">
        <v>9.6</v>
      </c>
      <c r="H2871" t="n">
        <v>0</v>
      </c>
      <c r="I2871" t="n">
        <v>0</v>
      </c>
      <c r="J2871" t="n">
        <v>0</v>
      </c>
      <c r="K2871" t="n">
        <v>0</v>
      </c>
      <c r="L2871" t="n">
        <v>0</v>
      </c>
      <c r="M2871" t="n">
        <v>0</v>
      </c>
      <c r="N2871" t="n">
        <v>0</v>
      </c>
      <c r="O2871" t="n">
        <v>0</v>
      </c>
      <c r="P2871" t="n">
        <v>0</v>
      </c>
      <c r="Q2871" t="n">
        <v>0</v>
      </c>
      <c r="R2871" s="2" t="inlineStr"/>
    </row>
    <row r="2872" ht="15" customHeight="1">
      <c r="A2872" t="inlineStr">
        <is>
          <t>A 30212-2022</t>
        </is>
      </c>
      <c r="B2872" s="1" t="n">
        <v>44757</v>
      </c>
      <c r="C2872" s="1" t="n">
        <v>45792</v>
      </c>
      <c r="D2872" t="inlineStr">
        <is>
          <t>UPPSALA LÄN</t>
        </is>
      </c>
      <c r="E2872" t="inlineStr">
        <is>
          <t>ÖSTHAMMAR</t>
        </is>
      </c>
      <c r="F2872" t="inlineStr">
        <is>
          <t>Bergvik skog öst AB</t>
        </is>
      </c>
      <c r="G2872" t="n">
        <v>13.6</v>
      </c>
      <c r="H2872" t="n">
        <v>0</v>
      </c>
      <c r="I2872" t="n">
        <v>0</v>
      </c>
      <c r="J2872" t="n">
        <v>0</v>
      </c>
      <c r="K2872" t="n">
        <v>0</v>
      </c>
      <c r="L2872" t="n">
        <v>0</v>
      </c>
      <c r="M2872" t="n">
        <v>0</v>
      </c>
      <c r="N2872" t="n">
        <v>0</v>
      </c>
      <c r="O2872" t="n">
        <v>0</v>
      </c>
      <c r="P2872" t="n">
        <v>0</v>
      </c>
      <c r="Q2872" t="n">
        <v>0</v>
      </c>
      <c r="R2872" s="2" t="inlineStr"/>
    </row>
    <row r="2873" ht="15" customHeight="1">
      <c r="A2873" t="inlineStr">
        <is>
          <t>A 30182-2022</t>
        </is>
      </c>
      <c r="B2873" s="1" t="n">
        <v>44757</v>
      </c>
      <c r="C2873" s="1" t="n">
        <v>45792</v>
      </c>
      <c r="D2873" t="inlineStr">
        <is>
          <t>UPPSALA LÄN</t>
        </is>
      </c>
      <c r="E2873" t="inlineStr">
        <is>
          <t>HEBY</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30351-2022</t>
        </is>
      </c>
      <c r="B2874" s="1" t="n">
        <v>44757</v>
      </c>
      <c r="C2874" s="1" t="n">
        <v>45792</v>
      </c>
      <c r="D2874" t="inlineStr">
        <is>
          <t>UPPSALA LÄN</t>
        </is>
      </c>
      <c r="E2874" t="inlineStr">
        <is>
          <t>KNIVSTA</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30209-2022</t>
        </is>
      </c>
      <c r="B2875" s="1" t="n">
        <v>44757</v>
      </c>
      <c r="C2875" s="1" t="n">
        <v>45792</v>
      </c>
      <c r="D2875" t="inlineStr">
        <is>
          <t>UPPSALA LÄN</t>
        </is>
      </c>
      <c r="E2875" t="inlineStr">
        <is>
          <t>ÖSTHAMMAR</t>
        </is>
      </c>
      <c r="F2875" t="inlineStr">
        <is>
          <t>Bergvik skog öst AB</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30437-2022</t>
        </is>
      </c>
      <c r="B2876" s="1" t="n">
        <v>44761</v>
      </c>
      <c r="C2876" s="1" t="n">
        <v>45792</v>
      </c>
      <c r="D2876" t="inlineStr">
        <is>
          <t>UPPSALA LÄN</t>
        </is>
      </c>
      <c r="E2876" t="inlineStr">
        <is>
          <t>ENKÖPING</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30549-2022</t>
        </is>
      </c>
      <c r="B2877" s="1" t="n">
        <v>44762</v>
      </c>
      <c r="C2877" s="1" t="n">
        <v>45792</v>
      </c>
      <c r="D2877" t="inlineStr">
        <is>
          <t>UPPSALA LÄN</t>
        </is>
      </c>
      <c r="E2877" t="inlineStr">
        <is>
          <t>ÖSTHAMMAR</t>
        </is>
      </c>
      <c r="F2877" t="inlineStr">
        <is>
          <t>Bergvik skog öst AB</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30580-2022</t>
        </is>
      </c>
      <c r="B2878" s="1" t="n">
        <v>44762</v>
      </c>
      <c r="C2878" s="1" t="n">
        <v>45792</v>
      </c>
      <c r="D2878" t="inlineStr">
        <is>
          <t>UPPSALA LÄN</t>
        </is>
      </c>
      <c r="E2878" t="inlineStr">
        <is>
          <t>UPPSALA</t>
        </is>
      </c>
      <c r="F2878" t="inlineStr">
        <is>
          <t>Bergvik skog öst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30634-2022</t>
        </is>
      </c>
      <c r="B2879" s="1" t="n">
        <v>44763</v>
      </c>
      <c r="C2879" s="1" t="n">
        <v>45792</v>
      </c>
      <c r="D2879" t="inlineStr">
        <is>
          <t>UPPSALA LÄN</t>
        </is>
      </c>
      <c r="E2879" t="inlineStr">
        <is>
          <t>ENKÖPING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30783-2022</t>
        </is>
      </c>
      <c r="B2880" s="1" t="n">
        <v>44764</v>
      </c>
      <c r="C2880" s="1" t="n">
        <v>45792</v>
      </c>
      <c r="D2880" t="inlineStr">
        <is>
          <t>UPPSALA LÄN</t>
        </is>
      </c>
      <c r="E2880" t="inlineStr">
        <is>
          <t>UPPSALA</t>
        </is>
      </c>
      <c r="F2880" t="inlineStr">
        <is>
          <t>Bergvik skog öst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30775-2022</t>
        </is>
      </c>
      <c r="B2881" s="1" t="n">
        <v>44764</v>
      </c>
      <c r="C2881" s="1" t="n">
        <v>45792</v>
      </c>
      <c r="D2881" t="inlineStr">
        <is>
          <t>UPPSALA LÄN</t>
        </is>
      </c>
      <c r="E2881" t="inlineStr">
        <is>
          <t>UPPSALA</t>
        </is>
      </c>
      <c r="F2881" t="inlineStr">
        <is>
          <t>Bergvik skog öst AB</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31013-2022</t>
        </is>
      </c>
      <c r="B2882" s="1" t="n">
        <v>44768</v>
      </c>
      <c r="C2882" s="1" t="n">
        <v>45792</v>
      </c>
      <c r="D2882" t="inlineStr">
        <is>
          <t>UPPSALA LÄN</t>
        </is>
      </c>
      <c r="E2882" t="inlineStr">
        <is>
          <t>ENKÖPING</t>
        </is>
      </c>
      <c r="F2882" t="inlineStr">
        <is>
          <t>Allmännings- och besparingsskogar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31027-2022</t>
        </is>
      </c>
      <c r="B2883" s="1" t="n">
        <v>44768</v>
      </c>
      <c r="C2883" s="1" t="n">
        <v>45792</v>
      </c>
      <c r="D2883" t="inlineStr">
        <is>
          <t>UPPSALA LÄN</t>
        </is>
      </c>
      <c r="E2883" t="inlineStr">
        <is>
          <t>ÖSTHAMMAR</t>
        </is>
      </c>
      <c r="F2883" t="inlineStr">
        <is>
          <t>Bergvik skog öst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31035-2022</t>
        </is>
      </c>
      <c r="B2884" s="1" t="n">
        <v>44768</v>
      </c>
      <c r="C2884" s="1" t="n">
        <v>45792</v>
      </c>
      <c r="D2884" t="inlineStr">
        <is>
          <t>UPPSALA LÄN</t>
        </is>
      </c>
      <c r="E2884" t="inlineStr">
        <is>
          <t>ÖSTHAMMAR</t>
        </is>
      </c>
      <c r="F2884" t="inlineStr">
        <is>
          <t>Bergvik skog öst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31026-2022</t>
        </is>
      </c>
      <c r="B2885" s="1" t="n">
        <v>44768</v>
      </c>
      <c r="C2885" s="1" t="n">
        <v>45792</v>
      </c>
      <c r="D2885" t="inlineStr">
        <is>
          <t>UPPSALA LÄN</t>
        </is>
      </c>
      <c r="E2885" t="inlineStr">
        <is>
          <t>ÖSTHAMMAR</t>
        </is>
      </c>
      <c r="F2885" t="inlineStr">
        <is>
          <t>Bergvik skog öst AB</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31049-2022</t>
        </is>
      </c>
      <c r="B2886" s="1" t="n">
        <v>44769</v>
      </c>
      <c r="C2886" s="1" t="n">
        <v>45792</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31094-2022</t>
        </is>
      </c>
      <c r="B2887" s="1" t="n">
        <v>44769</v>
      </c>
      <c r="C2887" s="1" t="n">
        <v>45792</v>
      </c>
      <c r="D2887" t="inlineStr">
        <is>
          <t>UPPSALA LÄN</t>
        </is>
      </c>
      <c r="E2887" t="inlineStr">
        <is>
          <t>TIERP</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31103-2022</t>
        </is>
      </c>
      <c r="B2888" s="1" t="n">
        <v>44769</v>
      </c>
      <c r="C2888" s="1" t="n">
        <v>45792</v>
      </c>
      <c r="D2888" t="inlineStr">
        <is>
          <t>UPPSALA LÄN</t>
        </is>
      </c>
      <c r="E2888" t="inlineStr">
        <is>
          <t>TIERP</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31113-2022</t>
        </is>
      </c>
      <c r="B2889" s="1" t="n">
        <v>44769</v>
      </c>
      <c r="C2889" s="1" t="n">
        <v>45792</v>
      </c>
      <c r="D2889" t="inlineStr">
        <is>
          <t>UPPSALA LÄN</t>
        </is>
      </c>
      <c r="E2889" t="inlineStr">
        <is>
          <t>UPPSALA</t>
        </is>
      </c>
      <c r="F2889" t="inlineStr">
        <is>
          <t>Bergvik skog öst AB</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31182-2022</t>
        </is>
      </c>
      <c r="B2890" s="1" t="n">
        <v>44770</v>
      </c>
      <c r="C2890" s="1" t="n">
        <v>45792</v>
      </c>
      <c r="D2890" t="inlineStr">
        <is>
          <t>UPPSALA LÄN</t>
        </is>
      </c>
      <c r="E2890" t="inlineStr">
        <is>
          <t>ÖSTHAMMAR</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31140-2022</t>
        </is>
      </c>
      <c r="B2891" s="1" t="n">
        <v>44770</v>
      </c>
      <c r="C2891" s="1" t="n">
        <v>45792</v>
      </c>
      <c r="D2891" t="inlineStr">
        <is>
          <t>UPPSALA LÄN</t>
        </is>
      </c>
      <c r="E2891" t="inlineStr">
        <is>
          <t>ÖSTHAMMAR</t>
        </is>
      </c>
      <c r="F2891" t="inlineStr">
        <is>
          <t>Bergvik skog öst AB</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31137-2022</t>
        </is>
      </c>
      <c r="B2892" s="1" t="n">
        <v>44770</v>
      </c>
      <c r="C2892" s="1" t="n">
        <v>45792</v>
      </c>
      <c r="D2892" t="inlineStr">
        <is>
          <t>UPPSALA LÄN</t>
        </is>
      </c>
      <c r="E2892" t="inlineStr">
        <is>
          <t>ÖSTHAMMAR</t>
        </is>
      </c>
      <c r="F2892" t="inlineStr">
        <is>
          <t>Bergvik skog öst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31282-2022</t>
        </is>
      </c>
      <c r="B2893" s="1" t="n">
        <v>44771</v>
      </c>
      <c r="C2893" s="1" t="n">
        <v>45792</v>
      </c>
      <c r="D2893" t="inlineStr">
        <is>
          <t>UPPSALA LÄN</t>
        </is>
      </c>
      <c r="E2893" t="inlineStr">
        <is>
          <t>ÖSTHAMMAR</t>
        </is>
      </c>
      <c r="F2893" t="inlineStr">
        <is>
          <t>Bergvik skog öst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31263-2022</t>
        </is>
      </c>
      <c r="B2894" s="1" t="n">
        <v>44771</v>
      </c>
      <c r="C2894" s="1" t="n">
        <v>45792</v>
      </c>
      <c r="D2894" t="inlineStr">
        <is>
          <t>UPPSALA LÄN</t>
        </is>
      </c>
      <c r="E2894" t="inlineStr">
        <is>
          <t>UPPSALA</t>
        </is>
      </c>
      <c r="F2894" t="inlineStr">
        <is>
          <t>Bergvik skog öst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31261-2022</t>
        </is>
      </c>
      <c r="B2895" s="1" t="n">
        <v>44771</v>
      </c>
      <c r="C2895" s="1" t="n">
        <v>45792</v>
      </c>
      <c r="D2895" t="inlineStr">
        <is>
          <t>UPPSALA LÄN</t>
        </is>
      </c>
      <c r="E2895" t="inlineStr">
        <is>
          <t>UPPSALA</t>
        </is>
      </c>
      <c r="F2895" t="inlineStr">
        <is>
          <t>Bergvik skog öst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31249-2022</t>
        </is>
      </c>
      <c r="B2896" s="1" t="n">
        <v>44771</v>
      </c>
      <c r="C2896" s="1" t="n">
        <v>45792</v>
      </c>
      <c r="D2896" t="inlineStr">
        <is>
          <t>UPPSALA LÄN</t>
        </is>
      </c>
      <c r="E2896" t="inlineStr">
        <is>
          <t>UPPSALA</t>
        </is>
      </c>
      <c r="F2896" t="inlineStr">
        <is>
          <t>Bergvik skog öst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31253-2022</t>
        </is>
      </c>
      <c r="B2897" s="1" t="n">
        <v>44771</v>
      </c>
      <c r="C2897" s="1" t="n">
        <v>45792</v>
      </c>
      <c r="D2897" t="inlineStr">
        <is>
          <t>UPPSALA LÄN</t>
        </is>
      </c>
      <c r="E2897" t="inlineStr">
        <is>
          <t>UPPSALA</t>
        </is>
      </c>
      <c r="F2897" t="inlineStr">
        <is>
          <t>Bergvik skog öst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31574-2022</t>
        </is>
      </c>
      <c r="B2898" s="1" t="n">
        <v>44775</v>
      </c>
      <c r="C2898" s="1" t="n">
        <v>45792</v>
      </c>
      <c r="D2898" t="inlineStr">
        <is>
          <t>UPPSALA LÄN</t>
        </is>
      </c>
      <c r="E2898" t="inlineStr">
        <is>
          <t>ÖSTHAMMAR</t>
        </is>
      </c>
      <c r="G2898" t="n">
        <v>29.7</v>
      </c>
      <c r="H2898" t="n">
        <v>0</v>
      </c>
      <c r="I2898" t="n">
        <v>0</v>
      </c>
      <c r="J2898" t="n">
        <v>0</v>
      </c>
      <c r="K2898" t="n">
        <v>0</v>
      </c>
      <c r="L2898" t="n">
        <v>0</v>
      </c>
      <c r="M2898" t="n">
        <v>0</v>
      </c>
      <c r="N2898" t="n">
        <v>0</v>
      </c>
      <c r="O2898" t="n">
        <v>0</v>
      </c>
      <c r="P2898" t="n">
        <v>0</v>
      </c>
      <c r="Q2898" t="n">
        <v>0</v>
      </c>
      <c r="R2898" s="2" t="inlineStr"/>
    </row>
    <row r="2899" ht="15" customHeight="1">
      <c r="A2899" t="inlineStr">
        <is>
          <t>A 31549-2022</t>
        </is>
      </c>
      <c r="B2899" s="1" t="n">
        <v>44775</v>
      </c>
      <c r="C2899" s="1" t="n">
        <v>45792</v>
      </c>
      <c r="D2899" t="inlineStr">
        <is>
          <t>UPPSALA LÄN</t>
        </is>
      </c>
      <c r="E2899" t="inlineStr">
        <is>
          <t>ÖSTHAMMAR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31622-2022</t>
        </is>
      </c>
      <c r="B2900" s="1" t="n">
        <v>44775</v>
      </c>
      <c r="C2900" s="1" t="n">
        <v>45792</v>
      </c>
      <c r="D2900" t="inlineStr">
        <is>
          <t>UPPSALA LÄN</t>
        </is>
      </c>
      <c r="E2900" t="inlineStr">
        <is>
          <t>ENKÖPING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31669-2022</t>
        </is>
      </c>
      <c r="B2901" s="1" t="n">
        <v>44775</v>
      </c>
      <c r="C2901" s="1" t="n">
        <v>45792</v>
      </c>
      <c r="D2901" t="inlineStr">
        <is>
          <t>UPPSALA LÄN</t>
        </is>
      </c>
      <c r="E2901" t="inlineStr">
        <is>
          <t>ÖSTHAMMAR</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31875-2022</t>
        </is>
      </c>
      <c r="B2902" s="1" t="n">
        <v>44777</v>
      </c>
      <c r="C2902" s="1" t="n">
        <v>45792</v>
      </c>
      <c r="D2902" t="inlineStr">
        <is>
          <t>UPPSALA LÄN</t>
        </is>
      </c>
      <c r="E2902" t="inlineStr">
        <is>
          <t>KNIVSTA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32090-2022</t>
        </is>
      </c>
      <c r="B2903" s="1" t="n">
        <v>44778</v>
      </c>
      <c r="C2903" s="1" t="n">
        <v>45792</v>
      </c>
      <c r="D2903" t="inlineStr">
        <is>
          <t>UPPSALA LÄN</t>
        </is>
      </c>
      <c r="E2903" t="inlineStr">
        <is>
          <t>TIERP</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32092-2022</t>
        </is>
      </c>
      <c r="B2904" s="1" t="n">
        <v>44778</v>
      </c>
      <c r="C2904" s="1" t="n">
        <v>45792</v>
      </c>
      <c r="D2904" t="inlineStr">
        <is>
          <t>UPPSALA LÄN</t>
        </is>
      </c>
      <c r="E2904" t="inlineStr">
        <is>
          <t>TIERP</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32089-2022</t>
        </is>
      </c>
      <c r="B2905" s="1" t="n">
        <v>44778</v>
      </c>
      <c r="C2905" s="1" t="n">
        <v>45792</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32190-2022</t>
        </is>
      </c>
      <c r="B2906" s="1" t="n">
        <v>44781</v>
      </c>
      <c r="C2906" s="1" t="n">
        <v>45792</v>
      </c>
      <c r="D2906" t="inlineStr">
        <is>
          <t>UPPSALA LÄN</t>
        </is>
      </c>
      <c r="E2906" t="inlineStr">
        <is>
          <t>TIERP</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32245-2022</t>
        </is>
      </c>
      <c r="B2907" s="1" t="n">
        <v>44781</v>
      </c>
      <c r="C2907" s="1" t="n">
        <v>45792</v>
      </c>
      <c r="D2907" t="inlineStr">
        <is>
          <t>UPPSALA LÄN</t>
        </is>
      </c>
      <c r="E2907" t="inlineStr">
        <is>
          <t>HEBY</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32326-2022</t>
        </is>
      </c>
      <c r="B2908" s="1" t="n">
        <v>44781</v>
      </c>
      <c r="C2908" s="1" t="n">
        <v>45792</v>
      </c>
      <c r="D2908" t="inlineStr">
        <is>
          <t>UPPSALA LÄN</t>
        </is>
      </c>
      <c r="E2908" t="inlineStr">
        <is>
          <t>TIERP</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32678-2022</t>
        </is>
      </c>
      <c r="B2909" s="1" t="n">
        <v>44783</v>
      </c>
      <c r="C2909" s="1" t="n">
        <v>45792</v>
      </c>
      <c r="D2909" t="inlineStr">
        <is>
          <t>UPPSALA LÄN</t>
        </is>
      </c>
      <c r="E2909" t="inlineStr">
        <is>
          <t>ÖSTHAMMAR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32742-2022</t>
        </is>
      </c>
      <c r="B2910" s="1" t="n">
        <v>44783</v>
      </c>
      <c r="C2910" s="1" t="n">
        <v>45792</v>
      </c>
      <c r="D2910" t="inlineStr">
        <is>
          <t>UPPSALA LÄN</t>
        </is>
      </c>
      <c r="E2910" t="inlineStr">
        <is>
          <t>ÖSTHAMMAR</t>
        </is>
      </c>
      <c r="F2910" t="inlineStr">
        <is>
          <t>Bergvik skog öst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32744-2022</t>
        </is>
      </c>
      <c r="B2911" s="1" t="n">
        <v>44783</v>
      </c>
      <c r="C2911" s="1" t="n">
        <v>45792</v>
      </c>
      <c r="D2911" t="inlineStr">
        <is>
          <t>UPPSALA LÄN</t>
        </is>
      </c>
      <c r="E2911" t="inlineStr">
        <is>
          <t>ÖSTHAMMAR</t>
        </is>
      </c>
      <c r="F2911" t="inlineStr">
        <is>
          <t>Bergvik skog öst AB</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32954-2022</t>
        </is>
      </c>
      <c r="B2912" s="1" t="n">
        <v>44784</v>
      </c>
      <c r="C2912" s="1" t="n">
        <v>45792</v>
      </c>
      <c r="D2912" t="inlineStr">
        <is>
          <t>UPPSALA LÄN</t>
        </is>
      </c>
      <c r="E2912" t="inlineStr">
        <is>
          <t>UPPSALA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33286-2022</t>
        </is>
      </c>
      <c r="B2913" s="1" t="n">
        <v>44788</v>
      </c>
      <c r="C2913" s="1" t="n">
        <v>45792</v>
      </c>
      <c r="D2913" t="inlineStr">
        <is>
          <t>UPPSALA LÄN</t>
        </is>
      </c>
      <c r="E2913" t="inlineStr">
        <is>
          <t>TIERP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33332-2022</t>
        </is>
      </c>
      <c r="B2914" s="1" t="n">
        <v>44788</v>
      </c>
      <c r="C2914" s="1" t="n">
        <v>45792</v>
      </c>
      <c r="D2914" t="inlineStr">
        <is>
          <t>UPPSALA LÄN</t>
        </is>
      </c>
      <c r="E2914" t="inlineStr">
        <is>
          <t>UPPSALA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33284-2022</t>
        </is>
      </c>
      <c r="B2915" s="1" t="n">
        <v>44788</v>
      </c>
      <c r="C2915" s="1" t="n">
        <v>45792</v>
      </c>
      <c r="D2915" t="inlineStr">
        <is>
          <t>UPPSALA LÄN</t>
        </is>
      </c>
      <c r="E2915" t="inlineStr">
        <is>
          <t>HEBY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33379-2022</t>
        </is>
      </c>
      <c r="B2916" s="1" t="n">
        <v>44788</v>
      </c>
      <c r="C2916" s="1" t="n">
        <v>45792</v>
      </c>
      <c r="D2916" t="inlineStr">
        <is>
          <t>UPPSALA LÄN</t>
        </is>
      </c>
      <c r="E2916" t="inlineStr">
        <is>
          <t>HEBY</t>
        </is>
      </c>
      <c r="G2916" t="n">
        <v>18.8</v>
      </c>
      <c r="H2916" t="n">
        <v>0</v>
      </c>
      <c r="I2916" t="n">
        <v>0</v>
      </c>
      <c r="J2916" t="n">
        <v>0</v>
      </c>
      <c r="K2916" t="n">
        <v>0</v>
      </c>
      <c r="L2916" t="n">
        <v>0</v>
      </c>
      <c r="M2916" t="n">
        <v>0</v>
      </c>
      <c r="N2916" t="n">
        <v>0</v>
      </c>
      <c r="O2916" t="n">
        <v>0</v>
      </c>
      <c r="P2916" t="n">
        <v>0</v>
      </c>
      <c r="Q2916" t="n">
        <v>0</v>
      </c>
      <c r="R2916" s="2" t="inlineStr"/>
    </row>
    <row r="2917" ht="15" customHeight="1">
      <c r="A2917" t="inlineStr">
        <is>
          <t>A 33283-2022</t>
        </is>
      </c>
      <c r="B2917" s="1" t="n">
        <v>44788</v>
      </c>
      <c r="C2917" s="1" t="n">
        <v>45792</v>
      </c>
      <c r="D2917" t="inlineStr">
        <is>
          <t>UPPSALA LÄN</t>
        </is>
      </c>
      <c r="E2917" t="inlineStr">
        <is>
          <t>UPPSALA</t>
        </is>
      </c>
      <c r="G2917" t="n">
        <v>20.2</v>
      </c>
      <c r="H2917" t="n">
        <v>0</v>
      </c>
      <c r="I2917" t="n">
        <v>0</v>
      </c>
      <c r="J2917" t="n">
        <v>0</v>
      </c>
      <c r="K2917" t="n">
        <v>0</v>
      </c>
      <c r="L2917" t="n">
        <v>0</v>
      </c>
      <c r="M2917" t="n">
        <v>0</v>
      </c>
      <c r="N2917" t="n">
        <v>0</v>
      </c>
      <c r="O2917" t="n">
        <v>0</v>
      </c>
      <c r="P2917" t="n">
        <v>0</v>
      </c>
      <c r="Q2917" t="n">
        <v>0</v>
      </c>
      <c r="R2917" s="2" t="inlineStr"/>
    </row>
    <row r="2918" ht="15" customHeight="1">
      <c r="A2918" t="inlineStr">
        <is>
          <t>A 33619-2022</t>
        </is>
      </c>
      <c r="B2918" s="1" t="n">
        <v>44789</v>
      </c>
      <c r="C2918" s="1" t="n">
        <v>45792</v>
      </c>
      <c r="D2918" t="inlineStr">
        <is>
          <t>UPPSALA LÄN</t>
        </is>
      </c>
      <c r="E2918" t="inlineStr">
        <is>
          <t>ENKÖPING</t>
        </is>
      </c>
      <c r="F2918" t="inlineStr">
        <is>
          <t>Allmännings- och besparingsskogar</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33821-2022</t>
        </is>
      </c>
      <c r="B2919" s="1" t="n">
        <v>44790</v>
      </c>
      <c r="C2919" s="1" t="n">
        <v>45792</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33849-2022</t>
        </is>
      </c>
      <c r="B2920" s="1" t="n">
        <v>44790</v>
      </c>
      <c r="C2920" s="1" t="n">
        <v>45792</v>
      </c>
      <c r="D2920" t="inlineStr">
        <is>
          <t>UPPSALA LÄN</t>
        </is>
      </c>
      <c r="E2920" t="inlineStr">
        <is>
          <t>HEBY</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33890-2022</t>
        </is>
      </c>
      <c r="B2921" s="1" t="n">
        <v>44790</v>
      </c>
      <c r="C2921" s="1" t="n">
        <v>45792</v>
      </c>
      <c r="D2921" t="inlineStr">
        <is>
          <t>UPPSALA LÄN</t>
        </is>
      </c>
      <c r="E2921" t="inlineStr">
        <is>
          <t>TIERP</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34078-2022</t>
        </is>
      </c>
      <c r="B2922" s="1" t="n">
        <v>44791</v>
      </c>
      <c r="C2922" s="1" t="n">
        <v>45792</v>
      </c>
      <c r="D2922" t="inlineStr">
        <is>
          <t>UPPSALA LÄN</t>
        </is>
      </c>
      <c r="E2922" t="inlineStr">
        <is>
          <t>KNIVSTA</t>
        </is>
      </c>
      <c r="F2922" t="inlineStr">
        <is>
          <t>Övriga statliga verk och myndigheter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34146-2022</t>
        </is>
      </c>
      <c r="B2923" s="1" t="n">
        <v>44791</v>
      </c>
      <c r="C2923" s="1" t="n">
        <v>45792</v>
      </c>
      <c r="D2923" t="inlineStr">
        <is>
          <t>UPPSALA LÄN</t>
        </is>
      </c>
      <c r="E2923" t="inlineStr">
        <is>
          <t>HEBY</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34061-2022</t>
        </is>
      </c>
      <c r="B2924" s="1" t="n">
        <v>44791</v>
      </c>
      <c r="C2924" s="1" t="n">
        <v>45792</v>
      </c>
      <c r="D2924" t="inlineStr">
        <is>
          <t>UPPSALA LÄN</t>
        </is>
      </c>
      <c r="E2924" t="inlineStr">
        <is>
          <t>UPPSALA</t>
        </is>
      </c>
      <c r="F2924" t="inlineStr">
        <is>
          <t>Bergvik skog öst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34202-2022</t>
        </is>
      </c>
      <c r="B2925" s="1" t="n">
        <v>44791</v>
      </c>
      <c r="C2925" s="1" t="n">
        <v>45792</v>
      </c>
      <c r="D2925" t="inlineStr">
        <is>
          <t>UPPSALA LÄN</t>
        </is>
      </c>
      <c r="E2925" t="inlineStr">
        <is>
          <t>HÅBO</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34386-2022</t>
        </is>
      </c>
      <c r="B2926" s="1" t="n">
        <v>44792</v>
      </c>
      <c r="C2926" s="1" t="n">
        <v>45792</v>
      </c>
      <c r="D2926" t="inlineStr">
        <is>
          <t>UPPSALA LÄN</t>
        </is>
      </c>
      <c r="E2926" t="inlineStr">
        <is>
          <t>HEBY</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34418-2022</t>
        </is>
      </c>
      <c r="B2927" s="1" t="n">
        <v>44792</v>
      </c>
      <c r="C2927" s="1" t="n">
        <v>45792</v>
      </c>
      <c r="D2927" t="inlineStr">
        <is>
          <t>UPPSALA LÄN</t>
        </is>
      </c>
      <c r="E2927" t="inlineStr">
        <is>
          <t>ÖSTHAMMAR</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34460-2022</t>
        </is>
      </c>
      <c r="B2928" s="1" t="n">
        <v>44792</v>
      </c>
      <c r="C2928" s="1" t="n">
        <v>45792</v>
      </c>
      <c r="D2928" t="inlineStr">
        <is>
          <t>UPPSALA LÄN</t>
        </is>
      </c>
      <c r="E2928" t="inlineStr">
        <is>
          <t>TIERP</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34617-2022</t>
        </is>
      </c>
      <c r="B2929" s="1" t="n">
        <v>44795</v>
      </c>
      <c r="C2929" s="1" t="n">
        <v>45792</v>
      </c>
      <c r="D2929" t="inlineStr">
        <is>
          <t>UPPSALA LÄN</t>
        </is>
      </c>
      <c r="E2929" t="inlineStr">
        <is>
          <t>ENKÖPING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34770-2022</t>
        </is>
      </c>
      <c r="B2930" s="1" t="n">
        <v>44795</v>
      </c>
      <c r="C2930" s="1" t="n">
        <v>45792</v>
      </c>
      <c r="D2930" t="inlineStr">
        <is>
          <t>UPPSALA LÄN</t>
        </is>
      </c>
      <c r="E2930" t="inlineStr">
        <is>
          <t>UPPSALA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34742-2022</t>
        </is>
      </c>
      <c r="B2931" s="1" t="n">
        <v>44795</v>
      </c>
      <c r="C2931" s="1" t="n">
        <v>45792</v>
      </c>
      <c r="D2931" t="inlineStr">
        <is>
          <t>UPPSALA LÄN</t>
        </is>
      </c>
      <c r="E2931" t="inlineStr">
        <is>
          <t>ÖSTHAMMAR</t>
        </is>
      </c>
      <c r="F2931" t="inlineStr">
        <is>
          <t>Bergvik skog öst AB</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34971-2022</t>
        </is>
      </c>
      <c r="B2932" s="1" t="n">
        <v>44796</v>
      </c>
      <c r="C2932" s="1" t="n">
        <v>45792</v>
      </c>
      <c r="D2932" t="inlineStr">
        <is>
          <t>UPPSALA LÄN</t>
        </is>
      </c>
      <c r="E2932" t="inlineStr">
        <is>
          <t>ÖSTHAMMAR</t>
        </is>
      </c>
      <c r="F2932" t="inlineStr">
        <is>
          <t>Bergvik skog öst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34994-2022</t>
        </is>
      </c>
      <c r="B2933" s="1" t="n">
        <v>44796</v>
      </c>
      <c r="C2933" s="1" t="n">
        <v>45792</v>
      </c>
      <c r="D2933" t="inlineStr">
        <is>
          <t>UPPSALA LÄN</t>
        </is>
      </c>
      <c r="E2933" t="inlineStr">
        <is>
          <t>ÖSTHAMMAR</t>
        </is>
      </c>
      <c r="F2933" t="inlineStr">
        <is>
          <t>Bergvik skog öst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35212-2022</t>
        </is>
      </c>
      <c r="B2934" s="1" t="n">
        <v>44797</v>
      </c>
      <c r="C2934" s="1" t="n">
        <v>45792</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35411-2022</t>
        </is>
      </c>
      <c r="B2935" s="1" t="n">
        <v>44798</v>
      </c>
      <c r="C2935" s="1" t="n">
        <v>45792</v>
      </c>
      <c r="D2935" t="inlineStr">
        <is>
          <t>UPPSALA LÄN</t>
        </is>
      </c>
      <c r="E2935" t="inlineStr">
        <is>
          <t>UPPSALA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35539-2022</t>
        </is>
      </c>
      <c r="B2936" s="1" t="n">
        <v>44799</v>
      </c>
      <c r="C2936" s="1" t="n">
        <v>45792</v>
      </c>
      <c r="D2936" t="inlineStr">
        <is>
          <t>UPPSALA LÄN</t>
        </is>
      </c>
      <c r="E2936" t="inlineStr">
        <is>
          <t>UPPSALA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35544-2022</t>
        </is>
      </c>
      <c r="B2937" s="1" t="n">
        <v>44799</v>
      </c>
      <c r="C2937" s="1" t="n">
        <v>45792</v>
      </c>
      <c r="D2937" t="inlineStr">
        <is>
          <t>UPPSALA LÄN</t>
        </is>
      </c>
      <c r="E2937" t="inlineStr">
        <is>
          <t>UPPSALA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35542-2022</t>
        </is>
      </c>
      <c r="B2938" s="1" t="n">
        <v>44799</v>
      </c>
      <c r="C2938" s="1" t="n">
        <v>45792</v>
      </c>
      <c r="D2938" t="inlineStr">
        <is>
          <t>UPPSALA LÄN</t>
        </is>
      </c>
      <c r="E2938" t="inlineStr">
        <is>
          <t>UPPSALA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35868-2022</t>
        </is>
      </c>
      <c r="B2939" s="1" t="n">
        <v>44802</v>
      </c>
      <c r="C2939" s="1" t="n">
        <v>45792</v>
      </c>
      <c r="D2939" t="inlineStr">
        <is>
          <t>UPPSALA LÄN</t>
        </is>
      </c>
      <c r="E2939" t="inlineStr">
        <is>
          <t>HEBY</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35875-2022</t>
        </is>
      </c>
      <c r="B2940" s="1" t="n">
        <v>44802</v>
      </c>
      <c r="C2940" s="1" t="n">
        <v>45792</v>
      </c>
      <c r="D2940" t="inlineStr">
        <is>
          <t>UPPSALA LÄN</t>
        </is>
      </c>
      <c r="E2940" t="inlineStr">
        <is>
          <t>HEBY</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35865-2022</t>
        </is>
      </c>
      <c r="B2941" s="1" t="n">
        <v>44802</v>
      </c>
      <c r="C2941" s="1" t="n">
        <v>45792</v>
      </c>
      <c r="D2941" t="inlineStr">
        <is>
          <t>UPPSALA LÄN</t>
        </is>
      </c>
      <c r="E2941" t="inlineStr">
        <is>
          <t>HEBY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36216-2022</t>
        </is>
      </c>
      <c r="B2942" s="1" t="n">
        <v>44803</v>
      </c>
      <c r="C2942" s="1" t="n">
        <v>45792</v>
      </c>
      <c r="D2942" t="inlineStr">
        <is>
          <t>UPPSALA LÄN</t>
        </is>
      </c>
      <c r="E2942" t="inlineStr">
        <is>
          <t>ÄLVKARLEBY</t>
        </is>
      </c>
      <c r="F2942" t="inlineStr">
        <is>
          <t>Bergvik skog väst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36217-2022</t>
        </is>
      </c>
      <c r="B2943" s="1" t="n">
        <v>44803</v>
      </c>
      <c r="C2943" s="1" t="n">
        <v>45792</v>
      </c>
      <c r="D2943" t="inlineStr">
        <is>
          <t>UPPSALA LÄN</t>
        </is>
      </c>
      <c r="E2943" t="inlineStr">
        <is>
          <t>ÄLVKARLEBY</t>
        </is>
      </c>
      <c r="F2943" t="inlineStr">
        <is>
          <t>Bergvik skog väst AB</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36282-2022</t>
        </is>
      </c>
      <c r="B2944" s="1" t="n">
        <v>44803</v>
      </c>
      <c r="C2944" s="1" t="n">
        <v>45792</v>
      </c>
      <c r="D2944" t="inlineStr">
        <is>
          <t>UPPSALA LÄN</t>
        </is>
      </c>
      <c r="E2944" t="inlineStr">
        <is>
          <t>ÄLVKARLEBY</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36343-2022</t>
        </is>
      </c>
      <c r="B2945" s="1" t="n">
        <v>44803</v>
      </c>
      <c r="C2945" s="1" t="n">
        <v>45792</v>
      </c>
      <c r="D2945" t="inlineStr">
        <is>
          <t>UPPSALA LÄN</t>
        </is>
      </c>
      <c r="E2945" t="inlineStr">
        <is>
          <t>ÖSTHAMMAR</t>
        </is>
      </c>
      <c r="F2945" t="inlineStr">
        <is>
          <t>Bergvik skog öst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36549-2022</t>
        </is>
      </c>
      <c r="B2946" s="1" t="n">
        <v>44804</v>
      </c>
      <c r="C2946" s="1" t="n">
        <v>45792</v>
      </c>
      <c r="D2946" t="inlineStr">
        <is>
          <t>UPPSALA LÄN</t>
        </is>
      </c>
      <c r="E2946" t="inlineStr">
        <is>
          <t>TIERP</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36561-2022</t>
        </is>
      </c>
      <c r="B2947" s="1" t="n">
        <v>44804</v>
      </c>
      <c r="C2947" s="1" t="n">
        <v>45792</v>
      </c>
      <c r="D2947" t="inlineStr">
        <is>
          <t>UPPSALA LÄN</t>
        </is>
      </c>
      <c r="E2947" t="inlineStr">
        <is>
          <t>TIERP</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36873-2022</t>
        </is>
      </c>
      <c r="B2948" s="1" t="n">
        <v>44805</v>
      </c>
      <c r="C2948" s="1" t="n">
        <v>45792</v>
      </c>
      <c r="D2948" t="inlineStr">
        <is>
          <t>UPPSALA LÄN</t>
        </is>
      </c>
      <c r="E2948" t="inlineStr">
        <is>
          <t>ÖSTHAMMAR</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37187-2022</t>
        </is>
      </c>
      <c r="B2949" s="1" t="n">
        <v>44806</v>
      </c>
      <c r="C2949" s="1" t="n">
        <v>45792</v>
      </c>
      <c r="D2949" t="inlineStr">
        <is>
          <t>UPPSALA LÄN</t>
        </is>
      </c>
      <c r="E2949" t="inlineStr">
        <is>
          <t>UPPSALA</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37316-2022</t>
        </is>
      </c>
      <c r="B2950" s="1" t="n">
        <v>44806</v>
      </c>
      <c r="C2950" s="1" t="n">
        <v>45792</v>
      </c>
      <c r="D2950" t="inlineStr">
        <is>
          <t>UPPSALA LÄN</t>
        </is>
      </c>
      <c r="E2950" t="inlineStr">
        <is>
          <t>UPPSALA</t>
        </is>
      </c>
      <c r="G2950" t="n">
        <v>10.6</v>
      </c>
      <c r="H2950" t="n">
        <v>0</v>
      </c>
      <c r="I2950" t="n">
        <v>0</v>
      </c>
      <c r="J2950" t="n">
        <v>0</v>
      </c>
      <c r="K2950" t="n">
        <v>0</v>
      </c>
      <c r="L2950" t="n">
        <v>0</v>
      </c>
      <c r="M2950" t="n">
        <v>0</v>
      </c>
      <c r="N2950" t="n">
        <v>0</v>
      </c>
      <c r="O2950" t="n">
        <v>0</v>
      </c>
      <c r="P2950" t="n">
        <v>0</v>
      </c>
      <c r="Q2950" t="n">
        <v>0</v>
      </c>
      <c r="R2950" s="2" t="inlineStr"/>
    </row>
    <row r="2951" ht="15" customHeight="1">
      <c r="A2951" t="inlineStr">
        <is>
          <t>A 37188-2022</t>
        </is>
      </c>
      <c r="B2951" s="1" t="n">
        <v>44806</v>
      </c>
      <c r="C2951" s="1" t="n">
        <v>45792</v>
      </c>
      <c r="D2951" t="inlineStr">
        <is>
          <t>UPPSALA LÄN</t>
        </is>
      </c>
      <c r="E2951" t="inlineStr">
        <is>
          <t>UPPSALA</t>
        </is>
      </c>
      <c r="F2951" t="inlineStr">
        <is>
          <t>Holmen skog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37410-2022</t>
        </is>
      </c>
      <c r="B2952" s="1" t="n">
        <v>44809</v>
      </c>
      <c r="C2952" s="1" t="n">
        <v>45792</v>
      </c>
      <c r="D2952" t="inlineStr">
        <is>
          <t>UPPSALA LÄN</t>
        </is>
      </c>
      <c r="E2952" t="inlineStr">
        <is>
          <t>ENKÖPING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37414-2022</t>
        </is>
      </c>
      <c r="B2953" s="1" t="n">
        <v>44809</v>
      </c>
      <c r="C2953" s="1" t="n">
        <v>45792</v>
      </c>
      <c r="D2953" t="inlineStr">
        <is>
          <t>UPPSALA LÄN</t>
        </is>
      </c>
      <c r="E2953" t="inlineStr">
        <is>
          <t>ENKÖPING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37545-2022</t>
        </is>
      </c>
      <c r="B2954" s="1" t="n">
        <v>44809</v>
      </c>
      <c r="C2954" s="1" t="n">
        <v>45792</v>
      </c>
      <c r="D2954" t="inlineStr">
        <is>
          <t>UPPSALA LÄN</t>
        </is>
      </c>
      <c r="E2954" t="inlineStr">
        <is>
          <t>ÖSTHAMMAR</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37588-2022</t>
        </is>
      </c>
      <c r="B2955" s="1" t="n">
        <v>44810</v>
      </c>
      <c r="C2955" s="1" t="n">
        <v>45792</v>
      </c>
      <c r="D2955" t="inlineStr">
        <is>
          <t>UPPSALA LÄN</t>
        </is>
      </c>
      <c r="E2955" t="inlineStr">
        <is>
          <t>UPPSALA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37570-2022</t>
        </is>
      </c>
      <c r="B2956" s="1" t="n">
        <v>44809</v>
      </c>
      <c r="C2956" s="1" t="n">
        <v>45792</v>
      </c>
      <c r="D2956" t="inlineStr">
        <is>
          <t>UPPSALA LÄN</t>
        </is>
      </c>
      <c r="E2956" t="inlineStr">
        <is>
          <t>ÖSTHAMMAR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37761-2022</t>
        </is>
      </c>
      <c r="B2957" s="1" t="n">
        <v>44810</v>
      </c>
      <c r="C2957" s="1" t="n">
        <v>45792</v>
      </c>
      <c r="D2957" t="inlineStr">
        <is>
          <t>UPPSALA LÄN</t>
        </is>
      </c>
      <c r="E2957" t="inlineStr">
        <is>
          <t>UPPSALA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37670-2022</t>
        </is>
      </c>
      <c r="B2958" s="1" t="n">
        <v>44810</v>
      </c>
      <c r="C2958" s="1" t="n">
        <v>45792</v>
      </c>
      <c r="D2958" t="inlineStr">
        <is>
          <t>UPPSALA LÄN</t>
        </is>
      </c>
      <c r="E2958" t="inlineStr">
        <is>
          <t>UPPSALA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37766-2022</t>
        </is>
      </c>
      <c r="B2959" s="1" t="n">
        <v>44810</v>
      </c>
      <c r="C2959" s="1" t="n">
        <v>45792</v>
      </c>
      <c r="D2959" t="inlineStr">
        <is>
          <t>UPPSALA LÄN</t>
        </is>
      </c>
      <c r="E2959" t="inlineStr">
        <is>
          <t>HEBY</t>
        </is>
      </c>
      <c r="F2959" t="inlineStr">
        <is>
          <t>Bergvik skog väst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37782-2022</t>
        </is>
      </c>
      <c r="B2960" s="1" t="n">
        <v>44810</v>
      </c>
      <c r="C2960" s="1" t="n">
        <v>45792</v>
      </c>
      <c r="D2960" t="inlineStr">
        <is>
          <t>UPPSALA LÄN</t>
        </is>
      </c>
      <c r="E2960" t="inlineStr">
        <is>
          <t>HEBY</t>
        </is>
      </c>
      <c r="F2960" t="inlineStr">
        <is>
          <t>Bergvik skog väst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37781-2022</t>
        </is>
      </c>
      <c r="B2961" s="1" t="n">
        <v>44810</v>
      </c>
      <c r="C2961" s="1" t="n">
        <v>45792</v>
      </c>
      <c r="D2961" t="inlineStr">
        <is>
          <t>UPPSALA LÄN</t>
        </is>
      </c>
      <c r="E2961" t="inlineStr">
        <is>
          <t>HEBY</t>
        </is>
      </c>
      <c r="F2961" t="inlineStr">
        <is>
          <t>Bergvik skog väst AB</t>
        </is>
      </c>
      <c r="G2961" t="n">
        <v>21.6</v>
      </c>
      <c r="H2961" t="n">
        <v>0</v>
      </c>
      <c r="I2961" t="n">
        <v>0</v>
      </c>
      <c r="J2961" t="n">
        <v>0</v>
      </c>
      <c r="K2961" t="n">
        <v>0</v>
      </c>
      <c r="L2961" t="n">
        <v>0</v>
      </c>
      <c r="M2961" t="n">
        <v>0</v>
      </c>
      <c r="N2961" t="n">
        <v>0</v>
      </c>
      <c r="O2961" t="n">
        <v>0</v>
      </c>
      <c r="P2961" t="n">
        <v>0</v>
      </c>
      <c r="Q2961" t="n">
        <v>0</v>
      </c>
      <c r="R2961" s="2" t="inlineStr"/>
    </row>
    <row r="2962" ht="15" customHeight="1">
      <c r="A2962" t="inlineStr">
        <is>
          <t>A 38005-2022</t>
        </is>
      </c>
      <c r="B2962" s="1" t="n">
        <v>44810</v>
      </c>
      <c r="C2962" s="1" t="n">
        <v>45792</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37813-2022</t>
        </is>
      </c>
      <c r="B2963" s="1" t="n">
        <v>44810</v>
      </c>
      <c r="C2963" s="1" t="n">
        <v>45792</v>
      </c>
      <c r="D2963" t="inlineStr">
        <is>
          <t>UPPSALA LÄN</t>
        </is>
      </c>
      <c r="E2963" t="inlineStr">
        <is>
          <t>ÖSTHAMMAR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37812-2022</t>
        </is>
      </c>
      <c r="B2964" s="1" t="n">
        <v>44810</v>
      </c>
      <c r="C2964" s="1" t="n">
        <v>45792</v>
      </c>
      <c r="D2964" t="inlineStr">
        <is>
          <t>UPPSALA LÄN</t>
        </is>
      </c>
      <c r="E2964" t="inlineStr">
        <is>
          <t>ÖSTHAMMAR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37938-2022</t>
        </is>
      </c>
      <c r="B2965" s="1" t="n">
        <v>44811</v>
      </c>
      <c r="C2965" s="1" t="n">
        <v>45792</v>
      </c>
      <c r="D2965" t="inlineStr">
        <is>
          <t>UPPSALA LÄN</t>
        </is>
      </c>
      <c r="E2965" t="inlineStr">
        <is>
          <t>TIERP</t>
        </is>
      </c>
      <c r="F2965" t="inlineStr">
        <is>
          <t>Bergvik skog öst AB</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38085-2022</t>
        </is>
      </c>
      <c r="B2966" s="1" t="n">
        <v>44811</v>
      </c>
      <c r="C2966" s="1" t="n">
        <v>45792</v>
      </c>
      <c r="D2966" t="inlineStr">
        <is>
          <t>UPPSALA LÄN</t>
        </is>
      </c>
      <c r="E2966" t="inlineStr">
        <is>
          <t>HEBY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38078-2022</t>
        </is>
      </c>
      <c r="B2967" s="1" t="n">
        <v>44811</v>
      </c>
      <c r="C2967" s="1" t="n">
        <v>45792</v>
      </c>
      <c r="D2967" t="inlineStr">
        <is>
          <t>UPPSALA LÄN</t>
        </is>
      </c>
      <c r="E2967" t="inlineStr">
        <is>
          <t>UPPSALA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38501-2022</t>
        </is>
      </c>
      <c r="B2968" s="1" t="n">
        <v>44813</v>
      </c>
      <c r="C2968" s="1" t="n">
        <v>45792</v>
      </c>
      <c r="D2968" t="inlineStr">
        <is>
          <t>UPPSALA LÄN</t>
        </is>
      </c>
      <c r="E2968" t="inlineStr">
        <is>
          <t>ÖSTHAMMAR</t>
        </is>
      </c>
      <c r="F2968" t="inlineStr">
        <is>
          <t>Bergvik skog öst AB</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38524-2022</t>
        </is>
      </c>
      <c r="B2969" s="1" t="n">
        <v>44813</v>
      </c>
      <c r="C2969" s="1" t="n">
        <v>45792</v>
      </c>
      <c r="D2969" t="inlineStr">
        <is>
          <t>UPPSALA LÄN</t>
        </is>
      </c>
      <c r="E2969" t="inlineStr">
        <is>
          <t>UPPSALA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38702-2022</t>
        </is>
      </c>
      <c r="B2970" s="1" t="n">
        <v>44814</v>
      </c>
      <c r="C2970" s="1" t="n">
        <v>45792</v>
      </c>
      <c r="D2970" t="inlineStr">
        <is>
          <t>UPPSALA LÄN</t>
        </is>
      </c>
      <c r="E2970" t="inlineStr">
        <is>
          <t>ÖSTHAMMAR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38775-2022</t>
        </is>
      </c>
      <c r="B2971" s="1" t="n">
        <v>44816</v>
      </c>
      <c r="C2971" s="1" t="n">
        <v>45792</v>
      </c>
      <c r="D2971" t="inlineStr">
        <is>
          <t>UPPSALA LÄN</t>
        </is>
      </c>
      <c r="E2971" t="inlineStr">
        <is>
          <t>ENKÖPING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38865-2022</t>
        </is>
      </c>
      <c r="B2972" s="1" t="n">
        <v>44816</v>
      </c>
      <c r="C2972" s="1" t="n">
        <v>45792</v>
      </c>
      <c r="D2972" t="inlineStr">
        <is>
          <t>UPPSALA LÄN</t>
        </is>
      </c>
      <c r="E2972" t="inlineStr">
        <is>
          <t>UPPSALA</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38892-2022</t>
        </is>
      </c>
      <c r="B2973" s="1" t="n">
        <v>44816</v>
      </c>
      <c r="C2973" s="1" t="n">
        <v>45792</v>
      </c>
      <c r="D2973" t="inlineStr">
        <is>
          <t>UPPSALA LÄN</t>
        </is>
      </c>
      <c r="E2973" t="inlineStr">
        <is>
          <t>UPPSALA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38909-2022</t>
        </is>
      </c>
      <c r="B2974" s="1" t="n">
        <v>44816</v>
      </c>
      <c r="C2974" s="1" t="n">
        <v>45792</v>
      </c>
      <c r="D2974" t="inlineStr">
        <is>
          <t>UPPSALA LÄN</t>
        </is>
      </c>
      <c r="E2974" t="inlineStr">
        <is>
          <t>UPPSALA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39148-2022</t>
        </is>
      </c>
      <c r="B2975" s="1" t="n">
        <v>44816</v>
      </c>
      <c r="C2975" s="1" t="n">
        <v>45792</v>
      </c>
      <c r="D2975" t="inlineStr">
        <is>
          <t>UPPSALA LÄN</t>
        </is>
      </c>
      <c r="E2975" t="inlineStr">
        <is>
          <t>UPPSALA</t>
        </is>
      </c>
      <c r="F2975" t="inlineStr">
        <is>
          <t>Övriga statliga verk och myndigheter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39144-2022</t>
        </is>
      </c>
      <c r="B2976" s="1" t="n">
        <v>44816</v>
      </c>
      <c r="C2976" s="1" t="n">
        <v>45792</v>
      </c>
      <c r="D2976" t="inlineStr">
        <is>
          <t>UPPSALA LÄN</t>
        </is>
      </c>
      <c r="E2976" t="inlineStr">
        <is>
          <t>UPPSALA</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39454-2022</t>
        </is>
      </c>
      <c r="B2977" s="1" t="n">
        <v>44817</v>
      </c>
      <c r="C2977" s="1" t="n">
        <v>45792</v>
      </c>
      <c r="D2977" t="inlineStr">
        <is>
          <t>UPPSALA LÄN</t>
        </is>
      </c>
      <c r="E2977" t="inlineStr">
        <is>
          <t>UPPSALA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39608-2022</t>
        </is>
      </c>
      <c r="B2978" s="1" t="n">
        <v>44817</v>
      </c>
      <c r="C2978" s="1" t="n">
        <v>45792</v>
      </c>
      <c r="D2978" t="inlineStr">
        <is>
          <t>UPPSALA LÄN</t>
        </is>
      </c>
      <c r="E2978" t="inlineStr">
        <is>
          <t>UPPSALA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39599-2022</t>
        </is>
      </c>
      <c r="B2979" s="1" t="n">
        <v>44817</v>
      </c>
      <c r="C2979" s="1" t="n">
        <v>45792</v>
      </c>
      <c r="D2979" t="inlineStr">
        <is>
          <t>UPPSALA LÄN</t>
        </is>
      </c>
      <c r="E2979" t="inlineStr">
        <is>
          <t>UPPSALA</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39480-2022</t>
        </is>
      </c>
      <c r="B2980" s="1" t="n">
        <v>44818</v>
      </c>
      <c r="C2980" s="1" t="n">
        <v>45792</v>
      </c>
      <c r="D2980" t="inlineStr">
        <is>
          <t>UPPSALA LÄN</t>
        </is>
      </c>
      <c r="E2980" t="inlineStr">
        <is>
          <t>ÖSTHAMMAR</t>
        </is>
      </c>
      <c r="F2980" t="inlineStr">
        <is>
          <t>Bergvik skog öst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39751-2022</t>
        </is>
      </c>
      <c r="B2981" s="1" t="n">
        <v>44819</v>
      </c>
      <c r="C2981" s="1" t="n">
        <v>45792</v>
      </c>
      <c r="D2981" t="inlineStr">
        <is>
          <t>UPPSALA LÄN</t>
        </is>
      </c>
      <c r="E2981" t="inlineStr">
        <is>
          <t>ENKÖPING</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39802-2022</t>
        </is>
      </c>
      <c r="B2982" s="1" t="n">
        <v>44819</v>
      </c>
      <c r="C2982" s="1" t="n">
        <v>45792</v>
      </c>
      <c r="D2982" t="inlineStr">
        <is>
          <t>UPPSALA LÄN</t>
        </is>
      </c>
      <c r="E2982" t="inlineStr">
        <is>
          <t>TIERP</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39795-2022</t>
        </is>
      </c>
      <c r="B2983" s="1" t="n">
        <v>44819</v>
      </c>
      <c r="C2983" s="1" t="n">
        <v>45792</v>
      </c>
      <c r="D2983" t="inlineStr">
        <is>
          <t>UPPSALA LÄN</t>
        </is>
      </c>
      <c r="E2983" t="inlineStr">
        <is>
          <t>UPPSALA</t>
        </is>
      </c>
      <c r="F2983" t="inlineStr">
        <is>
          <t>Övriga Aktiebolag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39903-2022</t>
        </is>
      </c>
      <c r="B2984" s="1" t="n">
        <v>44819</v>
      </c>
      <c r="C2984" s="1" t="n">
        <v>45792</v>
      </c>
      <c r="D2984" t="inlineStr">
        <is>
          <t>UPPSALA LÄN</t>
        </is>
      </c>
      <c r="E2984" t="inlineStr">
        <is>
          <t>TIERP</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39915-2022</t>
        </is>
      </c>
      <c r="B2985" s="1" t="n">
        <v>44819</v>
      </c>
      <c r="C2985" s="1" t="n">
        <v>45792</v>
      </c>
      <c r="D2985" t="inlineStr">
        <is>
          <t>UPPSALA LÄN</t>
        </is>
      </c>
      <c r="E2985" t="inlineStr">
        <is>
          <t>UPPSALA</t>
        </is>
      </c>
      <c r="F2985" t="inlineStr">
        <is>
          <t>Allmännings- och besparingsskogar</t>
        </is>
      </c>
      <c r="G2985" t="n">
        <v>20.1</v>
      </c>
      <c r="H2985" t="n">
        <v>0</v>
      </c>
      <c r="I2985" t="n">
        <v>0</v>
      </c>
      <c r="J2985" t="n">
        <v>0</v>
      </c>
      <c r="K2985" t="n">
        <v>0</v>
      </c>
      <c r="L2985" t="n">
        <v>0</v>
      </c>
      <c r="M2985" t="n">
        <v>0</v>
      </c>
      <c r="N2985" t="n">
        <v>0</v>
      </c>
      <c r="O2985" t="n">
        <v>0</v>
      </c>
      <c r="P2985" t="n">
        <v>0</v>
      </c>
      <c r="Q2985" t="n">
        <v>0</v>
      </c>
      <c r="R2985" s="2" t="inlineStr"/>
    </row>
    <row r="2986" ht="15" customHeight="1">
      <c r="A2986" t="inlineStr">
        <is>
          <t>A 39865-2022</t>
        </is>
      </c>
      <c r="B2986" s="1" t="n">
        <v>44819</v>
      </c>
      <c r="C2986" s="1" t="n">
        <v>45792</v>
      </c>
      <c r="D2986" t="inlineStr">
        <is>
          <t>UPPSALA LÄN</t>
        </is>
      </c>
      <c r="E2986" t="inlineStr">
        <is>
          <t>UPPSALA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39922-2022</t>
        </is>
      </c>
      <c r="B2987" s="1" t="n">
        <v>44819</v>
      </c>
      <c r="C2987" s="1" t="n">
        <v>45792</v>
      </c>
      <c r="D2987" t="inlineStr">
        <is>
          <t>UPPSALA LÄN</t>
        </is>
      </c>
      <c r="E2987" t="inlineStr">
        <is>
          <t>ENKÖPING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40038-2022</t>
        </is>
      </c>
      <c r="B2988" s="1" t="n">
        <v>44820</v>
      </c>
      <c r="C2988" s="1" t="n">
        <v>45792</v>
      </c>
      <c r="D2988" t="inlineStr">
        <is>
          <t>UPPSALA LÄN</t>
        </is>
      </c>
      <c r="E2988" t="inlineStr">
        <is>
          <t>HEBY</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40086-2022</t>
        </is>
      </c>
      <c r="B2989" s="1" t="n">
        <v>44820</v>
      </c>
      <c r="C2989" s="1" t="n">
        <v>45792</v>
      </c>
      <c r="D2989" t="inlineStr">
        <is>
          <t>UPPSALA LÄN</t>
        </is>
      </c>
      <c r="E2989" t="inlineStr">
        <is>
          <t>HEBY</t>
        </is>
      </c>
      <c r="F2989" t="inlineStr">
        <is>
          <t>Bergvik skog öst AB</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40079-2022</t>
        </is>
      </c>
      <c r="B2990" s="1" t="n">
        <v>44820</v>
      </c>
      <c r="C2990" s="1" t="n">
        <v>45792</v>
      </c>
      <c r="D2990" t="inlineStr">
        <is>
          <t>UPPSALA LÄN</t>
        </is>
      </c>
      <c r="E2990" t="inlineStr">
        <is>
          <t>HEBY</t>
        </is>
      </c>
      <c r="F2990" t="inlineStr">
        <is>
          <t>Bergvik skog öst AB</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40100-2022</t>
        </is>
      </c>
      <c r="B2991" s="1" t="n">
        <v>44820</v>
      </c>
      <c r="C2991" s="1" t="n">
        <v>45792</v>
      </c>
      <c r="D2991" t="inlineStr">
        <is>
          <t>UPPSALA LÄN</t>
        </is>
      </c>
      <c r="E2991" t="inlineStr">
        <is>
          <t>UPPSALA</t>
        </is>
      </c>
      <c r="F2991" t="inlineStr">
        <is>
          <t>Övriga Aktiebolag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40336-2022</t>
        </is>
      </c>
      <c r="B2992" s="1" t="n">
        <v>44823</v>
      </c>
      <c r="C2992" s="1" t="n">
        <v>45792</v>
      </c>
      <c r="D2992" t="inlineStr">
        <is>
          <t>UPPSALA LÄN</t>
        </is>
      </c>
      <c r="E2992" t="inlineStr">
        <is>
          <t>ÖSTHAMMAR</t>
        </is>
      </c>
      <c r="F2992" t="inlineStr">
        <is>
          <t>Bergvik skog öst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40387-2022</t>
        </is>
      </c>
      <c r="B2993" s="1" t="n">
        <v>44823</v>
      </c>
      <c r="C2993" s="1" t="n">
        <v>45792</v>
      </c>
      <c r="D2993" t="inlineStr">
        <is>
          <t>UPPSALA LÄN</t>
        </is>
      </c>
      <c r="E2993" t="inlineStr">
        <is>
          <t>HEBY</t>
        </is>
      </c>
      <c r="G2993" t="n">
        <v>25.2</v>
      </c>
      <c r="H2993" t="n">
        <v>0</v>
      </c>
      <c r="I2993" t="n">
        <v>0</v>
      </c>
      <c r="J2993" t="n">
        <v>0</v>
      </c>
      <c r="K2993" t="n">
        <v>0</v>
      </c>
      <c r="L2993" t="n">
        <v>0</v>
      </c>
      <c r="M2993" t="n">
        <v>0</v>
      </c>
      <c r="N2993" t="n">
        <v>0</v>
      </c>
      <c r="O2993" t="n">
        <v>0</v>
      </c>
      <c r="P2993" t="n">
        <v>0</v>
      </c>
      <c r="Q2993" t="n">
        <v>0</v>
      </c>
      <c r="R2993" s="2" t="inlineStr"/>
    </row>
    <row r="2994" ht="15" customHeight="1">
      <c r="A2994" t="inlineStr">
        <is>
          <t>A 40533-2022</t>
        </is>
      </c>
      <c r="B2994" s="1" t="n">
        <v>44823</v>
      </c>
      <c r="C2994" s="1" t="n">
        <v>45792</v>
      </c>
      <c r="D2994" t="inlineStr">
        <is>
          <t>UPPSALA LÄN</t>
        </is>
      </c>
      <c r="E2994" t="inlineStr">
        <is>
          <t>HEBY</t>
        </is>
      </c>
      <c r="F2994" t="inlineStr">
        <is>
          <t>Övriga Aktiebolag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40765-2022</t>
        </is>
      </c>
      <c r="B2995" s="1" t="n">
        <v>44824</v>
      </c>
      <c r="C2995" s="1" t="n">
        <v>45792</v>
      </c>
      <c r="D2995" t="inlineStr">
        <is>
          <t>UPPSALA LÄN</t>
        </is>
      </c>
      <c r="E2995" t="inlineStr">
        <is>
          <t>TIERP</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40773-2022</t>
        </is>
      </c>
      <c r="B2996" s="1" t="n">
        <v>44824</v>
      </c>
      <c r="C2996" s="1" t="n">
        <v>45792</v>
      </c>
      <c r="D2996" t="inlineStr">
        <is>
          <t>UPPSALA LÄN</t>
        </is>
      </c>
      <c r="E2996" t="inlineStr">
        <is>
          <t>ENKÖPING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40812-2022</t>
        </is>
      </c>
      <c r="B2997" s="1" t="n">
        <v>44824</v>
      </c>
      <c r="C2997" s="1" t="n">
        <v>45792</v>
      </c>
      <c r="D2997" t="inlineStr">
        <is>
          <t>UPPSALA LÄN</t>
        </is>
      </c>
      <c r="E2997" t="inlineStr">
        <is>
          <t>ENKÖPING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40637-2022</t>
        </is>
      </c>
      <c r="B2998" s="1" t="n">
        <v>44824</v>
      </c>
      <c r="C2998" s="1" t="n">
        <v>45792</v>
      </c>
      <c r="D2998" t="inlineStr">
        <is>
          <t>UPPSALA LÄN</t>
        </is>
      </c>
      <c r="E2998" t="inlineStr">
        <is>
          <t>ÖSTHAMMAR</t>
        </is>
      </c>
      <c r="F2998" t="inlineStr">
        <is>
          <t>Övriga Aktiebolag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40681-2022</t>
        </is>
      </c>
      <c r="B2999" s="1" t="n">
        <v>44824</v>
      </c>
      <c r="C2999" s="1" t="n">
        <v>45792</v>
      </c>
      <c r="D2999" t="inlineStr">
        <is>
          <t>UPPSALA LÄN</t>
        </is>
      </c>
      <c r="E2999" t="inlineStr">
        <is>
          <t>ÖSTHAMMAR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41029-2022</t>
        </is>
      </c>
      <c r="B3000" s="1" t="n">
        <v>44824</v>
      </c>
      <c r="C3000" s="1" t="n">
        <v>45792</v>
      </c>
      <c r="D3000" t="inlineStr">
        <is>
          <t>UPPSALA LÄN</t>
        </is>
      </c>
      <c r="E3000" t="inlineStr">
        <is>
          <t>HEBY</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41033-2022</t>
        </is>
      </c>
      <c r="B3001" s="1" t="n">
        <v>44825</v>
      </c>
      <c r="C3001" s="1" t="n">
        <v>45792</v>
      </c>
      <c r="D3001" t="inlineStr">
        <is>
          <t>UPPSALA LÄN</t>
        </is>
      </c>
      <c r="E3001" t="inlineStr">
        <is>
          <t>ÖSTHAMMAR</t>
        </is>
      </c>
      <c r="F3001" t="inlineStr">
        <is>
          <t>Kyrkan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41382-2022</t>
        </is>
      </c>
      <c r="B3002" s="1" t="n">
        <v>44826</v>
      </c>
      <c r="C3002" s="1" t="n">
        <v>45792</v>
      </c>
      <c r="D3002" t="inlineStr">
        <is>
          <t>UPPSALA LÄN</t>
        </is>
      </c>
      <c r="E3002" t="inlineStr">
        <is>
          <t>HEBY</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41321-2022</t>
        </is>
      </c>
      <c r="B3003" s="1" t="n">
        <v>44826</v>
      </c>
      <c r="C3003" s="1" t="n">
        <v>45792</v>
      </c>
      <c r="D3003" t="inlineStr">
        <is>
          <t>UPPSALA LÄN</t>
        </is>
      </c>
      <c r="E3003" t="inlineStr">
        <is>
          <t>HEBY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41413-2022</t>
        </is>
      </c>
      <c r="B3004" s="1" t="n">
        <v>44826</v>
      </c>
      <c r="C3004" s="1" t="n">
        <v>45792</v>
      </c>
      <c r="D3004" t="inlineStr">
        <is>
          <t>UPPSALA LÄN</t>
        </is>
      </c>
      <c r="E3004" t="inlineStr">
        <is>
          <t>HEBY</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41423-2022</t>
        </is>
      </c>
      <c r="B3005" s="1" t="n">
        <v>44826</v>
      </c>
      <c r="C3005" s="1" t="n">
        <v>45792</v>
      </c>
      <c r="D3005" t="inlineStr">
        <is>
          <t>UPPSALA LÄN</t>
        </is>
      </c>
      <c r="E3005" t="inlineStr">
        <is>
          <t>ÖSTHAMMAR</t>
        </is>
      </c>
      <c r="F3005" t="inlineStr">
        <is>
          <t>Övriga Aktiebolag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41700-2022</t>
        </is>
      </c>
      <c r="B3006" s="1" t="n">
        <v>44827</v>
      </c>
      <c r="C3006" s="1" t="n">
        <v>45792</v>
      </c>
      <c r="D3006" t="inlineStr">
        <is>
          <t>UPPSALA LÄN</t>
        </is>
      </c>
      <c r="E3006" t="inlineStr">
        <is>
          <t>HEBY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41736-2022</t>
        </is>
      </c>
      <c r="B3007" s="1" t="n">
        <v>44827</v>
      </c>
      <c r="C3007" s="1" t="n">
        <v>45792</v>
      </c>
      <c r="D3007" t="inlineStr">
        <is>
          <t>UPPSALA LÄN</t>
        </is>
      </c>
      <c r="E3007" t="inlineStr">
        <is>
          <t>ENKÖPING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41737-2022</t>
        </is>
      </c>
      <c r="B3008" s="1" t="n">
        <v>44827</v>
      </c>
      <c r="C3008" s="1" t="n">
        <v>45792</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41757-2022</t>
        </is>
      </c>
      <c r="B3009" s="1" t="n">
        <v>44827</v>
      </c>
      <c r="C3009" s="1" t="n">
        <v>45792</v>
      </c>
      <c r="D3009" t="inlineStr">
        <is>
          <t>UPPSALA LÄN</t>
        </is>
      </c>
      <c r="E3009" t="inlineStr">
        <is>
          <t>ÄLVKARLEBY</t>
        </is>
      </c>
      <c r="F3009" t="inlineStr">
        <is>
          <t>Bergvik skog väst AB</t>
        </is>
      </c>
      <c r="G3009" t="n">
        <v>12.7</v>
      </c>
      <c r="H3009" t="n">
        <v>0</v>
      </c>
      <c r="I3009" t="n">
        <v>0</v>
      </c>
      <c r="J3009" t="n">
        <v>0</v>
      </c>
      <c r="K3009" t="n">
        <v>0</v>
      </c>
      <c r="L3009" t="n">
        <v>0</v>
      </c>
      <c r="M3009" t="n">
        <v>0</v>
      </c>
      <c r="N3009" t="n">
        <v>0</v>
      </c>
      <c r="O3009" t="n">
        <v>0</v>
      </c>
      <c r="P3009" t="n">
        <v>0</v>
      </c>
      <c r="Q3009" t="n">
        <v>0</v>
      </c>
      <c r="R3009" s="2" t="inlineStr"/>
    </row>
    <row r="3010" ht="15" customHeight="1">
      <c r="A3010" t="inlineStr">
        <is>
          <t>A 41971-2022</t>
        </is>
      </c>
      <c r="B3010" s="1" t="n">
        <v>44827</v>
      </c>
      <c r="C3010" s="1" t="n">
        <v>45792</v>
      </c>
      <c r="D3010" t="inlineStr">
        <is>
          <t>UPPSALA LÄN</t>
        </is>
      </c>
      <c r="E3010" t="inlineStr">
        <is>
          <t>TIERP</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41753-2022</t>
        </is>
      </c>
      <c r="B3011" s="1" t="n">
        <v>44827</v>
      </c>
      <c r="C3011" s="1" t="n">
        <v>45792</v>
      </c>
      <c r="D3011" t="inlineStr">
        <is>
          <t>UPPSALA LÄN</t>
        </is>
      </c>
      <c r="E3011" t="inlineStr">
        <is>
          <t>ENKÖPING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42589-2022</t>
        </is>
      </c>
      <c r="B3012" s="1" t="n">
        <v>44831</v>
      </c>
      <c r="C3012" s="1" t="n">
        <v>45792</v>
      </c>
      <c r="D3012" t="inlineStr">
        <is>
          <t>UPPSALA LÄN</t>
        </is>
      </c>
      <c r="E3012" t="inlineStr">
        <is>
          <t>ENKÖPING</t>
        </is>
      </c>
      <c r="G3012" t="n">
        <v>20</v>
      </c>
      <c r="H3012" t="n">
        <v>0</v>
      </c>
      <c r="I3012" t="n">
        <v>0</v>
      </c>
      <c r="J3012" t="n">
        <v>0</v>
      </c>
      <c r="K3012" t="n">
        <v>0</v>
      </c>
      <c r="L3012" t="n">
        <v>0</v>
      </c>
      <c r="M3012" t="n">
        <v>0</v>
      </c>
      <c r="N3012" t="n">
        <v>0</v>
      </c>
      <c r="O3012" t="n">
        <v>0</v>
      </c>
      <c r="P3012" t="n">
        <v>0</v>
      </c>
      <c r="Q3012" t="n">
        <v>0</v>
      </c>
      <c r="R3012" s="2" t="inlineStr"/>
    </row>
    <row r="3013" ht="15" customHeight="1">
      <c r="A3013" t="inlineStr">
        <is>
          <t>A 42592-2022</t>
        </is>
      </c>
      <c r="B3013" s="1" t="n">
        <v>44831</v>
      </c>
      <c r="C3013" s="1" t="n">
        <v>45792</v>
      </c>
      <c r="D3013" t="inlineStr">
        <is>
          <t>UPPSALA LÄN</t>
        </is>
      </c>
      <c r="E3013" t="inlineStr">
        <is>
          <t>ENKÖPING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42543-2022</t>
        </is>
      </c>
      <c r="B3014" s="1" t="n">
        <v>44831</v>
      </c>
      <c r="C3014" s="1" t="n">
        <v>45792</v>
      </c>
      <c r="D3014" t="inlineStr">
        <is>
          <t>UPPSALA LÄN</t>
        </is>
      </c>
      <c r="E3014" t="inlineStr">
        <is>
          <t>HEBY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42622-2022</t>
        </is>
      </c>
      <c r="B3015" s="1" t="n">
        <v>44831</v>
      </c>
      <c r="C3015" s="1" t="n">
        <v>45792</v>
      </c>
      <c r="D3015" t="inlineStr">
        <is>
          <t>UPPSALA LÄN</t>
        </is>
      </c>
      <c r="E3015" t="inlineStr">
        <is>
          <t>UPPSALA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42772-2022</t>
        </is>
      </c>
      <c r="B3016" s="1" t="n">
        <v>44832</v>
      </c>
      <c r="C3016" s="1" t="n">
        <v>45792</v>
      </c>
      <c r="D3016" t="inlineStr">
        <is>
          <t>UPPSALA LÄN</t>
        </is>
      </c>
      <c r="E3016" t="inlineStr">
        <is>
          <t>UPPSALA</t>
        </is>
      </c>
      <c r="G3016" t="n">
        <v>17.7</v>
      </c>
      <c r="H3016" t="n">
        <v>0</v>
      </c>
      <c r="I3016" t="n">
        <v>0</v>
      </c>
      <c r="J3016" t="n">
        <v>0</v>
      </c>
      <c r="K3016" t="n">
        <v>0</v>
      </c>
      <c r="L3016" t="n">
        <v>0</v>
      </c>
      <c r="M3016" t="n">
        <v>0</v>
      </c>
      <c r="N3016" t="n">
        <v>0</v>
      </c>
      <c r="O3016" t="n">
        <v>0</v>
      </c>
      <c r="P3016" t="n">
        <v>0</v>
      </c>
      <c r="Q3016" t="n">
        <v>0</v>
      </c>
      <c r="R3016" s="2" t="inlineStr"/>
    </row>
    <row r="3017" ht="15" customHeight="1">
      <c r="A3017" t="inlineStr">
        <is>
          <t>A 42855-2022</t>
        </is>
      </c>
      <c r="B3017" s="1" t="n">
        <v>44832</v>
      </c>
      <c r="C3017" s="1" t="n">
        <v>45792</v>
      </c>
      <c r="D3017" t="inlineStr">
        <is>
          <t>UPPSALA LÄN</t>
        </is>
      </c>
      <c r="E3017" t="inlineStr">
        <is>
          <t>HEBY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43032-2022</t>
        </is>
      </c>
      <c r="B3018" s="1" t="n">
        <v>44832</v>
      </c>
      <c r="C3018" s="1" t="n">
        <v>45792</v>
      </c>
      <c r="D3018" t="inlineStr">
        <is>
          <t>UPPSALA LÄN</t>
        </is>
      </c>
      <c r="E3018" t="inlineStr">
        <is>
          <t>UPPSALA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42859-2022</t>
        </is>
      </c>
      <c r="B3019" s="1" t="n">
        <v>44832</v>
      </c>
      <c r="C3019" s="1" t="n">
        <v>45792</v>
      </c>
      <c r="D3019" t="inlineStr">
        <is>
          <t>UPPSALA LÄN</t>
        </is>
      </c>
      <c r="E3019" t="inlineStr">
        <is>
          <t>HEBY</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42938-2022</t>
        </is>
      </c>
      <c r="B3020" s="1" t="n">
        <v>44833</v>
      </c>
      <c r="C3020" s="1" t="n">
        <v>45792</v>
      </c>
      <c r="D3020" t="inlineStr">
        <is>
          <t>UPPSALA LÄN</t>
        </is>
      </c>
      <c r="E3020" t="inlineStr">
        <is>
          <t>HEBY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43713-2022</t>
        </is>
      </c>
      <c r="B3021" s="1" t="n">
        <v>44837</v>
      </c>
      <c r="C3021" s="1" t="n">
        <v>45792</v>
      </c>
      <c r="D3021" t="inlineStr">
        <is>
          <t>UPPSALA LÄN</t>
        </is>
      </c>
      <c r="E3021" t="inlineStr">
        <is>
          <t>TIERP</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43680-2022</t>
        </is>
      </c>
      <c r="B3022" s="1" t="n">
        <v>44837</v>
      </c>
      <c r="C3022" s="1" t="n">
        <v>45792</v>
      </c>
      <c r="D3022" t="inlineStr">
        <is>
          <t>UPPSALA LÄN</t>
        </is>
      </c>
      <c r="E3022" t="inlineStr">
        <is>
          <t>TIERP</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43896-2022</t>
        </is>
      </c>
      <c r="B3023" s="1" t="n">
        <v>44838</v>
      </c>
      <c r="C3023" s="1" t="n">
        <v>45792</v>
      </c>
      <c r="D3023" t="inlineStr">
        <is>
          <t>UPPSALA LÄN</t>
        </is>
      </c>
      <c r="E3023" t="inlineStr">
        <is>
          <t>ENKÖPING</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43850-2022</t>
        </is>
      </c>
      <c r="B3024" s="1" t="n">
        <v>44838</v>
      </c>
      <c r="C3024" s="1" t="n">
        <v>45792</v>
      </c>
      <c r="D3024" t="inlineStr">
        <is>
          <t>UPPSALA LÄN</t>
        </is>
      </c>
      <c r="E3024" t="inlineStr">
        <is>
          <t>UPPSALA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43820-2022</t>
        </is>
      </c>
      <c r="B3025" s="1" t="n">
        <v>44838</v>
      </c>
      <c r="C3025" s="1" t="n">
        <v>45792</v>
      </c>
      <c r="D3025" t="inlineStr">
        <is>
          <t>UPPSALA LÄN</t>
        </is>
      </c>
      <c r="E3025" t="inlineStr">
        <is>
          <t>HEBY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44020-2022</t>
        </is>
      </c>
      <c r="B3026" s="1" t="n">
        <v>44838</v>
      </c>
      <c r="C3026" s="1" t="n">
        <v>45792</v>
      </c>
      <c r="D3026" t="inlineStr">
        <is>
          <t>UPPSALA LÄN</t>
        </is>
      </c>
      <c r="E3026" t="inlineStr">
        <is>
          <t>ÖSTHAMMAR</t>
        </is>
      </c>
      <c r="F3026" t="inlineStr">
        <is>
          <t>Bergvik skog öst AB</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44019-2022</t>
        </is>
      </c>
      <c r="B3027" s="1" t="n">
        <v>44838</v>
      </c>
      <c r="C3027" s="1" t="n">
        <v>45792</v>
      </c>
      <c r="D3027" t="inlineStr">
        <is>
          <t>UPPSALA LÄN</t>
        </is>
      </c>
      <c r="E3027" t="inlineStr">
        <is>
          <t>ÖSTHAMMAR</t>
        </is>
      </c>
      <c r="F3027" t="inlineStr">
        <is>
          <t>Bergvik skog öst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44239-2022</t>
        </is>
      </c>
      <c r="B3028" s="1" t="n">
        <v>44839</v>
      </c>
      <c r="C3028" s="1" t="n">
        <v>45792</v>
      </c>
      <c r="D3028" t="inlineStr">
        <is>
          <t>UPPSALA LÄN</t>
        </is>
      </c>
      <c r="E3028" t="inlineStr">
        <is>
          <t>HEBY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44354-2022</t>
        </is>
      </c>
      <c r="B3029" s="1" t="n">
        <v>44839</v>
      </c>
      <c r="C3029" s="1" t="n">
        <v>45792</v>
      </c>
      <c r="D3029" t="inlineStr">
        <is>
          <t>UPPSALA LÄN</t>
        </is>
      </c>
      <c r="E3029" t="inlineStr">
        <is>
          <t>ÖSTHAMMAR</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44243-2022</t>
        </is>
      </c>
      <c r="B3030" s="1" t="n">
        <v>44839</v>
      </c>
      <c r="C3030" s="1" t="n">
        <v>45792</v>
      </c>
      <c r="D3030" t="inlineStr">
        <is>
          <t>UPPSALA LÄN</t>
        </is>
      </c>
      <c r="E3030" t="inlineStr">
        <is>
          <t>HEBY</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44265-2022</t>
        </is>
      </c>
      <c r="B3031" s="1" t="n">
        <v>44839</v>
      </c>
      <c r="C3031" s="1" t="n">
        <v>45792</v>
      </c>
      <c r="D3031" t="inlineStr">
        <is>
          <t>UPPSALA LÄN</t>
        </is>
      </c>
      <c r="E3031" t="inlineStr">
        <is>
          <t>UPPSALA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44366-2022</t>
        </is>
      </c>
      <c r="B3032" s="1" t="n">
        <v>44839</v>
      </c>
      <c r="C3032" s="1" t="n">
        <v>45792</v>
      </c>
      <c r="D3032" t="inlineStr">
        <is>
          <t>UPPSALA LÄN</t>
        </is>
      </c>
      <c r="E3032" t="inlineStr">
        <is>
          <t>ÖSTHAMMAR</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44184-2022</t>
        </is>
      </c>
      <c r="B3033" s="1" t="n">
        <v>44839</v>
      </c>
      <c r="C3033" s="1" t="n">
        <v>45792</v>
      </c>
      <c r="D3033" t="inlineStr">
        <is>
          <t>UPPSALA LÄN</t>
        </is>
      </c>
      <c r="E3033" t="inlineStr">
        <is>
          <t>ÖSTHAMMAR</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44525-2022</t>
        </is>
      </c>
      <c r="B3034" s="1" t="n">
        <v>44840</v>
      </c>
      <c r="C3034" s="1" t="n">
        <v>45792</v>
      </c>
      <c r="D3034" t="inlineStr">
        <is>
          <t>UPPSALA LÄN</t>
        </is>
      </c>
      <c r="E3034" t="inlineStr">
        <is>
          <t>HEBY</t>
        </is>
      </c>
      <c r="G3034" t="n">
        <v>1.8</v>
      </c>
      <c r="H3034" t="n">
        <v>0</v>
      </c>
      <c r="I3034" t="n">
        <v>0</v>
      </c>
      <c r="J3034" t="n">
        <v>0</v>
      </c>
      <c r="K3034" t="n">
        <v>0</v>
      </c>
      <c r="L3034" t="n">
        <v>0</v>
      </c>
      <c r="M3034" t="n">
        <v>0</v>
      </c>
      <c r="N3034" t="n">
        <v>0</v>
      </c>
      <c r="O3034" t="n">
        <v>0</v>
      </c>
      <c r="P3034" t="n">
        <v>0</v>
      </c>
      <c r="Q3034" t="n">
        <v>0</v>
      </c>
      <c r="R3034" s="2" t="inlineStr"/>
      <c r="U3034">
        <f>HYPERLINK("https://klasma.github.io/Logging_0331/knärot/A 44525-2022 karta knärot.png", "A 44525-2022")</f>
        <v/>
      </c>
      <c r="V3034">
        <f>HYPERLINK("https://klasma.github.io/Logging_0331/klagomål/A 44525-2022 FSC-klagomål.docx", "A 44525-2022")</f>
        <v/>
      </c>
      <c r="W3034">
        <f>HYPERLINK("https://klasma.github.io/Logging_0331/klagomålsmail/A 44525-2022 FSC-klagomål mail.docx", "A 44525-2022")</f>
        <v/>
      </c>
      <c r="X3034">
        <f>HYPERLINK("https://klasma.github.io/Logging_0331/tillsyn/A 44525-2022 tillsynsbegäran.docx", "A 44525-2022")</f>
        <v/>
      </c>
      <c r="Y3034">
        <f>HYPERLINK("https://klasma.github.io/Logging_0331/tillsynsmail/A 44525-2022 tillsynsbegäran mail.docx", "A 44525-2022")</f>
        <v/>
      </c>
    </row>
    <row r="3035" ht="15" customHeight="1">
      <c r="A3035" t="inlineStr">
        <is>
          <t>A 44617-2022</t>
        </is>
      </c>
      <c r="B3035" s="1" t="n">
        <v>44840</v>
      </c>
      <c r="C3035" s="1" t="n">
        <v>45792</v>
      </c>
      <c r="D3035" t="inlineStr">
        <is>
          <t>UPPSALA LÄN</t>
        </is>
      </c>
      <c r="E3035" t="inlineStr">
        <is>
          <t>ÖSTHAMMAR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45275-2022</t>
        </is>
      </c>
      <c r="B3036" s="1" t="n">
        <v>44840</v>
      </c>
      <c r="C3036" s="1" t="n">
        <v>45792</v>
      </c>
      <c r="D3036" t="inlineStr">
        <is>
          <t>UPPSALA LÄN</t>
        </is>
      </c>
      <c r="E3036" t="inlineStr">
        <is>
          <t>HEBY</t>
        </is>
      </c>
      <c r="F3036" t="inlineStr">
        <is>
          <t>Bergvik skog väst AB</t>
        </is>
      </c>
      <c r="G3036" t="n">
        <v>15.9</v>
      </c>
      <c r="H3036" t="n">
        <v>0</v>
      </c>
      <c r="I3036" t="n">
        <v>0</v>
      </c>
      <c r="J3036" t="n">
        <v>0</v>
      </c>
      <c r="K3036" t="n">
        <v>0</v>
      </c>
      <c r="L3036" t="n">
        <v>0</v>
      </c>
      <c r="M3036" t="n">
        <v>0</v>
      </c>
      <c r="N3036" t="n">
        <v>0</v>
      </c>
      <c r="O3036" t="n">
        <v>0</v>
      </c>
      <c r="P3036" t="n">
        <v>0</v>
      </c>
      <c r="Q3036" t="n">
        <v>0</v>
      </c>
      <c r="R3036" s="2" t="inlineStr"/>
    </row>
    <row r="3037" ht="15" customHeight="1">
      <c r="A3037" t="inlineStr">
        <is>
          <t>A 44945-2022</t>
        </is>
      </c>
      <c r="B3037" s="1" t="n">
        <v>44841</v>
      </c>
      <c r="C3037" s="1" t="n">
        <v>45792</v>
      </c>
      <c r="D3037" t="inlineStr">
        <is>
          <t>UPPSALA LÄN</t>
        </is>
      </c>
      <c r="E3037" t="inlineStr">
        <is>
          <t>ÖSTHAMMAR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45009-2022</t>
        </is>
      </c>
      <c r="B3038" s="1" t="n">
        <v>44841</v>
      </c>
      <c r="C3038" s="1" t="n">
        <v>45792</v>
      </c>
      <c r="D3038" t="inlineStr">
        <is>
          <t>UPPSALA LÄN</t>
        </is>
      </c>
      <c r="E3038" t="inlineStr">
        <is>
          <t>HEBY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44815-2022</t>
        </is>
      </c>
      <c r="B3039" s="1" t="n">
        <v>44841</v>
      </c>
      <c r="C3039" s="1" t="n">
        <v>45792</v>
      </c>
      <c r="D3039" t="inlineStr">
        <is>
          <t>UPPSALA LÄN</t>
        </is>
      </c>
      <c r="E3039" t="inlineStr">
        <is>
          <t>ÖSTHAMMAR</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44817-2022</t>
        </is>
      </c>
      <c r="B3040" s="1" t="n">
        <v>44841</v>
      </c>
      <c r="C3040" s="1" t="n">
        <v>45792</v>
      </c>
      <c r="D3040" t="inlineStr">
        <is>
          <t>UPPSALA LÄN</t>
        </is>
      </c>
      <c r="E3040" t="inlineStr">
        <is>
          <t>UPPSALA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44946-2022</t>
        </is>
      </c>
      <c r="B3041" s="1" t="n">
        <v>44841</v>
      </c>
      <c r="C3041" s="1" t="n">
        <v>45792</v>
      </c>
      <c r="D3041" t="inlineStr">
        <is>
          <t>UPPSALA LÄN</t>
        </is>
      </c>
      <c r="E3041" t="inlineStr">
        <is>
          <t>TIERP</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45057-2022</t>
        </is>
      </c>
      <c r="B3042" s="1" t="n">
        <v>44841</v>
      </c>
      <c r="C3042" s="1" t="n">
        <v>45792</v>
      </c>
      <c r="D3042" t="inlineStr">
        <is>
          <t>UPPSALA LÄN</t>
        </is>
      </c>
      <c r="E3042" t="inlineStr">
        <is>
          <t>TIERP</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46681-2022</t>
        </is>
      </c>
      <c r="B3043" s="1" t="n">
        <v>44843</v>
      </c>
      <c r="C3043" s="1" t="n">
        <v>45792</v>
      </c>
      <c r="D3043" t="inlineStr">
        <is>
          <t>UPPSALA LÄN</t>
        </is>
      </c>
      <c r="E3043" t="inlineStr">
        <is>
          <t>TIERP</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45185-2022</t>
        </is>
      </c>
      <c r="B3044" s="1" t="n">
        <v>44844</v>
      </c>
      <c r="C3044" s="1" t="n">
        <v>45792</v>
      </c>
      <c r="D3044" t="inlineStr">
        <is>
          <t>UPPSALA LÄN</t>
        </is>
      </c>
      <c r="E3044" t="inlineStr">
        <is>
          <t>HEBY</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45195-2022</t>
        </is>
      </c>
      <c r="B3045" s="1" t="n">
        <v>44844</v>
      </c>
      <c r="C3045" s="1" t="n">
        <v>45792</v>
      </c>
      <c r="D3045" t="inlineStr">
        <is>
          <t>UPPSALA LÄN</t>
        </is>
      </c>
      <c r="E3045" t="inlineStr">
        <is>
          <t>UPPSALA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45313-2022</t>
        </is>
      </c>
      <c r="B3046" s="1" t="n">
        <v>44844</v>
      </c>
      <c r="C3046" s="1" t="n">
        <v>45792</v>
      </c>
      <c r="D3046" t="inlineStr">
        <is>
          <t>UPPSALA LÄN</t>
        </is>
      </c>
      <c r="E3046" t="inlineStr">
        <is>
          <t>HEBY</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45362-2022</t>
        </is>
      </c>
      <c r="B3047" s="1" t="n">
        <v>44844</v>
      </c>
      <c r="C3047" s="1" t="n">
        <v>45792</v>
      </c>
      <c r="D3047" t="inlineStr">
        <is>
          <t>UPPSALA LÄN</t>
        </is>
      </c>
      <c r="E3047" t="inlineStr">
        <is>
          <t>ENKÖPING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45283-2022</t>
        </is>
      </c>
      <c r="B3048" s="1" t="n">
        <v>44844</v>
      </c>
      <c r="C3048" s="1" t="n">
        <v>45792</v>
      </c>
      <c r="D3048" t="inlineStr">
        <is>
          <t>UPPSALA LÄN</t>
        </is>
      </c>
      <c r="E3048" t="inlineStr">
        <is>
          <t>ENKÖPING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45516-2022</t>
        </is>
      </c>
      <c r="B3049" s="1" t="n">
        <v>44845</v>
      </c>
      <c r="C3049" s="1" t="n">
        <v>45792</v>
      </c>
      <c r="D3049" t="inlineStr">
        <is>
          <t>UPPSALA LÄN</t>
        </is>
      </c>
      <c r="E3049" t="inlineStr">
        <is>
          <t>TIERP</t>
        </is>
      </c>
      <c r="F3049" t="inlineStr">
        <is>
          <t>Bergvik skog öst AB</t>
        </is>
      </c>
      <c r="G3049" t="n">
        <v>28.1</v>
      </c>
      <c r="H3049" t="n">
        <v>0</v>
      </c>
      <c r="I3049" t="n">
        <v>0</v>
      </c>
      <c r="J3049" t="n">
        <v>0</v>
      </c>
      <c r="K3049" t="n">
        <v>0</v>
      </c>
      <c r="L3049" t="n">
        <v>0</v>
      </c>
      <c r="M3049" t="n">
        <v>0</v>
      </c>
      <c r="N3049" t="n">
        <v>0</v>
      </c>
      <c r="O3049" t="n">
        <v>0</v>
      </c>
      <c r="P3049" t="n">
        <v>0</v>
      </c>
      <c r="Q3049" t="n">
        <v>0</v>
      </c>
      <c r="R3049" s="2" t="inlineStr"/>
    </row>
    <row r="3050" ht="15" customHeight="1">
      <c r="A3050" t="inlineStr">
        <is>
          <t>A 45852-2022</t>
        </is>
      </c>
      <c r="B3050" s="1" t="n">
        <v>44846</v>
      </c>
      <c r="C3050" s="1" t="n">
        <v>45792</v>
      </c>
      <c r="D3050" t="inlineStr">
        <is>
          <t>UPPSALA LÄN</t>
        </is>
      </c>
      <c r="E3050" t="inlineStr">
        <is>
          <t>ENKÖPING</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45916-2022</t>
        </is>
      </c>
      <c r="B3051" s="1" t="n">
        <v>44846</v>
      </c>
      <c r="C3051" s="1" t="n">
        <v>45792</v>
      </c>
      <c r="D3051" t="inlineStr">
        <is>
          <t>UPPSALA LÄN</t>
        </is>
      </c>
      <c r="E3051" t="inlineStr">
        <is>
          <t>KNIVSTA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45769-2022</t>
        </is>
      </c>
      <c r="B3052" s="1" t="n">
        <v>44846</v>
      </c>
      <c r="C3052" s="1" t="n">
        <v>45792</v>
      </c>
      <c r="D3052" t="inlineStr">
        <is>
          <t>UPPSALA LÄN</t>
        </is>
      </c>
      <c r="E3052" t="inlineStr">
        <is>
          <t>TIERP</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45780-2022</t>
        </is>
      </c>
      <c r="B3053" s="1" t="n">
        <v>44846</v>
      </c>
      <c r="C3053" s="1" t="n">
        <v>45792</v>
      </c>
      <c r="D3053" t="inlineStr">
        <is>
          <t>UPPSALA LÄN</t>
        </is>
      </c>
      <c r="E3053" t="inlineStr">
        <is>
          <t>UPPSALA</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45788-2022</t>
        </is>
      </c>
      <c r="B3054" s="1" t="n">
        <v>44846</v>
      </c>
      <c r="C3054" s="1" t="n">
        <v>45792</v>
      </c>
      <c r="D3054" t="inlineStr">
        <is>
          <t>UPPSALA LÄN</t>
        </is>
      </c>
      <c r="E3054" t="inlineStr">
        <is>
          <t>ÖSTHAMMAR</t>
        </is>
      </c>
      <c r="F3054" t="inlineStr">
        <is>
          <t>Övriga Aktiebolag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45849-2022</t>
        </is>
      </c>
      <c r="B3055" s="1" t="n">
        <v>44846</v>
      </c>
      <c r="C3055" s="1" t="n">
        <v>45792</v>
      </c>
      <c r="D3055" t="inlineStr">
        <is>
          <t>UPPSALA LÄN</t>
        </is>
      </c>
      <c r="E3055" t="inlineStr">
        <is>
          <t>UPPSALA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45921-2022</t>
        </is>
      </c>
      <c r="B3056" s="1" t="n">
        <v>44846</v>
      </c>
      <c r="C3056" s="1" t="n">
        <v>45792</v>
      </c>
      <c r="D3056" t="inlineStr">
        <is>
          <t>UPPSALA LÄN</t>
        </is>
      </c>
      <c r="E3056" t="inlineStr">
        <is>
          <t>HEBY</t>
        </is>
      </c>
      <c r="F3056" t="inlineStr">
        <is>
          <t>Allmännings- och besparingsskogar</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46077-2022</t>
        </is>
      </c>
      <c r="B3057" s="1" t="n">
        <v>44847</v>
      </c>
      <c r="C3057" s="1" t="n">
        <v>45792</v>
      </c>
      <c r="D3057" t="inlineStr">
        <is>
          <t>UPPSALA LÄN</t>
        </is>
      </c>
      <c r="E3057" t="inlineStr">
        <is>
          <t>UPPSALA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46149-2022</t>
        </is>
      </c>
      <c r="B3058" s="1" t="n">
        <v>44847</v>
      </c>
      <c r="C3058" s="1" t="n">
        <v>45792</v>
      </c>
      <c r="D3058" t="inlineStr">
        <is>
          <t>UPPSALA LÄN</t>
        </is>
      </c>
      <c r="E3058" t="inlineStr">
        <is>
          <t>KNIVSTA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46069-2022</t>
        </is>
      </c>
      <c r="B3059" s="1" t="n">
        <v>44847</v>
      </c>
      <c r="C3059" s="1" t="n">
        <v>45792</v>
      </c>
      <c r="D3059" t="inlineStr">
        <is>
          <t>UPPSALA LÄN</t>
        </is>
      </c>
      <c r="E3059" t="inlineStr">
        <is>
          <t>UPPSALA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46079-2022</t>
        </is>
      </c>
      <c r="B3060" s="1" t="n">
        <v>44847</v>
      </c>
      <c r="C3060" s="1" t="n">
        <v>45792</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46293-2022</t>
        </is>
      </c>
      <c r="B3061" s="1" t="n">
        <v>44847</v>
      </c>
      <c r="C3061" s="1" t="n">
        <v>45792</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46094-2022</t>
        </is>
      </c>
      <c r="B3062" s="1" t="n">
        <v>44847</v>
      </c>
      <c r="C3062" s="1" t="n">
        <v>45792</v>
      </c>
      <c r="D3062" t="inlineStr">
        <is>
          <t>UPPSALA LÄN</t>
        </is>
      </c>
      <c r="E3062" t="inlineStr">
        <is>
          <t>HEBY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46275-2022</t>
        </is>
      </c>
      <c r="B3063" s="1" t="n">
        <v>44847</v>
      </c>
      <c r="C3063" s="1" t="n">
        <v>45792</v>
      </c>
      <c r="D3063" t="inlineStr">
        <is>
          <t>UPPSALA LÄN</t>
        </is>
      </c>
      <c r="E3063" t="inlineStr">
        <is>
          <t>TIERP</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46805-2022</t>
        </is>
      </c>
      <c r="B3064" s="1" t="n">
        <v>44847</v>
      </c>
      <c r="C3064" s="1" t="n">
        <v>45792</v>
      </c>
      <c r="D3064" t="inlineStr">
        <is>
          <t>UPPSALA LÄN</t>
        </is>
      </c>
      <c r="E3064" t="inlineStr">
        <is>
          <t>UPPSALA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46447-2022</t>
        </is>
      </c>
      <c r="B3065" s="1" t="n">
        <v>44847</v>
      </c>
      <c r="C3065" s="1" t="n">
        <v>45792</v>
      </c>
      <c r="D3065" t="inlineStr">
        <is>
          <t>UPPSALA LÄN</t>
        </is>
      </c>
      <c r="E3065" t="inlineStr">
        <is>
          <t>HEBY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46448-2022</t>
        </is>
      </c>
      <c r="B3066" s="1" t="n">
        <v>44848</v>
      </c>
      <c r="C3066" s="1" t="n">
        <v>45792</v>
      </c>
      <c r="D3066" t="inlineStr">
        <is>
          <t>UPPSALA LÄN</t>
        </is>
      </c>
      <c r="E3066" t="inlineStr">
        <is>
          <t>ÖSTHAMMAR</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46807-2022</t>
        </is>
      </c>
      <c r="B3067" s="1" t="n">
        <v>44848</v>
      </c>
      <c r="C3067" s="1" t="n">
        <v>45792</v>
      </c>
      <c r="D3067" t="inlineStr">
        <is>
          <t>UPPSALA LÄN</t>
        </is>
      </c>
      <c r="E3067" t="inlineStr">
        <is>
          <t>UPPSALA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46635-2022</t>
        </is>
      </c>
      <c r="B3068" s="1" t="n">
        <v>44849</v>
      </c>
      <c r="C3068" s="1" t="n">
        <v>45792</v>
      </c>
      <c r="D3068" t="inlineStr">
        <is>
          <t>UPPSALA LÄN</t>
        </is>
      </c>
      <c r="E3068" t="inlineStr">
        <is>
          <t>UPPSALA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46651-2022</t>
        </is>
      </c>
      <c r="B3069" s="1" t="n">
        <v>44850</v>
      </c>
      <c r="C3069" s="1" t="n">
        <v>45792</v>
      </c>
      <c r="D3069" t="inlineStr">
        <is>
          <t>UPPSALA LÄN</t>
        </is>
      </c>
      <c r="E3069" t="inlineStr">
        <is>
          <t>HEBY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46749-2022</t>
        </is>
      </c>
      <c r="B3070" s="1" t="n">
        <v>44851</v>
      </c>
      <c r="C3070" s="1" t="n">
        <v>45792</v>
      </c>
      <c r="D3070" t="inlineStr">
        <is>
          <t>UPPSALA LÄN</t>
        </is>
      </c>
      <c r="E3070" t="inlineStr">
        <is>
          <t>ENKÖPING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46915-2022</t>
        </is>
      </c>
      <c r="B3071" s="1" t="n">
        <v>44851</v>
      </c>
      <c r="C3071" s="1" t="n">
        <v>45792</v>
      </c>
      <c r="D3071" t="inlineStr">
        <is>
          <t>UPPSALA LÄN</t>
        </is>
      </c>
      <c r="E3071" t="inlineStr">
        <is>
          <t>ÖSTHAMMAR</t>
        </is>
      </c>
      <c r="F3071" t="inlineStr">
        <is>
          <t>Bergvik skog öst AB</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47163-2022</t>
        </is>
      </c>
      <c r="B3072" s="1" t="n">
        <v>44852</v>
      </c>
      <c r="C3072" s="1" t="n">
        <v>45792</v>
      </c>
      <c r="D3072" t="inlineStr">
        <is>
          <t>UPPSALA LÄN</t>
        </is>
      </c>
      <c r="E3072" t="inlineStr">
        <is>
          <t>ÖSTHAMMAR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47199-2022</t>
        </is>
      </c>
      <c r="B3073" s="1" t="n">
        <v>44852</v>
      </c>
      <c r="C3073" s="1" t="n">
        <v>45792</v>
      </c>
      <c r="D3073" t="inlineStr">
        <is>
          <t>UPPSALA LÄN</t>
        </is>
      </c>
      <c r="E3073" t="inlineStr">
        <is>
          <t>HEBY</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47419-2022</t>
        </is>
      </c>
      <c r="B3074" s="1" t="n">
        <v>44853</v>
      </c>
      <c r="C3074" s="1" t="n">
        <v>45792</v>
      </c>
      <c r="D3074" t="inlineStr">
        <is>
          <t>UPPSALA LÄN</t>
        </is>
      </c>
      <c r="E3074" t="inlineStr">
        <is>
          <t>TIERP</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47431-2022</t>
        </is>
      </c>
      <c r="B3075" s="1" t="n">
        <v>44853</v>
      </c>
      <c r="C3075" s="1" t="n">
        <v>45792</v>
      </c>
      <c r="D3075" t="inlineStr">
        <is>
          <t>UPPSALA LÄN</t>
        </is>
      </c>
      <c r="E3075" t="inlineStr">
        <is>
          <t>ENKÖPING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47516-2022</t>
        </is>
      </c>
      <c r="B3076" s="1" t="n">
        <v>44853</v>
      </c>
      <c r="C3076" s="1" t="n">
        <v>45792</v>
      </c>
      <c r="D3076" t="inlineStr">
        <is>
          <t>UPPSALA LÄN</t>
        </is>
      </c>
      <c r="E3076" t="inlineStr">
        <is>
          <t>ENKÖPING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47414-2022</t>
        </is>
      </c>
      <c r="B3077" s="1" t="n">
        <v>44853</v>
      </c>
      <c r="C3077" s="1" t="n">
        <v>45792</v>
      </c>
      <c r="D3077" t="inlineStr">
        <is>
          <t>UPPSALA LÄN</t>
        </is>
      </c>
      <c r="E3077" t="inlineStr">
        <is>
          <t>TIERP</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47422-2022</t>
        </is>
      </c>
      <c r="B3078" s="1" t="n">
        <v>44853</v>
      </c>
      <c r="C3078" s="1" t="n">
        <v>45792</v>
      </c>
      <c r="D3078" t="inlineStr">
        <is>
          <t>UPPSALA LÄN</t>
        </is>
      </c>
      <c r="E3078" t="inlineStr">
        <is>
          <t>TIERP</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47413-2022</t>
        </is>
      </c>
      <c r="B3079" s="1" t="n">
        <v>44853</v>
      </c>
      <c r="C3079" s="1" t="n">
        <v>45792</v>
      </c>
      <c r="D3079" t="inlineStr">
        <is>
          <t>UPPSALA LÄN</t>
        </is>
      </c>
      <c r="E3079" t="inlineStr">
        <is>
          <t>UPPSALA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47428-2022</t>
        </is>
      </c>
      <c r="B3080" s="1" t="n">
        <v>44853</v>
      </c>
      <c r="C3080" s="1" t="n">
        <v>45792</v>
      </c>
      <c r="D3080" t="inlineStr">
        <is>
          <t>UPPSALA LÄN</t>
        </is>
      </c>
      <c r="E3080" t="inlineStr">
        <is>
          <t>HEBY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48230-2022</t>
        </is>
      </c>
      <c r="B3081" s="1" t="n">
        <v>44858</v>
      </c>
      <c r="C3081" s="1" t="n">
        <v>45792</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48483-2022</t>
        </is>
      </c>
      <c r="B3082" s="1" t="n">
        <v>44858</v>
      </c>
      <c r="C3082" s="1" t="n">
        <v>45792</v>
      </c>
      <c r="D3082" t="inlineStr">
        <is>
          <t>UPPSALA LÄN</t>
        </is>
      </c>
      <c r="E3082" t="inlineStr">
        <is>
          <t>TIERP</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48163-2022</t>
        </is>
      </c>
      <c r="B3083" s="1" t="n">
        <v>44858</v>
      </c>
      <c r="C3083" s="1" t="n">
        <v>45792</v>
      </c>
      <c r="D3083" t="inlineStr">
        <is>
          <t>UPPSALA LÄN</t>
        </is>
      </c>
      <c r="E3083" t="inlineStr">
        <is>
          <t>HEBY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48165-2022</t>
        </is>
      </c>
      <c r="B3084" s="1" t="n">
        <v>44858</v>
      </c>
      <c r="C3084" s="1" t="n">
        <v>45792</v>
      </c>
      <c r="D3084" t="inlineStr">
        <is>
          <t>UPPSALA LÄN</t>
        </is>
      </c>
      <c r="E3084" t="inlineStr">
        <is>
          <t>HEBY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48191-2022</t>
        </is>
      </c>
      <c r="B3085" s="1" t="n">
        <v>44858</v>
      </c>
      <c r="C3085" s="1" t="n">
        <v>45792</v>
      </c>
      <c r="D3085" t="inlineStr">
        <is>
          <t>UPPSALA LÄN</t>
        </is>
      </c>
      <c r="E3085" t="inlineStr">
        <is>
          <t>ÖSTHAMMAR</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48233-2022</t>
        </is>
      </c>
      <c r="B3086" s="1" t="n">
        <v>44858</v>
      </c>
      <c r="C3086" s="1" t="n">
        <v>45792</v>
      </c>
      <c r="D3086" t="inlineStr">
        <is>
          <t>UPPSALA LÄN</t>
        </is>
      </c>
      <c r="E3086" t="inlineStr">
        <is>
          <t>ENKÖPING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48231-2022</t>
        </is>
      </c>
      <c r="B3087" s="1" t="n">
        <v>44858</v>
      </c>
      <c r="C3087" s="1" t="n">
        <v>45792</v>
      </c>
      <c r="D3087" t="inlineStr">
        <is>
          <t>UPPSALA LÄN</t>
        </is>
      </c>
      <c r="E3087" t="inlineStr">
        <is>
          <t>ÖSTHAMMAR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48486-2022</t>
        </is>
      </c>
      <c r="B3088" s="1" t="n">
        <v>44858</v>
      </c>
      <c r="C3088" s="1" t="n">
        <v>45792</v>
      </c>
      <c r="D3088" t="inlineStr">
        <is>
          <t>UPPSALA LÄN</t>
        </is>
      </c>
      <c r="E3088" t="inlineStr">
        <is>
          <t>TIERP</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48403-2022</t>
        </is>
      </c>
      <c r="B3089" s="1" t="n">
        <v>44858</v>
      </c>
      <c r="C3089" s="1" t="n">
        <v>45792</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48575-2022</t>
        </is>
      </c>
      <c r="B3090" s="1" t="n">
        <v>44859</v>
      </c>
      <c r="C3090" s="1" t="n">
        <v>45792</v>
      </c>
      <c r="D3090" t="inlineStr">
        <is>
          <t>UPPSALA LÄN</t>
        </is>
      </c>
      <c r="E3090" t="inlineStr">
        <is>
          <t>TIERP</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48686-2022</t>
        </is>
      </c>
      <c r="B3091" s="1" t="n">
        <v>44859</v>
      </c>
      <c r="C3091" s="1" t="n">
        <v>45792</v>
      </c>
      <c r="D3091" t="inlineStr">
        <is>
          <t>UPPSALA LÄN</t>
        </is>
      </c>
      <c r="E3091" t="inlineStr">
        <is>
          <t>UPPSALA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48568-2022</t>
        </is>
      </c>
      <c r="B3092" s="1" t="n">
        <v>44859</v>
      </c>
      <c r="C3092" s="1" t="n">
        <v>45792</v>
      </c>
      <c r="D3092" t="inlineStr">
        <is>
          <t>UPPSALA LÄN</t>
        </is>
      </c>
      <c r="E3092" t="inlineStr">
        <is>
          <t>TIERP</t>
        </is>
      </c>
      <c r="F3092" t="inlineStr">
        <is>
          <t>Bergvik skog väst AB</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48588-2022</t>
        </is>
      </c>
      <c r="B3093" s="1" t="n">
        <v>44859</v>
      </c>
      <c r="C3093" s="1" t="n">
        <v>45792</v>
      </c>
      <c r="D3093" t="inlineStr">
        <is>
          <t>UPPSALA LÄN</t>
        </is>
      </c>
      <c r="E3093" t="inlineStr">
        <is>
          <t>UPPSALA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48692-2022</t>
        </is>
      </c>
      <c r="B3094" s="1" t="n">
        <v>44859</v>
      </c>
      <c r="C3094" s="1" t="n">
        <v>45792</v>
      </c>
      <c r="D3094" t="inlineStr">
        <is>
          <t>UPPSALA LÄN</t>
        </is>
      </c>
      <c r="E3094" t="inlineStr">
        <is>
          <t>UPPSALA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48750-2022</t>
        </is>
      </c>
      <c r="B3095" s="1" t="n">
        <v>44859</v>
      </c>
      <c r="C3095" s="1" t="n">
        <v>45792</v>
      </c>
      <c r="D3095" t="inlineStr">
        <is>
          <t>UPPSALA LÄN</t>
        </is>
      </c>
      <c r="E3095" t="inlineStr">
        <is>
          <t>TIERP</t>
        </is>
      </c>
      <c r="F3095" t="inlineStr">
        <is>
          <t>Bergvik skog öst AB</t>
        </is>
      </c>
      <c r="G3095" t="n">
        <v>30.2</v>
      </c>
      <c r="H3095" t="n">
        <v>0</v>
      </c>
      <c r="I3095" t="n">
        <v>0</v>
      </c>
      <c r="J3095" t="n">
        <v>0</v>
      </c>
      <c r="K3095" t="n">
        <v>0</v>
      </c>
      <c r="L3095" t="n">
        <v>0</v>
      </c>
      <c r="M3095" t="n">
        <v>0</v>
      </c>
      <c r="N3095" t="n">
        <v>0</v>
      </c>
      <c r="O3095" t="n">
        <v>0</v>
      </c>
      <c r="P3095" t="n">
        <v>0</v>
      </c>
      <c r="Q3095" t="n">
        <v>0</v>
      </c>
      <c r="R3095" s="2" t="inlineStr"/>
    </row>
    <row r="3096" ht="15" customHeight="1">
      <c r="A3096" t="inlineStr">
        <is>
          <t>A 48688-2022</t>
        </is>
      </c>
      <c r="B3096" s="1" t="n">
        <v>44859</v>
      </c>
      <c r="C3096" s="1" t="n">
        <v>45792</v>
      </c>
      <c r="D3096" t="inlineStr">
        <is>
          <t>UPPSALA LÄN</t>
        </is>
      </c>
      <c r="E3096" t="inlineStr">
        <is>
          <t>UPPSALA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48864-2022</t>
        </is>
      </c>
      <c r="B3097" s="1" t="n">
        <v>44859</v>
      </c>
      <c r="C3097" s="1" t="n">
        <v>45792</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49097-2022</t>
        </is>
      </c>
      <c r="B3098" s="1" t="n">
        <v>44860</v>
      </c>
      <c r="C3098" s="1" t="n">
        <v>45792</v>
      </c>
      <c r="D3098" t="inlineStr">
        <is>
          <t>UPPSALA LÄN</t>
        </is>
      </c>
      <c r="E3098" t="inlineStr">
        <is>
          <t>ÖSTHAMMAR</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49334-2022</t>
        </is>
      </c>
      <c r="B3099" s="1" t="n">
        <v>44861</v>
      </c>
      <c r="C3099" s="1" t="n">
        <v>45792</v>
      </c>
      <c r="D3099" t="inlineStr">
        <is>
          <t>UPPSALA LÄN</t>
        </is>
      </c>
      <c r="E3099" t="inlineStr">
        <is>
          <t>ÖSTHAMMAR</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49314-2022</t>
        </is>
      </c>
      <c r="B3100" s="1" t="n">
        <v>44861</v>
      </c>
      <c r="C3100" s="1" t="n">
        <v>45792</v>
      </c>
      <c r="D3100" t="inlineStr">
        <is>
          <t>UPPSALA LÄN</t>
        </is>
      </c>
      <c r="E3100" t="inlineStr">
        <is>
          <t>TIERP</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49557-2022</t>
        </is>
      </c>
      <c r="B3101" s="1" t="n">
        <v>44862</v>
      </c>
      <c r="C3101" s="1" t="n">
        <v>45792</v>
      </c>
      <c r="D3101" t="inlineStr">
        <is>
          <t>UPPSALA LÄN</t>
        </is>
      </c>
      <c r="E3101" t="inlineStr">
        <is>
          <t>ENKÖPING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49562-2022</t>
        </is>
      </c>
      <c r="B3102" s="1" t="n">
        <v>44862</v>
      </c>
      <c r="C3102" s="1" t="n">
        <v>45792</v>
      </c>
      <c r="D3102" t="inlineStr">
        <is>
          <t>UPPSALA LÄN</t>
        </is>
      </c>
      <c r="E3102" t="inlineStr">
        <is>
          <t>ENKÖPING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49560-2022</t>
        </is>
      </c>
      <c r="B3103" s="1" t="n">
        <v>44862</v>
      </c>
      <c r="C3103" s="1" t="n">
        <v>45792</v>
      </c>
      <c r="D3103" t="inlineStr">
        <is>
          <t>UPPSALA LÄN</t>
        </is>
      </c>
      <c r="E3103" t="inlineStr">
        <is>
          <t>ENKÖPING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49568-2022</t>
        </is>
      </c>
      <c r="B3104" s="1" t="n">
        <v>44862</v>
      </c>
      <c r="C3104" s="1" t="n">
        <v>45792</v>
      </c>
      <c r="D3104" t="inlineStr">
        <is>
          <t>UPPSALA LÄN</t>
        </is>
      </c>
      <c r="E3104" t="inlineStr">
        <is>
          <t>ENKÖPING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50859-2022</t>
        </is>
      </c>
      <c r="B3105" s="1" t="n">
        <v>44862</v>
      </c>
      <c r="C3105" s="1" t="n">
        <v>45792</v>
      </c>
      <c r="D3105" t="inlineStr">
        <is>
          <t>UPPSALA LÄN</t>
        </is>
      </c>
      <c r="E3105" t="inlineStr">
        <is>
          <t>HEBY</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49946-2022</t>
        </is>
      </c>
      <c r="B3106" s="1" t="n">
        <v>44865</v>
      </c>
      <c r="C3106" s="1" t="n">
        <v>45792</v>
      </c>
      <c r="D3106" t="inlineStr">
        <is>
          <t>UPPSALA LÄN</t>
        </is>
      </c>
      <c r="E3106" t="inlineStr">
        <is>
          <t>TIERP</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49971-2022</t>
        </is>
      </c>
      <c r="B3107" s="1" t="n">
        <v>44865</v>
      </c>
      <c r="C3107" s="1" t="n">
        <v>45792</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49914-2022</t>
        </is>
      </c>
      <c r="B3108" s="1" t="n">
        <v>44865</v>
      </c>
      <c r="C3108" s="1" t="n">
        <v>45792</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49933-2022</t>
        </is>
      </c>
      <c r="B3109" s="1" t="n">
        <v>44865</v>
      </c>
      <c r="C3109" s="1" t="n">
        <v>45792</v>
      </c>
      <c r="D3109" t="inlineStr">
        <is>
          <t>UPPSALA LÄN</t>
        </is>
      </c>
      <c r="E3109" t="inlineStr">
        <is>
          <t>TIERP</t>
        </is>
      </c>
      <c r="G3109" t="n">
        <v>11.3</v>
      </c>
      <c r="H3109" t="n">
        <v>0</v>
      </c>
      <c r="I3109" t="n">
        <v>0</v>
      </c>
      <c r="J3109" t="n">
        <v>0</v>
      </c>
      <c r="K3109" t="n">
        <v>0</v>
      </c>
      <c r="L3109" t="n">
        <v>0</v>
      </c>
      <c r="M3109" t="n">
        <v>0</v>
      </c>
      <c r="N3109" t="n">
        <v>0</v>
      </c>
      <c r="O3109" t="n">
        <v>0</v>
      </c>
      <c r="P3109" t="n">
        <v>0</v>
      </c>
      <c r="Q3109" t="n">
        <v>0</v>
      </c>
      <c r="R3109" s="2" t="inlineStr"/>
    </row>
    <row r="3110" ht="15" customHeight="1">
      <c r="A3110" t="inlineStr">
        <is>
          <t>A 50006-2022</t>
        </is>
      </c>
      <c r="B3110" s="1" t="n">
        <v>44865</v>
      </c>
      <c r="C3110" s="1" t="n">
        <v>45792</v>
      </c>
      <c r="D3110" t="inlineStr">
        <is>
          <t>UPPSALA LÄN</t>
        </is>
      </c>
      <c r="E3110" t="inlineStr">
        <is>
          <t>UPPSALA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50040-2022</t>
        </is>
      </c>
      <c r="B3111" s="1" t="n">
        <v>44865</v>
      </c>
      <c r="C3111" s="1" t="n">
        <v>45792</v>
      </c>
      <c r="D3111" t="inlineStr">
        <is>
          <t>UPPSALA LÄN</t>
        </is>
      </c>
      <c r="E3111" t="inlineStr">
        <is>
          <t>TIERP</t>
        </is>
      </c>
      <c r="F3111" t="inlineStr">
        <is>
          <t>Bergvik skog väst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50092-2022</t>
        </is>
      </c>
      <c r="B3112" s="1" t="n">
        <v>44865</v>
      </c>
      <c r="C3112" s="1" t="n">
        <v>45792</v>
      </c>
      <c r="D3112" t="inlineStr">
        <is>
          <t>UPPSALA LÄN</t>
        </is>
      </c>
      <c r="E3112" t="inlineStr">
        <is>
          <t>UPPSALA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50576-2022</t>
        </is>
      </c>
      <c r="B3113" s="1" t="n">
        <v>44866</v>
      </c>
      <c r="C3113" s="1" t="n">
        <v>45792</v>
      </c>
      <c r="D3113" t="inlineStr">
        <is>
          <t>UPPSALA LÄN</t>
        </is>
      </c>
      <c r="E3113" t="inlineStr">
        <is>
          <t>ÖSTHAMMAR</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50954-2022</t>
        </is>
      </c>
      <c r="B3114" s="1" t="n">
        <v>44866</v>
      </c>
      <c r="C3114" s="1" t="n">
        <v>45792</v>
      </c>
      <c r="D3114" t="inlineStr">
        <is>
          <t>UPPSALA LÄN</t>
        </is>
      </c>
      <c r="E3114" t="inlineStr">
        <is>
          <t>UPPSALA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50747-2022</t>
        </is>
      </c>
      <c r="B3115" s="1" t="n">
        <v>44867</v>
      </c>
      <c r="C3115" s="1" t="n">
        <v>45792</v>
      </c>
      <c r="D3115" t="inlineStr">
        <is>
          <t>UPPSALA LÄN</t>
        </is>
      </c>
      <c r="E3115" t="inlineStr">
        <is>
          <t>ENKÖPING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51055-2022</t>
        </is>
      </c>
      <c r="B3116" s="1" t="n">
        <v>44868</v>
      </c>
      <c r="C3116" s="1" t="n">
        <v>45792</v>
      </c>
      <c r="D3116" t="inlineStr">
        <is>
          <t>UPPSALA LÄN</t>
        </is>
      </c>
      <c r="E3116" t="inlineStr">
        <is>
          <t>ÖSTHAMMAR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51232-2022</t>
        </is>
      </c>
      <c r="B3117" s="1" t="n">
        <v>44868</v>
      </c>
      <c r="C3117" s="1" t="n">
        <v>45792</v>
      </c>
      <c r="D3117" t="inlineStr">
        <is>
          <t>UPPSALA LÄN</t>
        </is>
      </c>
      <c r="E3117" t="inlineStr">
        <is>
          <t>TIERP</t>
        </is>
      </c>
      <c r="F3117" t="inlineStr">
        <is>
          <t>Bergvik skog öst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51524-2022</t>
        </is>
      </c>
      <c r="B3118" s="1" t="n">
        <v>44869</v>
      </c>
      <c r="C3118" s="1" t="n">
        <v>45792</v>
      </c>
      <c r="D3118" t="inlineStr">
        <is>
          <t>UPPSALA LÄN</t>
        </is>
      </c>
      <c r="E3118" t="inlineStr">
        <is>
          <t>ENKÖPING</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51606-2022</t>
        </is>
      </c>
      <c r="B3119" s="1" t="n">
        <v>44871</v>
      </c>
      <c r="C3119" s="1" t="n">
        <v>45792</v>
      </c>
      <c r="D3119" t="inlineStr">
        <is>
          <t>UPPSALA LÄN</t>
        </is>
      </c>
      <c r="E3119" t="inlineStr">
        <is>
          <t>TIERP</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51661-2022</t>
        </is>
      </c>
      <c r="B3120" s="1" t="n">
        <v>44872</v>
      </c>
      <c r="C3120" s="1" t="n">
        <v>45792</v>
      </c>
      <c r="D3120" t="inlineStr">
        <is>
          <t>UPPSALA LÄN</t>
        </is>
      </c>
      <c r="E3120" t="inlineStr">
        <is>
          <t>UPPSALA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51696-2022</t>
        </is>
      </c>
      <c r="B3121" s="1" t="n">
        <v>44872</v>
      </c>
      <c r="C3121" s="1" t="n">
        <v>45792</v>
      </c>
      <c r="D3121" t="inlineStr">
        <is>
          <t>UPPSALA LÄN</t>
        </is>
      </c>
      <c r="E3121" t="inlineStr">
        <is>
          <t>ÖSTHAMMAR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51899-2022</t>
        </is>
      </c>
      <c r="B3122" s="1" t="n">
        <v>44872</v>
      </c>
      <c r="C3122" s="1" t="n">
        <v>45792</v>
      </c>
      <c r="D3122" t="inlineStr">
        <is>
          <t>UPPSALA LÄN</t>
        </is>
      </c>
      <c r="E3122" t="inlineStr">
        <is>
          <t>UPPSALA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51906-2022</t>
        </is>
      </c>
      <c r="B3123" s="1" t="n">
        <v>44872</v>
      </c>
      <c r="C3123" s="1" t="n">
        <v>45792</v>
      </c>
      <c r="D3123" t="inlineStr">
        <is>
          <t>UPPSALA LÄN</t>
        </is>
      </c>
      <c r="E3123" t="inlineStr">
        <is>
          <t>ÖSTHAMMAR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51934-2022</t>
        </is>
      </c>
      <c r="B3124" s="1" t="n">
        <v>44872</v>
      </c>
      <c r="C3124" s="1" t="n">
        <v>45792</v>
      </c>
      <c r="D3124" t="inlineStr">
        <is>
          <t>UPPSALA LÄN</t>
        </is>
      </c>
      <c r="E3124" t="inlineStr">
        <is>
          <t>HEBY</t>
        </is>
      </c>
      <c r="F3124" t="inlineStr">
        <is>
          <t>Övriga Aktiebolag</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51932-2022</t>
        </is>
      </c>
      <c r="B3125" s="1" t="n">
        <v>44872</v>
      </c>
      <c r="C3125" s="1" t="n">
        <v>45792</v>
      </c>
      <c r="D3125" t="inlineStr">
        <is>
          <t>UPPSALA LÄN</t>
        </is>
      </c>
      <c r="E3125" t="inlineStr">
        <is>
          <t>ENKÖPING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52265-2022</t>
        </is>
      </c>
      <c r="B3126" s="1" t="n">
        <v>44873</v>
      </c>
      <c r="C3126" s="1" t="n">
        <v>45792</v>
      </c>
      <c r="D3126" t="inlineStr">
        <is>
          <t>UPPSALA LÄN</t>
        </is>
      </c>
      <c r="E3126" t="inlineStr">
        <is>
          <t>ÖSTHAMMAR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52255-2022</t>
        </is>
      </c>
      <c r="B3127" s="1" t="n">
        <v>44873</v>
      </c>
      <c r="C3127" s="1" t="n">
        <v>45792</v>
      </c>
      <c r="D3127" t="inlineStr">
        <is>
          <t>UPPSALA LÄN</t>
        </is>
      </c>
      <c r="E3127" t="inlineStr">
        <is>
          <t>ÖSTHAMMAR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52292-2022</t>
        </is>
      </c>
      <c r="B3128" s="1" t="n">
        <v>44873</v>
      </c>
      <c r="C3128" s="1" t="n">
        <v>45792</v>
      </c>
      <c r="D3128" t="inlineStr">
        <is>
          <t>UPPSALA LÄN</t>
        </is>
      </c>
      <c r="E3128" t="inlineStr">
        <is>
          <t>HEBY</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52295-2022</t>
        </is>
      </c>
      <c r="B3129" s="1" t="n">
        <v>44873</v>
      </c>
      <c r="C3129" s="1" t="n">
        <v>45792</v>
      </c>
      <c r="D3129" t="inlineStr">
        <is>
          <t>UPPSALA LÄN</t>
        </is>
      </c>
      <c r="E3129" t="inlineStr">
        <is>
          <t>ÖSTHAMMAR</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52388-2022</t>
        </is>
      </c>
      <c r="B3130" s="1" t="n">
        <v>44874</v>
      </c>
      <c r="C3130" s="1" t="n">
        <v>45792</v>
      </c>
      <c r="D3130" t="inlineStr">
        <is>
          <t>UPPSALA LÄN</t>
        </is>
      </c>
      <c r="E3130" t="inlineStr">
        <is>
          <t>TIERP</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52652-2022</t>
        </is>
      </c>
      <c r="B3131" s="1" t="n">
        <v>44874</v>
      </c>
      <c r="C3131" s="1" t="n">
        <v>45792</v>
      </c>
      <c r="D3131" t="inlineStr">
        <is>
          <t>UPPSALA LÄN</t>
        </is>
      </c>
      <c r="E3131" t="inlineStr">
        <is>
          <t>ÖSTHAMMAR</t>
        </is>
      </c>
      <c r="F3131" t="inlineStr">
        <is>
          <t>Bergvik skog öst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52389-2022</t>
        </is>
      </c>
      <c r="B3132" s="1" t="n">
        <v>44874</v>
      </c>
      <c r="C3132" s="1" t="n">
        <v>45792</v>
      </c>
      <c r="D3132" t="inlineStr">
        <is>
          <t>UPPSALA LÄN</t>
        </is>
      </c>
      <c r="E3132" t="inlineStr">
        <is>
          <t>ÖSTHAMMAR</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52663-2022</t>
        </is>
      </c>
      <c r="B3133" s="1" t="n">
        <v>44874</v>
      </c>
      <c r="C3133" s="1" t="n">
        <v>45792</v>
      </c>
      <c r="D3133" t="inlineStr">
        <is>
          <t>UPPSALA LÄN</t>
        </is>
      </c>
      <c r="E3133" t="inlineStr">
        <is>
          <t>ÖSTHAMMAR</t>
        </is>
      </c>
      <c r="F3133" t="inlineStr">
        <is>
          <t>Bergvik skog öst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52650-2022</t>
        </is>
      </c>
      <c r="B3134" s="1" t="n">
        <v>44874</v>
      </c>
      <c r="C3134" s="1" t="n">
        <v>45792</v>
      </c>
      <c r="D3134" t="inlineStr">
        <is>
          <t>UPPSALA LÄN</t>
        </is>
      </c>
      <c r="E3134" t="inlineStr">
        <is>
          <t>ÖSTHAMMAR</t>
        </is>
      </c>
      <c r="F3134" t="inlineStr">
        <is>
          <t>Bergvik skog öst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52661-2022</t>
        </is>
      </c>
      <c r="B3135" s="1" t="n">
        <v>44874</v>
      </c>
      <c r="C3135" s="1" t="n">
        <v>45792</v>
      </c>
      <c r="D3135" t="inlineStr">
        <is>
          <t>UPPSALA LÄN</t>
        </is>
      </c>
      <c r="E3135" t="inlineStr">
        <is>
          <t>ÖSTHAMMAR</t>
        </is>
      </c>
      <c r="F3135" t="inlineStr">
        <is>
          <t>Bergvik skog öst AB</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52895-2022</t>
        </is>
      </c>
      <c r="B3136" s="1" t="n">
        <v>44875</v>
      </c>
      <c r="C3136" s="1" t="n">
        <v>45792</v>
      </c>
      <c r="D3136" t="inlineStr">
        <is>
          <t>UPPSALA LÄN</t>
        </is>
      </c>
      <c r="E3136" t="inlineStr">
        <is>
          <t>ENKÖPING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52790-2022</t>
        </is>
      </c>
      <c r="B3137" s="1" t="n">
        <v>44875</v>
      </c>
      <c r="C3137" s="1" t="n">
        <v>45792</v>
      </c>
      <c r="D3137" t="inlineStr">
        <is>
          <t>UPPSALA LÄN</t>
        </is>
      </c>
      <c r="E3137" t="inlineStr">
        <is>
          <t>HEBY</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52893-2022</t>
        </is>
      </c>
      <c r="B3138" s="1" t="n">
        <v>44875</v>
      </c>
      <c r="C3138" s="1" t="n">
        <v>45792</v>
      </c>
      <c r="D3138" t="inlineStr">
        <is>
          <t>UPPSALA LÄN</t>
        </is>
      </c>
      <c r="E3138" t="inlineStr">
        <is>
          <t>ENKÖPING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52889-2022</t>
        </is>
      </c>
      <c r="B3139" s="1" t="n">
        <v>44875</v>
      </c>
      <c r="C3139" s="1" t="n">
        <v>45792</v>
      </c>
      <c r="D3139" t="inlineStr">
        <is>
          <t>UPPSALA LÄN</t>
        </is>
      </c>
      <c r="E3139" t="inlineStr">
        <is>
          <t>ENKÖPING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52896-2022</t>
        </is>
      </c>
      <c r="B3140" s="1" t="n">
        <v>44875</v>
      </c>
      <c r="C3140" s="1" t="n">
        <v>45792</v>
      </c>
      <c r="D3140" t="inlineStr">
        <is>
          <t>UPPSALA LÄN</t>
        </is>
      </c>
      <c r="E3140" t="inlineStr">
        <is>
          <t>ENKÖPING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52955-2022</t>
        </is>
      </c>
      <c r="B3141" s="1" t="n">
        <v>44875</v>
      </c>
      <c r="C3141" s="1" t="n">
        <v>45792</v>
      </c>
      <c r="D3141" t="inlineStr">
        <is>
          <t>UPPSALA LÄN</t>
        </is>
      </c>
      <c r="E3141" t="inlineStr">
        <is>
          <t>HEBY</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53770-2022</t>
        </is>
      </c>
      <c r="B3142" s="1" t="n">
        <v>44875</v>
      </c>
      <c r="C3142" s="1" t="n">
        <v>45792</v>
      </c>
      <c r="D3142" t="inlineStr">
        <is>
          <t>UPPSALA LÄN</t>
        </is>
      </c>
      <c r="E3142" t="inlineStr">
        <is>
          <t>HÅBO</t>
        </is>
      </c>
      <c r="F3142" t="inlineStr">
        <is>
          <t>Allmännings- och besparingsskogar</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53180-2022</t>
        </is>
      </c>
      <c r="B3143" s="1" t="n">
        <v>44876</v>
      </c>
      <c r="C3143" s="1" t="n">
        <v>45792</v>
      </c>
      <c r="D3143" t="inlineStr">
        <is>
          <t>UPPSALA LÄN</t>
        </is>
      </c>
      <c r="E3143" t="inlineStr">
        <is>
          <t>ÖSTHAMMAR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53496-2022</t>
        </is>
      </c>
      <c r="B3144" s="1" t="n">
        <v>44879</v>
      </c>
      <c r="C3144" s="1" t="n">
        <v>45792</v>
      </c>
      <c r="D3144" t="inlineStr">
        <is>
          <t>UPPSALA LÄN</t>
        </is>
      </c>
      <c r="E3144" t="inlineStr">
        <is>
          <t>ENKÖPING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53819-2022</t>
        </is>
      </c>
      <c r="B3145" s="1" t="n">
        <v>44880</v>
      </c>
      <c r="C3145" s="1" t="n">
        <v>45792</v>
      </c>
      <c r="D3145" t="inlineStr">
        <is>
          <t>UPPSALA LÄN</t>
        </is>
      </c>
      <c r="E3145" t="inlineStr">
        <is>
          <t>TIERP</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53784-2022</t>
        </is>
      </c>
      <c r="B3146" s="1" t="n">
        <v>44880</v>
      </c>
      <c r="C3146" s="1" t="n">
        <v>45792</v>
      </c>
      <c r="D3146" t="inlineStr">
        <is>
          <t>UPPSALA LÄN</t>
        </is>
      </c>
      <c r="E3146" t="inlineStr">
        <is>
          <t>TIERP</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53813-2022</t>
        </is>
      </c>
      <c r="B3147" s="1" t="n">
        <v>44880</v>
      </c>
      <c r="C3147" s="1" t="n">
        <v>45792</v>
      </c>
      <c r="D3147" t="inlineStr">
        <is>
          <t>UPPSALA LÄN</t>
        </is>
      </c>
      <c r="E3147" t="inlineStr">
        <is>
          <t>TIERP</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54041-2022</t>
        </is>
      </c>
      <c r="B3148" s="1" t="n">
        <v>44881</v>
      </c>
      <c r="C3148" s="1" t="n">
        <v>45792</v>
      </c>
      <c r="D3148" t="inlineStr">
        <is>
          <t>UPPSALA LÄN</t>
        </is>
      </c>
      <c r="E3148" t="inlineStr">
        <is>
          <t>TIERP</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54493-2022</t>
        </is>
      </c>
      <c r="B3149" s="1" t="n">
        <v>44882</v>
      </c>
      <c r="C3149" s="1" t="n">
        <v>45792</v>
      </c>
      <c r="D3149" t="inlineStr">
        <is>
          <t>UPPSALA LÄN</t>
        </is>
      </c>
      <c r="E3149" t="inlineStr">
        <is>
          <t>HEBY</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54666-2022</t>
        </is>
      </c>
      <c r="B3150" s="1" t="n">
        <v>44883</v>
      </c>
      <c r="C3150" s="1" t="n">
        <v>45792</v>
      </c>
      <c r="D3150" t="inlineStr">
        <is>
          <t>UPPSALA LÄN</t>
        </is>
      </c>
      <c r="E3150" t="inlineStr">
        <is>
          <t>ÖSTHAMMAR</t>
        </is>
      </c>
      <c r="G3150" t="n">
        <v>14.3</v>
      </c>
      <c r="H3150" t="n">
        <v>0</v>
      </c>
      <c r="I3150" t="n">
        <v>0</v>
      </c>
      <c r="J3150" t="n">
        <v>0</v>
      </c>
      <c r="K3150" t="n">
        <v>0</v>
      </c>
      <c r="L3150" t="n">
        <v>0</v>
      </c>
      <c r="M3150" t="n">
        <v>0</v>
      </c>
      <c r="N3150" t="n">
        <v>0</v>
      </c>
      <c r="O3150" t="n">
        <v>0</v>
      </c>
      <c r="P3150" t="n">
        <v>0</v>
      </c>
      <c r="Q3150" t="n">
        <v>0</v>
      </c>
      <c r="R3150" s="2" t="inlineStr"/>
    </row>
    <row r="3151" ht="15" customHeight="1">
      <c r="A3151" t="inlineStr">
        <is>
          <t>A 54764-2022</t>
        </is>
      </c>
      <c r="B3151" s="1" t="n">
        <v>44883</v>
      </c>
      <c r="C3151" s="1" t="n">
        <v>45792</v>
      </c>
      <c r="D3151" t="inlineStr">
        <is>
          <t>UPPSALA LÄN</t>
        </is>
      </c>
      <c r="E3151" t="inlineStr">
        <is>
          <t>TIERP</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54715-2022</t>
        </is>
      </c>
      <c r="B3152" s="1" t="n">
        <v>44883</v>
      </c>
      <c r="C3152" s="1" t="n">
        <v>45792</v>
      </c>
      <c r="D3152" t="inlineStr">
        <is>
          <t>UPPSALA LÄN</t>
        </is>
      </c>
      <c r="E3152" t="inlineStr">
        <is>
          <t>UPPSALA</t>
        </is>
      </c>
      <c r="F3152" t="inlineStr">
        <is>
          <t>Övriga Aktiebolag</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54732-2022</t>
        </is>
      </c>
      <c r="B3153" s="1" t="n">
        <v>44883</v>
      </c>
      <c r="C3153" s="1" t="n">
        <v>45792</v>
      </c>
      <c r="D3153" t="inlineStr">
        <is>
          <t>UPPSALA LÄN</t>
        </is>
      </c>
      <c r="E3153" t="inlineStr">
        <is>
          <t>UPPSALA</t>
        </is>
      </c>
      <c r="F3153" t="inlineStr">
        <is>
          <t>Övriga Aktiebolag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54813-2022</t>
        </is>
      </c>
      <c r="B3154" s="1" t="n">
        <v>44883</v>
      </c>
      <c r="C3154" s="1" t="n">
        <v>45792</v>
      </c>
      <c r="D3154" t="inlineStr">
        <is>
          <t>UPPSALA LÄN</t>
        </is>
      </c>
      <c r="E3154" t="inlineStr">
        <is>
          <t>UPPSALA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54952-2022</t>
        </is>
      </c>
      <c r="B3155" s="1" t="n">
        <v>44886</v>
      </c>
      <c r="C3155" s="1" t="n">
        <v>45792</v>
      </c>
      <c r="D3155" t="inlineStr">
        <is>
          <t>UPPSALA LÄN</t>
        </is>
      </c>
      <c r="E3155" t="inlineStr">
        <is>
          <t>TIERP</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55021-2022</t>
        </is>
      </c>
      <c r="B3156" s="1" t="n">
        <v>44886</v>
      </c>
      <c r="C3156" s="1" t="n">
        <v>45792</v>
      </c>
      <c r="D3156" t="inlineStr">
        <is>
          <t>UPPSALA LÄN</t>
        </is>
      </c>
      <c r="E3156" t="inlineStr">
        <is>
          <t>UPPSALA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55040-2022</t>
        </is>
      </c>
      <c r="B3157" s="1" t="n">
        <v>44886</v>
      </c>
      <c r="C3157" s="1" t="n">
        <v>45792</v>
      </c>
      <c r="D3157" t="inlineStr">
        <is>
          <t>UPPSALA LÄN</t>
        </is>
      </c>
      <c r="E3157" t="inlineStr">
        <is>
          <t>UPPSALA</t>
        </is>
      </c>
      <c r="F3157" t="inlineStr">
        <is>
          <t>Sveaskog</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55073-2022</t>
        </is>
      </c>
      <c r="B3158" s="1" t="n">
        <v>44886</v>
      </c>
      <c r="C3158" s="1" t="n">
        <v>45792</v>
      </c>
      <c r="D3158" t="inlineStr">
        <is>
          <t>UPPSALA LÄN</t>
        </is>
      </c>
      <c r="E3158" t="inlineStr">
        <is>
          <t>UPPSALA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55066-2022</t>
        </is>
      </c>
      <c r="B3159" s="1" t="n">
        <v>44886</v>
      </c>
      <c r="C3159" s="1" t="n">
        <v>45792</v>
      </c>
      <c r="D3159" t="inlineStr">
        <is>
          <t>UPPSALA LÄN</t>
        </is>
      </c>
      <c r="E3159" t="inlineStr">
        <is>
          <t>UPPSALA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55191-2022</t>
        </is>
      </c>
      <c r="B3160" s="1" t="n">
        <v>44886</v>
      </c>
      <c r="C3160" s="1" t="n">
        <v>45792</v>
      </c>
      <c r="D3160" t="inlineStr">
        <is>
          <t>UPPSALA LÄN</t>
        </is>
      </c>
      <c r="E3160" t="inlineStr">
        <is>
          <t>HEBY</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55204-2022</t>
        </is>
      </c>
      <c r="B3161" s="1" t="n">
        <v>44886</v>
      </c>
      <c r="C3161" s="1" t="n">
        <v>45792</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55401-2022</t>
        </is>
      </c>
      <c r="B3162" s="1" t="n">
        <v>44887</v>
      </c>
      <c r="C3162" s="1" t="n">
        <v>45792</v>
      </c>
      <c r="D3162" t="inlineStr">
        <is>
          <t>UPPSALA LÄN</t>
        </is>
      </c>
      <c r="E3162" t="inlineStr">
        <is>
          <t>UPPSALA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55423-2022</t>
        </is>
      </c>
      <c r="B3163" s="1" t="n">
        <v>44887</v>
      </c>
      <c r="C3163" s="1" t="n">
        <v>45792</v>
      </c>
      <c r="D3163" t="inlineStr">
        <is>
          <t>UPPSALA LÄN</t>
        </is>
      </c>
      <c r="E3163" t="inlineStr">
        <is>
          <t>TIERP</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55508-2022</t>
        </is>
      </c>
      <c r="B3164" s="1" t="n">
        <v>44887</v>
      </c>
      <c r="C3164" s="1" t="n">
        <v>45792</v>
      </c>
      <c r="D3164" t="inlineStr">
        <is>
          <t>UPPSALA LÄN</t>
        </is>
      </c>
      <c r="E3164" t="inlineStr">
        <is>
          <t>TIERP</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55502-2022</t>
        </is>
      </c>
      <c r="B3165" s="1" t="n">
        <v>44887</v>
      </c>
      <c r="C3165" s="1" t="n">
        <v>45792</v>
      </c>
      <c r="D3165" t="inlineStr">
        <is>
          <t>UPPSALA LÄN</t>
        </is>
      </c>
      <c r="E3165" t="inlineStr">
        <is>
          <t>HEBY</t>
        </is>
      </c>
      <c r="G3165" t="n">
        <v>18.4</v>
      </c>
      <c r="H3165" t="n">
        <v>0</v>
      </c>
      <c r="I3165" t="n">
        <v>0</v>
      </c>
      <c r="J3165" t="n">
        <v>0</v>
      </c>
      <c r="K3165" t="n">
        <v>0</v>
      </c>
      <c r="L3165" t="n">
        <v>0</v>
      </c>
      <c r="M3165" t="n">
        <v>0</v>
      </c>
      <c r="N3165" t="n">
        <v>0</v>
      </c>
      <c r="O3165" t="n">
        <v>0</v>
      </c>
      <c r="P3165" t="n">
        <v>0</v>
      </c>
      <c r="Q3165" t="n">
        <v>0</v>
      </c>
      <c r="R3165" s="2" t="inlineStr"/>
    </row>
    <row r="3166" ht="15" customHeight="1">
      <c r="A3166" t="inlineStr">
        <is>
          <t>A 56558-2022</t>
        </is>
      </c>
      <c r="B3166" s="1" t="n">
        <v>44887</v>
      </c>
      <c r="C3166" s="1" t="n">
        <v>45792</v>
      </c>
      <c r="D3166" t="inlineStr">
        <is>
          <t>UPPSALA LÄN</t>
        </is>
      </c>
      <c r="E3166" t="inlineStr">
        <is>
          <t>TIERP</t>
        </is>
      </c>
      <c r="F3166" t="inlineStr">
        <is>
          <t>Bergvik skog väst AB</t>
        </is>
      </c>
      <c r="G3166" t="n">
        <v>20.3</v>
      </c>
      <c r="H3166" t="n">
        <v>0</v>
      </c>
      <c r="I3166" t="n">
        <v>0</v>
      </c>
      <c r="J3166" t="n">
        <v>0</v>
      </c>
      <c r="K3166" t="n">
        <v>0</v>
      </c>
      <c r="L3166" t="n">
        <v>0</v>
      </c>
      <c r="M3166" t="n">
        <v>0</v>
      </c>
      <c r="N3166" t="n">
        <v>0</v>
      </c>
      <c r="O3166" t="n">
        <v>0</v>
      </c>
      <c r="P3166" t="n">
        <v>0</v>
      </c>
      <c r="Q3166" t="n">
        <v>0</v>
      </c>
      <c r="R3166" s="2" t="inlineStr"/>
    </row>
    <row r="3167" ht="15" customHeight="1">
      <c r="A3167" t="inlineStr">
        <is>
          <t>A 55566-2022</t>
        </is>
      </c>
      <c r="B3167" s="1" t="n">
        <v>44888</v>
      </c>
      <c r="C3167" s="1" t="n">
        <v>45792</v>
      </c>
      <c r="D3167" t="inlineStr">
        <is>
          <t>UPPSALA LÄN</t>
        </is>
      </c>
      <c r="E3167" t="inlineStr">
        <is>
          <t>TIERP</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55862-2022</t>
        </is>
      </c>
      <c r="B3168" s="1" t="n">
        <v>44888</v>
      </c>
      <c r="C3168" s="1" t="n">
        <v>45792</v>
      </c>
      <c r="D3168" t="inlineStr">
        <is>
          <t>UPPSALA LÄN</t>
        </is>
      </c>
      <c r="E3168" t="inlineStr">
        <is>
          <t>UPPSALA</t>
        </is>
      </c>
      <c r="F3168" t="inlineStr">
        <is>
          <t>Bergvik skog öst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56884-2022</t>
        </is>
      </c>
      <c r="B3169" s="1" t="n">
        <v>44888</v>
      </c>
      <c r="C3169" s="1" t="n">
        <v>45792</v>
      </c>
      <c r="D3169" t="inlineStr">
        <is>
          <t>UPPSALA LÄN</t>
        </is>
      </c>
      <c r="E3169" t="inlineStr">
        <is>
          <t>HEBY</t>
        </is>
      </c>
      <c r="F3169" t="inlineStr">
        <is>
          <t>Bergvik skog väst AB</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56896-2022</t>
        </is>
      </c>
      <c r="B3170" s="1" t="n">
        <v>44888</v>
      </c>
      <c r="C3170" s="1" t="n">
        <v>45792</v>
      </c>
      <c r="D3170" t="inlineStr">
        <is>
          <t>UPPSALA LÄN</t>
        </is>
      </c>
      <c r="E3170" t="inlineStr">
        <is>
          <t>HEBY</t>
        </is>
      </c>
      <c r="F3170" t="inlineStr">
        <is>
          <t>Bergvik skog väst AB</t>
        </is>
      </c>
      <c r="G3170" t="n">
        <v>1</v>
      </c>
      <c r="H3170" t="n">
        <v>0</v>
      </c>
      <c r="I3170" t="n">
        <v>0</v>
      </c>
      <c r="J3170" t="n">
        <v>0</v>
      </c>
      <c r="K3170" t="n">
        <v>0</v>
      </c>
      <c r="L3170" t="n">
        <v>0</v>
      </c>
      <c r="M3170" t="n">
        <v>0</v>
      </c>
      <c r="N3170" t="n">
        <v>0</v>
      </c>
      <c r="O3170" t="n">
        <v>0</v>
      </c>
      <c r="P3170" t="n">
        <v>0</v>
      </c>
      <c r="Q3170" t="n">
        <v>0</v>
      </c>
      <c r="R3170" s="2" t="inlineStr"/>
      <c r="U3170">
        <f>HYPERLINK("https://klasma.github.io/Logging_0331/knärot/A 56896-2022 karta knärot.png", "A 56896-2022")</f>
        <v/>
      </c>
      <c r="V3170">
        <f>HYPERLINK("https://klasma.github.io/Logging_0331/klagomål/A 56896-2022 FSC-klagomål.docx", "A 56896-2022")</f>
        <v/>
      </c>
      <c r="W3170">
        <f>HYPERLINK("https://klasma.github.io/Logging_0331/klagomålsmail/A 56896-2022 FSC-klagomål mail.docx", "A 56896-2022")</f>
        <v/>
      </c>
      <c r="X3170">
        <f>HYPERLINK("https://klasma.github.io/Logging_0331/tillsyn/A 56896-2022 tillsynsbegäran.docx", "A 56896-2022")</f>
        <v/>
      </c>
      <c r="Y3170">
        <f>HYPERLINK("https://klasma.github.io/Logging_0331/tillsynsmail/A 56896-2022 tillsynsbegäran mail.docx", "A 56896-2022")</f>
        <v/>
      </c>
    </row>
    <row r="3171" ht="15" customHeight="1">
      <c r="A3171" t="inlineStr">
        <is>
          <t>A 56260-2022</t>
        </is>
      </c>
      <c r="B3171" s="1" t="n">
        <v>44890</v>
      </c>
      <c r="C3171" s="1" t="n">
        <v>45792</v>
      </c>
      <c r="D3171" t="inlineStr">
        <is>
          <t>UPPSALA LÄN</t>
        </is>
      </c>
      <c r="E3171" t="inlineStr">
        <is>
          <t>ÖSTHAMMAR</t>
        </is>
      </c>
      <c r="F3171" t="inlineStr">
        <is>
          <t>Bergvik skog öst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56350-2022</t>
        </is>
      </c>
      <c r="B3172" s="1" t="n">
        <v>44890</v>
      </c>
      <c r="C3172" s="1" t="n">
        <v>45792</v>
      </c>
      <c r="D3172" t="inlineStr">
        <is>
          <t>UPPSALA LÄN</t>
        </is>
      </c>
      <c r="E3172" t="inlineStr">
        <is>
          <t>TIERP</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56438-2022</t>
        </is>
      </c>
      <c r="B3173" s="1" t="n">
        <v>44892</v>
      </c>
      <c r="C3173" s="1" t="n">
        <v>45792</v>
      </c>
      <c r="D3173" t="inlineStr">
        <is>
          <t>UPPSALA LÄN</t>
        </is>
      </c>
      <c r="E3173" t="inlineStr">
        <is>
          <t>TIERP</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56545-2022</t>
        </is>
      </c>
      <c r="B3174" s="1" t="n">
        <v>44893</v>
      </c>
      <c r="C3174" s="1" t="n">
        <v>45792</v>
      </c>
      <c r="D3174" t="inlineStr">
        <is>
          <t>UPPSALA LÄN</t>
        </is>
      </c>
      <c r="E3174" t="inlineStr">
        <is>
          <t>HÅBO</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56526-2022</t>
        </is>
      </c>
      <c r="B3175" s="1" t="n">
        <v>44893</v>
      </c>
      <c r="C3175" s="1" t="n">
        <v>45792</v>
      </c>
      <c r="D3175" t="inlineStr">
        <is>
          <t>UPPSALA LÄN</t>
        </is>
      </c>
      <c r="E3175" t="inlineStr">
        <is>
          <t>ENKÖPING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56679-2022</t>
        </is>
      </c>
      <c r="B3176" s="1" t="n">
        <v>44893</v>
      </c>
      <c r="C3176" s="1" t="n">
        <v>45792</v>
      </c>
      <c r="D3176" t="inlineStr">
        <is>
          <t>UPPSALA LÄN</t>
        </is>
      </c>
      <c r="E3176" t="inlineStr">
        <is>
          <t>UPPSALA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56889-2022</t>
        </is>
      </c>
      <c r="B3177" s="1" t="n">
        <v>44894</v>
      </c>
      <c r="C3177" s="1" t="n">
        <v>45792</v>
      </c>
      <c r="D3177" t="inlineStr">
        <is>
          <t>UPPSALA LÄN</t>
        </is>
      </c>
      <c r="E3177" t="inlineStr">
        <is>
          <t>UPPSALA</t>
        </is>
      </c>
      <c r="F3177" t="inlineStr">
        <is>
          <t>Övriga Aktiebolag</t>
        </is>
      </c>
      <c r="G3177" t="n">
        <v>21.6</v>
      </c>
      <c r="H3177" t="n">
        <v>0</v>
      </c>
      <c r="I3177" t="n">
        <v>0</v>
      </c>
      <c r="J3177" t="n">
        <v>0</v>
      </c>
      <c r="K3177" t="n">
        <v>0</v>
      </c>
      <c r="L3177" t="n">
        <v>0</v>
      </c>
      <c r="M3177" t="n">
        <v>0</v>
      </c>
      <c r="N3177" t="n">
        <v>0</v>
      </c>
      <c r="O3177" t="n">
        <v>0</v>
      </c>
      <c r="P3177" t="n">
        <v>0</v>
      </c>
      <c r="Q3177" t="n">
        <v>0</v>
      </c>
      <c r="R3177" s="2" t="inlineStr"/>
    </row>
    <row r="3178" ht="15" customHeight="1">
      <c r="A3178" t="inlineStr">
        <is>
          <t>A 56966-2022</t>
        </is>
      </c>
      <c r="B3178" s="1" t="n">
        <v>44894</v>
      </c>
      <c r="C3178" s="1" t="n">
        <v>45792</v>
      </c>
      <c r="D3178" t="inlineStr">
        <is>
          <t>UPPSALA LÄN</t>
        </is>
      </c>
      <c r="E3178" t="inlineStr">
        <is>
          <t>TIERP</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56972-2022</t>
        </is>
      </c>
      <c r="B3179" s="1" t="n">
        <v>44894</v>
      </c>
      <c r="C3179" s="1" t="n">
        <v>45792</v>
      </c>
      <c r="D3179" t="inlineStr">
        <is>
          <t>UPPSALA LÄN</t>
        </is>
      </c>
      <c r="E3179" t="inlineStr">
        <is>
          <t>TIERP</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56795-2022</t>
        </is>
      </c>
      <c r="B3180" s="1" t="n">
        <v>44894</v>
      </c>
      <c r="C3180" s="1" t="n">
        <v>45792</v>
      </c>
      <c r="D3180" t="inlineStr">
        <is>
          <t>UPPSALA LÄN</t>
        </is>
      </c>
      <c r="E3180" t="inlineStr">
        <is>
          <t>UPPSALA</t>
        </is>
      </c>
      <c r="F3180" t="inlineStr">
        <is>
          <t>Holmen skog AB</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56779-2022</t>
        </is>
      </c>
      <c r="B3181" s="1" t="n">
        <v>44894</v>
      </c>
      <c r="C3181" s="1" t="n">
        <v>45792</v>
      </c>
      <c r="D3181" t="inlineStr">
        <is>
          <t>UPPSALA LÄN</t>
        </is>
      </c>
      <c r="E3181" t="inlineStr">
        <is>
          <t>UPPSALA</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56877-2022</t>
        </is>
      </c>
      <c r="B3182" s="1" t="n">
        <v>44894</v>
      </c>
      <c r="C3182" s="1" t="n">
        <v>45792</v>
      </c>
      <c r="D3182" t="inlineStr">
        <is>
          <t>UPPSALA LÄN</t>
        </is>
      </c>
      <c r="E3182" t="inlineStr">
        <is>
          <t>TIERP</t>
        </is>
      </c>
      <c r="F3182" t="inlineStr">
        <is>
          <t>Bergvik skog väst AB</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56947-2022</t>
        </is>
      </c>
      <c r="B3183" s="1" t="n">
        <v>44894</v>
      </c>
      <c r="C3183" s="1" t="n">
        <v>45792</v>
      </c>
      <c r="D3183" t="inlineStr">
        <is>
          <t>UPPSALA LÄN</t>
        </is>
      </c>
      <c r="E3183" t="inlineStr">
        <is>
          <t>TIERP</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56969-2022</t>
        </is>
      </c>
      <c r="B3184" s="1" t="n">
        <v>44894</v>
      </c>
      <c r="C3184" s="1" t="n">
        <v>45792</v>
      </c>
      <c r="D3184" t="inlineStr">
        <is>
          <t>UPPSALA LÄN</t>
        </is>
      </c>
      <c r="E3184" t="inlineStr">
        <is>
          <t>ÖSTHAMMAR</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57462-2022</t>
        </is>
      </c>
      <c r="B3185" s="1" t="n">
        <v>44896</v>
      </c>
      <c r="C3185" s="1" t="n">
        <v>45792</v>
      </c>
      <c r="D3185" t="inlineStr">
        <is>
          <t>UPPSALA LÄN</t>
        </is>
      </c>
      <c r="E3185" t="inlineStr">
        <is>
          <t>ÖSTHAMMAR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57453-2022</t>
        </is>
      </c>
      <c r="B3186" s="1" t="n">
        <v>44896</v>
      </c>
      <c r="C3186" s="1" t="n">
        <v>45792</v>
      </c>
      <c r="D3186" t="inlineStr">
        <is>
          <t>UPPSALA LÄN</t>
        </is>
      </c>
      <c r="E3186" t="inlineStr">
        <is>
          <t>ÖSTHAMMAR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57532-2022</t>
        </is>
      </c>
      <c r="B3187" s="1" t="n">
        <v>44896</v>
      </c>
      <c r="C3187" s="1" t="n">
        <v>45792</v>
      </c>
      <c r="D3187" t="inlineStr">
        <is>
          <t>UPPSALA LÄN</t>
        </is>
      </c>
      <c r="E3187" t="inlineStr">
        <is>
          <t>TIERP</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57495-2022</t>
        </is>
      </c>
      <c r="B3188" s="1" t="n">
        <v>44896</v>
      </c>
      <c r="C3188" s="1" t="n">
        <v>45792</v>
      </c>
      <c r="D3188" t="inlineStr">
        <is>
          <t>UPPSALA LÄN</t>
        </is>
      </c>
      <c r="E3188" t="inlineStr">
        <is>
          <t>UPPSALA</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57536-2022</t>
        </is>
      </c>
      <c r="B3189" s="1" t="n">
        <v>44896</v>
      </c>
      <c r="C3189" s="1" t="n">
        <v>45792</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57563-2022</t>
        </is>
      </c>
      <c r="B3190" s="1" t="n">
        <v>44896</v>
      </c>
      <c r="C3190" s="1" t="n">
        <v>45792</v>
      </c>
      <c r="D3190" t="inlineStr">
        <is>
          <t>UPPSALA LÄN</t>
        </is>
      </c>
      <c r="E3190" t="inlineStr">
        <is>
          <t>ENKÖPING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57714-2022</t>
        </is>
      </c>
      <c r="B3191" s="1" t="n">
        <v>44897</v>
      </c>
      <c r="C3191" s="1" t="n">
        <v>45792</v>
      </c>
      <c r="D3191" t="inlineStr">
        <is>
          <t>UPPSALA LÄN</t>
        </is>
      </c>
      <c r="E3191" t="inlineStr">
        <is>
          <t>UPPSALA</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57809-2022</t>
        </is>
      </c>
      <c r="B3192" s="1" t="n">
        <v>44897</v>
      </c>
      <c r="C3192" s="1" t="n">
        <v>45792</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58023-2022</t>
        </is>
      </c>
      <c r="B3193" s="1" t="n">
        <v>44900</v>
      </c>
      <c r="C3193" s="1" t="n">
        <v>45792</v>
      </c>
      <c r="D3193" t="inlineStr">
        <is>
          <t>UPPSALA LÄN</t>
        </is>
      </c>
      <c r="E3193" t="inlineStr">
        <is>
          <t>UPPSALA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58096-2022</t>
        </is>
      </c>
      <c r="B3194" s="1" t="n">
        <v>44900</v>
      </c>
      <c r="C3194" s="1" t="n">
        <v>45792</v>
      </c>
      <c r="D3194" t="inlineStr">
        <is>
          <t>UPPSALA LÄN</t>
        </is>
      </c>
      <c r="E3194" t="inlineStr">
        <is>
          <t>UPPSALA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57940-2022</t>
        </is>
      </c>
      <c r="B3195" s="1" t="n">
        <v>44900</v>
      </c>
      <c r="C3195" s="1" t="n">
        <v>45792</v>
      </c>
      <c r="D3195" t="inlineStr">
        <is>
          <t>UPPSALA LÄN</t>
        </is>
      </c>
      <c r="E3195" t="inlineStr">
        <is>
          <t>ENKÖPING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58120-2022</t>
        </is>
      </c>
      <c r="B3196" s="1" t="n">
        <v>44900</v>
      </c>
      <c r="C3196" s="1" t="n">
        <v>45792</v>
      </c>
      <c r="D3196" t="inlineStr">
        <is>
          <t>UPPSALA LÄN</t>
        </is>
      </c>
      <c r="E3196" t="inlineStr">
        <is>
          <t>TIERP</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58127-2022</t>
        </is>
      </c>
      <c r="B3197" s="1" t="n">
        <v>44900</v>
      </c>
      <c r="C3197" s="1" t="n">
        <v>45792</v>
      </c>
      <c r="D3197" t="inlineStr">
        <is>
          <t>UPPSALA LÄN</t>
        </is>
      </c>
      <c r="E3197" t="inlineStr">
        <is>
          <t>ÖSTHAMMAR</t>
        </is>
      </c>
      <c r="F3197" t="inlineStr">
        <is>
          <t>Bergvik skog öst AB</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58058-2022</t>
        </is>
      </c>
      <c r="B3198" s="1" t="n">
        <v>44900</v>
      </c>
      <c r="C3198" s="1" t="n">
        <v>45792</v>
      </c>
      <c r="D3198" t="inlineStr">
        <is>
          <t>UPPSALA LÄN</t>
        </is>
      </c>
      <c r="E3198" t="inlineStr">
        <is>
          <t>TIERP</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58080-2022</t>
        </is>
      </c>
      <c r="B3199" s="1" t="n">
        <v>44900</v>
      </c>
      <c r="C3199" s="1" t="n">
        <v>45792</v>
      </c>
      <c r="D3199" t="inlineStr">
        <is>
          <t>UPPSALA LÄN</t>
        </is>
      </c>
      <c r="E3199" t="inlineStr">
        <is>
          <t>TIERP</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58124-2022</t>
        </is>
      </c>
      <c r="B3200" s="1" t="n">
        <v>44900</v>
      </c>
      <c r="C3200" s="1" t="n">
        <v>45792</v>
      </c>
      <c r="D3200" t="inlineStr">
        <is>
          <t>UPPSALA LÄN</t>
        </is>
      </c>
      <c r="E3200" t="inlineStr">
        <is>
          <t>HEBY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58367-2022</t>
        </is>
      </c>
      <c r="B3201" s="1" t="n">
        <v>44901</v>
      </c>
      <c r="C3201" s="1" t="n">
        <v>45792</v>
      </c>
      <c r="D3201" t="inlineStr">
        <is>
          <t>UPPSALA LÄN</t>
        </is>
      </c>
      <c r="E3201" t="inlineStr">
        <is>
          <t>ÖSTHAMMAR</t>
        </is>
      </c>
      <c r="F3201" t="inlineStr">
        <is>
          <t>Bergvik skog öst AB</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58222-2022</t>
        </is>
      </c>
      <c r="B3202" s="1" t="n">
        <v>44901</v>
      </c>
      <c r="C3202" s="1" t="n">
        <v>45792</v>
      </c>
      <c r="D3202" t="inlineStr">
        <is>
          <t>UPPSALA LÄN</t>
        </is>
      </c>
      <c r="E3202" t="inlineStr">
        <is>
          <t>TIERP</t>
        </is>
      </c>
      <c r="F3202" t="inlineStr">
        <is>
          <t>Bergvik skog väst AB</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58384-2022</t>
        </is>
      </c>
      <c r="B3203" s="1" t="n">
        <v>44901</v>
      </c>
      <c r="C3203" s="1" t="n">
        <v>45792</v>
      </c>
      <c r="D3203" t="inlineStr">
        <is>
          <t>UPPSALA LÄN</t>
        </is>
      </c>
      <c r="E3203" t="inlineStr">
        <is>
          <t>ENKÖPING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58243-2022</t>
        </is>
      </c>
      <c r="B3204" s="1" t="n">
        <v>44901</v>
      </c>
      <c r="C3204" s="1" t="n">
        <v>45792</v>
      </c>
      <c r="D3204" t="inlineStr">
        <is>
          <t>UPPSALA LÄN</t>
        </is>
      </c>
      <c r="E3204" t="inlineStr">
        <is>
          <t>UPPSALA</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58412-2022</t>
        </is>
      </c>
      <c r="B3205" s="1" t="n">
        <v>44901</v>
      </c>
      <c r="C3205" s="1" t="n">
        <v>45792</v>
      </c>
      <c r="D3205" t="inlineStr">
        <is>
          <t>UPPSALA LÄN</t>
        </is>
      </c>
      <c r="E3205" t="inlineStr">
        <is>
          <t>HEBY</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58410-2022</t>
        </is>
      </c>
      <c r="B3206" s="1" t="n">
        <v>44901</v>
      </c>
      <c r="C3206" s="1" t="n">
        <v>45792</v>
      </c>
      <c r="D3206" t="inlineStr">
        <is>
          <t>UPPSALA LÄN</t>
        </is>
      </c>
      <c r="E3206" t="inlineStr">
        <is>
          <t>HEBY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58691-2022</t>
        </is>
      </c>
      <c r="B3207" s="1" t="n">
        <v>44902</v>
      </c>
      <c r="C3207" s="1" t="n">
        <v>45792</v>
      </c>
      <c r="D3207" t="inlineStr">
        <is>
          <t>UPPSALA LÄN</t>
        </is>
      </c>
      <c r="E3207" t="inlineStr">
        <is>
          <t>TIERP</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58878-2022</t>
        </is>
      </c>
      <c r="B3208" s="1" t="n">
        <v>44903</v>
      </c>
      <c r="C3208" s="1" t="n">
        <v>45792</v>
      </c>
      <c r="D3208" t="inlineStr">
        <is>
          <t>UPPSALA LÄN</t>
        </is>
      </c>
      <c r="E3208" t="inlineStr">
        <is>
          <t>ÖSTHAMMAR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58957-2022</t>
        </is>
      </c>
      <c r="B3209" s="1" t="n">
        <v>44903</v>
      </c>
      <c r="C3209" s="1" t="n">
        <v>45792</v>
      </c>
      <c r="D3209" t="inlineStr">
        <is>
          <t>UPPSALA LÄN</t>
        </is>
      </c>
      <c r="E3209" t="inlineStr">
        <is>
          <t>TIERP</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59015-2022</t>
        </is>
      </c>
      <c r="B3210" s="1" t="n">
        <v>44903</v>
      </c>
      <c r="C3210" s="1" t="n">
        <v>45792</v>
      </c>
      <c r="D3210" t="inlineStr">
        <is>
          <t>UPPSALA LÄN</t>
        </is>
      </c>
      <c r="E3210" t="inlineStr">
        <is>
          <t>HEBY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60258-2022</t>
        </is>
      </c>
      <c r="B3211" s="1" t="n">
        <v>44903</v>
      </c>
      <c r="C3211" s="1" t="n">
        <v>45792</v>
      </c>
      <c r="D3211" t="inlineStr">
        <is>
          <t>UPPSALA LÄN</t>
        </is>
      </c>
      <c r="E3211" t="inlineStr">
        <is>
          <t>ÖSTHAMMAR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59190-2022</t>
        </is>
      </c>
      <c r="B3212" s="1" t="n">
        <v>44904</v>
      </c>
      <c r="C3212" s="1" t="n">
        <v>45792</v>
      </c>
      <c r="D3212" t="inlineStr">
        <is>
          <t>UPPSALA LÄN</t>
        </is>
      </c>
      <c r="E3212" t="inlineStr">
        <is>
          <t>ENKÖPING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59200-2022</t>
        </is>
      </c>
      <c r="B3213" s="1" t="n">
        <v>44904</v>
      </c>
      <c r="C3213" s="1" t="n">
        <v>45792</v>
      </c>
      <c r="D3213" t="inlineStr">
        <is>
          <t>UPPSALA LÄN</t>
        </is>
      </c>
      <c r="E3213" t="inlineStr">
        <is>
          <t>ENKÖPING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59337-2022</t>
        </is>
      </c>
      <c r="B3214" s="1" t="n">
        <v>44904</v>
      </c>
      <c r="C3214" s="1" t="n">
        <v>45792</v>
      </c>
      <c r="D3214" t="inlineStr">
        <is>
          <t>UPPSALA LÄN</t>
        </is>
      </c>
      <c r="E3214" t="inlineStr">
        <is>
          <t>ENKÖPING</t>
        </is>
      </c>
      <c r="G3214" t="n">
        <v>8.4</v>
      </c>
      <c r="H3214" t="n">
        <v>0</v>
      </c>
      <c r="I3214" t="n">
        <v>0</v>
      </c>
      <c r="J3214" t="n">
        <v>0</v>
      </c>
      <c r="K3214" t="n">
        <v>0</v>
      </c>
      <c r="L3214" t="n">
        <v>0</v>
      </c>
      <c r="M3214" t="n">
        <v>0</v>
      </c>
      <c r="N3214" t="n">
        <v>0</v>
      </c>
      <c r="O3214" t="n">
        <v>0</v>
      </c>
      <c r="P3214" t="n">
        <v>0</v>
      </c>
      <c r="Q3214" t="n">
        <v>0</v>
      </c>
      <c r="R3214" s="2" t="inlineStr"/>
    </row>
    <row r="3215" ht="15" customHeight="1">
      <c r="A3215" t="inlineStr">
        <is>
          <t>A 59203-2022</t>
        </is>
      </c>
      <c r="B3215" s="1" t="n">
        <v>44904</v>
      </c>
      <c r="C3215" s="1" t="n">
        <v>45792</v>
      </c>
      <c r="D3215" t="inlineStr">
        <is>
          <t>UPPSALA LÄN</t>
        </is>
      </c>
      <c r="E3215" t="inlineStr">
        <is>
          <t>ENKÖPING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59344-2022</t>
        </is>
      </c>
      <c r="B3216" s="1" t="n">
        <v>44904</v>
      </c>
      <c r="C3216" s="1" t="n">
        <v>45792</v>
      </c>
      <c r="D3216" t="inlineStr">
        <is>
          <t>UPPSALA LÄN</t>
        </is>
      </c>
      <c r="E3216" t="inlineStr">
        <is>
          <t>ENKÖPING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59133-2022</t>
        </is>
      </c>
      <c r="B3217" s="1" t="n">
        <v>44904</v>
      </c>
      <c r="C3217" s="1" t="n">
        <v>45792</v>
      </c>
      <c r="D3217" t="inlineStr">
        <is>
          <t>UPPSALA LÄN</t>
        </is>
      </c>
      <c r="E3217" t="inlineStr">
        <is>
          <t>UPPSALA</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59345-2022</t>
        </is>
      </c>
      <c r="B3218" s="1" t="n">
        <v>44904</v>
      </c>
      <c r="C3218" s="1" t="n">
        <v>45792</v>
      </c>
      <c r="D3218" t="inlineStr">
        <is>
          <t>UPPSALA LÄN</t>
        </is>
      </c>
      <c r="E3218" t="inlineStr">
        <is>
          <t>ENKÖPING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59382-2022</t>
        </is>
      </c>
      <c r="B3219" s="1" t="n">
        <v>44905</v>
      </c>
      <c r="C3219" s="1" t="n">
        <v>45792</v>
      </c>
      <c r="D3219" t="inlineStr">
        <is>
          <t>UPPSALA LÄN</t>
        </is>
      </c>
      <c r="E3219" t="inlineStr">
        <is>
          <t>ÖSTHAMMAR</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59393-2022</t>
        </is>
      </c>
      <c r="B3220" s="1" t="n">
        <v>44906</v>
      </c>
      <c r="C3220" s="1" t="n">
        <v>45792</v>
      </c>
      <c r="D3220" t="inlineStr">
        <is>
          <t>UPPSALA LÄN</t>
        </is>
      </c>
      <c r="E3220" t="inlineStr">
        <is>
          <t>TIERP</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59394-2022</t>
        </is>
      </c>
      <c r="B3221" s="1" t="n">
        <v>44906</v>
      </c>
      <c r="C3221" s="1" t="n">
        <v>45792</v>
      </c>
      <c r="D3221" t="inlineStr">
        <is>
          <t>UPPSALA LÄN</t>
        </is>
      </c>
      <c r="E3221" t="inlineStr">
        <is>
          <t>TIERP</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59444-2022</t>
        </is>
      </c>
      <c r="B3222" s="1" t="n">
        <v>44907</v>
      </c>
      <c r="C3222" s="1" t="n">
        <v>45792</v>
      </c>
      <c r="D3222" t="inlineStr">
        <is>
          <t>UPPSALA LÄN</t>
        </is>
      </c>
      <c r="E3222" t="inlineStr">
        <is>
          <t>HEBY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59563-2022</t>
        </is>
      </c>
      <c r="B3223" s="1" t="n">
        <v>44907</v>
      </c>
      <c r="C3223" s="1" t="n">
        <v>45792</v>
      </c>
      <c r="D3223" t="inlineStr">
        <is>
          <t>UPPSALA LÄN</t>
        </is>
      </c>
      <c r="E3223" t="inlineStr">
        <is>
          <t>ÖSTHAMMAR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59534-2022</t>
        </is>
      </c>
      <c r="B3224" s="1" t="n">
        <v>44907</v>
      </c>
      <c r="C3224" s="1" t="n">
        <v>45792</v>
      </c>
      <c r="D3224" t="inlineStr">
        <is>
          <t>UPPSALA LÄN</t>
        </is>
      </c>
      <c r="E3224" t="inlineStr">
        <is>
          <t>TIERP</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59609-2022</t>
        </is>
      </c>
      <c r="B3225" s="1" t="n">
        <v>44907</v>
      </c>
      <c r="C3225" s="1" t="n">
        <v>45792</v>
      </c>
      <c r="D3225" t="inlineStr">
        <is>
          <t>UPPSALA LÄN</t>
        </is>
      </c>
      <c r="E3225" t="inlineStr">
        <is>
          <t>ENKÖPING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59608-2022</t>
        </is>
      </c>
      <c r="B3226" s="1" t="n">
        <v>44907</v>
      </c>
      <c r="C3226" s="1" t="n">
        <v>45792</v>
      </c>
      <c r="D3226" t="inlineStr">
        <is>
          <t>UPPSALA LÄN</t>
        </is>
      </c>
      <c r="E3226" t="inlineStr">
        <is>
          <t>ENKÖPING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59602-2022</t>
        </is>
      </c>
      <c r="B3227" s="1" t="n">
        <v>44907</v>
      </c>
      <c r="C3227" s="1" t="n">
        <v>45792</v>
      </c>
      <c r="D3227" t="inlineStr">
        <is>
          <t>UPPSALA LÄN</t>
        </is>
      </c>
      <c r="E3227" t="inlineStr">
        <is>
          <t>ENKÖPING</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59589-2022</t>
        </is>
      </c>
      <c r="B3228" s="1" t="n">
        <v>44907</v>
      </c>
      <c r="C3228" s="1" t="n">
        <v>45792</v>
      </c>
      <c r="D3228" t="inlineStr">
        <is>
          <t>UPPSALA LÄN</t>
        </is>
      </c>
      <c r="E3228" t="inlineStr">
        <is>
          <t>TIERP</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59610-2022</t>
        </is>
      </c>
      <c r="B3229" s="1" t="n">
        <v>44907</v>
      </c>
      <c r="C3229" s="1" t="n">
        <v>45792</v>
      </c>
      <c r="D3229" t="inlineStr">
        <is>
          <t>UPPSALA LÄN</t>
        </is>
      </c>
      <c r="E3229" t="inlineStr">
        <is>
          <t>ENKÖPING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59730-2022</t>
        </is>
      </c>
      <c r="B3230" s="1" t="n">
        <v>44908</v>
      </c>
      <c r="C3230" s="1" t="n">
        <v>45792</v>
      </c>
      <c r="D3230" t="inlineStr">
        <is>
          <t>UPPSALA LÄN</t>
        </is>
      </c>
      <c r="E3230" t="inlineStr">
        <is>
          <t>UPPSALA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59719-2022</t>
        </is>
      </c>
      <c r="B3231" s="1" t="n">
        <v>44908</v>
      </c>
      <c r="C3231" s="1" t="n">
        <v>45792</v>
      </c>
      <c r="D3231" t="inlineStr">
        <is>
          <t>UPPSALA LÄN</t>
        </is>
      </c>
      <c r="E3231" t="inlineStr">
        <is>
          <t>UPPSALA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59727-2022</t>
        </is>
      </c>
      <c r="B3232" s="1" t="n">
        <v>44908</v>
      </c>
      <c r="C3232" s="1" t="n">
        <v>45792</v>
      </c>
      <c r="D3232" t="inlineStr">
        <is>
          <t>UPPSALA LÄN</t>
        </is>
      </c>
      <c r="E3232" t="inlineStr">
        <is>
          <t>UPPSALA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59731-2022</t>
        </is>
      </c>
      <c r="B3233" s="1" t="n">
        <v>44908</v>
      </c>
      <c r="C3233" s="1" t="n">
        <v>45792</v>
      </c>
      <c r="D3233" t="inlineStr">
        <is>
          <t>UPPSALA LÄN</t>
        </is>
      </c>
      <c r="E3233" t="inlineStr">
        <is>
          <t>TIERP</t>
        </is>
      </c>
      <c r="F3233" t="inlineStr">
        <is>
          <t>Kyrkan</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59880-2022</t>
        </is>
      </c>
      <c r="B3234" s="1" t="n">
        <v>44908</v>
      </c>
      <c r="C3234" s="1" t="n">
        <v>45792</v>
      </c>
      <c r="D3234" t="inlineStr">
        <is>
          <t>UPPSALA LÄN</t>
        </is>
      </c>
      <c r="E3234" t="inlineStr">
        <is>
          <t>ÖSTHAMMAR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60056-2022</t>
        </is>
      </c>
      <c r="B3235" s="1" t="n">
        <v>44909</v>
      </c>
      <c r="C3235" s="1" t="n">
        <v>45792</v>
      </c>
      <c r="D3235" t="inlineStr">
        <is>
          <t>UPPSALA LÄN</t>
        </is>
      </c>
      <c r="E3235" t="inlineStr">
        <is>
          <t>UPPSALA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60154-2022</t>
        </is>
      </c>
      <c r="B3236" s="1" t="n">
        <v>44909</v>
      </c>
      <c r="C3236" s="1" t="n">
        <v>45792</v>
      </c>
      <c r="D3236" t="inlineStr">
        <is>
          <t>UPPSALA LÄN</t>
        </is>
      </c>
      <c r="E3236" t="inlineStr">
        <is>
          <t>TIERP</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60047-2022</t>
        </is>
      </c>
      <c r="B3237" s="1" t="n">
        <v>44909</v>
      </c>
      <c r="C3237" s="1" t="n">
        <v>45792</v>
      </c>
      <c r="D3237" t="inlineStr">
        <is>
          <t>UPPSALA LÄN</t>
        </is>
      </c>
      <c r="E3237" t="inlineStr">
        <is>
          <t>UPPSALA</t>
        </is>
      </c>
      <c r="F3237" t="inlineStr">
        <is>
          <t>Kyrkan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60079-2022</t>
        </is>
      </c>
      <c r="B3238" s="1" t="n">
        <v>44909</v>
      </c>
      <c r="C3238" s="1" t="n">
        <v>45792</v>
      </c>
      <c r="D3238" t="inlineStr">
        <is>
          <t>UPPSALA LÄN</t>
        </is>
      </c>
      <c r="E3238" t="inlineStr">
        <is>
          <t>ÖSTHAMMAR</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59963-2022</t>
        </is>
      </c>
      <c r="B3239" s="1" t="n">
        <v>44909</v>
      </c>
      <c r="C3239" s="1" t="n">
        <v>45792</v>
      </c>
      <c r="D3239" t="inlineStr">
        <is>
          <t>UPPSALA LÄN</t>
        </is>
      </c>
      <c r="E3239" t="inlineStr">
        <is>
          <t>HEBY</t>
        </is>
      </c>
      <c r="F3239" t="inlineStr">
        <is>
          <t>Allmännings- och besparingsskogar</t>
        </is>
      </c>
      <c r="G3239" t="n">
        <v>12.6</v>
      </c>
      <c r="H3239" t="n">
        <v>0</v>
      </c>
      <c r="I3239" t="n">
        <v>0</v>
      </c>
      <c r="J3239" t="n">
        <v>0</v>
      </c>
      <c r="K3239" t="n">
        <v>0</v>
      </c>
      <c r="L3239" t="n">
        <v>0</v>
      </c>
      <c r="M3239" t="n">
        <v>0</v>
      </c>
      <c r="N3239" t="n">
        <v>0</v>
      </c>
      <c r="O3239" t="n">
        <v>0</v>
      </c>
      <c r="P3239" t="n">
        <v>0</v>
      </c>
      <c r="Q3239" t="n">
        <v>0</v>
      </c>
      <c r="R3239" s="2" t="inlineStr"/>
    </row>
    <row r="3240" ht="15" customHeight="1">
      <c r="A3240" t="inlineStr">
        <is>
          <t>A 60132-2022</t>
        </is>
      </c>
      <c r="B3240" s="1" t="n">
        <v>44909</v>
      </c>
      <c r="C3240" s="1" t="n">
        <v>45792</v>
      </c>
      <c r="D3240" t="inlineStr">
        <is>
          <t>UPPSALA LÄN</t>
        </is>
      </c>
      <c r="E3240" t="inlineStr">
        <is>
          <t>ENKÖPING</t>
        </is>
      </c>
      <c r="F3240" t="inlineStr">
        <is>
          <t>Allmännings- och besparingsskogar</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60151-2022</t>
        </is>
      </c>
      <c r="B3241" s="1" t="n">
        <v>44909</v>
      </c>
      <c r="C3241" s="1" t="n">
        <v>45792</v>
      </c>
      <c r="D3241" t="inlineStr">
        <is>
          <t>UPPSALA LÄN</t>
        </is>
      </c>
      <c r="E3241" t="inlineStr">
        <is>
          <t>TIERP</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59968-2022</t>
        </is>
      </c>
      <c r="B3242" s="1" t="n">
        <v>44909</v>
      </c>
      <c r="C3242" s="1" t="n">
        <v>45792</v>
      </c>
      <c r="D3242" t="inlineStr">
        <is>
          <t>UPPSALA LÄN</t>
        </is>
      </c>
      <c r="E3242" t="inlineStr">
        <is>
          <t>HEBY</t>
        </is>
      </c>
      <c r="F3242" t="inlineStr">
        <is>
          <t>Allmännings- och besparingsskogar</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60289-2022</t>
        </is>
      </c>
      <c r="B3243" s="1" t="n">
        <v>44910</v>
      </c>
      <c r="C3243" s="1" t="n">
        <v>45792</v>
      </c>
      <c r="D3243" t="inlineStr">
        <is>
          <t>UPPSALA LÄN</t>
        </is>
      </c>
      <c r="E3243" t="inlineStr">
        <is>
          <t>ENKÖPING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60350-2022</t>
        </is>
      </c>
      <c r="B3244" s="1" t="n">
        <v>44910</v>
      </c>
      <c r="C3244" s="1" t="n">
        <v>45792</v>
      </c>
      <c r="D3244" t="inlineStr">
        <is>
          <t>UPPSALA LÄN</t>
        </is>
      </c>
      <c r="E3244" t="inlineStr">
        <is>
          <t>ENKÖPING</t>
        </is>
      </c>
      <c r="F3244" t="inlineStr">
        <is>
          <t>Allmännings- och besparingsskogar</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61434-2022</t>
        </is>
      </c>
      <c r="B3245" s="1" t="n">
        <v>44910</v>
      </c>
      <c r="C3245" s="1" t="n">
        <v>45792</v>
      </c>
      <c r="D3245" t="inlineStr">
        <is>
          <t>UPPSALA LÄN</t>
        </is>
      </c>
      <c r="E3245" t="inlineStr">
        <is>
          <t>HEBY</t>
        </is>
      </c>
      <c r="F3245" t="inlineStr">
        <is>
          <t>Bergvik skog väst AB</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60456-2022</t>
        </is>
      </c>
      <c r="B3246" s="1" t="n">
        <v>44911</v>
      </c>
      <c r="C3246" s="1" t="n">
        <v>45792</v>
      </c>
      <c r="D3246" t="inlineStr">
        <is>
          <t>UPPSALA LÄN</t>
        </is>
      </c>
      <c r="E3246" t="inlineStr">
        <is>
          <t>HEBY</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60478-2022</t>
        </is>
      </c>
      <c r="B3247" s="1" t="n">
        <v>44911</v>
      </c>
      <c r="C3247" s="1" t="n">
        <v>45792</v>
      </c>
      <c r="D3247" t="inlineStr">
        <is>
          <t>UPPSALA LÄN</t>
        </is>
      </c>
      <c r="E3247" t="inlineStr">
        <is>
          <t>ENKÖPING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60552-2022</t>
        </is>
      </c>
      <c r="B3248" s="1" t="n">
        <v>44911</v>
      </c>
      <c r="C3248" s="1" t="n">
        <v>45792</v>
      </c>
      <c r="D3248" t="inlineStr">
        <is>
          <t>UPPSALA LÄN</t>
        </is>
      </c>
      <c r="E3248" t="inlineStr">
        <is>
          <t>HEBY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60461-2022</t>
        </is>
      </c>
      <c r="B3249" s="1" t="n">
        <v>44911</v>
      </c>
      <c r="C3249" s="1" t="n">
        <v>45792</v>
      </c>
      <c r="D3249" t="inlineStr">
        <is>
          <t>UPPSALA LÄN</t>
        </is>
      </c>
      <c r="E3249" t="inlineStr">
        <is>
          <t>HEBY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60597-2022</t>
        </is>
      </c>
      <c r="B3250" s="1" t="n">
        <v>44911</v>
      </c>
      <c r="C3250" s="1" t="n">
        <v>45792</v>
      </c>
      <c r="D3250" t="inlineStr">
        <is>
          <t>UPPSALA LÄN</t>
        </is>
      </c>
      <c r="E3250" t="inlineStr">
        <is>
          <t>ÖSTHAMMAR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60505-2022</t>
        </is>
      </c>
      <c r="B3251" s="1" t="n">
        <v>44911</v>
      </c>
      <c r="C3251" s="1" t="n">
        <v>45792</v>
      </c>
      <c r="D3251" t="inlineStr">
        <is>
          <t>UPPSALA LÄN</t>
        </is>
      </c>
      <c r="E3251" t="inlineStr">
        <is>
          <t>TIERP</t>
        </is>
      </c>
      <c r="F3251" t="inlineStr">
        <is>
          <t>Bergvik skog öst AB</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60702-2022</t>
        </is>
      </c>
      <c r="B3252" s="1" t="n">
        <v>44912</v>
      </c>
      <c r="C3252" s="1" t="n">
        <v>45792</v>
      </c>
      <c r="D3252" t="inlineStr">
        <is>
          <t>UPPSALA LÄN</t>
        </is>
      </c>
      <c r="E3252" t="inlineStr">
        <is>
          <t>UPPSALA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60701-2022</t>
        </is>
      </c>
      <c r="B3253" s="1" t="n">
        <v>44912</v>
      </c>
      <c r="C3253" s="1" t="n">
        <v>45792</v>
      </c>
      <c r="D3253" t="inlineStr">
        <is>
          <t>UPPSALA LÄN</t>
        </is>
      </c>
      <c r="E3253" t="inlineStr">
        <is>
          <t>UPPSALA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60722-2022</t>
        </is>
      </c>
      <c r="B3254" s="1" t="n">
        <v>44913</v>
      </c>
      <c r="C3254" s="1" t="n">
        <v>45792</v>
      </c>
      <c r="D3254" t="inlineStr">
        <is>
          <t>UPPSALA LÄN</t>
        </is>
      </c>
      <c r="E3254" t="inlineStr">
        <is>
          <t>HEBY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60788-2022</t>
        </is>
      </c>
      <c r="B3255" s="1" t="n">
        <v>44914</v>
      </c>
      <c r="C3255" s="1" t="n">
        <v>45792</v>
      </c>
      <c r="D3255" t="inlineStr">
        <is>
          <t>UPPSALA LÄN</t>
        </is>
      </c>
      <c r="E3255" t="inlineStr">
        <is>
          <t>HEBY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60798-2022</t>
        </is>
      </c>
      <c r="B3256" s="1" t="n">
        <v>44914</v>
      </c>
      <c r="C3256" s="1" t="n">
        <v>45792</v>
      </c>
      <c r="D3256" t="inlineStr">
        <is>
          <t>UPPSALA LÄN</t>
        </is>
      </c>
      <c r="E3256" t="inlineStr">
        <is>
          <t>HEBY</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60837-2022</t>
        </is>
      </c>
      <c r="B3257" s="1" t="n">
        <v>44914</v>
      </c>
      <c r="C3257" s="1" t="n">
        <v>45792</v>
      </c>
      <c r="D3257" t="inlineStr">
        <is>
          <t>UPPSALA LÄN</t>
        </is>
      </c>
      <c r="E3257" t="inlineStr">
        <is>
          <t>ÄLVKARLEBY</t>
        </is>
      </c>
      <c r="F3257" t="inlineStr">
        <is>
          <t>Bergvik skog väst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60984-2022</t>
        </is>
      </c>
      <c r="B3258" s="1" t="n">
        <v>44914</v>
      </c>
      <c r="C3258" s="1" t="n">
        <v>45792</v>
      </c>
      <c r="D3258" t="inlineStr">
        <is>
          <t>UPPSALA LÄN</t>
        </is>
      </c>
      <c r="E3258" t="inlineStr">
        <is>
          <t>UPPSALA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60900-2022</t>
        </is>
      </c>
      <c r="B3259" s="1" t="n">
        <v>44914</v>
      </c>
      <c r="C3259" s="1" t="n">
        <v>45792</v>
      </c>
      <c r="D3259" t="inlineStr">
        <is>
          <t>UPPSALA LÄN</t>
        </is>
      </c>
      <c r="E3259" t="inlineStr">
        <is>
          <t>HEBY</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60986-2022</t>
        </is>
      </c>
      <c r="B3260" s="1" t="n">
        <v>44914</v>
      </c>
      <c r="C3260" s="1" t="n">
        <v>45792</v>
      </c>
      <c r="D3260" t="inlineStr">
        <is>
          <t>UPPSALA LÄN</t>
        </is>
      </c>
      <c r="E3260" t="inlineStr">
        <is>
          <t>UPPSALA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60988-2022</t>
        </is>
      </c>
      <c r="B3261" s="1" t="n">
        <v>44914</v>
      </c>
      <c r="C3261" s="1" t="n">
        <v>45792</v>
      </c>
      <c r="D3261" t="inlineStr">
        <is>
          <t>UPPSALA LÄN</t>
        </is>
      </c>
      <c r="E3261" t="inlineStr">
        <is>
          <t>UPPSALA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62132-2022</t>
        </is>
      </c>
      <c r="B3262" s="1" t="n">
        <v>44914</v>
      </c>
      <c r="C3262" s="1" t="n">
        <v>45792</v>
      </c>
      <c r="D3262" t="inlineStr">
        <is>
          <t>UPPSALA LÄN</t>
        </is>
      </c>
      <c r="E3262" t="inlineStr">
        <is>
          <t>HEBY</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62145-2022</t>
        </is>
      </c>
      <c r="B3263" s="1" t="n">
        <v>44914</v>
      </c>
      <c r="C3263" s="1" t="n">
        <v>45792</v>
      </c>
      <c r="D3263" t="inlineStr">
        <is>
          <t>UPPSALA LÄN</t>
        </is>
      </c>
      <c r="E3263" t="inlineStr">
        <is>
          <t>HEBY</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61125-2022</t>
        </is>
      </c>
      <c r="B3264" s="1" t="n">
        <v>44915</v>
      </c>
      <c r="C3264" s="1" t="n">
        <v>45792</v>
      </c>
      <c r="D3264" t="inlineStr">
        <is>
          <t>UPPSALA LÄN</t>
        </is>
      </c>
      <c r="E3264" t="inlineStr">
        <is>
          <t>ENKÖPING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61142-2022</t>
        </is>
      </c>
      <c r="B3265" s="1" t="n">
        <v>44915</v>
      </c>
      <c r="C3265" s="1" t="n">
        <v>45792</v>
      </c>
      <c r="D3265" t="inlineStr">
        <is>
          <t>UPPSALA LÄN</t>
        </is>
      </c>
      <c r="E3265" t="inlineStr">
        <is>
          <t>HEBY</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61181-2022</t>
        </is>
      </c>
      <c r="B3266" s="1" t="n">
        <v>44915</v>
      </c>
      <c r="C3266" s="1" t="n">
        <v>45792</v>
      </c>
      <c r="D3266" t="inlineStr">
        <is>
          <t>UPPSALA LÄN</t>
        </is>
      </c>
      <c r="E3266" t="inlineStr">
        <is>
          <t>ENKÖPING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61261-2022</t>
        </is>
      </c>
      <c r="B3267" s="1" t="n">
        <v>44915</v>
      </c>
      <c r="C3267" s="1" t="n">
        <v>45792</v>
      </c>
      <c r="D3267" t="inlineStr">
        <is>
          <t>UPPSALA LÄN</t>
        </is>
      </c>
      <c r="E3267" t="inlineStr">
        <is>
          <t>ÖSTHAMMAR</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61106-2022</t>
        </is>
      </c>
      <c r="B3268" s="1" t="n">
        <v>44915</v>
      </c>
      <c r="C3268" s="1" t="n">
        <v>45792</v>
      </c>
      <c r="D3268" t="inlineStr">
        <is>
          <t>UPPSALA LÄN</t>
        </is>
      </c>
      <c r="E3268" t="inlineStr">
        <is>
          <t>ENKÖPING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61144-2022</t>
        </is>
      </c>
      <c r="B3269" s="1" t="n">
        <v>44915</v>
      </c>
      <c r="C3269" s="1" t="n">
        <v>45792</v>
      </c>
      <c r="D3269" t="inlineStr">
        <is>
          <t>UPPSALA LÄN</t>
        </is>
      </c>
      <c r="E3269" t="inlineStr">
        <is>
          <t>HEBY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61216-2022</t>
        </is>
      </c>
      <c r="B3270" s="1" t="n">
        <v>44915</v>
      </c>
      <c r="C3270" s="1" t="n">
        <v>45792</v>
      </c>
      <c r="D3270" t="inlineStr">
        <is>
          <t>UPPSALA LÄN</t>
        </is>
      </c>
      <c r="E3270" t="inlineStr">
        <is>
          <t>ÖSTHAMMAR</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61150-2022</t>
        </is>
      </c>
      <c r="B3271" s="1" t="n">
        <v>44915</v>
      </c>
      <c r="C3271" s="1" t="n">
        <v>45792</v>
      </c>
      <c r="D3271" t="inlineStr">
        <is>
          <t>UPPSALA LÄN</t>
        </is>
      </c>
      <c r="E3271" t="inlineStr">
        <is>
          <t>HEBY</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61257-2022</t>
        </is>
      </c>
      <c r="B3272" s="1" t="n">
        <v>44915</v>
      </c>
      <c r="C3272" s="1" t="n">
        <v>45792</v>
      </c>
      <c r="D3272" t="inlineStr">
        <is>
          <t>UPPSALA LÄN</t>
        </is>
      </c>
      <c r="E3272" t="inlineStr">
        <is>
          <t>ÖSTHAMMAR</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61453-2022</t>
        </is>
      </c>
      <c r="B3273" s="1" t="n">
        <v>44916</v>
      </c>
      <c r="C3273" s="1" t="n">
        <v>45792</v>
      </c>
      <c r="D3273" t="inlineStr">
        <is>
          <t>UPPSALA LÄN</t>
        </is>
      </c>
      <c r="E3273" t="inlineStr">
        <is>
          <t>HEBY</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61526-2022</t>
        </is>
      </c>
      <c r="B3274" s="1" t="n">
        <v>44916</v>
      </c>
      <c r="C3274" s="1" t="n">
        <v>45792</v>
      </c>
      <c r="D3274" t="inlineStr">
        <is>
          <t>UPPSALA LÄN</t>
        </is>
      </c>
      <c r="E3274" t="inlineStr">
        <is>
          <t>UPPSALA</t>
        </is>
      </c>
      <c r="F3274" t="inlineStr">
        <is>
          <t>Kyrkan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61590-2022</t>
        </is>
      </c>
      <c r="B3275" s="1" t="n">
        <v>44916</v>
      </c>
      <c r="C3275" s="1" t="n">
        <v>45792</v>
      </c>
      <c r="D3275" t="inlineStr">
        <is>
          <t>UPPSALA LÄN</t>
        </is>
      </c>
      <c r="E3275" t="inlineStr">
        <is>
          <t>HEBY</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61615-2022</t>
        </is>
      </c>
      <c r="B3276" s="1" t="n">
        <v>44916</v>
      </c>
      <c r="C3276" s="1" t="n">
        <v>45792</v>
      </c>
      <c r="D3276" t="inlineStr">
        <is>
          <t>UPPSALA LÄN</t>
        </is>
      </c>
      <c r="E3276" t="inlineStr">
        <is>
          <t>TIERP</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61578-2022</t>
        </is>
      </c>
      <c r="B3277" s="1" t="n">
        <v>44916</v>
      </c>
      <c r="C3277" s="1" t="n">
        <v>45792</v>
      </c>
      <c r="D3277" t="inlineStr">
        <is>
          <t>UPPSALA LÄN</t>
        </is>
      </c>
      <c r="E3277" t="inlineStr">
        <is>
          <t>UPPSALA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61617-2022</t>
        </is>
      </c>
      <c r="B3278" s="1" t="n">
        <v>44916</v>
      </c>
      <c r="C3278" s="1" t="n">
        <v>45792</v>
      </c>
      <c r="D3278" t="inlineStr">
        <is>
          <t>UPPSALA LÄN</t>
        </is>
      </c>
      <c r="E3278" t="inlineStr">
        <is>
          <t>TIERP</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62311-2022</t>
        </is>
      </c>
      <c r="B3279" s="1" t="n">
        <v>44916</v>
      </c>
      <c r="C3279" s="1" t="n">
        <v>45792</v>
      </c>
      <c r="D3279" t="inlineStr">
        <is>
          <t>UPPSALA LÄN</t>
        </is>
      </c>
      <c r="E3279" t="inlineStr">
        <is>
          <t>UPPSALA</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62295-2022</t>
        </is>
      </c>
      <c r="B3280" s="1" t="n">
        <v>44916</v>
      </c>
      <c r="C3280" s="1" t="n">
        <v>45792</v>
      </c>
      <c r="D3280" t="inlineStr">
        <is>
          <t>UPPSALA LÄN</t>
        </is>
      </c>
      <c r="E3280" t="inlineStr">
        <is>
          <t>ÖSTHAMMAR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61694-2022</t>
        </is>
      </c>
      <c r="B3281" s="1" t="n">
        <v>44917</v>
      </c>
      <c r="C3281" s="1" t="n">
        <v>45792</v>
      </c>
      <c r="D3281" t="inlineStr">
        <is>
          <t>UPPSALA LÄN</t>
        </is>
      </c>
      <c r="E3281" t="inlineStr">
        <is>
          <t>TIERP</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61715-2022</t>
        </is>
      </c>
      <c r="B3282" s="1" t="n">
        <v>44917</v>
      </c>
      <c r="C3282" s="1" t="n">
        <v>45792</v>
      </c>
      <c r="D3282" t="inlineStr">
        <is>
          <t>UPPSALA LÄN</t>
        </is>
      </c>
      <c r="E3282" t="inlineStr">
        <is>
          <t>TIERP</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61717-2022</t>
        </is>
      </c>
      <c r="B3283" s="1" t="n">
        <v>44917</v>
      </c>
      <c r="C3283" s="1" t="n">
        <v>45792</v>
      </c>
      <c r="D3283" t="inlineStr">
        <is>
          <t>UPPSALA LÄN</t>
        </is>
      </c>
      <c r="E3283" t="inlineStr">
        <is>
          <t>TIERP</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61800-2022</t>
        </is>
      </c>
      <c r="B3284" s="1" t="n">
        <v>44917</v>
      </c>
      <c r="C3284" s="1" t="n">
        <v>45792</v>
      </c>
      <c r="D3284" t="inlineStr">
        <is>
          <t>UPPSALA LÄN</t>
        </is>
      </c>
      <c r="E3284" t="inlineStr">
        <is>
          <t>ENKÖPING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61807-2022</t>
        </is>
      </c>
      <c r="B3285" s="1" t="n">
        <v>44917</v>
      </c>
      <c r="C3285" s="1" t="n">
        <v>45792</v>
      </c>
      <c r="D3285" t="inlineStr">
        <is>
          <t>UPPSALA LÄN</t>
        </is>
      </c>
      <c r="E3285" t="inlineStr">
        <is>
          <t>HEBY</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61875-2022</t>
        </is>
      </c>
      <c r="B3286" s="1" t="n">
        <v>44917</v>
      </c>
      <c r="C3286" s="1" t="n">
        <v>45792</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61801-2022</t>
        </is>
      </c>
      <c r="B3287" s="1" t="n">
        <v>44917</v>
      </c>
      <c r="C3287" s="1" t="n">
        <v>45792</v>
      </c>
      <c r="D3287" t="inlineStr">
        <is>
          <t>UPPSALA LÄN</t>
        </is>
      </c>
      <c r="E3287" t="inlineStr">
        <is>
          <t>HEBY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62716-2022</t>
        </is>
      </c>
      <c r="B3288" s="1" t="n">
        <v>44917</v>
      </c>
      <c r="C3288" s="1" t="n">
        <v>45792</v>
      </c>
      <c r="D3288" t="inlineStr">
        <is>
          <t>UPPSALA LÄN</t>
        </is>
      </c>
      <c r="E3288" t="inlineStr">
        <is>
          <t>ENKÖPING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62138-2022</t>
        </is>
      </c>
      <c r="B3289" s="1" t="n">
        <v>44922</v>
      </c>
      <c r="C3289" s="1" t="n">
        <v>45792</v>
      </c>
      <c r="D3289" t="inlineStr">
        <is>
          <t>UPPSALA LÄN</t>
        </is>
      </c>
      <c r="E3289" t="inlineStr">
        <is>
          <t>TIERP</t>
        </is>
      </c>
      <c r="F3289" t="inlineStr">
        <is>
          <t>Bergvik skog öst AB</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62394-2022</t>
        </is>
      </c>
      <c r="B3290" s="1" t="n">
        <v>44923</v>
      </c>
      <c r="C3290" s="1" t="n">
        <v>45792</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62393-2022</t>
        </is>
      </c>
      <c r="B3291" s="1" t="n">
        <v>44923</v>
      </c>
      <c r="C3291" s="1" t="n">
        <v>45792</v>
      </c>
      <c r="D3291" t="inlineStr">
        <is>
          <t>UPPSALA LÄN</t>
        </is>
      </c>
      <c r="E3291" t="inlineStr">
        <is>
          <t>ÖSTHAMMAR</t>
        </is>
      </c>
      <c r="F3291" t="inlineStr">
        <is>
          <t>Bergvik skog öst AB</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62392-2022</t>
        </is>
      </c>
      <c r="B3292" s="1" t="n">
        <v>44923</v>
      </c>
      <c r="C3292" s="1" t="n">
        <v>45792</v>
      </c>
      <c r="D3292" t="inlineStr">
        <is>
          <t>UPPSALA LÄN</t>
        </is>
      </c>
      <c r="E3292" t="inlineStr">
        <is>
          <t>ÖSTHAMMAR</t>
        </is>
      </c>
      <c r="F3292" t="inlineStr">
        <is>
          <t>Bergvik skog öst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62391-2022</t>
        </is>
      </c>
      <c r="B3293" s="1" t="n">
        <v>44923</v>
      </c>
      <c r="C3293" s="1" t="n">
        <v>45792</v>
      </c>
      <c r="D3293" t="inlineStr">
        <is>
          <t>UPPSALA LÄN</t>
        </is>
      </c>
      <c r="E3293" t="inlineStr">
        <is>
          <t>ÖSTHAMMAR</t>
        </is>
      </c>
      <c r="F3293" t="inlineStr">
        <is>
          <t>Bergvik skog öst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62423-2022</t>
        </is>
      </c>
      <c r="B3294" s="1" t="n">
        <v>44924</v>
      </c>
      <c r="C3294" s="1" t="n">
        <v>45792</v>
      </c>
      <c r="D3294" t="inlineStr">
        <is>
          <t>UPPSALA LÄN</t>
        </is>
      </c>
      <c r="E3294" t="inlineStr">
        <is>
          <t>ENKÖPING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62419-2022</t>
        </is>
      </c>
      <c r="B3295" s="1" t="n">
        <v>44924</v>
      </c>
      <c r="C3295" s="1" t="n">
        <v>45792</v>
      </c>
      <c r="D3295" t="inlineStr">
        <is>
          <t>UPPSALA LÄN</t>
        </is>
      </c>
      <c r="E3295" t="inlineStr">
        <is>
          <t>ENKÖPING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439-2023</t>
        </is>
      </c>
      <c r="B3296" s="1" t="n">
        <v>44924</v>
      </c>
      <c r="C3296" s="1" t="n">
        <v>45792</v>
      </c>
      <c r="D3296" t="inlineStr">
        <is>
          <t>UPPSALA LÄN</t>
        </is>
      </c>
      <c r="E3296" t="inlineStr">
        <is>
          <t>TIERP</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437-2023</t>
        </is>
      </c>
      <c r="B3297" s="1" t="n">
        <v>44924</v>
      </c>
      <c r="C3297" s="1" t="n">
        <v>45792</v>
      </c>
      <c r="D3297" t="inlineStr">
        <is>
          <t>UPPSALA LÄN</t>
        </is>
      </c>
      <c r="E3297" t="inlineStr">
        <is>
          <t>TIERP</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62650-2022</t>
        </is>
      </c>
      <c r="B3298" s="1" t="n">
        <v>44925</v>
      </c>
      <c r="C3298" s="1" t="n">
        <v>45792</v>
      </c>
      <c r="D3298" t="inlineStr">
        <is>
          <t>UPPSALA LÄN</t>
        </is>
      </c>
      <c r="E3298" t="inlineStr">
        <is>
          <t>HEBY</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57-2023</t>
        </is>
      </c>
      <c r="B3299" s="1" t="n">
        <v>44928</v>
      </c>
      <c r="C3299" s="1" t="n">
        <v>45792</v>
      </c>
      <c r="D3299" t="inlineStr">
        <is>
          <t>UPPSALA LÄN</t>
        </is>
      </c>
      <c r="E3299" t="inlineStr">
        <is>
          <t>ÖSTHAMMAR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59-2023</t>
        </is>
      </c>
      <c r="B3300" s="1" t="n">
        <v>44928</v>
      </c>
      <c r="C3300" s="1" t="n">
        <v>45792</v>
      </c>
      <c r="D3300" t="inlineStr">
        <is>
          <t>UPPSALA LÄN</t>
        </is>
      </c>
      <c r="E3300" t="inlineStr">
        <is>
          <t>ÖSTHAMMAR</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73-2023</t>
        </is>
      </c>
      <c r="B3301" s="1" t="n">
        <v>44928</v>
      </c>
      <c r="C3301" s="1" t="n">
        <v>45792</v>
      </c>
      <c r="D3301" t="inlineStr">
        <is>
          <t>UPPSALA LÄN</t>
        </is>
      </c>
      <c r="E3301" t="inlineStr">
        <is>
          <t>TIERP</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111-2023</t>
        </is>
      </c>
      <c r="B3302" s="1" t="n">
        <v>44928</v>
      </c>
      <c r="C3302" s="1" t="n">
        <v>45792</v>
      </c>
      <c r="D3302" t="inlineStr">
        <is>
          <t>UPPSALA LÄN</t>
        </is>
      </c>
      <c r="E3302" t="inlineStr">
        <is>
          <t>UPPSALA</t>
        </is>
      </c>
      <c r="F3302" t="inlineStr">
        <is>
          <t>Kommuner</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179-2023</t>
        </is>
      </c>
      <c r="B3303" s="1" t="n">
        <v>44928</v>
      </c>
      <c r="C3303" s="1" t="n">
        <v>45792</v>
      </c>
      <c r="D3303" t="inlineStr">
        <is>
          <t>UPPSALA LÄN</t>
        </is>
      </c>
      <c r="E3303" t="inlineStr">
        <is>
          <t>UPPSALA</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319-2023</t>
        </is>
      </c>
      <c r="B3304" s="1" t="n">
        <v>44929</v>
      </c>
      <c r="C3304" s="1" t="n">
        <v>45792</v>
      </c>
      <c r="D3304" t="inlineStr">
        <is>
          <t>UPPSALA LÄN</t>
        </is>
      </c>
      <c r="E3304" t="inlineStr">
        <is>
          <t>TIERP</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367-2023</t>
        </is>
      </c>
      <c r="B3305" s="1" t="n">
        <v>44929</v>
      </c>
      <c r="C3305" s="1" t="n">
        <v>45792</v>
      </c>
      <c r="D3305" t="inlineStr">
        <is>
          <t>UPPSALA LÄN</t>
        </is>
      </c>
      <c r="E3305" t="inlineStr">
        <is>
          <t>UPPSALA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390-2023</t>
        </is>
      </c>
      <c r="B3306" s="1" t="n">
        <v>44929</v>
      </c>
      <c r="C3306" s="1" t="n">
        <v>45792</v>
      </c>
      <c r="D3306" t="inlineStr">
        <is>
          <t>UPPSALA LÄN</t>
        </is>
      </c>
      <c r="E3306" t="inlineStr">
        <is>
          <t>ÖSTHAMMAR</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554-2023</t>
        </is>
      </c>
      <c r="B3307" s="1" t="n">
        <v>44930</v>
      </c>
      <c r="C3307" s="1" t="n">
        <v>45792</v>
      </c>
      <c r="D3307" t="inlineStr">
        <is>
          <t>UPPSALA LÄN</t>
        </is>
      </c>
      <c r="E3307" t="inlineStr">
        <is>
          <t>UPPSALA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686-2023</t>
        </is>
      </c>
      <c r="B3308" s="1" t="n">
        <v>44930</v>
      </c>
      <c r="C3308" s="1" t="n">
        <v>45792</v>
      </c>
      <c r="D3308" t="inlineStr">
        <is>
          <t>UPPSALA LÄN</t>
        </is>
      </c>
      <c r="E3308" t="inlineStr">
        <is>
          <t>UPPSALA</t>
        </is>
      </c>
      <c r="F3308" t="inlineStr">
        <is>
          <t>Bergvik skog öst AB</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799-2023</t>
        </is>
      </c>
      <c r="B3309" s="1" t="n">
        <v>44931</v>
      </c>
      <c r="C3309" s="1" t="n">
        <v>45792</v>
      </c>
      <c r="D3309" t="inlineStr">
        <is>
          <t>UPPSALA LÄN</t>
        </is>
      </c>
      <c r="E3309" t="inlineStr">
        <is>
          <t>ENKÖPING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946-2023</t>
        </is>
      </c>
      <c r="B3310" s="1" t="n">
        <v>44934</v>
      </c>
      <c r="C3310" s="1" t="n">
        <v>45792</v>
      </c>
      <c r="D3310" t="inlineStr">
        <is>
          <t>UPPSALA LÄN</t>
        </is>
      </c>
      <c r="E3310" t="inlineStr">
        <is>
          <t>HEBY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1032-2023</t>
        </is>
      </c>
      <c r="B3311" s="1" t="n">
        <v>44935</v>
      </c>
      <c r="C3311" s="1" t="n">
        <v>45792</v>
      </c>
      <c r="D3311" t="inlineStr">
        <is>
          <t>UPPSALA LÄN</t>
        </is>
      </c>
      <c r="E3311" t="inlineStr">
        <is>
          <t>UPPSALA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1357-2023</t>
        </is>
      </c>
      <c r="B3312" s="1" t="n">
        <v>44936</v>
      </c>
      <c r="C3312" s="1" t="n">
        <v>45792</v>
      </c>
      <c r="D3312" t="inlineStr">
        <is>
          <t>UPPSALA LÄN</t>
        </is>
      </c>
      <c r="E3312" t="inlineStr">
        <is>
          <t>UPPSALA</t>
        </is>
      </c>
      <c r="F3312" t="inlineStr">
        <is>
          <t>Bergvik skog öst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1384-2023</t>
        </is>
      </c>
      <c r="B3313" s="1" t="n">
        <v>44936</v>
      </c>
      <c r="C3313" s="1" t="n">
        <v>45792</v>
      </c>
      <c r="D3313" t="inlineStr">
        <is>
          <t>UPPSALA LÄN</t>
        </is>
      </c>
      <c r="E3313" t="inlineStr">
        <is>
          <t>TIERP</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1383-2023</t>
        </is>
      </c>
      <c r="B3314" s="1" t="n">
        <v>44936</v>
      </c>
      <c r="C3314" s="1" t="n">
        <v>45792</v>
      </c>
      <c r="D3314" t="inlineStr">
        <is>
          <t>UPPSALA LÄN</t>
        </is>
      </c>
      <c r="E3314" t="inlineStr">
        <is>
          <t>TIERP</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1572-2023</t>
        </is>
      </c>
      <c r="B3315" s="1" t="n">
        <v>44937</v>
      </c>
      <c r="C3315" s="1" t="n">
        <v>45792</v>
      </c>
      <c r="D3315" t="inlineStr">
        <is>
          <t>UPPSALA LÄN</t>
        </is>
      </c>
      <c r="E3315" t="inlineStr">
        <is>
          <t>TIERP</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1587-2023</t>
        </is>
      </c>
      <c r="B3316" s="1" t="n">
        <v>44937</v>
      </c>
      <c r="C3316" s="1" t="n">
        <v>45792</v>
      </c>
      <c r="D3316" t="inlineStr">
        <is>
          <t>UPPSALA LÄN</t>
        </is>
      </c>
      <c r="E3316" t="inlineStr">
        <is>
          <t>ENKÖPING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1593-2023</t>
        </is>
      </c>
      <c r="B3317" s="1" t="n">
        <v>44937</v>
      </c>
      <c r="C3317" s="1" t="n">
        <v>45792</v>
      </c>
      <c r="D3317" t="inlineStr">
        <is>
          <t>UPPSALA LÄN</t>
        </is>
      </c>
      <c r="E3317" t="inlineStr">
        <is>
          <t>ENKÖPING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1791-2023</t>
        </is>
      </c>
      <c r="B3318" s="1" t="n">
        <v>44938</v>
      </c>
      <c r="C3318" s="1" t="n">
        <v>45792</v>
      </c>
      <c r="D3318" t="inlineStr">
        <is>
          <t>UPPSALA LÄN</t>
        </is>
      </c>
      <c r="E3318" t="inlineStr">
        <is>
          <t>ÖSTHAMMAR</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1800-2023</t>
        </is>
      </c>
      <c r="B3319" s="1" t="n">
        <v>44938</v>
      </c>
      <c r="C3319" s="1" t="n">
        <v>45792</v>
      </c>
      <c r="D3319" t="inlineStr">
        <is>
          <t>UPPSALA LÄN</t>
        </is>
      </c>
      <c r="E3319" t="inlineStr">
        <is>
          <t>ÖSTHAMMAR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1796-2023</t>
        </is>
      </c>
      <c r="B3320" s="1" t="n">
        <v>44938</v>
      </c>
      <c r="C3320" s="1" t="n">
        <v>45792</v>
      </c>
      <c r="D3320" t="inlineStr">
        <is>
          <t>UPPSALA LÄN</t>
        </is>
      </c>
      <c r="E3320" t="inlineStr">
        <is>
          <t>ÖSTHAMMAR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2064-2023</t>
        </is>
      </c>
      <c r="B3321" s="1" t="n">
        <v>44939</v>
      </c>
      <c r="C3321" s="1" t="n">
        <v>45792</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2025-2023</t>
        </is>
      </c>
      <c r="B3322" s="1" t="n">
        <v>44939</v>
      </c>
      <c r="C3322" s="1" t="n">
        <v>45792</v>
      </c>
      <c r="D3322" t="inlineStr">
        <is>
          <t>UPPSALA LÄN</t>
        </is>
      </c>
      <c r="E3322" t="inlineStr">
        <is>
          <t>HEBY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2039-2023</t>
        </is>
      </c>
      <c r="B3323" s="1" t="n">
        <v>44939</v>
      </c>
      <c r="C3323" s="1" t="n">
        <v>45792</v>
      </c>
      <c r="D3323" t="inlineStr">
        <is>
          <t>UPPSALA LÄN</t>
        </is>
      </c>
      <c r="E3323" t="inlineStr">
        <is>
          <t>HEBY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2020-2023</t>
        </is>
      </c>
      <c r="B3324" s="1" t="n">
        <v>44939</v>
      </c>
      <c r="C3324" s="1" t="n">
        <v>45792</v>
      </c>
      <c r="D3324" t="inlineStr">
        <is>
          <t>UPPSALA LÄN</t>
        </is>
      </c>
      <c r="E3324" t="inlineStr">
        <is>
          <t>HEBY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2030-2023</t>
        </is>
      </c>
      <c r="B3325" s="1" t="n">
        <v>44939</v>
      </c>
      <c r="C3325" s="1" t="n">
        <v>45792</v>
      </c>
      <c r="D3325" t="inlineStr">
        <is>
          <t>UPPSALA LÄN</t>
        </is>
      </c>
      <c r="E3325" t="inlineStr">
        <is>
          <t>HEBY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2102-2023</t>
        </is>
      </c>
      <c r="B3326" s="1" t="n">
        <v>44939</v>
      </c>
      <c r="C3326" s="1" t="n">
        <v>45792</v>
      </c>
      <c r="D3326" t="inlineStr">
        <is>
          <t>UPPSALA LÄN</t>
        </is>
      </c>
      <c r="E3326" t="inlineStr">
        <is>
          <t>TIERP</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2161-2023</t>
        </is>
      </c>
      <c r="B3327" s="1" t="n">
        <v>44941</v>
      </c>
      <c r="C3327" s="1" t="n">
        <v>45792</v>
      </c>
      <c r="D3327" t="inlineStr">
        <is>
          <t>UPPSALA LÄN</t>
        </is>
      </c>
      <c r="E3327" t="inlineStr">
        <is>
          <t>ENKÖPING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2165-2023</t>
        </is>
      </c>
      <c r="B3328" s="1" t="n">
        <v>44941</v>
      </c>
      <c r="C3328" s="1" t="n">
        <v>45792</v>
      </c>
      <c r="D3328" t="inlineStr">
        <is>
          <t>UPPSALA LÄN</t>
        </is>
      </c>
      <c r="E3328" t="inlineStr">
        <is>
          <t>ENKÖPING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2162-2023</t>
        </is>
      </c>
      <c r="B3329" s="1" t="n">
        <v>44941</v>
      </c>
      <c r="C3329" s="1" t="n">
        <v>45792</v>
      </c>
      <c r="D3329" t="inlineStr">
        <is>
          <t>UPPSALA LÄN</t>
        </is>
      </c>
      <c r="E3329" t="inlineStr">
        <is>
          <t>ENKÖPING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2164-2023</t>
        </is>
      </c>
      <c r="B3330" s="1" t="n">
        <v>44941</v>
      </c>
      <c r="C3330" s="1" t="n">
        <v>45792</v>
      </c>
      <c r="D3330" t="inlineStr">
        <is>
          <t>UPPSALA LÄN</t>
        </is>
      </c>
      <c r="E3330" t="inlineStr">
        <is>
          <t>ENKÖPING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2227-2023</t>
        </is>
      </c>
      <c r="B3331" s="1" t="n">
        <v>44942</v>
      </c>
      <c r="C3331" s="1" t="n">
        <v>45792</v>
      </c>
      <c r="D3331" t="inlineStr">
        <is>
          <t>UPPSALA LÄN</t>
        </is>
      </c>
      <c r="E3331" t="inlineStr">
        <is>
          <t>HEBY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2212-2023</t>
        </is>
      </c>
      <c r="B3332" s="1" t="n">
        <v>44942</v>
      </c>
      <c r="C3332" s="1" t="n">
        <v>45792</v>
      </c>
      <c r="D3332" t="inlineStr">
        <is>
          <t>UPPSALA LÄN</t>
        </is>
      </c>
      <c r="E3332" t="inlineStr">
        <is>
          <t>HEBY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2186-2023</t>
        </is>
      </c>
      <c r="B3333" s="1" t="n">
        <v>44942</v>
      </c>
      <c r="C3333" s="1" t="n">
        <v>45792</v>
      </c>
      <c r="D3333" t="inlineStr">
        <is>
          <t>UPPSALA LÄN</t>
        </is>
      </c>
      <c r="E3333" t="inlineStr">
        <is>
          <t>UPPSALA</t>
        </is>
      </c>
      <c r="F3333" t="inlineStr">
        <is>
          <t>Bergvik skog öst AB</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2266-2023</t>
        </is>
      </c>
      <c r="B3334" s="1" t="n">
        <v>44942</v>
      </c>
      <c r="C3334" s="1" t="n">
        <v>45792</v>
      </c>
      <c r="D3334" t="inlineStr">
        <is>
          <t>UPPSALA LÄN</t>
        </is>
      </c>
      <c r="E3334" t="inlineStr">
        <is>
          <t>TIERP</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2541-2023</t>
        </is>
      </c>
      <c r="B3335" s="1" t="n">
        <v>44943</v>
      </c>
      <c r="C3335" s="1" t="n">
        <v>45792</v>
      </c>
      <c r="D3335" t="inlineStr">
        <is>
          <t>UPPSALA LÄN</t>
        </is>
      </c>
      <c r="E3335" t="inlineStr">
        <is>
          <t>HEBY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2733-2023</t>
        </is>
      </c>
      <c r="B3336" s="1" t="n">
        <v>44943</v>
      </c>
      <c r="C3336" s="1" t="n">
        <v>45792</v>
      </c>
      <c r="D3336" t="inlineStr">
        <is>
          <t>UPPSALA LÄN</t>
        </is>
      </c>
      <c r="E3336" t="inlineStr">
        <is>
          <t>ÖSTHAMMAR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2553-2023</t>
        </is>
      </c>
      <c r="B3337" s="1" t="n">
        <v>44943</v>
      </c>
      <c r="C3337" s="1" t="n">
        <v>45792</v>
      </c>
      <c r="D3337" t="inlineStr">
        <is>
          <t>UPPSALA LÄN</t>
        </is>
      </c>
      <c r="E3337" t="inlineStr">
        <is>
          <t>HEBY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2617-2023</t>
        </is>
      </c>
      <c r="B3338" s="1" t="n">
        <v>44944</v>
      </c>
      <c r="C3338" s="1" t="n">
        <v>45792</v>
      </c>
      <c r="D3338" t="inlineStr">
        <is>
          <t>UPPSALA LÄN</t>
        </is>
      </c>
      <c r="E3338" t="inlineStr">
        <is>
          <t>HEBY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2641-2023</t>
        </is>
      </c>
      <c r="B3339" s="1" t="n">
        <v>44944</v>
      </c>
      <c r="C3339" s="1" t="n">
        <v>45792</v>
      </c>
      <c r="D3339" t="inlineStr">
        <is>
          <t>UPPSALA LÄN</t>
        </is>
      </c>
      <c r="E3339" t="inlineStr">
        <is>
          <t>HEBY</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2622-2023</t>
        </is>
      </c>
      <c r="B3340" s="1" t="n">
        <v>44944</v>
      </c>
      <c r="C3340" s="1" t="n">
        <v>45792</v>
      </c>
      <c r="D3340" t="inlineStr">
        <is>
          <t>UPPSALA LÄN</t>
        </is>
      </c>
      <c r="E3340" t="inlineStr">
        <is>
          <t>UPPSALA</t>
        </is>
      </c>
      <c r="F3340" t="inlineStr">
        <is>
          <t>Kommuner</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2670-2023</t>
        </is>
      </c>
      <c r="B3341" s="1" t="n">
        <v>44944</v>
      </c>
      <c r="C3341" s="1" t="n">
        <v>45792</v>
      </c>
      <c r="D3341" t="inlineStr">
        <is>
          <t>UPPSALA LÄN</t>
        </is>
      </c>
      <c r="E3341" t="inlineStr">
        <is>
          <t>HÅBO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2611-2023</t>
        </is>
      </c>
      <c r="B3342" s="1" t="n">
        <v>44944</v>
      </c>
      <c r="C3342" s="1" t="n">
        <v>45792</v>
      </c>
      <c r="D3342" t="inlineStr">
        <is>
          <t>UPPSALA LÄN</t>
        </is>
      </c>
      <c r="E3342" t="inlineStr">
        <is>
          <t>HEBY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2624-2023</t>
        </is>
      </c>
      <c r="B3343" s="1" t="n">
        <v>44944</v>
      </c>
      <c r="C3343" s="1" t="n">
        <v>45792</v>
      </c>
      <c r="D3343" t="inlineStr">
        <is>
          <t>UPPSALA LÄN</t>
        </is>
      </c>
      <c r="E3343" t="inlineStr">
        <is>
          <t>UPPSALA</t>
        </is>
      </c>
      <c r="F3343" t="inlineStr">
        <is>
          <t>Kommuner</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2682-2023</t>
        </is>
      </c>
      <c r="B3344" s="1" t="n">
        <v>44944</v>
      </c>
      <c r="C3344" s="1" t="n">
        <v>45792</v>
      </c>
      <c r="D3344" t="inlineStr">
        <is>
          <t>UPPSALA LÄN</t>
        </is>
      </c>
      <c r="E3344" t="inlineStr">
        <is>
          <t>HÅBO</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2735-2023</t>
        </is>
      </c>
      <c r="B3345" s="1" t="n">
        <v>44944</v>
      </c>
      <c r="C3345" s="1" t="n">
        <v>45792</v>
      </c>
      <c r="D3345" t="inlineStr">
        <is>
          <t>UPPSALA LÄN</t>
        </is>
      </c>
      <c r="E3345" t="inlineStr">
        <is>
          <t>TIERP</t>
        </is>
      </c>
      <c r="G3345" t="n">
        <v>8.300000000000001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5362-2023</t>
        </is>
      </c>
      <c r="B3346" s="1" t="n">
        <v>44944</v>
      </c>
      <c r="C3346" s="1" t="n">
        <v>45792</v>
      </c>
      <c r="D3346" t="inlineStr">
        <is>
          <t>UPPSALA LÄN</t>
        </is>
      </c>
      <c r="E3346" t="inlineStr">
        <is>
          <t>UPPSALA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2983-2023</t>
        </is>
      </c>
      <c r="B3347" s="1" t="n">
        <v>44944</v>
      </c>
      <c r="C3347" s="1" t="n">
        <v>45792</v>
      </c>
      <c r="D3347" t="inlineStr">
        <is>
          <t>UPPSALA LÄN</t>
        </is>
      </c>
      <c r="E3347" t="inlineStr">
        <is>
          <t>HEBY</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3214-2023</t>
        </is>
      </c>
      <c r="B3348" s="1" t="n">
        <v>44944</v>
      </c>
      <c r="C3348" s="1" t="n">
        <v>45792</v>
      </c>
      <c r="D3348" t="inlineStr">
        <is>
          <t>UPPSALA LÄN</t>
        </is>
      </c>
      <c r="E3348" t="inlineStr">
        <is>
          <t>UPPSALA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5374-2023</t>
        </is>
      </c>
      <c r="B3349" s="1" t="n">
        <v>44944</v>
      </c>
      <c r="C3349" s="1" t="n">
        <v>45792</v>
      </c>
      <c r="D3349" t="inlineStr">
        <is>
          <t>UPPSALA LÄN</t>
        </is>
      </c>
      <c r="E3349" t="inlineStr">
        <is>
          <t>UPPSALA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2860-2023</t>
        </is>
      </c>
      <c r="B3350" s="1" t="n">
        <v>44945</v>
      </c>
      <c r="C3350" s="1" t="n">
        <v>45792</v>
      </c>
      <c r="D3350" t="inlineStr">
        <is>
          <t>UPPSALA LÄN</t>
        </is>
      </c>
      <c r="E3350" t="inlineStr">
        <is>
          <t>HEBY</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2899-2023</t>
        </is>
      </c>
      <c r="B3351" s="1" t="n">
        <v>44945</v>
      </c>
      <c r="C3351" s="1" t="n">
        <v>45792</v>
      </c>
      <c r="D3351" t="inlineStr">
        <is>
          <t>UPPSALA LÄN</t>
        </is>
      </c>
      <c r="E3351" t="inlineStr">
        <is>
          <t>TIERP</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2942-2023</t>
        </is>
      </c>
      <c r="B3352" s="1" t="n">
        <v>44945</v>
      </c>
      <c r="C3352" s="1" t="n">
        <v>45792</v>
      </c>
      <c r="D3352" t="inlineStr">
        <is>
          <t>UPPSALA LÄN</t>
        </is>
      </c>
      <c r="E3352" t="inlineStr">
        <is>
          <t>UPPSALA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2874-2023</t>
        </is>
      </c>
      <c r="B3353" s="1" t="n">
        <v>44945</v>
      </c>
      <c r="C3353" s="1" t="n">
        <v>45792</v>
      </c>
      <c r="D3353" t="inlineStr">
        <is>
          <t>UPPSALA LÄN</t>
        </is>
      </c>
      <c r="E3353" t="inlineStr">
        <is>
          <t>HEBY</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2902-2023</t>
        </is>
      </c>
      <c r="B3354" s="1" t="n">
        <v>44945</v>
      </c>
      <c r="C3354" s="1" t="n">
        <v>45792</v>
      </c>
      <c r="D3354" t="inlineStr">
        <is>
          <t>UPPSALA LÄN</t>
        </is>
      </c>
      <c r="E3354" t="inlineStr">
        <is>
          <t>TIERP</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2880-2023</t>
        </is>
      </c>
      <c r="B3355" s="1" t="n">
        <v>44945</v>
      </c>
      <c r="C3355" s="1" t="n">
        <v>45792</v>
      </c>
      <c r="D3355" t="inlineStr">
        <is>
          <t>UPPSALA LÄN</t>
        </is>
      </c>
      <c r="E3355" t="inlineStr">
        <is>
          <t>HEBY</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2901-2023</t>
        </is>
      </c>
      <c r="B3356" s="1" t="n">
        <v>44945</v>
      </c>
      <c r="C3356" s="1" t="n">
        <v>45792</v>
      </c>
      <c r="D3356" t="inlineStr">
        <is>
          <t>UPPSALA LÄN</t>
        </is>
      </c>
      <c r="E3356" t="inlineStr">
        <is>
          <t>TIERP</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2967-2023</t>
        </is>
      </c>
      <c r="B3357" s="1" t="n">
        <v>44945</v>
      </c>
      <c r="C3357" s="1" t="n">
        <v>45792</v>
      </c>
      <c r="D3357" t="inlineStr">
        <is>
          <t>UPPSALA LÄN</t>
        </is>
      </c>
      <c r="E3357" t="inlineStr">
        <is>
          <t>ÖSTHAMMAR</t>
        </is>
      </c>
      <c r="F3357" t="inlineStr">
        <is>
          <t>Övriga Aktiebolag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3005-2023</t>
        </is>
      </c>
      <c r="B3358" s="1" t="n">
        <v>44945</v>
      </c>
      <c r="C3358" s="1" t="n">
        <v>45792</v>
      </c>
      <c r="D3358" t="inlineStr">
        <is>
          <t>UPPSALA LÄN</t>
        </is>
      </c>
      <c r="E3358" t="inlineStr">
        <is>
          <t>ÖSTHAMMAR</t>
        </is>
      </c>
      <c r="F3358" t="inlineStr">
        <is>
          <t>Bergvik skog öst AB</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3040-2023</t>
        </is>
      </c>
      <c r="B3359" s="1" t="n">
        <v>44946</v>
      </c>
      <c r="C3359" s="1" t="n">
        <v>45792</v>
      </c>
      <c r="D3359" t="inlineStr">
        <is>
          <t>UPPSALA LÄN</t>
        </is>
      </c>
      <c r="E3359" t="inlineStr">
        <is>
          <t>UPPSALA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3089-2023</t>
        </is>
      </c>
      <c r="B3360" s="1" t="n">
        <v>44946</v>
      </c>
      <c r="C3360" s="1" t="n">
        <v>45792</v>
      </c>
      <c r="D3360" t="inlineStr">
        <is>
          <t>UPPSALA LÄN</t>
        </is>
      </c>
      <c r="E3360" t="inlineStr">
        <is>
          <t>UPPSALA</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3086-2023</t>
        </is>
      </c>
      <c r="B3361" s="1" t="n">
        <v>44946</v>
      </c>
      <c r="C3361" s="1" t="n">
        <v>45792</v>
      </c>
      <c r="D3361" t="inlineStr">
        <is>
          <t>UPPSALA LÄN</t>
        </is>
      </c>
      <c r="E3361" t="inlineStr">
        <is>
          <t>UPPSALA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3092-2023</t>
        </is>
      </c>
      <c r="B3362" s="1" t="n">
        <v>44946</v>
      </c>
      <c r="C3362" s="1" t="n">
        <v>45792</v>
      </c>
      <c r="D3362" t="inlineStr">
        <is>
          <t>UPPSALA LÄN</t>
        </is>
      </c>
      <c r="E3362" t="inlineStr">
        <is>
          <t>UPPSALA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3234-2023</t>
        </is>
      </c>
      <c r="B3363" s="1" t="n">
        <v>44946</v>
      </c>
      <c r="C3363" s="1" t="n">
        <v>45792</v>
      </c>
      <c r="D3363" t="inlineStr">
        <is>
          <t>UPPSALA LÄN</t>
        </is>
      </c>
      <c r="E3363" t="inlineStr">
        <is>
          <t>HEBY</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3232-2023</t>
        </is>
      </c>
      <c r="B3364" s="1" t="n">
        <v>44946</v>
      </c>
      <c r="C3364" s="1" t="n">
        <v>45792</v>
      </c>
      <c r="D3364" t="inlineStr">
        <is>
          <t>UPPSALA LÄN</t>
        </is>
      </c>
      <c r="E3364" t="inlineStr">
        <is>
          <t>HEBY</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3743-2023</t>
        </is>
      </c>
      <c r="B3365" s="1" t="n">
        <v>44948</v>
      </c>
      <c r="C3365" s="1" t="n">
        <v>45792</v>
      </c>
      <c r="D3365" t="inlineStr">
        <is>
          <t>UPPSALA LÄN</t>
        </is>
      </c>
      <c r="E3365" t="inlineStr">
        <is>
          <t>ÖSTHAMMAR</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3327-2023</t>
        </is>
      </c>
      <c r="B3366" s="1" t="n">
        <v>44949</v>
      </c>
      <c r="C3366" s="1" t="n">
        <v>45792</v>
      </c>
      <c r="D3366" t="inlineStr">
        <is>
          <t>UPPSALA LÄN</t>
        </is>
      </c>
      <c r="E3366" t="inlineStr">
        <is>
          <t>ÖSTHAMMAR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3343-2023</t>
        </is>
      </c>
      <c r="B3367" s="1" t="n">
        <v>44949</v>
      </c>
      <c r="C3367" s="1" t="n">
        <v>45792</v>
      </c>
      <c r="D3367" t="inlineStr">
        <is>
          <t>UPPSALA LÄN</t>
        </is>
      </c>
      <c r="E3367" t="inlineStr">
        <is>
          <t>UPPSALA</t>
        </is>
      </c>
      <c r="F3367" t="inlineStr">
        <is>
          <t>Allmännings- och besparingsskogar</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3353-2023</t>
        </is>
      </c>
      <c r="B3368" s="1" t="n">
        <v>44949</v>
      </c>
      <c r="C3368" s="1" t="n">
        <v>45792</v>
      </c>
      <c r="D3368" t="inlineStr">
        <is>
          <t>UPPSALA LÄN</t>
        </is>
      </c>
      <c r="E3368" t="inlineStr">
        <is>
          <t>UPPSALA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3550-2023</t>
        </is>
      </c>
      <c r="B3369" s="1" t="n">
        <v>44950</v>
      </c>
      <c r="C3369" s="1" t="n">
        <v>45792</v>
      </c>
      <c r="D3369" t="inlineStr">
        <is>
          <t>UPPSALA LÄN</t>
        </is>
      </c>
      <c r="E3369" t="inlineStr">
        <is>
          <t>ENKÖPING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3547-2023</t>
        </is>
      </c>
      <c r="B3370" s="1" t="n">
        <v>44950</v>
      </c>
      <c r="C3370" s="1" t="n">
        <v>45792</v>
      </c>
      <c r="D3370" t="inlineStr">
        <is>
          <t>UPPSALA LÄN</t>
        </is>
      </c>
      <c r="E3370" t="inlineStr">
        <is>
          <t>HEBY</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3514-2023</t>
        </is>
      </c>
      <c r="B3371" s="1" t="n">
        <v>44950</v>
      </c>
      <c r="C3371" s="1" t="n">
        <v>45792</v>
      </c>
      <c r="D3371" t="inlineStr">
        <is>
          <t>UPPSALA LÄN</t>
        </is>
      </c>
      <c r="E3371" t="inlineStr">
        <is>
          <t>ÖSTHAMMAR</t>
        </is>
      </c>
      <c r="F3371" t="inlineStr">
        <is>
          <t>Övriga Aktiebolag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3545-2023</t>
        </is>
      </c>
      <c r="B3372" s="1" t="n">
        <v>44950</v>
      </c>
      <c r="C3372" s="1" t="n">
        <v>45792</v>
      </c>
      <c r="D3372" t="inlineStr">
        <is>
          <t>UPPSALA LÄN</t>
        </is>
      </c>
      <c r="E3372" t="inlineStr">
        <is>
          <t>TIERP</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3561-2023</t>
        </is>
      </c>
      <c r="B3373" s="1" t="n">
        <v>44950</v>
      </c>
      <c r="C3373" s="1" t="n">
        <v>45792</v>
      </c>
      <c r="D3373" t="inlineStr">
        <is>
          <t>UPPSALA LÄN</t>
        </is>
      </c>
      <c r="E3373" t="inlineStr">
        <is>
          <t>TIERP</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3661-2023</t>
        </is>
      </c>
      <c r="B3374" s="1" t="n">
        <v>44950</v>
      </c>
      <c r="C3374" s="1" t="n">
        <v>45792</v>
      </c>
      <c r="D3374" t="inlineStr">
        <is>
          <t>UPPSALA LÄN</t>
        </is>
      </c>
      <c r="E3374" t="inlineStr">
        <is>
          <t>UPPSALA</t>
        </is>
      </c>
      <c r="F3374" t="inlineStr">
        <is>
          <t>Allmännings- och besparingsskogar</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4213-2023</t>
        </is>
      </c>
      <c r="B3375" s="1" t="n">
        <v>44951</v>
      </c>
      <c r="C3375" s="1" t="n">
        <v>45792</v>
      </c>
      <c r="D3375" t="inlineStr">
        <is>
          <t>UPPSALA LÄN</t>
        </is>
      </c>
      <c r="E3375" t="inlineStr">
        <is>
          <t>HEBY</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3940-2023</t>
        </is>
      </c>
      <c r="B3376" s="1" t="n">
        <v>44952</v>
      </c>
      <c r="C3376" s="1" t="n">
        <v>45792</v>
      </c>
      <c r="D3376" t="inlineStr">
        <is>
          <t>UPPSALA LÄN</t>
        </is>
      </c>
      <c r="E3376" t="inlineStr">
        <is>
          <t>UPPSALA</t>
        </is>
      </c>
      <c r="F3376" t="inlineStr">
        <is>
          <t>Bergvik skog öst AB</t>
        </is>
      </c>
      <c r="G3376" t="n">
        <v>20.6</v>
      </c>
      <c r="H3376" t="n">
        <v>0</v>
      </c>
      <c r="I3376" t="n">
        <v>0</v>
      </c>
      <c r="J3376" t="n">
        <v>0</v>
      </c>
      <c r="K3376" t="n">
        <v>0</v>
      </c>
      <c r="L3376" t="n">
        <v>0</v>
      </c>
      <c r="M3376" t="n">
        <v>0</v>
      </c>
      <c r="N3376" t="n">
        <v>0</v>
      </c>
      <c r="O3376" t="n">
        <v>0</v>
      </c>
      <c r="P3376" t="n">
        <v>0</v>
      </c>
      <c r="Q3376" t="n">
        <v>0</v>
      </c>
      <c r="R3376" s="2" t="inlineStr"/>
    </row>
    <row r="3377" ht="15" customHeight="1">
      <c r="A3377" t="inlineStr">
        <is>
          <t>A 3939-2023</t>
        </is>
      </c>
      <c r="B3377" s="1" t="n">
        <v>44952</v>
      </c>
      <c r="C3377" s="1" t="n">
        <v>45792</v>
      </c>
      <c r="D3377" t="inlineStr">
        <is>
          <t>UPPSALA LÄN</t>
        </is>
      </c>
      <c r="E3377" t="inlineStr">
        <is>
          <t>UPPSALA</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4004-2023</t>
        </is>
      </c>
      <c r="B3378" s="1" t="n">
        <v>44952</v>
      </c>
      <c r="C3378" s="1" t="n">
        <v>45792</v>
      </c>
      <c r="D3378" t="inlineStr">
        <is>
          <t>UPPSALA LÄN</t>
        </is>
      </c>
      <c r="E3378" t="inlineStr">
        <is>
          <t>ÖSTHAMMAR</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4054-2023</t>
        </is>
      </c>
      <c r="B3379" s="1" t="n">
        <v>44952</v>
      </c>
      <c r="C3379" s="1" t="n">
        <v>45792</v>
      </c>
      <c r="D3379" t="inlineStr">
        <is>
          <t>UPPSALA LÄN</t>
        </is>
      </c>
      <c r="E3379" t="inlineStr">
        <is>
          <t>ÖSTHAMMAR</t>
        </is>
      </c>
      <c r="F3379" t="inlineStr">
        <is>
          <t>Övriga Aktiebolag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4233-2023</t>
        </is>
      </c>
      <c r="B3380" s="1" t="n">
        <v>44953</v>
      </c>
      <c r="C3380" s="1" t="n">
        <v>45792</v>
      </c>
      <c r="D3380" t="inlineStr">
        <is>
          <t>UPPSALA LÄN</t>
        </is>
      </c>
      <c r="E3380" t="inlineStr">
        <is>
          <t>ÖSTHAMMAR</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4276-2023</t>
        </is>
      </c>
      <c r="B3381" s="1" t="n">
        <v>44953</v>
      </c>
      <c r="C3381" s="1" t="n">
        <v>45792</v>
      </c>
      <c r="D3381" t="inlineStr">
        <is>
          <t>UPPSALA LÄN</t>
        </is>
      </c>
      <c r="E3381" t="inlineStr">
        <is>
          <t>TIERP</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4228-2023</t>
        </is>
      </c>
      <c r="B3382" s="1" t="n">
        <v>44953</v>
      </c>
      <c r="C3382" s="1" t="n">
        <v>45792</v>
      </c>
      <c r="D3382" t="inlineStr">
        <is>
          <t>UPPSALA LÄN</t>
        </is>
      </c>
      <c r="E3382" t="inlineStr">
        <is>
          <t>ÖSTHAMMAR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4329-2023</t>
        </is>
      </c>
      <c r="B3383" s="1" t="n">
        <v>44953</v>
      </c>
      <c r="C3383" s="1" t="n">
        <v>45792</v>
      </c>
      <c r="D3383" t="inlineStr">
        <is>
          <t>UPPSALA LÄN</t>
        </is>
      </c>
      <c r="E3383" t="inlineStr">
        <is>
          <t>TIERP</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4361-2023</t>
        </is>
      </c>
      <c r="B3384" s="1" t="n">
        <v>44954</v>
      </c>
      <c r="C3384" s="1" t="n">
        <v>45792</v>
      </c>
      <c r="D3384" t="inlineStr">
        <is>
          <t>UPPSALA LÄN</t>
        </is>
      </c>
      <c r="E3384" t="inlineStr">
        <is>
          <t>ÖSTHAMMAR</t>
        </is>
      </c>
      <c r="F3384" t="inlineStr">
        <is>
          <t>Bergvik skog öst AB</t>
        </is>
      </c>
      <c r="G3384" t="n">
        <v>18.3</v>
      </c>
      <c r="H3384" t="n">
        <v>0</v>
      </c>
      <c r="I3384" t="n">
        <v>0</v>
      </c>
      <c r="J3384" t="n">
        <v>0</v>
      </c>
      <c r="K3384" t="n">
        <v>0</v>
      </c>
      <c r="L3384" t="n">
        <v>0</v>
      </c>
      <c r="M3384" t="n">
        <v>0</v>
      </c>
      <c r="N3384" t="n">
        <v>0</v>
      </c>
      <c r="O3384" t="n">
        <v>0</v>
      </c>
      <c r="P3384" t="n">
        <v>0</v>
      </c>
      <c r="Q3384" t="n">
        <v>0</v>
      </c>
      <c r="R3384" s="2" t="inlineStr"/>
    </row>
    <row r="3385" ht="15" customHeight="1">
      <c r="A3385" t="inlineStr">
        <is>
          <t>A 4487-2023</t>
        </is>
      </c>
      <c r="B3385" s="1" t="n">
        <v>44956</v>
      </c>
      <c r="C3385" s="1" t="n">
        <v>45792</v>
      </c>
      <c r="D3385" t="inlineStr">
        <is>
          <t>UPPSALA LÄN</t>
        </is>
      </c>
      <c r="E3385" t="inlineStr">
        <is>
          <t>HEBY</t>
        </is>
      </c>
      <c r="F3385" t="inlineStr">
        <is>
          <t>Kyrkan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4409-2023</t>
        </is>
      </c>
      <c r="B3386" s="1" t="n">
        <v>44956</v>
      </c>
      <c r="C3386" s="1" t="n">
        <v>45792</v>
      </c>
      <c r="D3386" t="inlineStr">
        <is>
          <t>UPPSALA LÄN</t>
        </is>
      </c>
      <c r="E3386" t="inlineStr">
        <is>
          <t>TIERP</t>
        </is>
      </c>
      <c r="F3386" t="inlineStr">
        <is>
          <t>Bergvik skog öst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4531-2023</t>
        </is>
      </c>
      <c r="B3387" s="1" t="n">
        <v>44956</v>
      </c>
      <c r="C3387" s="1" t="n">
        <v>45792</v>
      </c>
      <c r="D3387" t="inlineStr">
        <is>
          <t>UPPSALA LÄN</t>
        </is>
      </c>
      <c r="E3387" t="inlineStr">
        <is>
          <t>TIERP</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4511-2023</t>
        </is>
      </c>
      <c r="B3388" s="1" t="n">
        <v>44956</v>
      </c>
      <c r="C3388" s="1" t="n">
        <v>45792</v>
      </c>
      <c r="D3388" t="inlineStr">
        <is>
          <t>UPPSALA LÄN</t>
        </is>
      </c>
      <c r="E3388" t="inlineStr">
        <is>
          <t>TIERP</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4530-2023</t>
        </is>
      </c>
      <c r="B3389" s="1" t="n">
        <v>44956</v>
      </c>
      <c r="C3389" s="1" t="n">
        <v>45792</v>
      </c>
      <c r="D3389" t="inlineStr">
        <is>
          <t>UPPSALA LÄN</t>
        </is>
      </c>
      <c r="E3389" t="inlineStr">
        <is>
          <t>TIERP</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4639-2023</t>
        </is>
      </c>
      <c r="B3390" s="1" t="n">
        <v>44957</v>
      </c>
      <c r="C3390" s="1" t="n">
        <v>45792</v>
      </c>
      <c r="D3390" t="inlineStr">
        <is>
          <t>UPPSALA LÄN</t>
        </is>
      </c>
      <c r="E3390" t="inlineStr">
        <is>
          <t>HEBY</t>
        </is>
      </c>
      <c r="F3390" t="inlineStr">
        <is>
          <t>Kyrkan</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5404-2023</t>
        </is>
      </c>
      <c r="B3391" s="1" t="n">
        <v>44957</v>
      </c>
      <c r="C3391" s="1" t="n">
        <v>45792</v>
      </c>
      <c r="D3391" t="inlineStr">
        <is>
          <t>UPPSALA LÄN</t>
        </is>
      </c>
      <c r="E3391" t="inlineStr">
        <is>
          <t>ÖSTHAMMAR</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4901-2023</t>
        </is>
      </c>
      <c r="B3392" s="1" t="n">
        <v>44958</v>
      </c>
      <c r="C3392" s="1" t="n">
        <v>45792</v>
      </c>
      <c r="D3392" t="inlineStr">
        <is>
          <t>UPPSALA LÄN</t>
        </is>
      </c>
      <c r="E3392" t="inlineStr">
        <is>
          <t>ENKÖPING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5060-2023</t>
        </is>
      </c>
      <c r="B3393" s="1" t="n">
        <v>44958</v>
      </c>
      <c r="C3393" s="1" t="n">
        <v>45792</v>
      </c>
      <c r="D3393" t="inlineStr">
        <is>
          <t>UPPSALA LÄN</t>
        </is>
      </c>
      <c r="E3393" t="inlineStr">
        <is>
          <t>HEBY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5254-2023</t>
        </is>
      </c>
      <c r="B3394" s="1" t="n">
        <v>44959</v>
      </c>
      <c r="C3394" s="1" t="n">
        <v>45792</v>
      </c>
      <c r="D3394" t="inlineStr">
        <is>
          <t>UPPSALA LÄN</t>
        </is>
      </c>
      <c r="E3394" t="inlineStr">
        <is>
          <t>UPPSALA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5258-2023</t>
        </is>
      </c>
      <c r="B3395" s="1" t="n">
        <v>44959</v>
      </c>
      <c r="C3395" s="1" t="n">
        <v>45792</v>
      </c>
      <c r="D3395" t="inlineStr">
        <is>
          <t>UPPSALA LÄN</t>
        </is>
      </c>
      <c r="E3395" t="inlineStr">
        <is>
          <t>UPPSALA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5289-2023</t>
        </is>
      </c>
      <c r="B3396" s="1" t="n">
        <v>44959</v>
      </c>
      <c r="C3396" s="1" t="n">
        <v>45792</v>
      </c>
      <c r="D3396" t="inlineStr">
        <is>
          <t>UPPSALA LÄN</t>
        </is>
      </c>
      <c r="E3396" t="inlineStr">
        <is>
          <t>TIERP</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5429-2023</t>
        </is>
      </c>
      <c r="B3397" s="1" t="n">
        <v>44959</v>
      </c>
      <c r="C3397" s="1" t="n">
        <v>45792</v>
      </c>
      <c r="D3397" t="inlineStr">
        <is>
          <t>UPPSALA LÄN</t>
        </is>
      </c>
      <c r="E3397" t="inlineStr">
        <is>
          <t>ÖSTHAMMAR</t>
        </is>
      </c>
      <c r="F3397" t="inlineStr">
        <is>
          <t>Bergvik skog öst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5378-2023</t>
        </is>
      </c>
      <c r="B3398" s="1" t="n">
        <v>44959</v>
      </c>
      <c r="C3398" s="1" t="n">
        <v>45792</v>
      </c>
      <c r="D3398" t="inlineStr">
        <is>
          <t>UPPSALA LÄN</t>
        </is>
      </c>
      <c r="E3398" t="inlineStr">
        <is>
          <t>HEBY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5430-2023</t>
        </is>
      </c>
      <c r="B3399" s="1" t="n">
        <v>44959</v>
      </c>
      <c r="C3399" s="1" t="n">
        <v>45792</v>
      </c>
      <c r="D3399" t="inlineStr">
        <is>
          <t>UPPSALA LÄN</t>
        </is>
      </c>
      <c r="E3399" t="inlineStr">
        <is>
          <t>ÖSTHAMMAR</t>
        </is>
      </c>
      <c r="F3399" t="inlineStr">
        <is>
          <t>Bergvik skog öst AB</t>
        </is>
      </c>
      <c r="G3399" t="n">
        <v>18.4</v>
      </c>
      <c r="H3399" t="n">
        <v>0</v>
      </c>
      <c r="I3399" t="n">
        <v>0</v>
      </c>
      <c r="J3399" t="n">
        <v>0</v>
      </c>
      <c r="K3399" t="n">
        <v>0</v>
      </c>
      <c r="L3399" t="n">
        <v>0</v>
      </c>
      <c r="M3399" t="n">
        <v>0</v>
      </c>
      <c r="N3399" t="n">
        <v>0</v>
      </c>
      <c r="O3399" t="n">
        <v>0</v>
      </c>
      <c r="P3399" t="n">
        <v>0</v>
      </c>
      <c r="Q3399" t="n">
        <v>0</v>
      </c>
      <c r="R3399" s="2" t="inlineStr"/>
    </row>
    <row r="3400" ht="15" customHeight="1">
      <c r="A3400" t="inlineStr">
        <is>
          <t>A 5247-2023</t>
        </is>
      </c>
      <c r="B3400" s="1" t="n">
        <v>44959</v>
      </c>
      <c r="C3400" s="1" t="n">
        <v>45792</v>
      </c>
      <c r="D3400" t="inlineStr">
        <is>
          <t>UPPSALA LÄN</t>
        </is>
      </c>
      <c r="E3400" t="inlineStr">
        <is>
          <t>UPPSALA</t>
        </is>
      </c>
      <c r="G3400" t="n">
        <v>11.1</v>
      </c>
      <c r="H3400" t="n">
        <v>0</v>
      </c>
      <c r="I3400" t="n">
        <v>0</v>
      </c>
      <c r="J3400" t="n">
        <v>0</v>
      </c>
      <c r="K3400" t="n">
        <v>0</v>
      </c>
      <c r="L3400" t="n">
        <v>0</v>
      </c>
      <c r="M3400" t="n">
        <v>0</v>
      </c>
      <c r="N3400" t="n">
        <v>0</v>
      </c>
      <c r="O3400" t="n">
        <v>0</v>
      </c>
      <c r="P3400" t="n">
        <v>0</v>
      </c>
      <c r="Q3400" t="n">
        <v>0</v>
      </c>
      <c r="R3400" s="2" t="inlineStr"/>
    </row>
    <row r="3401" ht="15" customHeight="1">
      <c r="A3401" t="inlineStr">
        <is>
          <t>A 5402-2023</t>
        </is>
      </c>
      <c r="B3401" s="1" t="n">
        <v>44959</v>
      </c>
      <c r="C3401" s="1" t="n">
        <v>45792</v>
      </c>
      <c r="D3401" t="inlineStr">
        <is>
          <t>UPPSALA LÄN</t>
        </is>
      </c>
      <c r="E3401" t="inlineStr">
        <is>
          <t>KNIVSTA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5643-2023</t>
        </is>
      </c>
      <c r="B3402" s="1" t="n">
        <v>44960</v>
      </c>
      <c r="C3402" s="1" t="n">
        <v>45792</v>
      </c>
      <c r="D3402" t="inlineStr">
        <is>
          <t>UPPSALA LÄN</t>
        </is>
      </c>
      <c r="E3402" t="inlineStr">
        <is>
          <t>ÖSTHAMMAR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5678-2023</t>
        </is>
      </c>
      <c r="B3403" s="1" t="n">
        <v>44960</v>
      </c>
      <c r="C3403" s="1" t="n">
        <v>45792</v>
      </c>
      <c r="D3403" t="inlineStr">
        <is>
          <t>UPPSALA LÄN</t>
        </is>
      </c>
      <c r="E3403" t="inlineStr">
        <is>
          <t>UPPSALA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5682-2023</t>
        </is>
      </c>
      <c r="B3404" s="1" t="n">
        <v>44960</v>
      </c>
      <c r="C3404" s="1" t="n">
        <v>45792</v>
      </c>
      <c r="D3404" t="inlineStr">
        <is>
          <t>UPPSALA LÄN</t>
        </is>
      </c>
      <c r="E3404" t="inlineStr">
        <is>
          <t>UPPSALA</t>
        </is>
      </c>
      <c r="F3404" t="inlineStr">
        <is>
          <t>Allmännings- och besparingsskogar</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5663-2023</t>
        </is>
      </c>
      <c r="B3405" s="1" t="n">
        <v>44960</v>
      </c>
      <c r="C3405" s="1" t="n">
        <v>45792</v>
      </c>
      <c r="D3405" t="inlineStr">
        <is>
          <t>UPPSALA LÄN</t>
        </is>
      </c>
      <c r="E3405" t="inlineStr">
        <is>
          <t>UPPSALA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5669-2023</t>
        </is>
      </c>
      <c r="B3406" s="1" t="n">
        <v>44960</v>
      </c>
      <c r="C3406" s="1" t="n">
        <v>45792</v>
      </c>
      <c r="D3406" t="inlineStr">
        <is>
          <t>UPPSALA LÄN</t>
        </is>
      </c>
      <c r="E3406" t="inlineStr">
        <is>
          <t>UPPSALA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5675-2023</t>
        </is>
      </c>
      <c r="B3407" s="1" t="n">
        <v>44960</v>
      </c>
      <c r="C3407" s="1" t="n">
        <v>45792</v>
      </c>
      <c r="D3407" t="inlineStr">
        <is>
          <t>UPPSALA LÄN</t>
        </is>
      </c>
      <c r="E3407" t="inlineStr">
        <is>
          <t>UPPSALA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5565-2023</t>
        </is>
      </c>
      <c r="B3408" s="1" t="n">
        <v>44960</v>
      </c>
      <c r="C3408" s="1" t="n">
        <v>45792</v>
      </c>
      <c r="D3408" t="inlineStr">
        <is>
          <t>UPPSALA LÄN</t>
        </is>
      </c>
      <c r="E3408" t="inlineStr">
        <is>
          <t>HEBY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5570-2023</t>
        </is>
      </c>
      <c r="B3409" s="1" t="n">
        <v>44960</v>
      </c>
      <c r="C3409" s="1" t="n">
        <v>45792</v>
      </c>
      <c r="D3409" t="inlineStr">
        <is>
          <t>UPPSALA LÄN</t>
        </is>
      </c>
      <c r="E3409" t="inlineStr">
        <is>
          <t>HEBY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6629-2023</t>
        </is>
      </c>
      <c r="B3410" s="1" t="n">
        <v>44960</v>
      </c>
      <c r="C3410" s="1" t="n">
        <v>45792</v>
      </c>
      <c r="D3410" t="inlineStr">
        <is>
          <t>UPPSALA LÄN</t>
        </is>
      </c>
      <c r="E3410" t="inlineStr">
        <is>
          <t>ÖSTHAMMAR</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6635-2023</t>
        </is>
      </c>
      <c r="B3411" s="1" t="n">
        <v>44960</v>
      </c>
      <c r="C3411" s="1" t="n">
        <v>45792</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5832-2023</t>
        </is>
      </c>
      <c r="B3412" s="1" t="n">
        <v>44963</v>
      </c>
      <c r="C3412" s="1" t="n">
        <v>45792</v>
      </c>
      <c r="D3412" t="inlineStr">
        <is>
          <t>UPPSALA LÄN</t>
        </is>
      </c>
      <c r="E3412" t="inlineStr">
        <is>
          <t>ÖSTHAMMAR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5836-2023</t>
        </is>
      </c>
      <c r="B3413" s="1" t="n">
        <v>44963</v>
      </c>
      <c r="C3413" s="1" t="n">
        <v>45792</v>
      </c>
      <c r="D3413" t="inlineStr">
        <is>
          <t>UPPSALA LÄN</t>
        </is>
      </c>
      <c r="E3413" t="inlineStr">
        <is>
          <t>ÖSTHAMMAR</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5831-2023</t>
        </is>
      </c>
      <c r="B3414" s="1" t="n">
        <v>44963</v>
      </c>
      <c r="C3414" s="1" t="n">
        <v>45792</v>
      </c>
      <c r="D3414" t="inlineStr">
        <is>
          <t>UPPSALA LÄN</t>
        </is>
      </c>
      <c r="E3414" t="inlineStr">
        <is>
          <t>ÖSTHAMMAR</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5857-2023</t>
        </is>
      </c>
      <c r="B3415" s="1" t="n">
        <v>44963</v>
      </c>
      <c r="C3415" s="1" t="n">
        <v>45792</v>
      </c>
      <c r="D3415" t="inlineStr">
        <is>
          <t>UPPSALA LÄN</t>
        </is>
      </c>
      <c r="E3415" t="inlineStr">
        <is>
          <t>ÖSTHAMMAR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5892-2023</t>
        </is>
      </c>
      <c r="B3416" s="1" t="n">
        <v>44963</v>
      </c>
      <c r="C3416" s="1" t="n">
        <v>45792</v>
      </c>
      <c r="D3416" t="inlineStr">
        <is>
          <t>UPPSALA LÄN</t>
        </is>
      </c>
      <c r="E3416" t="inlineStr">
        <is>
          <t>ENKÖPING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5884-2023</t>
        </is>
      </c>
      <c r="B3417" s="1" t="n">
        <v>44963</v>
      </c>
      <c r="C3417" s="1" t="n">
        <v>45792</v>
      </c>
      <c r="D3417" t="inlineStr">
        <is>
          <t>UPPSALA LÄN</t>
        </is>
      </c>
      <c r="E3417" t="inlineStr">
        <is>
          <t>ÖSTHAMMAR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5877-2023</t>
        </is>
      </c>
      <c r="B3418" s="1" t="n">
        <v>44963</v>
      </c>
      <c r="C3418" s="1" t="n">
        <v>45792</v>
      </c>
      <c r="D3418" t="inlineStr">
        <is>
          <t>UPPSALA LÄN</t>
        </is>
      </c>
      <c r="E3418" t="inlineStr">
        <is>
          <t>ÖSTHAMMAR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5967-2023</t>
        </is>
      </c>
      <c r="B3419" s="1" t="n">
        <v>44964</v>
      </c>
      <c r="C3419" s="1" t="n">
        <v>45792</v>
      </c>
      <c r="D3419" t="inlineStr">
        <is>
          <t>UPPSALA LÄN</t>
        </is>
      </c>
      <c r="E3419" t="inlineStr">
        <is>
          <t>TIERP</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5987-2023</t>
        </is>
      </c>
      <c r="B3420" s="1" t="n">
        <v>44964</v>
      </c>
      <c r="C3420" s="1" t="n">
        <v>45792</v>
      </c>
      <c r="D3420" t="inlineStr">
        <is>
          <t>UPPSALA LÄN</t>
        </is>
      </c>
      <c r="E3420" t="inlineStr">
        <is>
          <t>TIERP</t>
        </is>
      </c>
      <c r="F3420" t="inlineStr">
        <is>
          <t>Bergvik skog öst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5994-2023</t>
        </is>
      </c>
      <c r="B3421" s="1" t="n">
        <v>44964</v>
      </c>
      <c r="C3421" s="1" t="n">
        <v>45792</v>
      </c>
      <c r="D3421" t="inlineStr">
        <is>
          <t>UPPSALA LÄN</t>
        </is>
      </c>
      <c r="E3421" t="inlineStr">
        <is>
          <t>TIERP</t>
        </is>
      </c>
      <c r="F3421" t="inlineStr">
        <is>
          <t>Bergvik skog öst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6075-2023</t>
        </is>
      </c>
      <c r="B3422" s="1" t="n">
        <v>44964</v>
      </c>
      <c r="C3422" s="1" t="n">
        <v>45792</v>
      </c>
      <c r="D3422" t="inlineStr">
        <is>
          <t>UPPSALA LÄN</t>
        </is>
      </c>
      <c r="E3422" t="inlineStr">
        <is>
          <t>TIERP</t>
        </is>
      </c>
      <c r="F3422" t="inlineStr">
        <is>
          <t>Bergvik skog öst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5963-2023</t>
        </is>
      </c>
      <c r="B3423" s="1" t="n">
        <v>44964</v>
      </c>
      <c r="C3423" s="1" t="n">
        <v>45792</v>
      </c>
      <c r="D3423" t="inlineStr">
        <is>
          <t>UPPSALA LÄN</t>
        </is>
      </c>
      <c r="E3423" t="inlineStr">
        <is>
          <t>TIERP</t>
        </is>
      </c>
      <c r="F3423" t="inlineStr">
        <is>
          <t>Bergvik skog öst AB</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5995-2023</t>
        </is>
      </c>
      <c r="B3424" s="1" t="n">
        <v>44964</v>
      </c>
      <c r="C3424" s="1" t="n">
        <v>45792</v>
      </c>
      <c r="D3424" t="inlineStr">
        <is>
          <t>UPPSALA LÄN</t>
        </is>
      </c>
      <c r="E3424" t="inlineStr">
        <is>
          <t>TIERP</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6048-2023</t>
        </is>
      </c>
      <c r="B3425" s="1" t="n">
        <v>44964</v>
      </c>
      <c r="C3425" s="1" t="n">
        <v>45792</v>
      </c>
      <c r="D3425" t="inlineStr">
        <is>
          <t>UPPSALA LÄN</t>
        </is>
      </c>
      <c r="E3425" t="inlineStr">
        <is>
          <t>TIERP</t>
        </is>
      </c>
      <c r="F3425" t="inlineStr">
        <is>
          <t>Bergvik skog öst AB</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6071-2023</t>
        </is>
      </c>
      <c r="B3426" s="1" t="n">
        <v>44964</v>
      </c>
      <c r="C3426" s="1" t="n">
        <v>45792</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5993-2023</t>
        </is>
      </c>
      <c r="B3427" s="1" t="n">
        <v>44964</v>
      </c>
      <c r="C3427" s="1" t="n">
        <v>45792</v>
      </c>
      <c r="D3427" t="inlineStr">
        <is>
          <t>UPPSALA LÄN</t>
        </is>
      </c>
      <c r="E3427" t="inlineStr">
        <is>
          <t>TIERP</t>
        </is>
      </c>
      <c r="F3427" t="inlineStr">
        <is>
          <t>Bergvik skog öst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6213-2023</t>
        </is>
      </c>
      <c r="B3428" s="1" t="n">
        <v>44964</v>
      </c>
      <c r="C3428" s="1" t="n">
        <v>45792</v>
      </c>
      <c r="D3428" t="inlineStr">
        <is>
          <t>UPPSALA LÄN</t>
        </is>
      </c>
      <c r="E3428" t="inlineStr">
        <is>
          <t>UPPSALA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5997-2023</t>
        </is>
      </c>
      <c r="B3429" s="1" t="n">
        <v>44964</v>
      </c>
      <c r="C3429" s="1" t="n">
        <v>45792</v>
      </c>
      <c r="D3429" t="inlineStr">
        <is>
          <t>UPPSALA LÄN</t>
        </is>
      </c>
      <c r="E3429" t="inlineStr">
        <is>
          <t>TIERP</t>
        </is>
      </c>
      <c r="F3429" t="inlineStr">
        <is>
          <t>Bergvik skog öst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6049-2023</t>
        </is>
      </c>
      <c r="B3430" s="1" t="n">
        <v>44964</v>
      </c>
      <c r="C3430" s="1" t="n">
        <v>45792</v>
      </c>
      <c r="D3430" t="inlineStr">
        <is>
          <t>UPPSALA LÄN</t>
        </is>
      </c>
      <c r="E3430" t="inlineStr">
        <is>
          <t>TIERP</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6155-2023</t>
        </is>
      </c>
      <c r="B3431" s="1" t="n">
        <v>44964</v>
      </c>
      <c r="C3431" s="1" t="n">
        <v>45792</v>
      </c>
      <c r="D3431" t="inlineStr">
        <is>
          <t>UPPSALA LÄN</t>
        </is>
      </c>
      <c r="E3431" t="inlineStr">
        <is>
          <t>UPPSALA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6203-2023</t>
        </is>
      </c>
      <c r="B3432" s="1" t="n">
        <v>44964</v>
      </c>
      <c r="C3432" s="1" t="n">
        <v>45792</v>
      </c>
      <c r="D3432" t="inlineStr">
        <is>
          <t>UPPSALA LÄN</t>
        </is>
      </c>
      <c r="E3432" t="inlineStr">
        <is>
          <t>HEBY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6215-2023</t>
        </is>
      </c>
      <c r="B3433" s="1" t="n">
        <v>44964</v>
      </c>
      <c r="C3433" s="1" t="n">
        <v>45792</v>
      </c>
      <c r="D3433" t="inlineStr">
        <is>
          <t>UPPSALA LÄN</t>
        </is>
      </c>
      <c r="E3433" t="inlineStr">
        <is>
          <t>UPPSALA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6172-2023</t>
        </is>
      </c>
      <c r="B3434" s="1" t="n">
        <v>44964</v>
      </c>
      <c r="C3434" s="1" t="n">
        <v>45792</v>
      </c>
      <c r="D3434" t="inlineStr">
        <is>
          <t>UPPSALA LÄN</t>
        </is>
      </c>
      <c r="E3434" t="inlineStr">
        <is>
          <t>ENKÖPING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6288-2023</t>
        </is>
      </c>
      <c r="B3435" s="1" t="n">
        <v>44965</v>
      </c>
      <c r="C3435" s="1" t="n">
        <v>45792</v>
      </c>
      <c r="D3435" t="inlineStr">
        <is>
          <t>UPPSALA LÄN</t>
        </is>
      </c>
      <c r="E3435" t="inlineStr">
        <is>
          <t>TIERP</t>
        </is>
      </c>
      <c r="F3435" t="inlineStr">
        <is>
          <t>Bergvik skog öst AB</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6364-2023</t>
        </is>
      </c>
      <c r="B3436" s="1" t="n">
        <v>44965</v>
      </c>
      <c r="C3436" s="1" t="n">
        <v>45792</v>
      </c>
      <c r="D3436" t="inlineStr">
        <is>
          <t>UPPSALA LÄN</t>
        </is>
      </c>
      <c r="E3436" t="inlineStr">
        <is>
          <t>TIERP</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6422-2023</t>
        </is>
      </c>
      <c r="B3437" s="1" t="n">
        <v>44965</v>
      </c>
      <c r="C3437" s="1" t="n">
        <v>45792</v>
      </c>
      <c r="D3437" t="inlineStr">
        <is>
          <t>UPPSALA LÄN</t>
        </is>
      </c>
      <c r="E3437" t="inlineStr">
        <is>
          <t>UPPSALA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6423-2023</t>
        </is>
      </c>
      <c r="B3438" s="1" t="n">
        <v>44965</v>
      </c>
      <c r="C3438" s="1" t="n">
        <v>45792</v>
      </c>
      <c r="D3438" t="inlineStr">
        <is>
          <t>UPPSALA LÄN</t>
        </is>
      </c>
      <c r="E3438" t="inlineStr">
        <is>
          <t>UPPSALA</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6602-2023</t>
        </is>
      </c>
      <c r="B3439" s="1" t="n">
        <v>44966</v>
      </c>
      <c r="C3439" s="1" t="n">
        <v>45792</v>
      </c>
      <c r="D3439" t="inlineStr">
        <is>
          <t>UPPSALA LÄN</t>
        </is>
      </c>
      <c r="E3439" t="inlineStr">
        <is>
          <t>UPPSALA</t>
        </is>
      </c>
      <c r="F3439" t="inlineStr">
        <is>
          <t>Allmännings- och besparingsskogar</t>
        </is>
      </c>
      <c r="G3439" t="n">
        <v>20.2</v>
      </c>
      <c r="H3439" t="n">
        <v>0</v>
      </c>
      <c r="I3439" t="n">
        <v>0</v>
      </c>
      <c r="J3439" t="n">
        <v>0</v>
      </c>
      <c r="K3439" t="n">
        <v>0</v>
      </c>
      <c r="L3439" t="n">
        <v>0</v>
      </c>
      <c r="M3439" t="n">
        <v>0</v>
      </c>
      <c r="N3439" t="n">
        <v>0</v>
      </c>
      <c r="O3439" t="n">
        <v>0</v>
      </c>
      <c r="P3439" t="n">
        <v>0</v>
      </c>
      <c r="Q3439" t="n">
        <v>0</v>
      </c>
      <c r="R3439" s="2" t="inlineStr"/>
    </row>
    <row r="3440" ht="15" customHeight="1">
      <c r="A3440" t="inlineStr">
        <is>
          <t>A 6620-2023</t>
        </is>
      </c>
      <c r="B3440" s="1" t="n">
        <v>44966</v>
      </c>
      <c r="C3440" s="1" t="n">
        <v>45792</v>
      </c>
      <c r="D3440" t="inlineStr">
        <is>
          <t>UPPSALA LÄN</t>
        </is>
      </c>
      <c r="E3440" t="inlineStr">
        <is>
          <t>ENKÖPING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6497-2023</t>
        </is>
      </c>
      <c r="B3441" s="1" t="n">
        <v>44966</v>
      </c>
      <c r="C3441" s="1" t="n">
        <v>45792</v>
      </c>
      <c r="D3441" t="inlineStr">
        <is>
          <t>UPPSALA LÄN</t>
        </is>
      </c>
      <c r="E3441" t="inlineStr">
        <is>
          <t>TIERP</t>
        </is>
      </c>
      <c r="F3441" t="inlineStr">
        <is>
          <t>Bergvik skog öst AB</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6623-2023</t>
        </is>
      </c>
      <c r="B3442" s="1" t="n">
        <v>44966</v>
      </c>
      <c r="C3442" s="1" t="n">
        <v>45792</v>
      </c>
      <c r="D3442" t="inlineStr">
        <is>
          <t>UPPSALA LÄN</t>
        </is>
      </c>
      <c r="E3442" t="inlineStr">
        <is>
          <t>ENKÖPING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6624-2023</t>
        </is>
      </c>
      <c r="B3443" s="1" t="n">
        <v>44966</v>
      </c>
      <c r="C3443" s="1" t="n">
        <v>45792</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6626-2023</t>
        </is>
      </c>
      <c r="B3444" s="1" t="n">
        <v>44966</v>
      </c>
      <c r="C3444" s="1" t="n">
        <v>45792</v>
      </c>
      <c r="D3444" t="inlineStr">
        <is>
          <t>UPPSALA LÄN</t>
        </is>
      </c>
      <c r="E3444" t="inlineStr">
        <is>
          <t>ENKÖPING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6692-2023</t>
        </is>
      </c>
      <c r="B3445" s="1" t="n">
        <v>44966</v>
      </c>
      <c r="C3445" s="1" t="n">
        <v>45792</v>
      </c>
      <c r="D3445" t="inlineStr">
        <is>
          <t>UPPSALA LÄN</t>
        </is>
      </c>
      <c r="E3445" t="inlineStr">
        <is>
          <t>HEBY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6749-2023</t>
        </is>
      </c>
      <c r="B3446" s="1" t="n">
        <v>44966</v>
      </c>
      <c r="C3446" s="1" t="n">
        <v>45792</v>
      </c>
      <c r="D3446" t="inlineStr">
        <is>
          <t>UPPSALA LÄN</t>
        </is>
      </c>
      <c r="E3446" t="inlineStr">
        <is>
          <t>UPPSALA</t>
        </is>
      </c>
      <c r="F3446" t="inlineStr">
        <is>
          <t>Allmännings- och besparingsskogar</t>
        </is>
      </c>
      <c r="G3446" t="n">
        <v>13.5</v>
      </c>
      <c r="H3446" t="n">
        <v>0</v>
      </c>
      <c r="I3446" t="n">
        <v>0</v>
      </c>
      <c r="J3446" t="n">
        <v>0</v>
      </c>
      <c r="K3446" t="n">
        <v>0</v>
      </c>
      <c r="L3446" t="n">
        <v>0</v>
      </c>
      <c r="M3446" t="n">
        <v>0</v>
      </c>
      <c r="N3446" t="n">
        <v>0</v>
      </c>
      <c r="O3446" t="n">
        <v>0</v>
      </c>
      <c r="P3446" t="n">
        <v>0</v>
      </c>
      <c r="Q3446" t="n">
        <v>0</v>
      </c>
      <c r="R3446" s="2" t="inlineStr"/>
    </row>
    <row r="3447" ht="15" customHeight="1">
      <c r="A3447" t="inlineStr">
        <is>
          <t>A 7352-2023</t>
        </is>
      </c>
      <c r="B3447" s="1" t="n">
        <v>44966</v>
      </c>
      <c r="C3447" s="1" t="n">
        <v>45792</v>
      </c>
      <c r="D3447" t="inlineStr">
        <is>
          <t>UPPSALA LÄN</t>
        </is>
      </c>
      <c r="E3447" t="inlineStr">
        <is>
          <t>TIERP</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7359-2023</t>
        </is>
      </c>
      <c r="B3448" s="1" t="n">
        <v>44966</v>
      </c>
      <c r="C3448" s="1" t="n">
        <v>45792</v>
      </c>
      <c r="D3448" t="inlineStr">
        <is>
          <t>UPPSALA LÄN</t>
        </is>
      </c>
      <c r="E3448" t="inlineStr">
        <is>
          <t>TIERP</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6839-2023</t>
        </is>
      </c>
      <c r="B3449" s="1" t="n">
        <v>44967</v>
      </c>
      <c r="C3449" s="1" t="n">
        <v>45792</v>
      </c>
      <c r="D3449" t="inlineStr">
        <is>
          <t>UPPSALA LÄN</t>
        </is>
      </c>
      <c r="E3449" t="inlineStr">
        <is>
          <t>ÄLVKARLEBY</t>
        </is>
      </c>
      <c r="F3449" t="inlineStr">
        <is>
          <t>Bergvik skog väst AB</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6930-2023</t>
        </is>
      </c>
      <c r="B3450" s="1" t="n">
        <v>44967</v>
      </c>
      <c r="C3450" s="1" t="n">
        <v>45792</v>
      </c>
      <c r="D3450" t="inlineStr">
        <is>
          <t>UPPSALA LÄN</t>
        </is>
      </c>
      <c r="E3450" t="inlineStr">
        <is>
          <t>UPPSALA</t>
        </is>
      </c>
      <c r="G3450" t="n">
        <v>8.800000000000001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7000-2023</t>
        </is>
      </c>
      <c r="B3451" s="1" t="n">
        <v>44967</v>
      </c>
      <c r="C3451" s="1" t="n">
        <v>45792</v>
      </c>
      <c r="D3451" t="inlineStr">
        <is>
          <t>UPPSALA LÄN</t>
        </is>
      </c>
      <c r="E3451" t="inlineStr">
        <is>
          <t>UPPSALA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6999-2023</t>
        </is>
      </c>
      <c r="B3452" s="1" t="n">
        <v>44967</v>
      </c>
      <c r="C3452" s="1" t="n">
        <v>45792</v>
      </c>
      <c r="D3452" t="inlineStr">
        <is>
          <t>UPPSALA LÄN</t>
        </is>
      </c>
      <c r="E3452" t="inlineStr">
        <is>
          <t>UPPSALA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6997-2023</t>
        </is>
      </c>
      <c r="B3453" s="1" t="n">
        <v>44967</v>
      </c>
      <c r="C3453" s="1" t="n">
        <v>45792</v>
      </c>
      <c r="D3453" t="inlineStr">
        <is>
          <t>UPPSALA LÄN</t>
        </is>
      </c>
      <c r="E3453" t="inlineStr">
        <is>
          <t>UPPSALA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7001-2023</t>
        </is>
      </c>
      <c r="B3454" s="1" t="n">
        <v>44967</v>
      </c>
      <c r="C3454" s="1" t="n">
        <v>45792</v>
      </c>
      <c r="D3454" t="inlineStr">
        <is>
          <t>UPPSALA LÄN</t>
        </is>
      </c>
      <c r="E3454" t="inlineStr">
        <is>
          <t>UPPSALA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7002-2023</t>
        </is>
      </c>
      <c r="B3455" s="1" t="n">
        <v>44967</v>
      </c>
      <c r="C3455" s="1" t="n">
        <v>45792</v>
      </c>
      <c r="D3455" t="inlineStr">
        <is>
          <t>UPPSALA LÄN</t>
        </is>
      </c>
      <c r="E3455" t="inlineStr">
        <is>
          <t>UPPSALA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7611-2023</t>
        </is>
      </c>
      <c r="B3456" s="1" t="n">
        <v>44967</v>
      </c>
      <c r="C3456" s="1" t="n">
        <v>45792</v>
      </c>
      <c r="D3456" t="inlineStr">
        <is>
          <t>UPPSALA LÄN</t>
        </is>
      </c>
      <c r="E3456" t="inlineStr">
        <is>
          <t>UPPSALA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7607-2023</t>
        </is>
      </c>
      <c r="B3457" s="1" t="n">
        <v>44967</v>
      </c>
      <c r="C3457" s="1" t="n">
        <v>45792</v>
      </c>
      <c r="D3457" t="inlineStr">
        <is>
          <t>UPPSALA LÄN</t>
        </is>
      </c>
      <c r="E3457" t="inlineStr">
        <is>
          <t>UPPSALA</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7058-2023</t>
        </is>
      </c>
      <c r="B3458" s="1" t="n">
        <v>44969</v>
      </c>
      <c r="C3458" s="1" t="n">
        <v>45792</v>
      </c>
      <c r="D3458" t="inlineStr">
        <is>
          <t>UPPSALA LÄN</t>
        </is>
      </c>
      <c r="E3458" t="inlineStr">
        <is>
          <t>UPPSALA</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7074-2023</t>
        </is>
      </c>
      <c r="B3459" s="1" t="n">
        <v>44970</v>
      </c>
      <c r="C3459" s="1" t="n">
        <v>45792</v>
      </c>
      <c r="D3459" t="inlineStr">
        <is>
          <t>UPPSALA LÄN</t>
        </is>
      </c>
      <c r="E3459" t="inlineStr">
        <is>
          <t>HÅBO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7084-2023</t>
        </is>
      </c>
      <c r="B3460" s="1" t="n">
        <v>44970</v>
      </c>
      <c r="C3460" s="1" t="n">
        <v>45792</v>
      </c>
      <c r="D3460" t="inlineStr">
        <is>
          <t>UPPSALA LÄN</t>
        </is>
      </c>
      <c r="E3460" t="inlineStr">
        <is>
          <t>UPPSALA</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7195-2023</t>
        </is>
      </c>
      <c r="B3461" s="1" t="n">
        <v>44970</v>
      </c>
      <c r="C3461" s="1" t="n">
        <v>45792</v>
      </c>
      <c r="D3461" t="inlineStr">
        <is>
          <t>UPPSALA LÄN</t>
        </is>
      </c>
      <c r="E3461" t="inlineStr">
        <is>
          <t>ÖSTHAMMAR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7206-2023</t>
        </is>
      </c>
      <c r="B3462" s="1" t="n">
        <v>44970</v>
      </c>
      <c r="C3462" s="1" t="n">
        <v>45792</v>
      </c>
      <c r="D3462" t="inlineStr">
        <is>
          <t>UPPSALA LÄN</t>
        </is>
      </c>
      <c r="E3462" t="inlineStr">
        <is>
          <t>ÖSTHAMMAR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7286-2023</t>
        </is>
      </c>
      <c r="B3463" s="1" t="n">
        <v>44970</v>
      </c>
      <c r="C3463" s="1" t="n">
        <v>45792</v>
      </c>
      <c r="D3463" t="inlineStr">
        <is>
          <t>UPPSALA LÄN</t>
        </is>
      </c>
      <c r="E3463" t="inlineStr">
        <is>
          <t>ÄLVKARLEBY</t>
        </is>
      </c>
      <c r="F3463" t="inlineStr">
        <is>
          <t>Bergvik skog väst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7118-2023</t>
        </is>
      </c>
      <c r="B3464" s="1" t="n">
        <v>44970</v>
      </c>
      <c r="C3464" s="1" t="n">
        <v>45792</v>
      </c>
      <c r="D3464" t="inlineStr">
        <is>
          <t>UPPSALA LÄN</t>
        </is>
      </c>
      <c r="E3464" t="inlineStr">
        <is>
          <t>ÖSTHAMMAR</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7392-2023</t>
        </is>
      </c>
      <c r="B3465" s="1" t="n">
        <v>44971</v>
      </c>
      <c r="C3465" s="1" t="n">
        <v>45792</v>
      </c>
      <c r="D3465" t="inlineStr">
        <is>
          <t>UPPSALA LÄN</t>
        </is>
      </c>
      <c r="E3465" t="inlineStr">
        <is>
          <t>TIERP</t>
        </is>
      </c>
      <c r="F3465" t="inlineStr">
        <is>
          <t>Bergvik skog öst AB</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7370-2023</t>
        </is>
      </c>
      <c r="B3466" s="1" t="n">
        <v>44971</v>
      </c>
      <c r="C3466" s="1" t="n">
        <v>45792</v>
      </c>
      <c r="D3466" t="inlineStr">
        <is>
          <t>UPPSALA LÄN</t>
        </is>
      </c>
      <c r="E3466" t="inlineStr">
        <is>
          <t>TIERP</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8384-2023</t>
        </is>
      </c>
      <c r="B3467" s="1" t="n">
        <v>44971</v>
      </c>
      <c r="C3467" s="1" t="n">
        <v>45792</v>
      </c>
      <c r="D3467" t="inlineStr">
        <is>
          <t>UPPSALA LÄN</t>
        </is>
      </c>
      <c r="E3467" t="inlineStr">
        <is>
          <t>UPPSALA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8286-2023</t>
        </is>
      </c>
      <c r="B3468" s="1" t="n">
        <v>44971</v>
      </c>
      <c r="C3468" s="1" t="n">
        <v>45792</v>
      </c>
      <c r="D3468" t="inlineStr">
        <is>
          <t>UPPSALA LÄN</t>
        </is>
      </c>
      <c r="E3468" t="inlineStr">
        <is>
          <t>UPPSALA</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7546-2023</t>
        </is>
      </c>
      <c r="B3469" s="1" t="n">
        <v>44972</v>
      </c>
      <c r="C3469" s="1" t="n">
        <v>45792</v>
      </c>
      <c r="D3469" t="inlineStr">
        <is>
          <t>UPPSALA LÄN</t>
        </is>
      </c>
      <c r="E3469" t="inlineStr">
        <is>
          <t>ÖSTHAMMAR</t>
        </is>
      </c>
      <c r="F3469" t="inlineStr">
        <is>
          <t>Bergvik skog öst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7543-2023</t>
        </is>
      </c>
      <c r="B3470" s="1" t="n">
        <v>44972</v>
      </c>
      <c r="C3470" s="1" t="n">
        <v>45792</v>
      </c>
      <c r="D3470" t="inlineStr">
        <is>
          <t>UPPSALA LÄN</t>
        </is>
      </c>
      <c r="E3470" t="inlineStr">
        <is>
          <t>ÖSTHAMMAR</t>
        </is>
      </c>
      <c r="F3470" t="inlineStr">
        <is>
          <t>Bergvik skog öst AB</t>
        </is>
      </c>
      <c r="G3470" t="n">
        <v>13.3</v>
      </c>
      <c r="H3470" t="n">
        <v>0</v>
      </c>
      <c r="I3470" t="n">
        <v>0</v>
      </c>
      <c r="J3470" t="n">
        <v>0</v>
      </c>
      <c r="K3470" t="n">
        <v>0</v>
      </c>
      <c r="L3470" t="n">
        <v>0</v>
      </c>
      <c r="M3470" t="n">
        <v>0</v>
      </c>
      <c r="N3470" t="n">
        <v>0</v>
      </c>
      <c r="O3470" t="n">
        <v>0</v>
      </c>
      <c r="P3470" t="n">
        <v>0</v>
      </c>
      <c r="Q3470" t="n">
        <v>0</v>
      </c>
      <c r="R3470" s="2" t="inlineStr"/>
    </row>
    <row r="3471" ht="15" customHeight="1">
      <c r="A3471" t="inlineStr">
        <is>
          <t>A 7560-2023</t>
        </is>
      </c>
      <c r="B3471" s="1" t="n">
        <v>44972</v>
      </c>
      <c r="C3471" s="1" t="n">
        <v>45792</v>
      </c>
      <c r="D3471" t="inlineStr">
        <is>
          <t>UPPSALA LÄN</t>
        </is>
      </c>
      <c r="E3471" t="inlineStr">
        <is>
          <t>ÖSTHAMMAR</t>
        </is>
      </c>
      <c r="F3471" t="inlineStr">
        <is>
          <t>Bergvik skog öst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7577-2023</t>
        </is>
      </c>
      <c r="B3472" s="1" t="n">
        <v>44972</v>
      </c>
      <c r="C3472" s="1" t="n">
        <v>45792</v>
      </c>
      <c r="D3472" t="inlineStr">
        <is>
          <t>UPPSALA LÄN</t>
        </is>
      </c>
      <c r="E3472" t="inlineStr">
        <is>
          <t>UPPSALA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7591-2023</t>
        </is>
      </c>
      <c r="B3473" s="1" t="n">
        <v>44972</v>
      </c>
      <c r="C3473" s="1" t="n">
        <v>45792</v>
      </c>
      <c r="D3473" t="inlineStr">
        <is>
          <t>UPPSALA LÄN</t>
        </is>
      </c>
      <c r="E3473" t="inlineStr">
        <is>
          <t>TIERP</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7663-2023</t>
        </is>
      </c>
      <c r="B3474" s="1" t="n">
        <v>44972</v>
      </c>
      <c r="C3474" s="1" t="n">
        <v>45792</v>
      </c>
      <c r="D3474" t="inlineStr">
        <is>
          <t>UPPSALA LÄN</t>
        </is>
      </c>
      <c r="E3474" t="inlineStr">
        <is>
          <t>UPPSALA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7876-2023</t>
        </is>
      </c>
      <c r="B3475" s="1" t="n">
        <v>44973</v>
      </c>
      <c r="C3475" s="1" t="n">
        <v>45792</v>
      </c>
      <c r="D3475" t="inlineStr">
        <is>
          <t>UPPSALA LÄN</t>
        </is>
      </c>
      <c r="E3475" t="inlineStr">
        <is>
          <t>ÖSTHAMMAR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7944-2023</t>
        </is>
      </c>
      <c r="B3476" s="1" t="n">
        <v>44973</v>
      </c>
      <c r="C3476" s="1" t="n">
        <v>45792</v>
      </c>
      <c r="D3476" t="inlineStr">
        <is>
          <t>UPPSALA LÄN</t>
        </is>
      </c>
      <c r="E3476" t="inlineStr">
        <is>
          <t>ÖSTHAMMAR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7975-2023</t>
        </is>
      </c>
      <c r="B3477" s="1" t="n">
        <v>44973</v>
      </c>
      <c r="C3477" s="1" t="n">
        <v>45792</v>
      </c>
      <c r="D3477" t="inlineStr">
        <is>
          <t>UPPSALA LÄN</t>
        </is>
      </c>
      <c r="E3477" t="inlineStr">
        <is>
          <t>ÖSTHAMMAR</t>
        </is>
      </c>
      <c r="F3477" t="inlineStr">
        <is>
          <t>Bergvik skog öst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7894-2023</t>
        </is>
      </c>
      <c r="B3478" s="1" t="n">
        <v>44973</v>
      </c>
      <c r="C3478" s="1" t="n">
        <v>45792</v>
      </c>
      <c r="D3478" t="inlineStr">
        <is>
          <t>UPPSALA LÄN</t>
        </is>
      </c>
      <c r="E3478" t="inlineStr">
        <is>
          <t>UPPSALA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8006-2023</t>
        </is>
      </c>
      <c r="B3479" s="1" t="n">
        <v>44973</v>
      </c>
      <c r="C3479" s="1" t="n">
        <v>45792</v>
      </c>
      <c r="D3479" t="inlineStr">
        <is>
          <t>UPPSALA LÄN</t>
        </is>
      </c>
      <c r="E3479" t="inlineStr">
        <is>
          <t>ÖSTHAMMAR</t>
        </is>
      </c>
      <c r="F3479" t="inlineStr">
        <is>
          <t>Bergvik skog öst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8914-2023</t>
        </is>
      </c>
      <c r="B3480" s="1" t="n">
        <v>44973</v>
      </c>
      <c r="C3480" s="1" t="n">
        <v>45792</v>
      </c>
      <c r="D3480" t="inlineStr">
        <is>
          <t>UPPSALA LÄN</t>
        </is>
      </c>
      <c r="E3480" t="inlineStr">
        <is>
          <t>TIERP</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8051-2023</t>
        </is>
      </c>
      <c r="B3481" s="1" t="n">
        <v>44974</v>
      </c>
      <c r="C3481" s="1" t="n">
        <v>45792</v>
      </c>
      <c r="D3481" t="inlineStr">
        <is>
          <t>UPPSALA LÄN</t>
        </is>
      </c>
      <c r="E3481" t="inlineStr">
        <is>
          <t>HEBY</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8046-2023</t>
        </is>
      </c>
      <c r="B3482" s="1" t="n">
        <v>44974</v>
      </c>
      <c r="C3482" s="1" t="n">
        <v>45792</v>
      </c>
      <c r="D3482" t="inlineStr">
        <is>
          <t>UPPSALA LÄN</t>
        </is>
      </c>
      <c r="E3482" t="inlineStr">
        <is>
          <t>HEBY</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8162-2023</t>
        </is>
      </c>
      <c r="B3483" s="1" t="n">
        <v>44974</v>
      </c>
      <c r="C3483" s="1" t="n">
        <v>45792</v>
      </c>
      <c r="D3483" t="inlineStr">
        <is>
          <t>UPPSALA LÄN</t>
        </is>
      </c>
      <c r="E3483" t="inlineStr">
        <is>
          <t>UPPSALA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8232-2023</t>
        </is>
      </c>
      <c r="B3484" s="1" t="n">
        <v>44974</v>
      </c>
      <c r="C3484" s="1" t="n">
        <v>45792</v>
      </c>
      <c r="D3484" t="inlineStr">
        <is>
          <t>UPPSALA LÄN</t>
        </is>
      </c>
      <c r="E3484" t="inlineStr">
        <is>
          <t>HEBY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8314-2023</t>
        </is>
      </c>
      <c r="B3485" s="1" t="n">
        <v>44974</v>
      </c>
      <c r="C3485" s="1" t="n">
        <v>45792</v>
      </c>
      <c r="D3485" t="inlineStr">
        <is>
          <t>UPPSALA LÄN</t>
        </is>
      </c>
      <c r="E3485" t="inlineStr">
        <is>
          <t>HEBY</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8473-2023</t>
        </is>
      </c>
      <c r="B3486" s="1" t="n">
        <v>44977</v>
      </c>
      <c r="C3486" s="1" t="n">
        <v>45792</v>
      </c>
      <c r="D3486" t="inlineStr">
        <is>
          <t>UPPSALA LÄN</t>
        </is>
      </c>
      <c r="E3486" t="inlineStr">
        <is>
          <t>UPPSALA</t>
        </is>
      </c>
      <c r="F3486" t="inlineStr">
        <is>
          <t>Holmen skog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8616-2023</t>
        </is>
      </c>
      <c r="B3487" s="1" t="n">
        <v>44977</v>
      </c>
      <c r="C3487" s="1" t="n">
        <v>45792</v>
      </c>
      <c r="D3487" t="inlineStr">
        <is>
          <t>UPPSALA LÄN</t>
        </is>
      </c>
      <c r="E3487" t="inlineStr">
        <is>
          <t>ÖSTHAMMAR</t>
        </is>
      </c>
      <c r="F3487" t="inlineStr">
        <is>
          <t>Bergvik skog öst AB</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9426-2023</t>
        </is>
      </c>
      <c r="B3488" s="1" t="n">
        <v>44977</v>
      </c>
      <c r="C3488" s="1" t="n">
        <v>45792</v>
      </c>
      <c r="D3488" t="inlineStr">
        <is>
          <t>UPPSALA LÄN</t>
        </is>
      </c>
      <c r="E3488" t="inlineStr">
        <is>
          <t>UPPSALA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9398-2023</t>
        </is>
      </c>
      <c r="B3489" s="1" t="n">
        <v>44977</v>
      </c>
      <c r="C3489" s="1" t="n">
        <v>45792</v>
      </c>
      <c r="D3489" t="inlineStr">
        <is>
          <t>UPPSALA LÄN</t>
        </is>
      </c>
      <c r="E3489" t="inlineStr">
        <is>
          <t>UPPSALA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8767-2023</t>
        </is>
      </c>
      <c r="B3490" s="1" t="n">
        <v>44978</v>
      </c>
      <c r="C3490" s="1" t="n">
        <v>45792</v>
      </c>
      <c r="D3490" t="inlineStr">
        <is>
          <t>UPPSALA LÄN</t>
        </is>
      </c>
      <c r="E3490" t="inlineStr">
        <is>
          <t>TIERP</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8777-2023</t>
        </is>
      </c>
      <c r="B3491" s="1" t="n">
        <v>44978</v>
      </c>
      <c r="C3491" s="1" t="n">
        <v>45792</v>
      </c>
      <c r="D3491" t="inlineStr">
        <is>
          <t>UPPSALA LÄN</t>
        </is>
      </c>
      <c r="E3491" t="inlineStr">
        <is>
          <t>HEBY</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8775-2023</t>
        </is>
      </c>
      <c r="B3492" s="1" t="n">
        <v>44978</v>
      </c>
      <c r="C3492" s="1" t="n">
        <v>45792</v>
      </c>
      <c r="D3492" t="inlineStr">
        <is>
          <t>UPPSALA LÄN</t>
        </is>
      </c>
      <c r="E3492" t="inlineStr">
        <is>
          <t>HEBY</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8768-2023</t>
        </is>
      </c>
      <c r="B3493" s="1" t="n">
        <v>44978</v>
      </c>
      <c r="C3493" s="1" t="n">
        <v>45792</v>
      </c>
      <c r="D3493" t="inlineStr">
        <is>
          <t>UPPSALA LÄN</t>
        </is>
      </c>
      <c r="E3493" t="inlineStr">
        <is>
          <t>TIERP</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8774-2023</t>
        </is>
      </c>
      <c r="B3494" s="1" t="n">
        <v>44978</v>
      </c>
      <c r="C3494" s="1" t="n">
        <v>45792</v>
      </c>
      <c r="D3494" t="inlineStr">
        <is>
          <t>UPPSALA LÄN</t>
        </is>
      </c>
      <c r="E3494" t="inlineStr">
        <is>
          <t>TIERP</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8783-2023</t>
        </is>
      </c>
      <c r="B3495" s="1" t="n">
        <v>44978</v>
      </c>
      <c r="C3495" s="1" t="n">
        <v>45792</v>
      </c>
      <c r="D3495" t="inlineStr">
        <is>
          <t>UPPSALA LÄN</t>
        </is>
      </c>
      <c r="E3495" t="inlineStr">
        <is>
          <t>HEBY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8826-2023</t>
        </is>
      </c>
      <c r="B3496" s="1" t="n">
        <v>44978</v>
      </c>
      <c r="C3496" s="1" t="n">
        <v>45792</v>
      </c>
      <c r="D3496" t="inlineStr">
        <is>
          <t>UPPSALA LÄN</t>
        </is>
      </c>
      <c r="E3496" t="inlineStr">
        <is>
          <t>ÖSTHAMMAR</t>
        </is>
      </c>
      <c r="F3496" t="inlineStr">
        <is>
          <t>Bergvik skog öst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8772-2023</t>
        </is>
      </c>
      <c r="B3497" s="1" t="n">
        <v>44978</v>
      </c>
      <c r="C3497" s="1" t="n">
        <v>45792</v>
      </c>
      <c r="D3497" t="inlineStr">
        <is>
          <t>UPPSALA LÄN</t>
        </is>
      </c>
      <c r="E3497" t="inlineStr">
        <is>
          <t>TIERP</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8790-2023</t>
        </is>
      </c>
      <c r="B3498" s="1" t="n">
        <v>44978</v>
      </c>
      <c r="C3498" s="1" t="n">
        <v>45792</v>
      </c>
      <c r="D3498" t="inlineStr">
        <is>
          <t>UPPSALA LÄN</t>
        </is>
      </c>
      <c r="E3498" t="inlineStr">
        <is>
          <t>HEBY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8830-2023</t>
        </is>
      </c>
      <c r="B3499" s="1" t="n">
        <v>44978</v>
      </c>
      <c r="C3499" s="1" t="n">
        <v>45792</v>
      </c>
      <c r="D3499" t="inlineStr">
        <is>
          <t>UPPSALA LÄN</t>
        </is>
      </c>
      <c r="E3499" t="inlineStr">
        <is>
          <t>ÖSTHAMMAR</t>
        </is>
      </c>
      <c r="F3499" t="inlineStr">
        <is>
          <t>Bergvik skog öst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8805-2023</t>
        </is>
      </c>
      <c r="B3500" s="1" t="n">
        <v>44978</v>
      </c>
      <c r="C3500" s="1" t="n">
        <v>45792</v>
      </c>
      <c r="D3500" t="inlineStr">
        <is>
          <t>UPPSALA LÄN</t>
        </is>
      </c>
      <c r="E3500" t="inlineStr">
        <is>
          <t>HEBY</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9957-2023</t>
        </is>
      </c>
      <c r="B3501" s="1" t="n">
        <v>44978</v>
      </c>
      <c r="C3501" s="1" t="n">
        <v>45792</v>
      </c>
      <c r="D3501" t="inlineStr">
        <is>
          <t>UPPSALA LÄN</t>
        </is>
      </c>
      <c r="E3501" t="inlineStr">
        <is>
          <t>ENKÖPING</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9958-2023</t>
        </is>
      </c>
      <c r="B3502" s="1" t="n">
        <v>44978</v>
      </c>
      <c r="C3502" s="1" t="n">
        <v>45792</v>
      </c>
      <c r="D3502" t="inlineStr">
        <is>
          <t>UPPSALA LÄN</t>
        </is>
      </c>
      <c r="E3502" t="inlineStr">
        <is>
          <t>ENKÖPING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9041-2023</t>
        </is>
      </c>
      <c r="B3503" s="1" t="n">
        <v>44979</v>
      </c>
      <c r="C3503" s="1" t="n">
        <v>45792</v>
      </c>
      <c r="D3503" t="inlineStr">
        <is>
          <t>UPPSALA LÄN</t>
        </is>
      </c>
      <c r="E3503" t="inlineStr">
        <is>
          <t>ENKÖPING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9030-2023</t>
        </is>
      </c>
      <c r="B3504" s="1" t="n">
        <v>44979</v>
      </c>
      <c r="C3504" s="1" t="n">
        <v>45792</v>
      </c>
      <c r="D3504" t="inlineStr">
        <is>
          <t>UPPSALA LÄN</t>
        </is>
      </c>
      <c r="E3504" t="inlineStr">
        <is>
          <t>TIERP</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9043-2023</t>
        </is>
      </c>
      <c r="B3505" s="1" t="n">
        <v>44979</v>
      </c>
      <c r="C3505" s="1" t="n">
        <v>45792</v>
      </c>
      <c r="D3505" t="inlineStr">
        <is>
          <t>UPPSALA LÄN</t>
        </is>
      </c>
      <c r="E3505" t="inlineStr">
        <is>
          <t>HEBY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9052-2023</t>
        </is>
      </c>
      <c r="B3506" s="1" t="n">
        <v>44979</v>
      </c>
      <c r="C3506" s="1" t="n">
        <v>45792</v>
      </c>
      <c r="D3506" t="inlineStr">
        <is>
          <t>UPPSALA LÄN</t>
        </is>
      </c>
      <c r="E3506" t="inlineStr">
        <is>
          <t>ÖSTHAMMAR</t>
        </is>
      </c>
      <c r="F3506" t="inlineStr">
        <is>
          <t>Kyrkan</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9243-2023</t>
        </is>
      </c>
      <c r="B3507" s="1" t="n">
        <v>44980</v>
      </c>
      <c r="C3507" s="1" t="n">
        <v>45792</v>
      </c>
      <c r="D3507" t="inlineStr">
        <is>
          <t>UPPSALA LÄN</t>
        </is>
      </c>
      <c r="E3507" t="inlineStr">
        <is>
          <t>HEBY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9295-2023</t>
        </is>
      </c>
      <c r="B3508" s="1" t="n">
        <v>44980</v>
      </c>
      <c r="C3508" s="1" t="n">
        <v>45792</v>
      </c>
      <c r="D3508" t="inlineStr">
        <is>
          <t>UPPSALA LÄN</t>
        </is>
      </c>
      <c r="E3508" t="inlineStr">
        <is>
          <t>UPPSALA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9231-2023</t>
        </is>
      </c>
      <c r="B3509" s="1" t="n">
        <v>44980</v>
      </c>
      <c r="C3509" s="1" t="n">
        <v>45792</v>
      </c>
      <c r="D3509" t="inlineStr">
        <is>
          <t>UPPSALA LÄN</t>
        </is>
      </c>
      <c r="E3509" t="inlineStr">
        <is>
          <t>ENKÖPING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9261-2023</t>
        </is>
      </c>
      <c r="B3510" s="1" t="n">
        <v>44980</v>
      </c>
      <c r="C3510" s="1" t="n">
        <v>45792</v>
      </c>
      <c r="D3510" t="inlineStr">
        <is>
          <t>UPPSALA LÄN</t>
        </is>
      </c>
      <c r="E3510" t="inlineStr">
        <is>
          <t>UPPSALA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9291-2023</t>
        </is>
      </c>
      <c r="B3511" s="1" t="n">
        <v>44980</v>
      </c>
      <c r="C3511" s="1" t="n">
        <v>45792</v>
      </c>
      <c r="D3511" t="inlineStr">
        <is>
          <t>UPPSALA LÄN</t>
        </is>
      </c>
      <c r="E3511" t="inlineStr">
        <is>
          <t>UPPSALA</t>
        </is>
      </c>
      <c r="G3511" t="n">
        <v>12.9</v>
      </c>
      <c r="H3511" t="n">
        <v>0</v>
      </c>
      <c r="I3511" t="n">
        <v>0</v>
      </c>
      <c r="J3511" t="n">
        <v>0</v>
      </c>
      <c r="K3511" t="n">
        <v>0</v>
      </c>
      <c r="L3511" t="n">
        <v>0</v>
      </c>
      <c r="M3511" t="n">
        <v>0</v>
      </c>
      <c r="N3511" t="n">
        <v>0</v>
      </c>
      <c r="O3511" t="n">
        <v>0</v>
      </c>
      <c r="P3511" t="n">
        <v>0</v>
      </c>
      <c r="Q3511" t="n">
        <v>0</v>
      </c>
      <c r="R3511" s="2" t="inlineStr"/>
    </row>
    <row r="3512" ht="15" customHeight="1">
      <c r="A3512" t="inlineStr">
        <is>
          <t>A 9313-2023</t>
        </is>
      </c>
      <c r="B3512" s="1" t="n">
        <v>44980</v>
      </c>
      <c r="C3512" s="1" t="n">
        <v>45792</v>
      </c>
      <c r="D3512" t="inlineStr">
        <is>
          <t>UPPSALA LÄN</t>
        </is>
      </c>
      <c r="E3512" t="inlineStr">
        <is>
          <t>UPPSALA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9230-2023</t>
        </is>
      </c>
      <c r="B3513" s="1" t="n">
        <v>44980</v>
      </c>
      <c r="C3513" s="1" t="n">
        <v>45792</v>
      </c>
      <c r="D3513" t="inlineStr">
        <is>
          <t>UPPSALA LÄN</t>
        </is>
      </c>
      <c r="E3513" t="inlineStr">
        <is>
          <t>TIERP</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9238-2023</t>
        </is>
      </c>
      <c r="B3514" s="1" t="n">
        <v>44980</v>
      </c>
      <c r="C3514" s="1" t="n">
        <v>45792</v>
      </c>
      <c r="D3514" t="inlineStr">
        <is>
          <t>UPPSALA LÄN</t>
        </is>
      </c>
      <c r="E3514" t="inlineStr">
        <is>
          <t>TIERP</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9290-2023</t>
        </is>
      </c>
      <c r="B3515" s="1" t="n">
        <v>44980</v>
      </c>
      <c r="C3515" s="1" t="n">
        <v>45792</v>
      </c>
      <c r="D3515" t="inlineStr">
        <is>
          <t>UPPSALA LÄN</t>
        </is>
      </c>
      <c r="E3515" t="inlineStr">
        <is>
          <t>TIERP</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9432-2023</t>
        </is>
      </c>
      <c r="B3516" s="1" t="n">
        <v>44981</v>
      </c>
      <c r="C3516" s="1" t="n">
        <v>45792</v>
      </c>
      <c r="D3516" t="inlineStr">
        <is>
          <t>UPPSALA LÄN</t>
        </is>
      </c>
      <c r="E3516" t="inlineStr">
        <is>
          <t>TIERP</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9443-2023</t>
        </is>
      </c>
      <c r="B3517" s="1" t="n">
        <v>44981</v>
      </c>
      <c r="C3517" s="1" t="n">
        <v>45792</v>
      </c>
      <c r="D3517" t="inlineStr">
        <is>
          <t>UPPSALA LÄN</t>
        </is>
      </c>
      <c r="E3517" t="inlineStr">
        <is>
          <t>HEBY</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9446-2023</t>
        </is>
      </c>
      <c r="B3518" s="1" t="n">
        <v>44981</v>
      </c>
      <c r="C3518" s="1" t="n">
        <v>45792</v>
      </c>
      <c r="D3518" t="inlineStr">
        <is>
          <t>UPPSALA LÄN</t>
        </is>
      </c>
      <c r="E3518" t="inlineStr">
        <is>
          <t>HEBY</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9461-2023</t>
        </is>
      </c>
      <c r="B3519" s="1" t="n">
        <v>44981</v>
      </c>
      <c r="C3519" s="1" t="n">
        <v>45792</v>
      </c>
      <c r="D3519" t="inlineStr">
        <is>
          <t>UPPSALA LÄN</t>
        </is>
      </c>
      <c r="E3519" t="inlineStr">
        <is>
          <t>HEBY</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9543-2023</t>
        </is>
      </c>
      <c r="B3520" s="1" t="n">
        <v>44981</v>
      </c>
      <c r="C3520" s="1" t="n">
        <v>45792</v>
      </c>
      <c r="D3520" t="inlineStr">
        <is>
          <t>UPPSALA LÄN</t>
        </is>
      </c>
      <c r="E3520" t="inlineStr">
        <is>
          <t>ÖSTHAMMAR</t>
        </is>
      </c>
      <c r="F3520" t="inlineStr">
        <is>
          <t>Bergvik skog öst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9494-2023</t>
        </is>
      </c>
      <c r="B3521" s="1" t="n">
        <v>44981</v>
      </c>
      <c r="C3521" s="1" t="n">
        <v>45792</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9497-2023</t>
        </is>
      </c>
      <c r="B3522" s="1" t="n">
        <v>44981</v>
      </c>
      <c r="C3522" s="1" t="n">
        <v>45792</v>
      </c>
      <c r="D3522" t="inlineStr">
        <is>
          <t>UPPSALA LÄN</t>
        </is>
      </c>
      <c r="E3522" t="inlineStr">
        <is>
          <t>HEBY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9542-2023</t>
        </is>
      </c>
      <c r="B3523" s="1" t="n">
        <v>44981</v>
      </c>
      <c r="C3523" s="1" t="n">
        <v>45792</v>
      </c>
      <c r="D3523" t="inlineStr">
        <is>
          <t>UPPSALA LÄN</t>
        </is>
      </c>
      <c r="E3523" t="inlineStr">
        <is>
          <t>ÖSTHAMMAR</t>
        </is>
      </c>
      <c r="F3523" t="inlineStr">
        <is>
          <t>Bergvik skog öst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9664-2023</t>
        </is>
      </c>
      <c r="B3524" s="1" t="n">
        <v>44984</v>
      </c>
      <c r="C3524" s="1" t="n">
        <v>45792</v>
      </c>
      <c r="D3524" t="inlineStr">
        <is>
          <t>UPPSALA LÄN</t>
        </is>
      </c>
      <c r="E3524" t="inlineStr">
        <is>
          <t>TIERP</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9687-2023</t>
        </is>
      </c>
      <c r="B3525" s="1" t="n">
        <v>44984</v>
      </c>
      <c r="C3525" s="1" t="n">
        <v>45792</v>
      </c>
      <c r="D3525" t="inlineStr">
        <is>
          <t>UPPSALA LÄN</t>
        </is>
      </c>
      <c r="E3525" t="inlineStr">
        <is>
          <t>HEBY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9675-2023</t>
        </is>
      </c>
      <c r="B3526" s="1" t="n">
        <v>44984</v>
      </c>
      <c r="C3526" s="1" t="n">
        <v>45792</v>
      </c>
      <c r="D3526" t="inlineStr">
        <is>
          <t>UPPSALA LÄN</t>
        </is>
      </c>
      <c r="E3526" t="inlineStr">
        <is>
          <t>HEBY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9761-2023</t>
        </is>
      </c>
      <c r="B3527" s="1" t="n">
        <v>44984</v>
      </c>
      <c r="C3527" s="1" t="n">
        <v>45792</v>
      </c>
      <c r="D3527" t="inlineStr">
        <is>
          <t>UPPSALA LÄN</t>
        </is>
      </c>
      <c r="E3527" t="inlineStr">
        <is>
          <t>HEBY</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9769-2023</t>
        </is>
      </c>
      <c r="B3528" s="1" t="n">
        <v>44984</v>
      </c>
      <c r="C3528" s="1" t="n">
        <v>45792</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9817-2023</t>
        </is>
      </c>
      <c r="B3529" s="1" t="n">
        <v>44984</v>
      </c>
      <c r="C3529" s="1" t="n">
        <v>45792</v>
      </c>
      <c r="D3529" t="inlineStr">
        <is>
          <t>UPPSALA LÄN</t>
        </is>
      </c>
      <c r="E3529" t="inlineStr">
        <is>
          <t>UPPSALA</t>
        </is>
      </c>
      <c r="F3529" t="inlineStr">
        <is>
          <t>Kyrkan</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9767-2023</t>
        </is>
      </c>
      <c r="B3530" s="1" t="n">
        <v>44984</v>
      </c>
      <c r="C3530" s="1" t="n">
        <v>45792</v>
      </c>
      <c r="D3530" t="inlineStr">
        <is>
          <t>UPPSALA LÄN</t>
        </is>
      </c>
      <c r="E3530" t="inlineStr">
        <is>
          <t>HEBY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9814-2023</t>
        </is>
      </c>
      <c r="B3531" s="1" t="n">
        <v>44984</v>
      </c>
      <c r="C3531" s="1" t="n">
        <v>45792</v>
      </c>
      <c r="D3531" t="inlineStr">
        <is>
          <t>UPPSALA LÄN</t>
        </is>
      </c>
      <c r="E3531" t="inlineStr">
        <is>
          <t>UPPSALA</t>
        </is>
      </c>
      <c r="F3531" t="inlineStr">
        <is>
          <t>Kyrkan</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9758-2023</t>
        </is>
      </c>
      <c r="B3532" s="1" t="n">
        <v>44984</v>
      </c>
      <c r="C3532" s="1" t="n">
        <v>45792</v>
      </c>
      <c r="D3532" t="inlineStr">
        <is>
          <t>UPPSALA LÄN</t>
        </is>
      </c>
      <c r="E3532" t="inlineStr">
        <is>
          <t>HEBY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9766-2023</t>
        </is>
      </c>
      <c r="B3533" s="1" t="n">
        <v>44984</v>
      </c>
      <c r="C3533" s="1" t="n">
        <v>45792</v>
      </c>
      <c r="D3533" t="inlineStr">
        <is>
          <t>UPPSALA LÄN</t>
        </is>
      </c>
      <c r="E3533" t="inlineStr">
        <is>
          <t>HEBY</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9773-2023</t>
        </is>
      </c>
      <c r="B3534" s="1" t="n">
        <v>44984</v>
      </c>
      <c r="C3534" s="1" t="n">
        <v>45792</v>
      </c>
      <c r="D3534" t="inlineStr">
        <is>
          <t>UPPSALA LÄN</t>
        </is>
      </c>
      <c r="E3534" t="inlineStr">
        <is>
          <t>HEBY</t>
        </is>
      </c>
      <c r="F3534" t="inlineStr">
        <is>
          <t>Allmännings- och besparingsskogar</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9811-2023</t>
        </is>
      </c>
      <c r="B3535" s="1" t="n">
        <v>44984</v>
      </c>
      <c r="C3535" s="1" t="n">
        <v>45792</v>
      </c>
      <c r="D3535" t="inlineStr">
        <is>
          <t>UPPSALA LÄN</t>
        </is>
      </c>
      <c r="E3535" t="inlineStr">
        <is>
          <t>UPPSALA</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9820-2023</t>
        </is>
      </c>
      <c r="B3536" s="1" t="n">
        <v>44984</v>
      </c>
      <c r="C3536" s="1" t="n">
        <v>45792</v>
      </c>
      <c r="D3536" t="inlineStr">
        <is>
          <t>UPPSALA LÄN</t>
        </is>
      </c>
      <c r="E3536" t="inlineStr">
        <is>
          <t>UPPSALA</t>
        </is>
      </c>
      <c r="F3536" t="inlineStr">
        <is>
          <t>Kyrkan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10005-2023</t>
        </is>
      </c>
      <c r="B3537" s="1" t="n">
        <v>44985</v>
      </c>
      <c r="C3537" s="1" t="n">
        <v>45792</v>
      </c>
      <c r="D3537" t="inlineStr">
        <is>
          <t>UPPSALA LÄN</t>
        </is>
      </c>
      <c r="E3537" t="inlineStr">
        <is>
          <t>UPPSALA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10204-2023</t>
        </is>
      </c>
      <c r="B3538" s="1" t="n">
        <v>44986</v>
      </c>
      <c r="C3538" s="1" t="n">
        <v>45792</v>
      </c>
      <c r="D3538" t="inlineStr">
        <is>
          <t>UPPSALA LÄN</t>
        </is>
      </c>
      <c r="E3538" t="inlineStr">
        <is>
          <t>TIERP</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10216-2023</t>
        </is>
      </c>
      <c r="B3539" s="1" t="n">
        <v>44986</v>
      </c>
      <c r="C3539" s="1" t="n">
        <v>45792</v>
      </c>
      <c r="D3539" t="inlineStr">
        <is>
          <t>UPPSALA LÄN</t>
        </is>
      </c>
      <c r="E3539" t="inlineStr">
        <is>
          <t>TIERP</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10199-2023</t>
        </is>
      </c>
      <c r="B3540" s="1" t="n">
        <v>44986</v>
      </c>
      <c r="C3540" s="1" t="n">
        <v>45792</v>
      </c>
      <c r="D3540" t="inlineStr">
        <is>
          <t>UPPSALA LÄN</t>
        </is>
      </c>
      <c r="E3540" t="inlineStr">
        <is>
          <t>TIERP</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10449-2023</t>
        </is>
      </c>
      <c r="B3541" s="1" t="n">
        <v>44987</v>
      </c>
      <c r="C3541" s="1" t="n">
        <v>45792</v>
      </c>
      <c r="D3541" t="inlineStr">
        <is>
          <t>UPPSALA LÄN</t>
        </is>
      </c>
      <c r="E3541" t="inlineStr">
        <is>
          <t>ÖSTHAMMAR</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10451-2023</t>
        </is>
      </c>
      <c r="B3542" s="1" t="n">
        <v>44987</v>
      </c>
      <c r="C3542" s="1" t="n">
        <v>45792</v>
      </c>
      <c r="D3542" t="inlineStr">
        <is>
          <t>UPPSALA LÄN</t>
        </is>
      </c>
      <c r="E3542" t="inlineStr">
        <is>
          <t>HEBY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10448-2023</t>
        </is>
      </c>
      <c r="B3543" s="1" t="n">
        <v>44987</v>
      </c>
      <c r="C3543" s="1" t="n">
        <v>45792</v>
      </c>
      <c r="D3543" t="inlineStr">
        <is>
          <t>UPPSALA LÄN</t>
        </is>
      </c>
      <c r="E3543" t="inlineStr">
        <is>
          <t>HEBY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11191-2023</t>
        </is>
      </c>
      <c r="B3544" s="1" t="n">
        <v>44987</v>
      </c>
      <c r="C3544" s="1" t="n">
        <v>45792</v>
      </c>
      <c r="D3544" t="inlineStr">
        <is>
          <t>UPPSALA LÄN</t>
        </is>
      </c>
      <c r="E3544" t="inlineStr">
        <is>
          <t>KNIVSTA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10669-2023</t>
        </is>
      </c>
      <c r="B3545" s="1" t="n">
        <v>44988</v>
      </c>
      <c r="C3545" s="1" t="n">
        <v>45792</v>
      </c>
      <c r="D3545" t="inlineStr">
        <is>
          <t>UPPSALA LÄN</t>
        </is>
      </c>
      <c r="E3545" t="inlineStr">
        <is>
          <t>UPPSALA</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10594-2023</t>
        </is>
      </c>
      <c r="B3546" s="1" t="n">
        <v>44988</v>
      </c>
      <c r="C3546" s="1" t="n">
        <v>45792</v>
      </c>
      <c r="D3546" t="inlineStr">
        <is>
          <t>UPPSALA LÄN</t>
        </is>
      </c>
      <c r="E3546" t="inlineStr">
        <is>
          <t>TIERP</t>
        </is>
      </c>
      <c r="F3546" t="inlineStr">
        <is>
          <t>Bergvik skog öst AB</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10898-2023</t>
        </is>
      </c>
      <c r="B3547" s="1" t="n">
        <v>44991</v>
      </c>
      <c r="C3547" s="1" t="n">
        <v>45792</v>
      </c>
      <c r="D3547" t="inlineStr">
        <is>
          <t>UPPSALA LÄN</t>
        </is>
      </c>
      <c r="E3547" t="inlineStr">
        <is>
          <t>KNIVSTA</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11017-2023</t>
        </is>
      </c>
      <c r="B3548" s="1" t="n">
        <v>44991</v>
      </c>
      <c r="C3548" s="1" t="n">
        <v>45792</v>
      </c>
      <c r="D3548" t="inlineStr">
        <is>
          <t>UPPSALA LÄN</t>
        </is>
      </c>
      <c r="E3548" t="inlineStr">
        <is>
          <t>ÖSTHAMMAR</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10914-2023</t>
        </is>
      </c>
      <c r="B3549" s="1" t="n">
        <v>44991</v>
      </c>
      <c r="C3549" s="1" t="n">
        <v>45792</v>
      </c>
      <c r="D3549" t="inlineStr">
        <is>
          <t>UPPSALA LÄN</t>
        </is>
      </c>
      <c r="E3549" t="inlineStr">
        <is>
          <t>KNIVSTA</t>
        </is>
      </c>
      <c r="F3549" t="inlineStr">
        <is>
          <t>Holmen skog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10943-2023</t>
        </is>
      </c>
      <c r="B3550" s="1" t="n">
        <v>44991</v>
      </c>
      <c r="C3550" s="1" t="n">
        <v>45792</v>
      </c>
      <c r="D3550" t="inlineStr">
        <is>
          <t>UPPSALA LÄN</t>
        </is>
      </c>
      <c r="E3550" t="inlineStr">
        <is>
          <t>TIERP</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10982-2023</t>
        </is>
      </c>
      <c r="B3551" s="1" t="n">
        <v>44991</v>
      </c>
      <c r="C3551" s="1" t="n">
        <v>45792</v>
      </c>
      <c r="D3551" t="inlineStr">
        <is>
          <t>UPPSALA LÄN</t>
        </is>
      </c>
      <c r="E3551" t="inlineStr">
        <is>
          <t>ÖSTHAMMAR</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11008-2023</t>
        </is>
      </c>
      <c r="B3552" s="1" t="n">
        <v>44991</v>
      </c>
      <c r="C3552" s="1" t="n">
        <v>45792</v>
      </c>
      <c r="D3552" t="inlineStr">
        <is>
          <t>UPPSALA LÄN</t>
        </is>
      </c>
      <c r="E3552" t="inlineStr">
        <is>
          <t>ÖSTHAMMAR</t>
        </is>
      </c>
      <c r="F3552" t="inlineStr">
        <is>
          <t>Bergvik skog öst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11015-2023</t>
        </is>
      </c>
      <c r="B3553" s="1" t="n">
        <v>44991</v>
      </c>
      <c r="C3553" s="1" t="n">
        <v>45792</v>
      </c>
      <c r="D3553" t="inlineStr">
        <is>
          <t>UPPSALA LÄN</t>
        </is>
      </c>
      <c r="E3553" t="inlineStr">
        <is>
          <t>ÖSTHAMMAR</t>
        </is>
      </c>
      <c r="F3553" t="inlineStr">
        <is>
          <t>Bergvik skog öst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11005-2023</t>
        </is>
      </c>
      <c r="B3554" s="1" t="n">
        <v>44991</v>
      </c>
      <c r="C3554" s="1" t="n">
        <v>45792</v>
      </c>
      <c r="D3554" t="inlineStr">
        <is>
          <t>UPPSALA LÄN</t>
        </is>
      </c>
      <c r="E3554" t="inlineStr">
        <is>
          <t>ENKÖPING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11036-2023</t>
        </is>
      </c>
      <c r="B3555" s="1" t="n">
        <v>44991</v>
      </c>
      <c r="C3555" s="1" t="n">
        <v>45792</v>
      </c>
      <c r="D3555" t="inlineStr">
        <is>
          <t>UPPSALA LÄN</t>
        </is>
      </c>
      <c r="E3555" t="inlineStr">
        <is>
          <t>ÖSTHAMMAR</t>
        </is>
      </c>
      <c r="F3555" t="inlineStr">
        <is>
          <t>Bergvik skog öst AB</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11484-2023</t>
        </is>
      </c>
      <c r="B3556" s="1" t="n">
        <v>44991</v>
      </c>
      <c r="C3556" s="1" t="n">
        <v>45792</v>
      </c>
      <c r="D3556" t="inlineStr">
        <is>
          <t>UPPSALA LÄN</t>
        </is>
      </c>
      <c r="E3556" t="inlineStr">
        <is>
          <t>UPPSALA</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10940-2023</t>
        </is>
      </c>
      <c r="B3557" s="1" t="n">
        <v>44991</v>
      </c>
      <c r="C3557" s="1" t="n">
        <v>45792</v>
      </c>
      <c r="D3557" t="inlineStr">
        <is>
          <t>UPPSALA LÄN</t>
        </is>
      </c>
      <c r="E3557" t="inlineStr">
        <is>
          <t>TIERP</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11009-2023</t>
        </is>
      </c>
      <c r="B3558" s="1" t="n">
        <v>44991</v>
      </c>
      <c r="C3558" s="1" t="n">
        <v>45792</v>
      </c>
      <c r="D3558" t="inlineStr">
        <is>
          <t>UPPSALA LÄN</t>
        </is>
      </c>
      <c r="E3558" t="inlineStr">
        <is>
          <t>ÖSTHAMMAR</t>
        </is>
      </c>
      <c r="F3558" t="inlineStr">
        <is>
          <t>Bergvik skog öst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11033-2023</t>
        </is>
      </c>
      <c r="B3559" s="1" t="n">
        <v>44991</v>
      </c>
      <c r="C3559" s="1" t="n">
        <v>45792</v>
      </c>
      <c r="D3559" t="inlineStr">
        <is>
          <t>UPPSALA LÄN</t>
        </is>
      </c>
      <c r="E3559" t="inlineStr">
        <is>
          <t>ÖSTHAMMAR</t>
        </is>
      </c>
      <c r="F3559" t="inlineStr">
        <is>
          <t>Bergvik skog öst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11282-2023</t>
        </is>
      </c>
      <c r="B3560" s="1" t="n">
        <v>44992</v>
      </c>
      <c r="C3560" s="1" t="n">
        <v>45792</v>
      </c>
      <c r="D3560" t="inlineStr">
        <is>
          <t>UPPSALA LÄN</t>
        </is>
      </c>
      <c r="E3560" t="inlineStr">
        <is>
          <t>ÖSTHAMMAR</t>
        </is>
      </c>
      <c r="F3560" t="inlineStr">
        <is>
          <t>Bergvik skog öst AB</t>
        </is>
      </c>
      <c r="G3560" t="n">
        <v>12.3</v>
      </c>
      <c r="H3560" t="n">
        <v>0</v>
      </c>
      <c r="I3560" t="n">
        <v>0</v>
      </c>
      <c r="J3560" t="n">
        <v>0</v>
      </c>
      <c r="K3560" t="n">
        <v>0</v>
      </c>
      <c r="L3560" t="n">
        <v>0</v>
      </c>
      <c r="M3560" t="n">
        <v>0</v>
      </c>
      <c r="N3560" t="n">
        <v>0</v>
      </c>
      <c r="O3560" t="n">
        <v>0</v>
      </c>
      <c r="P3560" t="n">
        <v>0</v>
      </c>
      <c r="Q3560" t="n">
        <v>0</v>
      </c>
      <c r="R3560" s="2" t="inlineStr"/>
    </row>
    <row r="3561" ht="15" customHeight="1">
      <c r="A3561" t="inlineStr">
        <is>
          <t>A 11281-2023</t>
        </is>
      </c>
      <c r="B3561" s="1" t="n">
        <v>44992</v>
      </c>
      <c r="C3561" s="1" t="n">
        <v>45792</v>
      </c>
      <c r="D3561" t="inlineStr">
        <is>
          <t>UPPSALA LÄN</t>
        </is>
      </c>
      <c r="E3561" t="inlineStr">
        <is>
          <t>ÖSTHAMMAR</t>
        </is>
      </c>
      <c r="F3561" t="inlineStr">
        <is>
          <t>Bergvik skog öst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11452-2023</t>
        </is>
      </c>
      <c r="B3562" s="1" t="n">
        <v>44993</v>
      </c>
      <c r="C3562" s="1" t="n">
        <v>45792</v>
      </c>
      <c r="D3562" t="inlineStr">
        <is>
          <t>UPPSALA LÄN</t>
        </is>
      </c>
      <c r="E3562" t="inlineStr">
        <is>
          <t>KNIVSTA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11503-2023</t>
        </is>
      </c>
      <c r="B3563" s="1" t="n">
        <v>44993</v>
      </c>
      <c r="C3563" s="1" t="n">
        <v>45792</v>
      </c>
      <c r="D3563" t="inlineStr">
        <is>
          <t>UPPSALA LÄN</t>
        </is>
      </c>
      <c r="E3563" t="inlineStr">
        <is>
          <t>HEBY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11450-2023</t>
        </is>
      </c>
      <c r="B3564" s="1" t="n">
        <v>44993</v>
      </c>
      <c r="C3564" s="1" t="n">
        <v>45792</v>
      </c>
      <c r="D3564" t="inlineStr">
        <is>
          <t>UPPSALA LÄN</t>
        </is>
      </c>
      <c r="E3564" t="inlineStr">
        <is>
          <t>KNIVSTA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11469-2023</t>
        </is>
      </c>
      <c r="B3565" s="1" t="n">
        <v>44993</v>
      </c>
      <c r="C3565" s="1" t="n">
        <v>45792</v>
      </c>
      <c r="D3565" t="inlineStr">
        <is>
          <t>UPPSALA LÄN</t>
        </is>
      </c>
      <c r="E3565" t="inlineStr">
        <is>
          <t>ÖSTHAMMAR</t>
        </is>
      </c>
      <c r="F3565" t="inlineStr">
        <is>
          <t>Bergvik skog öst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11739-2023</t>
        </is>
      </c>
      <c r="B3566" s="1" t="n">
        <v>44993</v>
      </c>
      <c r="C3566" s="1" t="n">
        <v>45792</v>
      </c>
      <c r="D3566" t="inlineStr">
        <is>
          <t>UPPSALA LÄN</t>
        </is>
      </c>
      <c r="E3566" t="inlineStr">
        <is>
          <t>UPPSALA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11744-2023</t>
        </is>
      </c>
      <c r="B3567" s="1" t="n">
        <v>44993</v>
      </c>
      <c r="C3567" s="1" t="n">
        <v>45792</v>
      </c>
      <c r="D3567" t="inlineStr">
        <is>
          <t>UPPSALA LÄN</t>
        </is>
      </c>
      <c r="E3567" t="inlineStr">
        <is>
          <t>UPPSALA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11568-2023</t>
        </is>
      </c>
      <c r="B3568" s="1" t="n">
        <v>44994</v>
      </c>
      <c r="C3568" s="1" t="n">
        <v>45792</v>
      </c>
      <c r="D3568" t="inlineStr">
        <is>
          <t>UPPSALA LÄN</t>
        </is>
      </c>
      <c r="E3568" t="inlineStr">
        <is>
          <t>UPPSALA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11574-2023</t>
        </is>
      </c>
      <c r="B3569" s="1" t="n">
        <v>44994</v>
      </c>
      <c r="C3569" s="1" t="n">
        <v>45792</v>
      </c>
      <c r="D3569" t="inlineStr">
        <is>
          <t>UPPSALA LÄN</t>
        </is>
      </c>
      <c r="E3569" t="inlineStr">
        <is>
          <t>TIERP</t>
        </is>
      </c>
      <c r="F3569" t="inlineStr">
        <is>
          <t>Bergvik skog öst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11845-2023</t>
        </is>
      </c>
      <c r="B3570" s="1" t="n">
        <v>44995</v>
      </c>
      <c r="C3570" s="1" t="n">
        <v>45792</v>
      </c>
      <c r="D3570" t="inlineStr">
        <is>
          <t>UPPSALA LÄN</t>
        </is>
      </c>
      <c r="E3570" t="inlineStr">
        <is>
          <t>KNIVSTA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11847-2023</t>
        </is>
      </c>
      <c r="B3571" s="1" t="n">
        <v>44995</v>
      </c>
      <c r="C3571" s="1" t="n">
        <v>45792</v>
      </c>
      <c r="D3571" t="inlineStr">
        <is>
          <t>UPPSALA LÄN</t>
        </is>
      </c>
      <c r="E3571" t="inlineStr">
        <is>
          <t>KNIVSTA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11841-2023</t>
        </is>
      </c>
      <c r="B3572" s="1" t="n">
        <v>44995</v>
      </c>
      <c r="C3572" s="1" t="n">
        <v>45792</v>
      </c>
      <c r="D3572" t="inlineStr">
        <is>
          <t>UPPSALA LÄN</t>
        </is>
      </c>
      <c r="E3572" t="inlineStr">
        <is>
          <t>KNIVSTA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12190-2023</t>
        </is>
      </c>
      <c r="B3573" s="1" t="n">
        <v>44995</v>
      </c>
      <c r="C3573" s="1" t="n">
        <v>45792</v>
      </c>
      <c r="D3573" t="inlineStr">
        <is>
          <t>UPPSALA LÄN</t>
        </is>
      </c>
      <c r="E3573" t="inlineStr">
        <is>
          <t>ÖSTHAMMAR</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12186-2023</t>
        </is>
      </c>
      <c r="B3574" s="1" t="n">
        <v>44995</v>
      </c>
      <c r="C3574" s="1" t="n">
        <v>45792</v>
      </c>
      <c r="D3574" t="inlineStr">
        <is>
          <t>UPPSALA LÄN</t>
        </is>
      </c>
      <c r="E3574" t="inlineStr">
        <is>
          <t>ÖSTHAMMAR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12262-2023</t>
        </is>
      </c>
      <c r="B3575" s="1" t="n">
        <v>44998</v>
      </c>
      <c r="C3575" s="1" t="n">
        <v>45792</v>
      </c>
      <c r="D3575" t="inlineStr">
        <is>
          <t>UPPSALA LÄN</t>
        </is>
      </c>
      <c r="E3575" t="inlineStr">
        <is>
          <t>ÖSTHAMMAR</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12154-2023</t>
        </is>
      </c>
      <c r="B3576" s="1" t="n">
        <v>44998</v>
      </c>
      <c r="C3576" s="1" t="n">
        <v>45792</v>
      </c>
      <c r="D3576" t="inlineStr">
        <is>
          <t>UPPSALA LÄN</t>
        </is>
      </c>
      <c r="E3576" t="inlineStr">
        <is>
          <t>HÅBO</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12158-2023</t>
        </is>
      </c>
      <c r="B3577" s="1" t="n">
        <v>44998</v>
      </c>
      <c r="C3577" s="1" t="n">
        <v>45792</v>
      </c>
      <c r="D3577" t="inlineStr">
        <is>
          <t>UPPSALA LÄN</t>
        </is>
      </c>
      <c r="E3577" t="inlineStr">
        <is>
          <t>UPPSALA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12215-2023</t>
        </is>
      </c>
      <c r="B3578" s="1" t="n">
        <v>44998</v>
      </c>
      <c r="C3578" s="1" t="n">
        <v>45792</v>
      </c>
      <c r="D3578" t="inlineStr">
        <is>
          <t>UPPSALA LÄN</t>
        </is>
      </c>
      <c r="E3578" t="inlineStr">
        <is>
          <t>ÖSTHAMMAR</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12146-2023</t>
        </is>
      </c>
      <c r="B3579" s="1" t="n">
        <v>44998</v>
      </c>
      <c r="C3579" s="1" t="n">
        <v>45792</v>
      </c>
      <c r="D3579" t="inlineStr">
        <is>
          <t>UPPSALA LÄN</t>
        </is>
      </c>
      <c r="E3579" t="inlineStr">
        <is>
          <t>HÅBO</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12156-2023</t>
        </is>
      </c>
      <c r="B3580" s="1" t="n">
        <v>44998</v>
      </c>
      <c r="C3580" s="1" t="n">
        <v>45792</v>
      </c>
      <c r="D3580" t="inlineStr">
        <is>
          <t>UPPSALA LÄN</t>
        </is>
      </c>
      <c r="E3580" t="inlineStr">
        <is>
          <t>HÅBO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12360-2023</t>
        </is>
      </c>
      <c r="B3581" s="1" t="n">
        <v>44999</v>
      </c>
      <c r="C3581" s="1" t="n">
        <v>45792</v>
      </c>
      <c r="D3581" t="inlineStr">
        <is>
          <t>UPPSALA LÄN</t>
        </is>
      </c>
      <c r="E3581" t="inlineStr">
        <is>
          <t>ENKÖPING</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12433-2023</t>
        </is>
      </c>
      <c r="B3582" s="1" t="n">
        <v>44999</v>
      </c>
      <c r="C3582" s="1" t="n">
        <v>45792</v>
      </c>
      <c r="D3582" t="inlineStr">
        <is>
          <t>UPPSALA LÄN</t>
        </is>
      </c>
      <c r="E3582" t="inlineStr">
        <is>
          <t>HEBY</t>
        </is>
      </c>
      <c r="F3582" t="inlineStr">
        <is>
          <t>Kyrkan</t>
        </is>
      </c>
      <c r="G3582" t="n">
        <v>15.9</v>
      </c>
      <c r="H3582" t="n">
        <v>0</v>
      </c>
      <c r="I3582" t="n">
        <v>0</v>
      </c>
      <c r="J3582" t="n">
        <v>0</v>
      </c>
      <c r="K3582" t="n">
        <v>0</v>
      </c>
      <c r="L3582" t="n">
        <v>0</v>
      </c>
      <c r="M3582" t="n">
        <v>0</v>
      </c>
      <c r="N3582" t="n">
        <v>0</v>
      </c>
      <c r="O3582" t="n">
        <v>0</v>
      </c>
      <c r="P3582" t="n">
        <v>0</v>
      </c>
      <c r="Q3582" t="n">
        <v>0</v>
      </c>
      <c r="R3582" s="2" t="inlineStr"/>
    </row>
    <row r="3583" ht="15" customHeight="1">
      <c r="A3583" t="inlineStr">
        <is>
          <t>A 12497-2023</t>
        </is>
      </c>
      <c r="B3583" s="1" t="n">
        <v>44999</v>
      </c>
      <c r="C3583" s="1" t="n">
        <v>45792</v>
      </c>
      <c r="D3583" t="inlineStr">
        <is>
          <t>UPPSALA LÄN</t>
        </is>
      </c>
      <c r="E3583" t="inlineStr">
        <is>
          <t>ÖSTHAMMAR</t>
        </is>
      </c>
      <c r="F3583" t="inlineStr">
        <is>
          <t>Bergvik skog öst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12604-2023</t>
        </is>
      </c>
      <c r="B3584" s="1" t="n">
        <v>45000</v>
      </c>
      <c r="C3584" s="1" t="n">
        <v>45792</v>
      </c>
      <c r="D3584" t="inlineStr">
        <is>
          <t>UPPSALA LÄN</t>
        </is>
      </c>
      <c r="E3584" t="inlineStr">
        <is>
          <t>UPPSALA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12603-2023</t>
        </is>
      </c>
      <c r="B3585" s="1" t="n">
        <v>45000</v>
      </c>
      <c r="C3585" s="1" t="n">
        <v>45792</v>
      </c>
      <c r="D3585" t="inlineStr">
        <is>
          <t>UPPSALA LÄN</t>
        </is>
      </c>
      <c r="E3585" t="inlineStr">
        <is>
          <t>UPPSALA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12602-2023</t>
        </is>
      </c>
      <c r="B3586" s="1" t="n">
        <v>45000</v>
      </c>
      <c r="C3586" s="1" t="n">
        <v>45792</v>
      </c>
      <c r="D3586" t="inlineStr">
        <is>
          <t>UPPSALA LÄN</t>
        </is>
      </c>
      <c r="E3586" t="inlineStr">
        <is>
          <t>UPPSALA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12703-2023</t>
        </is>
      </c>
      <c r="B3587" s="1" t="n">
        <v>45000</v>
      </c>
      <c r="C3587" s="1" t="n">
        <v>45792</v>
      </c>
      <c r="D3587" t="inlineStr">
        <is>
          <t>UPPSALA LÄN</t>
        </is>
      </c>
      <c r="E3587" t="inlineStr">
        <is>
          <t>UPPSALA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12709-2023</t>
        </is>
      </c>
      <c r="B3588" s="1" t="n">
        <v>45000</v>
      </c>
      <c r="C3588" s="1" t="n">
        <v>45792</v>
      </c>
      <c r="D3588" t="inlineStr">
        <is>
          <t>UPPSALA LÄN</t>
        </is>
      </c>
      <c r="E3588" t="inlineStr">
        <is>
          <t>HEBY</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12606-2023</t>
        </is>
      </c>
      <c r="B3589" s="1" t="n">
        <v>45000</v>
      </c>
      <c r="C3589" s="1" t="n">
        <v>45792</v>
      </c>
      <c r="D3589" t="inlineStr">
        <is>
          <t>UPPSALA LÄN</t>
        </is>
      </c>
      <c r="E3589" t="inlineStr">
        <is>
          <t>UPPSALA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13140-2023</t>
        </is>
      </c>
      <c r="B3590" s="1" t="n">
        <v>45001</v>
      </c>
      <c r="C3590" s="1" t="n">
        <v>45792</v>
      </c>
      <c r="D3590" t="inlineStr">
        <is>
          <t>UPPSALA LÄN</t>
        </is>
      </c>
      <c r="E3590" t="inlineStr">
        <is>
          <t>ENKÖPING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13099-2023</t>
        </is>
      </c>
      <c r="B3591" s="1" t="n">
        <v>45001</v>
      </c>
      <c r="C3591" s="1" t="n">
        <v>45792</v>
      </c>
      <c r="D3591" t="inlineStr">
        <is>
          <t>UPPSALA LÄN</t>
        </is>
      </c>
      <c r="E3591" t="inlineStr">
        <is>
          <t>ENKÖPING</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13110-2023</t>
        </is>
      </c>
      <c r="B3592" s="1" t="n">
        <v>45001</v>
      </c>
      <c r="C3592" s="1" t="n">
        <v>45792</v>
      </c>
      <c r="D3592" t="inlineStr">
        <is>
          <t>UPPSALA LÄN</t>
        </is>
      </c>
      <c r="E3592" t="inlineStr">
        <is>
          <t>ENKÖPING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13448-2023</t>
        </is>
      </c>
      <c r="B3593" s="1" t="n">
        <v>45005</v>
      </c>
      <c r="C3593" s="1" t="n">
        <v>45792</v>
      </c>
      <c r="D3593" t="inlineStr">
        <is>
          <t>UPPSALA LÄN</t>
        </is>
      </c>
      <c r="E3593" t="inlineStr">
        <is>
          <t>TIERP</t>
        </is>
      </c>
      <c r="F3593" t="inlineStr">
        <is>
          <t>Bergvik skog väst AB</t>
        </is>
      </c>
      <c r="G3593" t="n">
        <v>15.7</v>
      </c>
      <c r="H3593" t="n">
        <v>0</v>
      </c>
      <c r="I3593" t="n">
        <v>0</v>
      </c>
      <c r="J3593" t="n">
        <v>0</v>
      </c>
      <c r="K3593" t="n">
        <v>0</v>
      </c>
      <c r="L3593" t="n">
        <v>0</v>
      </c>
      <c r="M3593" t="n">
        <v>0</v>
      </c>
      <c r="N3593" t="n">
        <v>0</v>
      </c>
      <c r="O3593" t="n">
        <v>0</v>
      </c>
      <c r="P3593" t="n">
        <v>0</v>
      </c>
      <c r="Q3593" t="n">
        <v>0</v>
      </c>
      <c r="R3593" s="2" t="inlineStr"/>
    </row>
    <row r="3594" ht="15" customHeight="1">
      <c r="A3594" t="inlineStr">
        <is>
          <t>A 13336-2023</t>
        </is>
      </c>
      <c r="B3594" s="1" t="n">
        <v>45005</v>
      </c>
      <c r="C3594" s="1" t="n">
        <v>45792</v>
      </c>
      <c r="D3594" t="inlineStr">
        <is>
          <t>UPPSALA LÄN</t>
        </is>
      </c>
      <c r="E3594" t="inlineStr">
        <is>
          <t>ÖSTHAMMAR</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13407-2023</t>
        </is>
      </c>
      <c r="B3595" s="1" t="n">
        <v>45005</v>
      </c>
      <c r="C3595" s="1" t="n">
        <v>45792</v>
      </c>
      <c r="D3595" t="inlineStr">
        <is>
          <t>UPPSALA LÄN</t>
        </is>
      </c>
      <c r="E3595" t="inlineStr">
        <is>
          <t>TIERP</t>
        </is>
      </c>
      <c r="F3595" t="inlineStr">
        <is>
          <t>Bergvik skog väst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13428-2023</t>
        </is>
      </c>
      <c r="B3596" s="1" t="n">
        <v>45005</v>
      </c>
      <c r="C3596" s="1" t="n">
        <v>45792</v>
      </c>
      <c r="D3596" t="inlineStr">
        <is>
          <t>UPPSALA LÄN</t>
        </is>
      </c>
      <c r="E3596" t="inlineStr">
        <is>
          <t>TIERP</t>
        </is>
      </c>
      <c r="F3596" t="inlineStr">
        <is>
          <t>Bergvik skog väst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13447-2023</t>
        </is>
      </c>
      <c r="B3597" s="1" t="n">
        <v>45005</v>
      </c>
      <c r="C3597" s="1" t="n">
        <v>45792</v>
      </c>
      <c r="D3597" t="inlineStr">
        <is>
          <t>UPPSALA LÄN</t>
        </is>
      </c>
      <c r="E3597" t="inlineStr">
        <is>
          <t>TIERP</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13466-2023</t>
        </is>
      </c>
      <c r="B3598" s="1" t="n">
        <v>45005</v>
      </c>
      <c r="C3598" s="1" t="n">
        <v>45792</v>
      </c>
      <c r="D3598" t="inlineStr">
        <is>
          <t>UPPSALA LÄN</t>
        </is>
      </c>
      <c r="E3598" t="inlineStr">
        <is>
          <t>TIERP</t>
        </is>
      </c>
      <c r="F3598" t="inlineStr">
        <is>
          <t>Övriga Aktiebolag</t>
        </is>
      </c>
      <c r="G3598" t="n">
        <v>20.6</v>
      </c>
      <c r="H3598" t="n">
        <v>0</v>
      </c>
      <c r="I3598" t="n">
        <v>0</v>
      </c>
      <c r="J3598" t="n">
        <v>0</v>
      </c>
      <c r="K3598" t="n">
        <v>0</v>
      </c>
      <c r="L3598" t="n">
        <v>0</v>
      </c>
      <c r="M3598" t="n">
        <v>0</v>
      </c>
      <c r="N3598" t="n">
        <v>0</v>
      </c>
      <c r="O3598" t="n">
        <v>0</v>
      </c>
      <c r="P3598" t="n">
        <v>0</v>
      </c>
      <c r="Q3598" t="n">
        <v>0</v>
      </c>
      <c r="R3598" s="2" t="inlineStr"/>
    </row>
    <row r="3599" ht="15" customHeight="1">
      <c r="A3599" t="inlineStr">
        <is>
          <t>A 13304-2023</t>
        </is>
      </c>
      <c r="B3599" s="1" t="n">
        <v>45005</v>
      </c>
      <c r="C3599" s="1" t="n">
        <v>45792</v>
      </c>
      <c r="D3599" t="inlineStr">
        <is>
          <t>UPPSALA LÄN</t>
        </is>
      </c>
      <c r="E3599" t="inlineStr">
        <is>
          <t>TIERP</t>
        </is>
      </c>
      <c r="F3599" t="inlineStr">
        <is>
          <t>Kyrkan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13394-2023</t>
        </is>
      </c>
      <c r="B3600" s="1" t="n">
        <v>45005</v>
      </c>
      <c r="C3600" s="1" t="n">
        <v>45792</v>
      </c>
      <c r="D3600" t="inlineStr">
        <is>
          <t>UPPSALA LÄN</t>
        </is>
      </c>
      <c r="E3600" t="inlineStr">
        <is>
          <t>HEBY</t>
        </is>
      </c>
      <c r="F3600" t="inlineStr">
        <is>
          <t>Kyrkan</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13412-2023</t>
        </is>
      </c>
      <c r="B3601" s="1" t="n">
        <v>45005</v>
      </c>
      <c r="C3601" s="1" t="n">
        <v>45792</v>
      </c>
      <c r="D3601" t="inlineStr">
        <is>
          <t>UPPSALA LÄN</t>
        </is>
      </c>
      <c r="E3601" t="inlineStr">
        <is>
          <t>TIERP</t>
        </is>
      </c>
      <c r="F3601" t="inlineStr">
        <is>
          <t>Bergvik skog väst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13352-2023</t>
        </is>
      </c>
      <c r="B3602" s="1" t="n">
        <v>45005</v>
      </c>
      <c r="C3602" s="1" t="n">
        <v>45792</v>
      </c>
      <c r="D3602" t="inlineStr">
        <is>
          <t>UPPSALA LÄN</t>
        </is>
      </c>
      <c r="E3602" t="inlineStr">
        <is>
          <t>ÖSTHAMMAR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13418-2023</t>
        </is>
      </c>
      <c r="B3603" s="1" t="n">
        <v>45005</v>
      </c>
      <c r="C3603" s="1" t="n">
        <v>45792</v>
      </c>
      <c r="D3603" t="inlineStr">
        <is>
          <t>UPPSALA LÄN</t>
        </is>
      </c>
      <c r="E3603" t="inlineStr">
        <is>
          <t>TIERP</t>
        </is>
      </c>
      <c r="F3603" t="inlineStr">
        <is>
          <t>Bergvik skog väst AB</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13593-2023</t>
        </is>
      </c>
      <c r="B3604" s="1" t="n">
        <v>45006</v>
      </c>
      <c r="C3604" s="1" t="n">
        <v>45792</v>
      </c>
      <c r="D3604" t="inlineStr">
        <is>
          <t>UPPSALA LÄN</t>
        </is>
      </c>
      <c r="E3604" t="inlineStr">
        <is>
          <t>HEBY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13599-2023</t>
        </is>
      </c>
      <c r="B3605" s="1" t="n">
        <v>45006</v>
      </c>
      <c r="C3605" s="1" t="n">
        <v>45792</v>
      </c>
      <c r="D3605" t="inlineStr">
        <is>
          <t>UPPSALA LÄN</t>
        </is>
      </c>
      <c r="E3605" t="inlineStr">
        <is>
          <t>HEBY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13572-2023</t>
        </is>
      </c>
      <c r="B3606" s="1" t="n">
        <v>45006</v>
      </c>
      <c r="C3606" s="1" t="n">
        <v>45792</v>
      </c>
      <c r="D3606" t="inlineStr">
        <is>
          <t>UPPSALA LÄN</t>
        </is>
      </c>
      <c r="E3606" t="inlineStr">
        <is>
          <t>TIERP</t>
        </is>
      </c>
      <c r="F3606" t="inlineStr">
        <is>
          <t>Bergvik skog väst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13643-2023</t>
        </is>
      </c>
      <c r="B3607" s="1" t="n">
        <v>45006</v>
      </c>
      <c r="C3607" s="1" t="n">
        <v>45792</v>
      </c>
      <c r="D3607" t="inlineStr">
        <is>
          <t>UPPSALA LÄN</t>
        </is>
      </c>
      <c r="E3607" t="inlineStr">
        <is>
          <t>ÖSTHAMMAR</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13501-2023</t>
        </is>
      </c>
      <c r="B3608" s="1" t="n">
        <v>45006</v>
      </c>
      <c r="C3608" s="1" t="n">
        <v>45792</v>
      </c>
      <c r="D3608" t="inlineStr">
        <is>
          <t>UPPSALA LÄN</t>
        </is>
      </c>
      <c r="E3608" t="inlineStr">
        <is>
          <t>HEBY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13634-2023</t>
        </is>
      </c>
      <c r="B3609" s="1" t="n">
        <v>45006</v>
      </c>
      <c r="C3609" s="1" t="n">
        <v>45792</v>
      </c>
      <c r="D3609" t="inlineStr">
        <is>
          <t>UPPSALA LÄN</t>
        </is>
      </c>
      <c r="E3609" t="inlineStr">
        <is>
          <t>HEBY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13526-2023</t>
        </is>
      </c>
      <c r="B3610" s="1" t="n">
        <v>45006</v>
      </c>
      <c r="C3610" s="1" t="n">
        <v>45792</v>
      </c>
      <c r="D3610" t="inlineStr">
        <is>
          <t>UPPSALA LÄN</t>
        </is>
      </c>
      <c r="E3610" t="inlineStr">
        <is>
          <t>UPPSALA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13580-2023</t>
        </is>
      </c>
      <c r="B3611" s="1" t="n">
        <v>45006</v>
      </c>
      <c r="C3611" s="1" t="n">
        <v>45792</v>
      </c>
      <c r="D3611" t="inlineStr">
        <is>
          <t>UPPSALA LÄN</t>
        </is>
      </c>
      <c r="E3611" t="inlineStr">
        <is>
          <t>ÖSTHAMMAR</t>
        </is>
      </c>
      <c r="F3611" t="inlineStr">
        <is>
          <t>Övriga Aktiebolag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13584-2023</t>
        </is>
      </c>
      <c r="B3612" s="1" t="n">
        <v>45006</v>
      </c>
      <c r="C3612" s="1" t="n">
        <v>45792</v>
      </c>
      <c r="D3612" t="inlineStr">
        <is>
          <t>UPPSALA LÄN</t>
        </is>
      </c>
      <c r="E3612" t="inlineStr">
        <is>
          <t>ÖSTHAMMAR</t>
        </is>
      </c>
      <c r="F3612" t="inlineStr">
        <is>
          <t>Övriga Aktiebolag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13603-2023</t>
        </is>
      </c>
      <c r="B3613" s="1" t="n">
        <v>45006</v>
      </c>
      <c r="C3613" s="1" t="n">
        <v>45792</v>
      </c>
      <c r="D3613" t="inlineStr">
        <is>
          <t>UPPSALA LÄN</t>
        </is>
      </c>
      <c r="E3613" t="inlineStr">
        <is>
          <t>HEBY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13738-2023</t>
        </is>
      </c>
      <c r="B3614" s="1" t="n">
        <v>45007</v>
      </c>
      <c r="C3614" s="1" t="n">
        <v>45792</v>
      </c>
      <c r="D3614" t="inlineStr">
        <is>
          <t>UPPSALA LÄN</t>
        </is>
      </c>
      <c r="E3614" t="inlineStr">
        <is>
          <t>ÖSTHAMMAR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13767-2023</t>
        </is>
      </c>
      <c r="B3615" s="1" t="n">
        <v>45007</v>
      </c>
      <c r="C3615" s="1" t="n">
        <v>45792</v>
      </c>
      <c r="D3615" t="inlineStr">
        <is>
          <t>UPPSALA LÄN</t>
        </is>
      </c>
      <c r="E3615" t="inlineStr">
        <is>
          <t>ÖSTHAMMAR</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13755-2023</t>
        </is>
      </c>
      <c r="B3616" s="1" t="n">
        <v>45007</v>
      </c>
      <c r="C3616" s="1" t="n">
        <v>45792</v>
      </c>
      <c r="D3616" t="inlineStr">
        <is>
          <t>UPPSALA LÄN</t>
        </is>
      </c>
      <c r="E3616" t="inlineStr">
        <is>
          <t>ÖSTHAMMAR</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13771-2023</t>
        </is>
      </c>
      <c r="B3617" s="1" t="n">
        <v>45007</v>
      </c>
      <c r="C3617" s="1" t="n">
        <v>45792</v>
      </c>
      <c r="D3617" t="inlineStr">
        <is>
          <t>UPPSALA LÄN</t>
        </is>
      </c>
      <c r="E3617" t="inlineStr">
        <is>
          <t>ÖSTHAMMAR</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13736-2023</t>
        </is>
      </c>
      <c r="B3618" s="1" t="n">
        <v>45007</v>
      </c>
      <c r="C3618" s="1" t="n">
        <v>45792</v>
      </c>
      <c r="D3618" t="inlineStr">
        <is>
          <t>UPPSALA LÄN</t>
        </is>
      </c>
      <c r="E3618" t="inlineStr">
        <is>
          <t>ÖSTHAMMAR</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13836-2023</t>
        </is>
      </c>
      <c r="B3619" s="1" t="n">
        <v>45007</v>
      </c>
      <c r="C3619" s="1" t="n">
        <v>45792</v>
      </c>
      <c r="D3619" t="inlineStr">
        <is>
          <t>UPPSALA LÄN</t>
        </is>
      </c>
      <c r="E3619" t="inlineStr">
        <is>
          <t>ENKÖPING</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13853-2023</t>
        </is>
      </c>
      <c r="B3620" s="1" t="n">
        <v>45007</v>
      </c>
      <c r="C3620" s="1" t="n">
        <v>45792</v>
      </c>
      <c r="D3620" t="inlineStr">
        <is>
          <t>UPPSALA LÄN</t>
        </is>
      </c>
      <c r="E3620" t="inlineStr">
        <is>
          <t>ENKÖPING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13867-2023</t>
        </is>
      </c>
      <c r="B3621" s="1" t="n">
        <v>45007</v>
      </c>
      <c r="C3621" s="1" t="n">
        <v>45792</v>
      </c>
      <c r="D3621" t="inlineStr">
        <is>
          <t>UPPSALA LÄN</t>
        </is>
      </c>
      <c r="E3621" t="inlineStr">
        <is>
          <t>ENKÖPING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13978-2023</t>
        </is>
      </c>
      <c r="B3622" s="1" t="n">
        <v>45008</v>
      </c>
      <c r="C3622" s="1" t="n">
        <v>45792</v>
      </c>
      <c r="D3622" t="inlineStr">
        <is>
          <t>UPPSALA LÄN</t>
        </is>
      </c>
      <c r="E3622" t="inlineStr">
        <is>
          <t>HEBY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13976-2023</t>
        </is>
      </c>
      <c r="B3623" s="1" t="n">
        <v>45008</v>
      </c>
      <c r="C3623" s="1" t="n">
        <v>45792</v>
      </c>
      <c r="D3623" t="inlineStr">
        <is>
          <t>UPPSALA LÄN</t>
        </is>
      </c>
      <c r="E3623" t="inlineStr">
        <is>
          <t>HEBY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14004-2023</t>
        </is>
      </c>
      <c r="B3624" s="1" t="n">
        <v>45008</v>
      </c>
      <c r="C3624" s="1" t="n">
        <v>45792</v>
      </c>
      <c r="D3624" t="inlineStr">
        <is>
          <t>UPPSALA LÄN</t>
        </is>
      </c>
      <c r="E3624" t="inlineStr">
        <is>
          <t>ENKÖPING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14236-2023</t>
        </is>
      </c>
      <c r="B3625" s="1" t="n">
        <v>45009</v>
      </c>
      <c r="C3625" s="1" t="n">
        <v>45792</v>
      </c>
      <c r="D3625" t="inlineStr">
        <is>
          <t>UPPSALA LÄN</t>
        </is>
      </c>
      <c r="E3625" t="inlineStr">
        <is>
          <t>HEBY</t>
        </is>
      </c>
      <c r="G3625" t="n">
        <v>9.800000000000001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14181-2023</t>
        </is>
      </c>
      <c r="B3626" s="1" t="n">
        <v>45009</v>
      </c>
      <c r="C3626" s="1" t="n">
        <v>45792</v>
      </c>
      <c r="D3626" t="inlineStr">
        <is>
          <t>UPPSALA LÄN</t>
        </is>
      </c>
      <c r="E3626" t="inlineStr">
        <is>
          <t>TIERP</t>
        </is>
      </c>
      <c r="F3626" t="inlineStr">
        <is>
          <t>Bergvik skog väst AB</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14086-2023</t>
        </is>
      </c>
      <c r="B3627" s="1" t="n">
        <v>45009</v>
      </c>
      <c r="C3627" s="1" t="n">
        <v>45792</v>
      </c>
      <c r="D3627" t="inlineStr">
        <is>
          <t>UPPSALA LÄN</t>
        </is>
      </c>
      <c r="E3627" t="inlineStr">
        <is>
          <t>TIERP</t>
        </is>
      </c>
      <c r="F3627" t="inlineStr">
        <is>
          <t>Bergvik skog väst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14249-2023</t>
        </is>
      </c>
      <c r="B3628" s="1" t="n">
        <v>45009</v>
      </c>
      <c r="C3628" s="1" t="n">
        <v>45792</v>
      </c>
      <c r="D3628" t="inlineStr">
        <is>
          <t>UPPSALA LÄN</t>
        </is>
      </c>
      <c r="E3628" t="inlineStr">
        <is>
          <t>HEBY</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14253-2023</t>
        </is>
      </c>
      <c r="B3629" s="1" t="n">
        <v>45009</v>
      </c>
      <c r="C3629" s="1" t="n">
        <v>45792</v>
      </c>
      <c r="D3629" t="inlineStr">
        <is>
          <t>UPPSALA LÄN</t>
        </is>
      </c>
      <c r="E3629" t="inlineStr">
        <is>
          <t>UPPSALA</t>
        </is>
      </c>
      <c r="F3629" t="inlineStr">
        <is>
          <t>Allmännings- och besparingsskogar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14402-2023</t>
        </is>
      </c>
      <c r="B3630" s="1" t="n">
        <v>45012</v>
      </c>
      <c r="C3630" s="1" t="n">
        <v>45792</v>
      </c>
      <c r="D3630" t="inlineStr">
        <is>
          <t>UPPSALA LÄN</t>
        </is>
      </c>
      <c r="E3630" t="inlineStr">
        <is>
          <t>ENKÖPING</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14505-2023</t>
        </is>
      </c>
      <c r="B3631" s="1" t="n">
        <v>45012</v>
      </c>
      <c r="C3631" s="1" t="n">
        <v>45792</v>
      </c>
      <c r="D3631" t="inlineStr">
        <is>
          <t>UPPSALA LÄN</t>
        </is>
      </c>
      <c r="E3631" t="inlineStr">
        <is>
          <t>ÖSTHAMMAR</t>
        </is>
      </c>
      <c r="F3631" t="inlineStr">
        <is>
          <t>Bergvik skog öst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14510-2023</t>
        </is>
      </c>
      <c r="B3632" s="1" t="n">
        <v>45012</v>
      </c>
      <c r="C3632" s="1" t="n">
        <v>45792</v>
      </c>
      <c r="D3632" t="inlineStr">
        <is>
          <t>UPPSALA LÄN</t>
        </is>
      </c>
      <c r="E3632" t="inlineStr">
        <is>
          <t>ÖSTHAMMAR</t>
        </is>
      </c>
      <c r="F3632" t="inlineStr">
        <is>
          <t>Bergvik skog öst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14588-2023</t>
        </is>
      </c>
      <c r="B3633" s="1" t="n">
        <v>45013</v>
      </c>
      <c r="C3633" s="1" t="n">
        <v>45792</v>
      </c>
      <c r="D3633" t="inlineStr">
        <is>
          <t>UPPSALA LÄN</t>
        </is>
      </c>
      <c r="E3633" t="inlineStr">
        <is>
          <t>HEBY</t>
        </is>
      </c>
      <c r="G3633" t="n">
        <v>15.6</v>
      </c>
      <c r="H3633" t="n">
        <v>0</v>
      </c>
      <c r="I3633" t="n">
        <v>0</v>
      </c>
      <c r="J3633" t="n">
        <v>0</v>
      </c>
      <c r="K3633" t="n">
        <v>0</v>
      </c>
      <c r="L3633" t="n">
        <v>0</v>
      </c>
      <c r="M3633" t="n">
        <v>0</v>
      </c>
      <c r="N3633" t="n">
        <v>0</v>
      </c>
      <c r="O3633" t="n">
        <v>0</v>
      </c>
      <c r="P3633" t="n">
        <v>0</v>
      </c>
      <c r="Q3633" t="n">
        <v>0</v>
      </c>
      <c r="R3633" s="2" t="inlineStr"/>
    </row>
    <row r="3634" ht="15" customHeight="1">
      <c r="A3634" t="inlineStr">
        <is>
          <t>A 14585-2023</t>
        </is>
      </c>
      <c r="B3634" s="1" t="n">
        <v>45013</v>
      </c>
      <c r="C3634" s="1" t="n">
        <v>45792</v>
      </c>
      <c r="D3634" t="inlineStr">
        <is>
          <t>UPPSALA LÄN</t>
        </is>
      </c>
      <c r="E3634" t="inlineStr">
        <is>
          <t>HEBY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14595-2023</t>
        </is>
      </c>
      <c r="B3635" s="1" t="n">
        <v>45013</v>
      </c>
      <c r="C3635" s="1" t="n">
        <v>45792</v>
      </c>
      <c r="D3635" t="inlineStr">
        <is>
          <t>UPPSALA LÄN</t>
        </is>
      </c>
      <c r="E3635" t="inlineStr">
        <is>
          <t>ÖSTHAMMAR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14541-2023</t>
        </is>
      </c>
      <c r="B3636" s="1" t="n">
        <v>45013</v>
      </c>
      <c r="C3636" s="1" t="n">
        <v>45792</v>
      </c>
      <c r="D3636" t="inlineStr">
        <is>
          <t>UPPSALA LÄN</t>
        </is>
      </c>
      <c r="E3636" t="inlineStr">
        <is>
          <t>TIERP</t>
        </is>
      </c>
      <c r="F3636" t="inlineStr">
        <is>
          <t>Bergvik skog öst AB</t>
        </is>
      </c>
      <c r="G3636" t="n">
        <v>10.7</v>
      </c>
      <c r="H3636" t="n">
        <v>0</v>
      </c>
      <c r="I3636" t="n">
        <v>0</v>
      </c>
      <c r="J3636" t="n">
        <v>0</v>
      </c>
      <c r="K3636" t="n">
        <v>0</v>
      </c>
      <c r="L3636" t="n">
        <v>0</v>
      </c>
      <c r="M3636" t="n">
        <v>0</v>
      </c>
      <c r="N3636" t="n">
        <v>0</v>
      </c>
      <c r="O3636" t="n">
        <v>0</v>
      </c>
      <c r="P3636" t="n">
        <v>0</v>
      </c>
      <c r="Q3636" t="n">
        <v>0</v>
      </c>
      <c r="R3636" s="2" t="inlineStr"/>
    </row>
    <row r="3637" ht="15" customHeight="1">
      <c r="A3637" t="inlineStr">
        <is>
          <t>A 14553-2023</t>
        </is>
      </c>
      <c r="B3637" s="1" t="n">
        <v>45013</v>
      </c>
      <c r="C3637" s="1" t="n">
        <v>45792</v>
      </c>
      <c r="D3637" t="inlineStr">
        <is>
          <t>UPPSALA LÄN</t>
        </is>
      </c>
      <c r="E3637" t="inlineStr">
        <is>
          <t>TIERP</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14590-2023</t>
        </is>
      </c>
      <c r="B3638" s="1" t="n">
        <v>45013</v>
      </c>
      <c r="C3638" s="1" t="n">
        <v>45792</v>
      </c>
      <c r="D3638" t="inlineStr">
        <is>
          <t>UPPSALA LÄN</t>
        </is>
      </c>
      <c r="E3638" t="inlineStr">
        <is>
          <t>ÄLVKARLEBY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14784-2023</t>
        </is>
      </c>
      <c r="B3639" s="1" t="n">
        <v>45014</v>
      </c>
      <c r="C3639" s="1" t="n">
        <v>45792</v>
      </c>
      <c r="D3639" t="inlineStr">
        <is>
          <t>UPPSALA LÄN</t>
        </is>
      </c>
      <c r="E3639" t="inlineStr">
        <is>
          <t>UPPSALA</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14822-2023</t>
        </is>
      </c>
      <c r="B3640" s="1" t="n">
        <v>45014</v>
      </c>
      <c r="C3640" s="1" t="n">
        <v>45792</v>
      </c>
      <c r="D3640" t="inlineStr">
        <is>
          <t>UPPSALA LÄN</t>
        </is>
      </c>
      <c r="E3640" t="inlineStr">
        <is>
          <t>ÖSTHAMMAR</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14835-2023</t>
        </is>
      </c>
      <c r="B3641" s="1" t="n">
        <v>45014</v>
      </c>
      <c r="C3641" s="1" t="n">
        <v>45792</v>
      </c>
      <c r="D3641" t="inlineStr">
        <is>
          <t>UPPSALA LÄN</t>
        </is>
      </c>
      <c r="E3641" t="inlineStr">
        <is>
          <t>ÖSTHAMMAR</t>
        </is>
      </c>
      <c r="G3641" t="n">
        <v>9.5</v>
      </c>
      <c r="H3641" t="n">
        <v>0</v>
      </c>
      <c r="I3641" t="n">
        <v>0</v>
      </c>
      <c r="J3641" t="n">
        <v>0</v>
      </c>
      <c r="K3641" t="n">
        <v>0</v>
      </c>
      <c r="L3641" t="n">
        <v>0</v>
      </c>
      <c r="M3641" t="n">
        <v>0</v>
      </c>
      <c r="N3641" t="n">
        <v>0</v>
      </c>
      <c r="O3641" t="n">
        <v>0</v>
      </c>
      <c r="P3641" t="n">
        <v>0</v>
      </c>
      <c r="Q3641" t="n">
        <v>0</v>
      </c>
      <c r="R3641" s="2" t="inlineStr"/>
    </row>
    <row r="3642" ht="15" customHeight="1">
      <c r="A3642" t="inlineStr">
        <is>
          <t>A 14889-2023</t>
        </is>
      </c>
      <c r="B3642" s="1" t="n">
        <v>45015</v>
      </c>
      <c r="C3642" s="1" t="n">
        <v>45792</v>
      </c>
      <c r="D3642" t="inlineStr">
        <is>
          <t>UPPSALA LÄN</t>
        </is>
      </c>
      <c r="E3642" t="inlineStr">
        <is>
          <t>ÖSTHAMMAR</t>
        </is>
      </c>
      <c r="F3642" t="inlineStr">
        <is>
          <t>Bergvik skog öst AB</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14888-2023</t>
        </is>
      </c>
      <c r="B3643" s="1" t="n">
        <v>45015</v>
      </c>
      <c r="C3643" s="1" t="n">
        <v>45792</v>
      </c>
      <c r="D3643" t="inlineStr">
        <is>
          <t>UPPSALA LÄN</t>
        </is>
      </c>
      <c r="E3643" t="inlineStr">
        <is>
          <t>ÖSTHAMMAR</t>
        </is>
      </c>
      <c r="F3643" t="inlineStr">
        <is>
          <t>Bergvik skog öst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14988-2023</t>
        </is>
      </c>
      <c r="B3644" s="1" t="n">
        <v>45015</v>
      </c>
      <c r="C3644" s="1" t="n">
        <v>45792</v>
      </c>
      <c r="D3644" t="inlineStr">
        <is>
          <t>UPPSALA LÄN</t>
        </is>
      </c>
      <c r="E3644" t="inlineStr">
        <is>
          <t>UPPSALA</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14999-2023</t>
        </is>
      </c>
      <c r="B3645" s="1" t="n">
        <v>45015</v>
      </c>
      <c r="C3645" s="1" t="n">
        <v>45792</v>
      </c>
      <c r="D3645" t="inlineStr">
        <is>
          <t>UPPSALA LÄN</t>
        </is>
      </c>
      <c r="E3645" t="inlineStr">
        <is>
          <t>HEBY</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14976-2023</t>
        </is>
      </c>
      <c r="B3646" s="1" t="n">
        <v>45015</v>
      </c>
      <c r="C3646" s="1" t="n">
        <v>45792</v>
      </c>
      <c r="D3646" t="inlineStr">
        <is>
          <t>UPPSALA LÄN</t>
        </is>
      </c>
      <c r="E3646" t="inlineStr">
        <is>
          <t>ÖSTHAMMAR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15441-2023</t>
        </is>
      </c>
      <c r="B3647" s="1" t="n">
        <v>45016</v>
      </c>
      <c r="C3647" s="1" t="n">
        <v>45792</v>
      </c>
      <c r="D3647" t="inlineStr">
        <is>
          <t>UPPSALA LÄN</t>
        </is>
      </c>
      <c r="E3647" t="inlineStr">
        <is>
          <t>KNIVSTA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15299-2023</t>
        </is>
      </c>
      <c r="B3648" s="1" t="n">
        <v>45019</v>
      </c>
      <c r="C3648" s="1" t="n">
        <v>45792</v>
      </c>
      <c r="D3648" t="inlineStr">
        <is>
          <t>UPPSALA LÄN</t>
        </is>
      </c>
      <c r="E3648" t="inlineStr">
        <is>
          <t>HEBY</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15303-2023</t>
        </is>
      </c>
      <c r="B3649" s="1" t="n">
        <v>45019</v>
      </c>
      <c r="C3649" s="1" t="n">
        <v>45792</v>
      </c>
      <c r="D3649" t="inlineStr">
        <is>
          <t>UPPSALA LÄN</t>
        </is>
      </c>
      <c r="E3649" t="inlineStr">
        <is>
          <t>HEBY</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15263-2023</t>
        </is>
      </c>
      <c r="B3650" s="1" t="n">
        <v>45019</v>
      </c>
      <c r="C3650" s="1" t="n">
        <v>45792</v>
      </c>
      <c r="D3650" t="inlineStr">
        <is>
          <t>UPPSALA LÄN</t>
        </is>
      </c>
      <c r="E3650" t="inlineStr">
        <is>
          <t>HEBY</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15269-2023</t>
        </is>
      </c>
      <c r="B3651" s="1" t="n">
        <v>45019</v>
      </c>
      <c r="C3651" s="1" t="n">
        <v>45792</v>
      </c>
      <c r="D3651" t="inlineStr">
        <is>
          <t>UPPSALA LÄN</t>
        </is>
      </c>
      <c r="E3651" t="inlineStr">
        <is>
          <t>HEBY</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15554-2023</t>
        </is>
      </c>
      <c r="B3652" s="1" t="n">
        <v>45019</v>
      </c>
      <c r="C3652" s="1" t="n">
        <v>45792</v>
      </c>
      <c r="D3652" t="inlineStr">
        <is>
          <t>UPPSALA LÄN</t>
        </is>
      </c>
      <c r="E3652" t="inlineStr">
        <is>
          <t>ÖSTHAMMAR</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15320-2023</t>
        </is>
      </c>
      <c r="B3653" s="1" t="n">
        <v>45019</v>
      </c>
      <c r="C3653" s="1" t="n">
        <v>45792</v>
      </c>
      <c r="D3653" t="inlineStr">
        <is>
          <t>UPPSALA LÄN</t>
        </is>
      </c>
      <c r="E3653" t="inlineStr">
        <is>
          <t>ENKÖPING</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15578-2023</t>
        </is>
      </c>
      <c r="B3654" s="1" t="n">
        <v>45020</v>
      </c>
      <c r="C3654" s="1" t="n">
        <v>45792</v>
      </c>
      <c r="D3654" t="inlineStr">
        <is>
          <t>UPPSALA LÄN</t>
        </is>
      </c>
      <c r="E3654" t="inlineStr">
        <is>
          <t>TIERP</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15607-2023</t>
        </is>
      </c>
      <c r="B3655" s="1" t="n">
        <v>45020</v>
      </c>
      <c r="C3655" s="1" t="n">
        <v>45792</v>
      </c>
      <c r="D3655" t="inlineStr">
        <is>
          <t>UPPSALA LÄN</t>
        </is>
      </c>
      <c r="E3655" t="inlineStr">
        <is>
          <t>HEBY</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15609-2023</t>
        </is>
      </c>
      <c r="B3656" s="1" t="n">
        <v>45020</v>
      </c>
      <c r="C3656" s="1" t="n">
        <v>45792</v>
      </c>
      <c r="D3656" t="inlineStr">
        <is>
          <t>UPPSALA LÄN</t>
        </is>
      </c>
      <c r="E3656" t="inlineStr">
        <is>
          <t>HEBY</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15547-2023</t>
        </is>
      </c>
      <c r="B3657" s="1" t="n">
        <v>45020</v>
      </c>
      <c r="C3657" s="1" t="n">
        <v>45792</v>
      </c>
      <c r="D3657" t="inlineStr">
        <is>
          <t>UPPSALA LÄN</t>
        </is>
      </c>
      <c r="E3657" t="inlineStr">
        <is>
          <t>UPPSALA</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15551-2023</t>
        </is>
      </c>
      <c r="B3658" s="1" t="n">
        <v>45020</v>
      </c>
      <c r="C3658" s="1" t="n">
        <v>45792</v>
      </c>
      <c r="D3658" t="inlineStr">
        <is>
          <t>UPPSALA LÄN</t>
        </is>
      </c>
      <c r="E3658" t="inlineStr">
        <is>
          <t>UPPSALA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15629-2023</t>
        </is>
      </c>
      <c r="B3659" s="1" t="n">
        <v>45021</v>
      </c>
      <c r="C3659" s="1" t="n">
        <v>45792</v>
      </c>
      <c r="D3659" t="inlineStr">
        <is>
          <t>UPPSALA LÄN</t>
        </is>
      </c>
      <c r="E3659" t="inlineStr">
        <is>
          <t>UPPSALA</t>
        </is>
      </c>
      <c r="F3659" t="inlineStr">
        <is>
          <t>Övriga Aktiebolag</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15757-2023</t>
        </is>
      </c>
      <c r="B3660" s="1" t="n">
        <v>45021</v>
      </c>
      <c r="C3660" s="1" t="n">
        <v>45792</v>
      </c>
      <c r="D3660" t="inlineStr">
        <is>
          <t>UPPSALA LÄN</t>
        </is>
      </c>
      <c r="E3660" t="inlineStr">
        <is>
          <t>ENKÖPING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15763-2023</t>
        </is>
      </c>
      <c r="B3661" s="1" t="n">
        <v>45021</v>
      </c>
      <c r="C3661" s="1" t="n">
        <v>45792</v>
      </c>
      <c r="D3661" t="inlineStr">
        <is>
          <t>UPPSALA LÄN</t>
        </is>
      </c>
      <c r="E3661" t="inlineStr">
        <is>
          <t>TIERP</t>
        </is>
      </c>
      <c r="F3661" t="inlineStr">
        <is>
          <t>Bergvik skog väst AB</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15842-2023</t>
        </is>
      </c>
      <c r="B3662" s="1" t="n">
        <v>45022</v>
      </c>
      <c r="C3662" s="1" t="n">
        <v>45792</v>
      </c>
      <c r="D3662" t="inlineStr">
        <is>
          <t>UPPSALA LÄN</t>
        </is>
      </c>
      <c r="E3662" t="inlineStr">
        <is>
          <t>TIERP</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15832-2023</t>
        </is>
      </c>
      <c r="B3663" s="1" t="n">
        <v>45022</v>
      </c>
      <c r="C3663" s="1" t="n">
        <v>45792</v>
      </c>
      <c r="D3663" t="inlineStr">
        <is>
          <t>UPPSALA LÄN</t>
        </is>
      </c>
      <c r="E3663" t="inlineStr">
        <is>
          <t>TIERP</t>
        </is>
      </c>
      <c r="F3663" t="inlineStr">
        <is>
          <t>Bergvik skog väst AB</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15851-2023</t>
        </is>
      </c>
      <c r="B3664" s="1" t="n">
        <v>45022</v>
      </c>
      <c r="C3664" s="1" t="n">
        <v>45792</v>
      </c>
      <c r="D3664" t="inlineStr">
        <is>
          <t>UPPSALA LÄN</t>
        </is>
      </c>
      <c r="E3664" t="inlineStr">
        <is>
          <t>TIERP</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16256-2023</t>
        </is>
      </c>
      <c r="B3665" s="1" t="n">
        <v>45022</v>
      </c>
      <c r="C3665" s="1" t="n">
        <v>45792</v>
      </c>
      <c r="D3665" t="inlineStr">
        <is>
          <t>UPPSALA LÄN</t>
        </is>
      </c>
      <c r="E3665" t="inlineStr">
        <is>
          <t>HEBY</t>
        </is>
      </c>
      <c r="F3665" t="inlineStr">
        <is>
          <t>Bergvik skog väst AB</t>
        </is>
      </c>
      <c r="G3665" t="n">
        <v>24.1</v>
      </c>
      <c r="H3665" t="n">
        <v>0</v>
      </c>
      <c r="I3665" t="n">
        <v>0</v>
      </c>
      <c r="J3665" t="n">
        <v>0</v>
      </c>
      <c r="K3665" t="n">
        <v>0</v>
      </c>
      <c r="L3665" t="n">
        <v>0</v>
      </c>
      <c r="M3665" t="n">
        <v>0</v>
      </c>
      <c r="N3665" t="n">
        <v>0</v>
      </c>
      <c r="O3665" t="n">
        <v>0</v>
      </c>
      <c r="P3665" t="n">
        <v>0</v>
      </c>
      <c r="Q3665" t="n">
        <v>0</v>
      </c>
      <c r="R3665" s="2" t="inlineStr"/>
    </row>
    <row r="3666" ht="15" customHeight="1">
      <c r="A3666" t="inlineStr">
        <is>
          <t>A 16263-2023</t>
        </is>
      </c>
      <c r="B3666" s="1" t="n">
        <v>45022</v>
      </c>
      <c r="C3666" s="1" t="n">
        <v>45792</v>
      </c>
      <c r="D3666" t="inlineStr">
        <is>
          <t>UPPSALA LÄN</t>
        </is>
      </c>
      <c r="E3666" t="inlineStr">
        <is>
          <t>HEBY</t>
        </is>
      </c>
      <c r="F3666" t="inlineStr">
        <is>
          <t>Bergvik skog väst AB</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16110-2023</t>
        </is>
      </c>
      <c r="B3667" s="1" t="n">
        <v>45027</v>
      </c>
      <c r="C3667" s="1" t="n">
        <v>45792</v>
      </c>
      <c r="D3667" t="inlineStr">
        <is>
          <t>UPPSALA LÄN</t>
        </is>
      </c>
      <c r="E3667" t="inlineStr">
        <is>
          <t>HEBY</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16058-2023</t>
        </is>
      </c>
      <c r="B3668" s="1" t="n">
        <v>45027</v>
      </c>
      <c r="C3668" s="1" t="n">
        <v>45792</v>
      </c>
      <c r="D3668" t="inlineStr">
        <is>
          <t>UPPSALA LÄN</t>
        </is>
      </c>
      <c r="E3668" t="inlineStr">
        <is>
          <t>TIERP</t>
        </is>
      </c>
      <c r="F3668" t="inlineStr">
        <is>
          <t>Kyrkan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16054-2023</t>
        </is>
      </c>
      <c r="B3669" s="1" t="n">
        <v>45027</v>
      </c>
      <c r="C3669" s="1" t="n">
        <v>45792</v>
      </c>
      <c r="D3669" t="inlineStr">
        <is>
          <t>UPPSALA LÄN</t>
        </is>
      </c>
      <c r="E3669" t="inlineStr">
        <is>
          <t>TIERP</t>
        </is>
      </c>
      <c r="F3669" t="inlineStr">
        <is>
          <t>Kyrkan</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16112-2023</t>
        </is>
      </c>
      <c r="B3670" s="1" t="n">
        <v>45027</v>
      </c>
      <c r="C3670" s="1" t="n">
        <v>45792</v>
      </c>
      <c r="D3670" t="inlineStr">
        <is>
          <t>UPPSALA LÄN</t>
        </is>
      </c>
      <c r="E3670" t="inlineStr">
        <is>
          <t>ÖSTHAMMAR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16346-2023</t>
        </is>
      </c>
      <c r="B3671" s="1" t="n">
        <v>45028</v>
      </c>
      <c r="C3671" s="1" t="n">
        <v>45792</v>
      </c>
      <c r="D3671" t="inlineStr">
        <is>
          <t>UPPSALA LÄN</t>
        </is>
      </c>
      <c r="E3671" t="inlineStr">
        <is>
          <t>UPPSALA</t>
        </is>
      </c>
      <c r="F3671" t="inlineStr">
        <is>
          <t>Övriga Aktiebolag</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16295-2023</t>
        </is>
      </c>
      <c r="B3672" s="1" t="n">
        <v>45028</v>
      </c>
      <c r="C3672" s="1" t="n">
        <v>45792</v>
      </c>
      <c r="D3672" t="inlineStr">
        <is>
          <t>UPPSALA LÄN</t>
        </is>
      </c>
      <c r="E3672" t="inlineStr">
        <is>
          <t>TIERP</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16300-2023</t>
        </is>
      </c>
      <c r="B3673" s="1" t="n">
        <v>45028</v>
      </c>
      <c r="C3673" s="1" t="n">
        <v>45792</v>
      </c>
      <c r="D3673" t="inlineStr">
        <is>
          <t>UPPSALA LÄN</t>
        </is>
      </c>
      <c r="E3673" t="inlineStr">
        <is>
          <t>KNIVSTA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16310-2023</t>
        </is>
      </c>
      <c r="B3674" s="1" t="n">
        <v>45028</v>
      </c>
      <c r="C3674" s="1" t="n">
        <v>45792</v>
      </c>
      <c r="D3674" t="inlineStr">
        <is>
          <t>UPPSALA LÄN</t>
        </is>
      </c>
      <c r="E3674" t="inlineStr">
        <is>
          <t>KNIVSTA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16320-2023</t>
        </is>
      </c>
      <c r="B3675" s="1" t="n">
        <v>45028</v>
      </c>
      <c r="C3675" s="1" t="n">
        <v>45792</v>
      </c>
      <c r="D3675" t="inlineStr">
        <is>
          <t>UPPSALA LÄN</t>
        </is>
      </c>
      <c r="E3675" t="inlineStr">
        <is>
          <t>ENKÖPING</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16299-2023</t>
        </is>
      </c>
      <c r="B3676" s="1" t="n">
        <v>45028</v>
      </c>
      <c r="C3676" s="1" t="n">
        <v>45792</v>
      </c>
      <c r="D3676" t="inlineStr">
        <is>
          <t>UPPSALA LÄN</t>
        </is>
      </c>
      <c r="E3676" t="inlineStr">
        <is>
          <t>HÅBO</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16305-2023</t>
        </is>
      </c>
      <c r="B3677" s="1" t="n">
        <v>45028</v>
      </c>
      <c r="C3677" s="1" t="n">
        <v>45792</v>
      </c>
      <c r="D3677" t="inlineStr">
        <is>
          <t>UPPSALA LÄN</t>
        </is>
      </c>
      <c r="E3677" t="inlineStr">
        <is>
          <t>KNIVSTA</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16345-2023</t>
        </is>
      </c>
      <c r="B3678" s="1" t="n">
        <v>45028</v>
      </c>
      <c r="C3678" s="1" t="n">
        <v>45792</v>
      </c>
      <c r="D3678" t="inlineStr">
        <is>
          <t>UPPSALA LÄN</t>
        </is>
      </c>
      <c r="E3678" t="inlineStr">
        <is>
          <t>ÖSTHAMMAR</t>
        </is>
      </c>
      <c r="F3678" t="inlineStr">
        <is>
          <t>Övriga Aktiebolag</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16405-2023</t>
        </is>
      </c>
      <c r="B3679" s="1" t="n">
        <v>45029</v>
      </c>
      <c r="C3679" s="1" t="n">
        <v>45792</v>
      </c>
      <c r="D3679" t="inlineStr">
        <is>
          <t>UPPSALA LÄN</t>
        </is>
      </c>
      <c r="E3679" t="inlineStr">
        <is>
          <t>TIERP</t>
        </is>
      </c>
      <c r="F3679" t="inlineStr">
        <is>
          <t>Bergvik skog väst AB</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16404-2023</t>
        </is>
      </c>
      <c r="B3680" s="1" t="n">
        <v>45029</v>
      </c>
      <c r="C3680" s="1" t="n">
        <v>45792</v>
      </c>
      <c r="D3680" t="inlineStr">
        <is>
          <t>UPPSALA LÄN</t>
        </is>
      </c>
      <c r="E3680" t="inlineStr">
        <is>
          <t>HEBY</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16660-2023</t>
        </is>
      </c>
      <c r="B3681" s="1" t="n">
        <v>45030</v>
      </c>
      <c r="C3681" s="1" t="n">
        <v>45792</v>
      </c>
      <c r="D3681" t="inlineStr">
        <is>
          <t>UPPSALA LÄN</t>
        </is>
      </c>
      <c r="E3681" t="inlineStr">
        <is>
          <t>HEBY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16587-2023</t>
        </is>
      </c>
      <c r="B3682" s="1" t="n">
        <v>45030</v>
      </c>
      <c r="C3682" s="1" t="n">
        <v>45792</v>
      </c>
      <c r="D3682" t="inlineStr">
        <is>
          <t>UPPSALA LÄN</t>
        </is>
      </c>
      <c r="E3682" t="inlineStr">
        <is>
          <t>TIERP</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16631-2023</t>
        </is>
      </c>
      <c r="B3683" s="1" t="n">
        <v>45030</v>
      </c>
      <c r="C3683" s="1" t="n">
        <v>45792</v>
      </c>
      <c r="D3683" t="inlineStr">
        <is>
          <t>UPPSALA LÄN</t>
        </is>
      </c>
      <c r="E3683" t="inlineStr">
        <is>
          <t>TIERP</t>
        </is>
      </c>
      <c r="F3683" t="inlineStr">
        <is>
          <t>Bergvik skog väst AB</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16639-2023</t>
        </is>
      </c>
      <c r="B3684" s="1" t="n">
        <v>45030</v>
      </c>
      <c r="C3684" s="1" t="n">
        <v>45792</v>
      </c>
      <c r="D3684" t="inlineStr">
        <is>
          <t>UPPSALA LÄN</t>
        </is>
      </c>
      <c r="E3684" t="inlineStr">
        <is>
          <t>KNIVSTA</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16701-2023</t>
        </is>
      </c>
      <c r="B3685" s="1" t="n">
        <v>45030</v>
      </c>
      <c r="C3685" s="1" t="n">
        <v>45792</v>
      </c>
      <c r="D3685" t="inlineStr">
        <is>
          <t>UPPSALA LÄN</t>
        </is>
      </c>
      <c r="E3685" t="inlineStr">
        <is>
          <t>ÖSTHAMMAR</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16699-2023</t>
        </is>
      </c>
      <c r="B3686" s="1" t="n">
        <v>45030</v>
      </c>
      <c r="C3686" s="1" t="n">
        <v>45792</v>
      </c>
      <c r="D3686" t="inlineStr">
        <is>
          <t>UPPSALA LÄN</t>
        </is>
      </c>
      <c r="E3686" t="inlineStr">
        <is>
          <t>HEBY</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16791-2023</t>
        </is>
      </c>
      <c r="B3687" s="1" t="n">
        <v>45033</v>
      </c>
      <c r="C3687" s="1" t="n">
        <v>45792</v>
      </c>
      <c r="D3687" t="inlineStr">
        <is>
          <t>UPPSALA LÄN</t>
        </is>
      </c>
      <c r="E3687" t="inlineStr">
        <is>
          <t>TIERP</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16905-2023</t>
        </is>
      </c>
      <c r="B3688" s="1" t="n">
        <v>45033</v>
      </c>
      <c r="C3688" s="1" t="n">
        <v>45792</v>
      </c>
      <c r="D3688" t="inlineStr">
        <is>
          <t>UPPSALA LÄN</t>
        </is>
      </c>
      <c r="E3688" t="inlineStr">
        <is>
          <t>ENKÖPING</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16811-2023</t>
        </is>
      </c>
      <c r="B3689" s="1" t="n">
        <v>45033</v>
      </c>
      <c r="C3689" s="1" t="n">
        <v>45792</v>
      </c>
      <c r="D3689" t="inlineStr">
        <is>
          <t>UPPSALA LÄN</t>
        </is>
      </c>
      <c r="E3689" t="inlineStr">
        <is>
          <t>UPPSALA</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16954-2023</t>
        </is>
      </c>
      <c r="B3690" s="1" t="n">
        <v>45033</v>
      </c>
      <c r="C3690" s="1" t="n">
        <v>45792</v>
      </c>
      <c r="D3690" t="inlineStr">
        <is>
          <t>UPPSALA LÄN</t>
        </is>
      </c>
      <c r="E3690" t="inlineStr">
        <is>
          <t>ÖSTHAMMAR</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16916-2023</t>
        </is>
      </c>
      <c r="B3691" s="1" t="n">
        <v>45033</v>
      </c>
      <c r="C3691" s="1" t="n">
        <v>45792</v>
      </c>
      <c r="D3691" t="inlineStr">
        <is>
          <t>UPPSALA LÄN</t>
        </is>
      </c>
      <c r="E3691" t="inlineStr">
        <is>
          <t>ENKÖPING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16920-2023</t>
        </is>
      </c>
      <c r="B3692" s="1" t="n">
        <v>45033</v>
      </c>
      <c r="C3692" s="1" t="n">
        <v>45792</v>
      </c>
      <c r="D3692" t="inlineStr">
        <is>
          <t>UPPSALA LÄN</t>
        </is>
      </c>
      <c r="E3692" t="inlineStr">
        <is>
          <t>ENKÖPING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16948-2023</t>
        </is>
      </c>
      <c r="B3693" s="1" t="n">
        <v>45033</v>
      </c>
      <c r="C3693" s="1" t="n">
        <v>45792</v>
      </c>
      <c r="D3693" t="inlineStr">
        <is>
          <t>UPPSALA LÄN</t>
        </is>
      </c>
      <c r="E3693" t="inlineStr">
        <is>
          <t>ÖSTHAMMAR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16966-2023</t>
        </is>
      </c>
      <c r="B3694" s="1" t="n">
        <v>45033</v>
      </c>
      <c r="C3694" s="1" t="n">
        <v>45792</v>
      </c>
      <c r="D3694" t="inlineStr">
        <is>
          <t>UPPSALA LÄN</t>
        </is>
      </c>
      <c r="E3694" t="inlineStr">
        <is>
          <t>ÖSTHAMMAR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17091-2023</t>
        </is>
      </c>
      <c r="B3695" s="1" t="n">
        <v>45034</v>
      </c>
      <c r="C3695" s="1" t="n">
        <v>45792</v>
      </c>
      <c r="D3695" t="inlineStr">
        <is>
          <t>UPPSALA LÄN</t>
        </is>
      </c>
      <c r="E3695" t="inlineStr">
        <is>
          <t>KNIVSTA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17094-2023</t>
        </is>
      </c>
      <c r="B3696" s="1" t="n">
        <v>45034</v>
      </c>
      <c r="C3696" s="1" t="n">
        <v>45792</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17028-2023</t>
        </is>
      </c>
      <c r="B3697" s="1" t="n">
        <v>45034</v>
      </c>
      <c r="C3697" s="1" t="n">
        <v>45792</v>
      </c>
      <c r="D3697" t="inlineStr">
        <is>
          <t>UPPSALA LÄN</t>
        </is>
      </c>
      <c r="E3697" t="inlineStr">
        <is>
          <t>ÖSTHAMMAR</t>
        </is>
      </c>
      <c r="F3697" t="inlineStr">
        <is>
          <t>Bergvik skog öst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17254-2023</t>
        </is>
      </c>
      <c r="B3698" s="1" t="n">
        <v>45034</v>
      </c>
      <c r="C3698" s="1" t="n">
        <v>45792</v>
      </c>
      <c r="D3698" t="inlineStr">
        <is>
          <t>UPPSALA LÄN</t>
        </is>
      </c>
      <c r="E3698" t="inlineStr">
        <is>
          <t>ENKÖPING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17511-2023</t>
        </is>
      </c>
      <c r="B3699" s="1" t="n">
        <v>45034</v>
      </c>
      <c r="C3699" s="1" t="n">
        <v>45792</v>
      </c>
      <c r="D3699" t="inlineStr">
        <is>
          <t>UPPSALA LÄN</t>
        </is>
      </c>
      <c r="E3699" t="inlineStr">
        <is>
          <t>ENKÖPING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17229-2023</t>
        </is>
      </c>
      <c r="B3700" s="1" t="n">
        <v>45035</v>
      </c>
      <c r="C3700" s="1" t="n">
        <v>45792</v>
      </c>
      <c r="D3700" t="inlineStr">
        <is>
          <t>UPPSALA LÄN</t>
        </is>
      </c>
      <c r="E3700" t="inlineStr">
        <is>
          <t>UPPSALA</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17288-2023</t>
        </is>
      </c>
      <c r="B3701" s="1" t="n">
        <v>45035</v>
      </c>
      <c r="C3701" s="1" t="n">
        <v>45792</v>
      </c>
      <c r="D3701" t="inlineStr">
        <is>
          <t>UPPSALA LÄN</t>
        </is>
      </c>
      <c r="E3701" t="inlineStr">
        <is>
          <t>HEBY</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17369-2023</t>
        </is>
      </c>
      <c r="B3702" s="1" t="n">
        <v>45035</v>
      </c>
      <c r="C3702" s="1" t="n">
        <v>45792</v>
      </c>
      <c r="D3702" t="inlineStr">
        <is>
          <t>UPPSALA LÄN</t>
        </is>
      </c>
      <c r="E3702" t="inlineStr">
        <is>
          <t>HEBY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17371-2023</t>
        </is>
      </c>
      <c r="B3703" s="1" t="n">
        <v>45035</v>
      </c>
      <c r="C3703" s="1" t="n">
        <v>45792</v>
      </c>
      <c r="D3703" t="inlineStr">
        <is>
          <t>UPPSALA LÄN</t>
        </is>
      </c>
      <c r="E3703" t="inlineStr">
        <is>
          <t>HEBY</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17280-2023</t>
        </is>
      </c>
      <c r="B3704" s="1" t="n">
        <v>45035</v>
      </c>
      <c r="C3704" s="1" t="n">
        <v>45792</v>
      </c>
      <c r="D3704" t="inlineStr">
        <is>
          <t>UPPSALA LÄN</t>
        </is>
      </c>
      <c r="E3704" t="inlineStr">
        <is>
          <t>UPPSALA</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17407-2023</t>
        </is>
      </c>
      <c r="B3705" s="1" t="n">
        <v>45035</v>
      </c>
      <c r="C3705" s="1" t="n">
        <v>45792</v>
      </c>
      <c r="D3705" t="inlineStr">
        <is>
          <t>UPPSALA LÄN</t>
        </is>
      </c>
      <c r="E3705" t="inlineStr">
        <is>
          <t>HEBY</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17373-2023</t>
        </is>
      </c>
      <c r="B3706" s="1" t="n">
        <v>45035</v>
      </c>
      <c r="C3706" s="1" t="n">
        <v>45792</v>
      </c>
      <c r="D3706" t="inlineStr">
        <is>
          <t>UPPSALA LÄN</t>
        </is>
      </c>
      <c r="E3706" t="inlineStr">
        <is>
          <t>ENKÖPING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17481-2023</t>
        </is>
      </c>
      <c r="B3707" s="1" t="n">
        <v>45036</v>
      </c>
      <c r="C3707" s="1" t="n">
        <v>45792</v>
      </c>
      <c r="D3707" t="inlineStr">
        <is>
          <t>UPPSALA LÄN</t>
        </is>
      </c>
      <c r="E3707" t="inlineStr">
        <is>
          <t>UPPSALA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17631-2023</t>
        </is>
      </c>
      <c r="B3708" s="1" t="n">
        <v>45036</v>
      </c>
      <c r="C3708" s="1" t="n">
        <v>45792</v>
      </c>
      <c r="D3708" t="inlineStr">
        <is>
          <t>UPPSALA LÄN</t>
        </is>
      </c>
      <c r="E3708" t="inlineStr">
        <is>
          <t>ÖSTHAMMAR</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17657-2023</t>
        </is>
      </c>
      <c r="B3709" s="1" t="n">
        <v>45036</v>
      </c>
      <c r="C3709" s="1" t="n">
        <v>45792</v>
      </c>
      <c r="D3709" t="inlineStr">
        <is>
          <t>UPPSALA LÄN</t>
        </is>
      </c>
      <c r="E3709" t="inlineStr">
        <is>
          <t>HEBY</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17729-2023</t>
        </is>
      </c>
      <c r="B3710" s="1" t="n">
        <v>45037</v>
      </c>
      <c r="C3710" s="1" t="n">
        <v>45792</v>
      </c>
      <c r="D3710" t="inlineStr">
        <is>
          <t>UPPSALA LÄN</t>
        </is>
      </c>
      <c r="E3710" t="inlineStr">
        <is>
          <t>ENKÖPING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17813-2023</t>
        </is>
      </c>
      <c r="B3711" s="1" t="n">
        <v>45037</v>
      </c>
      <c r="C3711" s="1" t="n">
        <v>45792</v>
      </c>
      <c r="D3711" t="inlineStr">
        <is>
          <t>UPPSALA LÄN</t>
        </is>
      </c>
      <c r="E3711" t="inlineStr">
        <is>
          <t>ENKÖPING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17850-2023</t>
        </is>
      </c>
      <c r="B3712" s="1" t="n">
        <v>45037</v>
      </c>
      <c r="C3712" s="1" t="n">
        <v>45792</v>
      </c>
      <c r="D3712" t="inlineStr">
        <is>
          <t>UPPSALA LÄN</t>
        </is>
      </c>
      <c r="E3712" t="inlineStr">
        <is>
          <t>ÖSTHAMMAR</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17851-2023</t>
        </is>
      </c>
      <c r="B3713" s="1" t="n">
        <v>45037</v>
      </c>
      <c r="C3713" s="1" t="n">
        <v>45792</v>
      </c>
      <c r="D3713" t="inlineStr">
        <is>
          <t>UPPSALA LÄN</t>
        </is>
      </c>
      <c r="E3713" t="inlineStr">
        <is>
          <t>ÖSTHAMMAR</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17788-2023</t>
        </is>
      </c>
      <c r="B3714" s="1" t="n">
        <v>45037</v>
      </c>
      <c r="C3714" s="1" t="n">
        <v>45792</v>
      </c>
      <c r="D3714" t="inlineStr">
        <is>
          <t>UPPSALA LÄN</t>
        </is>
      </c>
      <c r="E3714" t="inlineStr">
        <is>
          <t>UPPSALA</t>
        </is>
      </c>
      <c r="F3714" t="inlineStr">
        <is>
          <t>Övriga Aktiebolag</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17854-2023</t>
        </is>
      </c>
      <c r="B3715" s="1" t="n">
        <v>45037</v>
      </c>
      <c r="C3715" s="1" t="n">
        <v>45792</v>
      </c>
      <c r="D3715" t="inlineStr">
        <is>
          <t>UPPSALA LÄN</t>
        </is>
      </c>
      <c r="E3715" t="inlineStr">
        <is>
          <t>ÖSTHAMMAR</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18091-2023</t>
        </is>
      </c>
      <c r="B3716" s="1" t="n">
        <v>45040</v>
      </c>
      <c r="C3716" s="1" t="n">
        <v>45792</v>
      </c>
      <c r="D3716" t="inlineStr">
        <is>
          <t>UPPSALA LÄN</t>
        </is>
      </c>
      <c r="E3716" t="inlineStr">
        <is>
          <t>ÖSTHAMMAR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17938-2023</t>
        </is>
      </c>
      <c r="B3717" s="1" t="n">
        <v>45040</v>
      </c>
      <c r="C3717" s="1" t="n">
        <v>45792</v>
      </c>
      <c r="D3717" t="inlineStr">
        <is>
          <t>UPPSALA LÄN</t>
        </is>
      </c>
      <c r="E3717" t="inlineStr">
        <is>
          <t>UPPSALA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17970-2023</t>
        </is>
      </c>
      <c r="B3718" s="1" t="n">
        <v>45040</v>
      </c>
      <c r="C3718" s="1" t="n">
        <v>45792</v>
      </c>
      <c r="D3718" t="inlineStr">
        <is>
          <t>UPPSALA LÄN</t>
        </is>
      </c>
      <c r="E3718" t="inlineStr">
        <is>
          <t>ÖSTHAMMAR</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17979-2023</t>
        </is>
      </c>
      <c r="B3719" s="1" t="n">
        <v>45040</v>
      </c>
      <c r="C3719" s="1" t="n">
        <v>45792</v>
      </c>
      <c r="D3719" t="inlineStr">
        <is>
          <t>UPPSALA LÄN</t>
        </is>
      </c>
      <c r="E3719" t="inlineStr">
        <is>
          <t>TIERP</t>
        </is>
      </c>
      <c r="F3719" t="inlineStr">
        <is>
          <t>Bergvik skog öst AB</t>
        </is>
      </c>
      <c r="G3719" t="n">
        <v>11.4</v>
      </c>
      <c r="H3719" t="n">
        <v>0</v>
      </c>
      <c r="I3719" t="n">
        <v>0</v>
      </c>
      <c r="J3719" t="n">
        <v>0</v>
      </c>
      <c r="K3719" t="n">
        <v>0</v>
      </c>
      <c r="L3719" t="n">
        <v>0</v>
      </c>
      <c r="M3719" t="n">
        <v>0</v>
      </c>
      <c r="N3719" t="n">
        <v>0</v>
      </c>
      <c r="O3719" t="n">
        <v>0</v>
      </c>
      <c r="P3719" t="n">
        <v>0</v>
      </c>
      <c r="Q3719" t="n">
        <v>0</v>
      </c>
      <c r="R3719" s="2" t="inlineStr"/>
    </row>
    <row r="3720" ht="15" customHeight="1">
      <c r="A3720" t="inlineStr">
        <is>
          <t>A 17950-2023</t>
        </is>
      </c>
      <c r="B3720" s="1" t="n">
        <v>45040</v>
      </c>
      <c r="C3720" s="1" t="n">
        <v>45792</v>
      </c>
      <c r="D3720" t="inlineStr">
        <is>
          <t>UPPSALA LÄN</t>
        </is>
      </c>
      <c r="E3720" t="inlineStr">
        <is>
          <t>TIERP</t>
        </is>
      </c>
      <c r="F3720" t="inlineStr">
        <is>
          <t>Bergvik skog väst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18074-2023</t>
        </is>
      </c>
      <c r="B3721" s="1" t="n">
        <v>45040</v>
      </c>
      <c r="C3721" s="1" t="n">
        <v>45792</v>
      </c>
      <c r="D3721" t="inlineStr">
        <is>
          <t>UPPSALA LÄN</t>
        </is>
      </c>
      <c r="E3721" t="inlineStr">
        <is>
          <t>ÖSTHAMMAR</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18030-2023</t>
        </is>
      </c>
      <c r="B3722" s="1" t="n">
        <v>45040</v>
      </c>
      <c r="C3722" s="1" t="n">
        <v>45792</v>
      </c>
      <c r="D3722" t="inlineStr">
        <is>
          <t>UPPSALA LÄN</t>
        </is>
      </c>
      <c r="E3722" t="inlineStr">
        <is>
          <t>ENKÖPING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18038-2023</t>
        </is>
      </c>
      <c r="B3723" s="1" t="n">
        <v>45040</v>
      </c>
      <c r="C3723" s="1" t="n">
        <v>45792</v>
      </c>
      <c r="D3723" t="inlineStr">
        <is>
          <t>UPPSALA LÄN</t>
        </is>
      </c>
      <c r="E3723" t="inlineStr">
        <is>
          <t>TIERP</t>
        </is>
      </c>
      <c r="F3723" t="inlineStr">
        <is>
          <t>Kyrkan</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18113-2023</t>
        </is>
      </c>
      <c r="B3724" s="1" t="n">
        <v>45040</v>
      </c>
      <c r="C3724" s="1" t="n">
        <v>45792</v>
      </c>
      <c r="D3724" t="inlineStr">
        <is>
          <t>UPPSALA LÄN</t>
        </is>
      </c>
      <c r="E3724" t="inlineStr">
        <is>
          <t>ÖSTHAMMAR</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17944-2023</t>
        </is>
      </c>
      <c r="B3725" s="1" t="n">
        <v>45040</v>
      </c>
      <c r="C3725" s="1" t="n">
        <v>45792</v>
      </c>
      <c r="D3725" t="inlineStr">
        <is>
          <t>UPPSALA LÄN</t>
        </is>
      </c>
      <c r="E3725" t="inlineStr">
        <is>
          <t>TIERP</t>
        </is>
      </c>
      <c r="F3725" t="inlineStr">
        <is>
          <t>Bergvik skog väst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17958-2023</t>
        </is>
      </c>
      <c r="B3726" s="1" t="n">
        <v>45040</v>
      </c>
      <c r="C3726" s="1" t="n">
        <v>45792</v>
      </c>
      <c r="D3726" t="inlineStr">
        <is>
          <t>UPPSALA LÄN</t>
        </is>
      </c>
      <c r="E3726" t="inlineStr">
        <is>
          <t>TIERP</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17969-2023</t>
        </is>
      </c>
      <c r="B3727" s="1" t="n">
        <v>45040</v>
      </c>
      <c r="C3727" s="1" t="n">
        <v>45792</v>
      </c>
      <c r="D3727" t="inlineStr">
        <is>
          <t>UPPSALA LÄN</t>
        </is>
      </c>
      <c r="E3727" t="inlineStr">
        <is>
          <t>ÖSTHAMMAR</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18014-2023</t>
        </is>
      </c>
      <c r="B3728" s="1" t="n">
        <v>45040</v>
      </c>
      <c r="C3728" s="1" t="n">
        <v>45792</v>
      </c>
      <c r="D3728" t="inlineStr">
        <is>
          <t>UPPSALA LÄN</t>
        </is>
      </c>
      <c r="E3728" t="inlineStr">
        <is>
          <t>TIERP</t>
        </is>
      </c>
      <c r="F3728" t="inlineStr">
        <is>
          <t>Bergvik skog väst AB</t>
        </is>
      </c>
      <c r="G3728" t="n">
        <v>17.3</v>
      </c>
      <c r="H3728" t="n">
        <v>0</v>
      </c>
      <c r="I3728" t="n">
        <v>0</v>
      </c>
      <c r="J3728" t="n">
        <v>0</v>
      </c>
      <c r="K3728" t="n">
        <v>0</v>
      </c>
      <c r="L3728" t="n">
        <v>0</v>
      </c>
      <c r="M3728" t="n">
        <v>0</v>
      </c>
      <c r="N3728" t="n">
        <v>0</v>
      </c>
      <c r="O3728" t="n">
        <v>0</v>
      </c>
      <c r="P3728" t="n">
        <v>0</v>
      </c>
      <c r="Q3728" t="n">
        <v>0</v>
      </c>
      <c r="R3728" s="2" t="inlineStr"/>
    </row>
    <row r="3729" ht="15" customHeight="1">
      <c r="A3729" t="inlineStr">
        <is>
          <t>A 18190-2023</t>
        </is>
      </c>
      <c r="B3729" s="1" t="n">
        <v>45041</v>
      </c>
      <c r="C3729" s="1" t="n">
        <v>45792</v>
      </c>
      <c r="D3729" t="inlineStr">
        <is>
          <t>UPPSALA LÄN</t>
        </is>
      </c>
      <c r="E3729" t="inlineStr">
        <is>
          <t>TIERP</t>
        </is>
      </c>
      <c r="F3729" t="inlineStr">
        <is>
          <t>Kyrkan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18277-2023</t>
        </is>
      </c>
      <c r="B3730" s="1" t="n">
        <v>45041</v>
      </c>
      <c r="C3730" s="1" t="n">
        <v>45792</v>
      </c>
      <c r="D3730" t="inlineStr">
        <is>
          <t>UPPSALA LÄN</t>
        </is>
      </c>
      <c r="E3730" t="inlineStr">
        <is>
          <t>UPPSALA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18219-2023</t>
        </is>
      </c>
      <c r="B3731" s="1" t="n">
        <v>45041</v>
      </c>
      <c r="C3731" s="1" t="n">
        <v>45792</v>
      </c>
      <c r="D3731" t="inlineStr">
        <is>
          <t>UPPSALA LÄN</t>
        </is>
      </c>
      <c r="E3731" t="inlineStr">
        <is>
          <t>ÖSTHAMMAR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18275-2023</t>
        </is>
      </c>
      <c r="B3732" s="1" t="n">
        <v>45041</v>
      </c>
      <c r="C3732" s="1" t="n">
        <v>45792</v>
      </c>
      <c r="D3732" t="inlineStr">
        <is>
          <t>UPPSALA LÄN</t>
        </is>
      </c>
      <c r="E3732" t="inlineStr">
        <is>
          <t>UPPSALA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18278-2023</t>
        </is>
      </c>
      <c r="B3733" s="1" t="n">
        <v>45041</v>
      </c>
      <c r="C3733" s="1" t="n">
        <v>45792</v>
      </c>
      <c r="D3733" t="inlineStr">
        <is>
          <t>UPPSALA LÄN</t>
        </is>
      </c>
      <c r="E3733" t="inlineStr">
        <is>
          <t>UPPSALA</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18276-2023</t>
        </is>
      </c>
      <c r="B3734" s="1" t="n">
        <v>45041</v>
      </c>
      <c r="C3734" s="1" t="n">
        <v>45792</v>
      </c>
      <c r="D3734" t="inlineStr">
        <is>
          <t>UPPSALA LÄN</t>
        </is>
      </c>
      <c r="E3734" t="inlineStr">
        <is>
          <t>UPPSALA</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18536-2023</t>
        </is>
      </c>
      <c r="B3735" s="1" t="n">
        <v>45042</v>
      </c>
      <c r="C3735" s="1" t="n">
        <v>45792</v>
      </c>
      <c r="D3735" t="inlineStr">
        <is>
          <t>UPPSALA LÄN</t>
        </is>
      </c>
      <c r="E3735" t="inlineStr">
        <is>
          <t>ÖSTHAMMAR</t>
        </is>
      </c>
      <c r="F3735" t="inlineStr">
        <is>
          <t>Bergvik skog öst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18386-2023</t>
        </is>
      </c>
      <c r="B3736" s="1" t="n">
        <v>45042</v>
      </c>
      <c r="C3736" s="1" t="n">
        <v>45792</v>
      </c>
      <c r="D3736" t="inlineStr">
        <is>
          <t>UPPSALA LÄN</t>
        </is>
      </c>
      <c r="E3736" t="inlineStr">
        <is>
          <t>ÖSTHAMMAR</t>
        </is>
      </c>
      <c r="F3736" t="inlineStr">
        <is>
          <t>Bergvik skog öst AB</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18443-2023</t>
        </is>
      </c>
      <c r="B3737" s="1" t="n">
        <v>45042</v>
      </c>
      <c r="C3737" s="1" t="n">
        <v>45792</v>
      </c>
      <c r="D3737" t="inlineStr">
        <is>
          <t>UPPSALA LÄN</t>
        </is>
      </c>
      <c r="E3737" t="inlineStr">
        <is>
          <t>UPPSALA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18496-2023</t>
        </is>
      </c>
      <c r="B3738" s="1" t="n">
        <v>45042</v>
      </c>
      <c r="C3738" s="1" t="n">
        <v>45792</v>
      </c>
      <c r="D3738" t="inlineStr">
        <is>
          <t>UPPSALA LÄN</t>
        </is>
      </c>
      <c r="E3738" t="inlineStr">
        <is>
          <t>UPPSALA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18535-2023</t>
        </is>
      </c>
      <c r="B3739" s="1" t="n">
        <v>45042</v>
      </c>
      <c r="C3739" s="1" t="n">
        <v>45792</v>
      </c>
      <c r="D3739" t="inlineStr">
        <is>
          <t>UPPSALA LÄN</t>
        </is>
      </c>
      <c r="E3739" t="inlineStr">
        <is>
          <t>ÖSTHAMMAR</t>
        </is>
      </c>
      <c r="F3739" t="inlineStr">
        <is>
          <t>Bergvik skog öst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18507-2023</t>
        </is>
      </c>
      <c r="B3740" s="1" t="n">
        <v>45042</v>
      </c>
      <c r="C3740" s="1" t="n">
        <v>45792</v>
      </c>
      <c r="D3740" t="inlineStr">
        <is>
          <t>UPPSALA LÄN</t>
        </is>
      </c>
      <c r="E3740" t="inlineStr">
        <is>
          <t>UPPSALA</t>
        </is>
      </c>
      <c r="F3740" t="inlineStr">
        <is>
          <t>Övriga Aktiebolag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18534-2023</t>
        </is>
      </c>
      <c r="B3741" s="1" t="n">
        <v>45042</v>
      </c>
      <c r="C3741" s="1" t="n">
        <v>45792</v>
      </c>
      <c r="D3741" t="inlineStr">
        <is>
          <t>UPPSALA LÄN</t>
        </is>
      </c>
      <c r="E3741" t="inlineStr">
        <is>
          <t>ÖSTHAMMAR</t>
        </is>
      </c>
      <c r="F3741" t="inlineStr">
        <is>
          <t>Bergvik skog öst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18422-2023</t>
        </is>
      </c>
      <c r="B3742" s="1" t="n">
        <v>45042</v>
      </c>
      <c r="C3742" s="1" t="n">
        <v>45792</v>
      </c>
      <c r="D3742" t="inlineStr">
        <is>
          <t>UPPSALA LÄN</t>
        </is>
      </c>
      <c r="E3742" t="inlineStr">
        <is>
          <t>HEBY</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18472-2023</t>
        </is>
      </c>
      <c r="B3743" s="1" t="n">
        <v>45042</v>
      </c>
      <c r="C3743" s="1" t="n">
        <v>45792</v>
      </c>
      <c r="D3743" t="inlineStr">
        <is>
          <t>UPPSALA LÄN</t>
        </is>
      </c>
      <c r="E3743" t="inlineStr">
        <is>
          <t>UPPSALA</t>
        </is>
      </c>
      <c r="F3743" t="inlineStr">
        <is>
          <t>Övriga Aktiebolag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18538-2023</t>
        </is>
      </c>
      <c r="B3744" s="1" t="n">
        <v>45042</v>
      </c>
      <c r="C3744" s="1" t="n">
        <v>45792</v>
      </c>
      <c r="D3744" t="inlineStr">
        <is>
          <t>UPPSALA LÄN</t>
        </is>
      </c>
      <c r="E3744" t="inlineStr">
        <is>
          <t>ÖSTHAMMAR</t>
        </is>
      </c>
      <c r="F3744" t="inlineStr">
        <is>
          <t>Bergvik skog öst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18652-2023</t>
        </is>
      </c>
      <c r="B3745" s="1" t="n">
        <v>45043</v>
      </c>
      <c r="C3745" s="1" t="n">
        <v>45792</v>
      </c>
      <c r="D3745" t="inlineStr">
        <is>
          <t>UPPSALA LÄN</t>
        </is>
      </c>
      <c r="E3745" t="inlineStr">
        <is>
          <t>HEBY</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18726-2023</t>
        </is>
      </c>
      <c r="B3746" s="1" t="n">
        <v>45043</v>
      </c>
      <c r="C3746" s="1" t="n">
        <v>45792</v>
      </c>
      <c r="D3746" t="inlineStr">
        <is>
          <t>UPPSALA LÄN</t>
        </is>
      </c>
      <c r="E3746" t="inlineStr">
        <is>
          <t>HEBY</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18641-2023</t>
        </is>
      </c>
      <c r="B3747" s="1" t="n">
        <v>45043</v>
      </c>
      <c r="C3747" s="1" t="n">
        <v>45792</v>
      </c>
      <c r="D3747" t="inlineStr">
        <is>
          <t>UPPSALA LÄN</t>
        </is>
      </c>
      <c r="E3747" t="inlineStr">
        <is>
          <t>TIERP</t>
        </is>
      </c>
      <c r="F3747" t="inlineStr">
        <is>
          <t>Bergvik skog öst AB</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18696-2023</t>
        </is>
      </c>
      <c r="B3748" s="1" t="n">
        <v>45043</v>
      </c>
      <c r="C3748" s="1" t="n">
        <v>45792</v>
      </c>
      <c r="D3748" t="inlineStr">
        <is>
          <t>UPPSALA LÄN</t>
        </is>
      </c>
      <c r="E3748" t="inlineStr">
        <is>
          <t>ENKÖPING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18710-2023</t>
        </is>
      </c>
      <c r="B3749" s="1" t="n">
        <v>45043</v>
      </c>
      <c r="C3749" s="1" t="n">
        <v>45792</v>
      </c>
      <c r="D3749" t="inlineStr">
        <is>
          <t>UPPSALA LÄN</t>
        </is>
      </c>
      <c r="E3749" t="inlineStr">
        <is>
          <t>UPPSALA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18743-2023</t>
        </is>
      </c>
      <c r="B3750" s="1" t="n">
        <v>45043</v>
      </c>
      <c r="C3750" s="1" t="n">
        <v>45792</v>
      </c>
      <c r="D3750" t="inlineStr">
        <is>
          <t>UPPSALA LÄN</t>
        </is>
      </c>
      <c r="E3750" t="inlineStr">
        <is>
          <t>HEBY</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18838-2023</t>
        </is>
      </c>
      <c r="B3751" s="1" t="n">
        <v>45044</v>
      </c>
      <c r="C3751" s="1" t="n">
        <v>45792</v>
      </c>
      <c r="D3751" t="inlineStr">
        <is>
          <t>UPPSALA LÄN</t>
        </is>
      </c>
      <c r="E3751" t="inlineStr">
        <is>
          <t>ÖSTHAMMAR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18798-2023</t>
        </is>
      </c>
      <c r="B3752" s="1" t="n">
        <v>45044</v>
      </c>
      <c r="C3752" s="1" t="n">
        <v>45792</v>
      </c>
      <c r="D3752" t="inlineStr">
        <is>
          <t>UPPSALA LÄN</t>
        </is>
      </c>
      <c r="E3752" t="inlineStr">
        <is>
          <t>HEBY</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18839-2023</t>
        </is>
      </c>
      <c r="B3753" s="1" t="n">
        <v>45044</v>
      </c>
      <c r="C3753" s="1" t="n">
        <v>45792</v>
      </c>
      <c r="D3753" t="inlineStr">
        <is>
          <t>UPPSALA LÄN</t>
        </is>
      </c>
      <c r="E3753" t="inlineStr">
        <is>
          <t>ÖSTHAMMAR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18841-2023</t>
        </is>
      </c>
      <c r="B3754" s="1" t="n">
        <v>45044</v>
      </c>
      <c r="C3754" s="1" t="n">
        <v>45792</v>
      </c>
      <c r="D3754" t="inlineStr">
        <is>
          <t>UPPSALA LÄN</t>
        </is>
      </c>
      <c r="E3754" t="inlineStr">
        <is>
          <t>ÖSTHAMMAR</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18945-2023</t>
        </is>
      </c>
      <c r="B3755" s="1" t="n">
        <v>45044</v>
      </c>
      <c r="C3755" s="1" t="n">
        <v>45792</v>
      </c>
      <c r="D3755" t="inlineStr">
        <is>
          <t>UPPSALA LÄN</t>
        </is>
      </c>
      <c r="E3755" t="inlineStr">
        <is>
          <t>ÖSTHAMMAR</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18946-2023</t>
        </is>
      </c>
      <c r="B3756" s="1" t="n">
        <v>45044</v>
      </c>
      <c r="C3756" s="1" t="n">
        <v>45792</v>
      </c>
      <c r="D3756" t="inlineStr">
        <is>
          <t>UPPSALA LÄN</t>
        </is>
      </c>
      <c r="E3756" t="inlineStr">
        <is>
          <t>ÖSTHAMMAR</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18821-2023</t>
        </is>
      </c>
      <c r="B3757" s="1" t="n">
        <v>45044</v>
      </c>
      <c r="C3757" s="1" t="n">
        <v>45792</v>
      </c>
      <c r="D3757" t="inlineStr">
        <is>
          <t>UPPSALA LÄN</t>
        </is>
      </c>
      <c r="E3757" t="inlineStr">
        <is>
          <t>ENKÖPING</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18831-2023</t>
        </is>
      </c>
      <c r="B3758" s="1" t="n">
        <v>45044</v>
      </c>
      <c r="C3758" s="1" t="n">
        <v>45792</v>
      </c>
      <c r="D3758" t="inlineStr">
        <is>
          <t>UPPSALA LÄN</t>
        </is>
      </c>
      <c r="E3758" t="inlineStr">
        <is>
          <t>ENKÖPING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19012-2023</t>
        </is>
      </c>
      <c r="B3759" s="1" t="n">
        <v>45045</v>
      </c>
      <c r="C3759" s="1" t="n">
        <v>45792</v>
      </c>
      <c r="D3759" t="inlineStr">
        <is>
          <t>UPPSALA LÄN</t>
        </is>
      </c>
      <c r="E3759" t="inlineStr">
        <is>
          <t>ÖSTHAMMAR</t>
        </is>
      </c>
      <c r="F3759" t="inlineStr">
        <is>
          <t>Bergvik skog öst AB</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19015-2023</t>
        </is>
      </c>
      <c r="B3760" s="1" t="n">
        <v>45045</v>
      </c>
      <c r="C3760" s="1" t="n">
        <v>45792</v>
      </c>
      <c r="D3760" t="inlineStr">
        <is>
          <t>UPPSALA LÄN</t>
        </is>
      </c>
      <c r="E3760" t="inlineStr">
        <is>
          <t>ÖSTHAMMAR</t>
        </is>
      </c>
      <c r="F3760" t="inlineStr">
        <is>
          <t>Bergvik skog öst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19010-2023</t>
        </is>
      </c>
      <c r="B3761" s="1" t="n">
        <v>45045</v>
      </c>
      <c r="C3761" s="1" t="n">
        <v>45792</v>
      </c>
      <c r="D3761" t="inlineStr">
        <is>
          <t>UPPSALA LÄN</t>
        </is>
      </c>
      <c r="E3761" t="inlineStr">
        <is>
          <t>ÖSTHAMMAR</t>
        </is>
      </c>
      <c r="F3761" t="inlineStr">
        <is>
          <t>Bergvik skog öst AB</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19014-2023</t>
        </is>
      </c>
      <c r="B3762" s="1" t="n">
        <v>45045</v>
      </c>
      <c r="C3762" s="1" t="n">
        <v>45792</v>
      </c>
      <c r="D3762" t="inlineStr">
        <is>
          <t>UPPSALA LÄN</t>
        </is>
      </c>
      <c r="E3762" t="inlineStr">
        <is>
          <t>ÖSTHAMMAR</t>
        </is>
      </c>
      <c r="F3762" t="inlineStr">
        <is>
          <t>Bergvik skog öst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19009-2023</t>
        </is>
      </c>
      <c r="B3763" s="1" t="n">
        <v>45045</v>
      </c>
      <c r="C3763" s="1" t="n">
        <v>45792</v>
      </c>
      <c r="D3763" t="inlineStr">
        <is>
          <t>UPPSALA LÄN</t>
        </is>
      </c>
      <c r="E3763" t="inlineStr">
        <is>
          <t>ÖSTHAMMAR</t>
        </is>
      </c>
      <c r="F3763" t="inlineStr">
        <is>
          <t>Bergvik skog öst AB</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19172-2023</t>
        </is>
      </c>
      <c r="B3764" s="1" t="n">
        <v>45046</v>
      </c>
      <c r="C3764" s="1" t="n">
        <v>45792</v>
      </c>
      <c r="D3764" t="inlineStr">
        <is>
          <t>UPPSALA LÄN</t>
        </is>
      </c>
      <c r="E3764" t="inlineStr">
        <is>
          <t>TIERP</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19174-2023</t>
        </is>
      </c>
      <c r="B3765" s="1" t="n">
        <v>45046</v>
      </c>
      <c r="C3765" s="1" t="n">
        <v>45792</v>
      </c>
      <c r="D3765" t="inlineStr">
        <is>
          <t>UPPSALA LÄN</t>
        </is>
      </c>
      <c r="E3765" t="inlineStr">
        <is>
          <t>TIERP</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19175-2023</t>
        </is>
      </c>
      <c r="B3766" s="1" t="n">
        <v>45046</v>
      </c>
      <c r="C3766" s="1" t="n">
        <v>45792</v>
      </c>
      <c r="D3766" t="inlineStr">
        <is>
          <t>UPPSALA LÄN</t>
        </is>
      </c>
      <c r="E3766" t="inlineStr">
        <is>
          <t>TIERP</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19041-2023</t>
        </is>
      </c>
      <c r="B3767" s="1" t="n">
        <v>45047</v>
      </c>
      <c r="C3767" s="1" t="n">
        <v>45792</v>
      </c>
      <c r="D3767" t="inlineStr">
        <is>
          <t>UPPSALA LÄN</t>
        </is>
      </c>
      <c r="E3767" t="inlineStr">
        <is>
          <t>ÖSTHAMMAR</t>
        </is>
      </c>
      <c r="F3767" t="inlineStr">
        <is>
          <t>Bergvik skog öst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19017-2023</t>
        </is>
      </c>
      <c r="B3768" s="1" t="n">
        <v>45047</v>
      </c>
      <c r="C3768" s="1" t="n">
        <v>45792</v>
      </c>
      <c r="D3768" t="inlineStr">
        <is>
          <t>UPPSALA LÄN</t>
        </is>
      </c>
      <c r="E3768" t="inlineStr">
        <is>
          <t>UPPSALA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19040-2023</t>
        </is>
      </c>
      <c r="B3769" s="1" t="n">
        <v>45047</v>
      </c>
      <c r="C3769" s="1" t="n">
        <v>45792</v>
      </c>
      <c r="D3769" t="inlineStr">
        <is>
          <t>UPPSALA LÄN</t>
        </is>
      </c>
      <c r="E3769" t="inlineStr">
        <is>
          <t>ÖSTHAMMAR</t>
        </is>
      </c>
      <c r="F3769" t="inlineStr">
        <is>
          <t>Bergvik skog öst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19102-2023</t>
        </is>
      </c>
      <c r="B3770" s="1" t="n">
        <v>45048</v>
      </c>
      <c r="C3770" s="1" t="n">
        <v>45792</v>
      </c>
      <c r="D3770" t="inlineStr">
        <is>
          <t>UPPSALA LÄN</t>
        </is>
      </c>
      <c r="E3770" t="inlineStr">
        <is>
          <t>ÖSTHAMMAR</t>
        </is>
      </c>
      <c r="F3770" t="inlineStr">
        <is>
          <t>Bergvik skog öst AB</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19099-2023</t>
        </is>
      </c>
      <c r="B3771" s="1" t="n">
        <v>45048</v>
      </c>
      <c r="C3771" s="1" t="n">
        <v>45792</v>
      </c>
      <c r="D3771" t="inlineStr">
        <is>
          <t>UPPSALA LÄN</t>
        </is>
      </c>
      <c r="E3771" t="inlineStr">
        <is>
          <t>ÖSTHAMMAR</t>
        </is>
      </c>
      <c r="F3771" t="inlineStr">
        <is>
          <t>Bergvik skog öst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19097-2023</t>
        </is>
      </c>
      <c r="B3772" s="1" t="n">
        <v>45048</v>
      </c>
      <c r="C3772" s="1" t="n">
        <v>45792</v>
      </c>
      <c r="D3772" t="inlineStr">
        <is>
          <t>UPPSALA LÄN</t>
        </is>
      </c>
      <c r="E3772" t="inlineStr">
        <is>
          <t>ÖSTHAMMAR</t>
        </is>
      </c>
      <c r="F3772" t="inlineStr">
        <is>
          <t>Bergvik skog öst AB</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19129-2023</t>
        </is>
      </c>
      <c r="B3773" s="1" t="n">
        <v>45048</v>
      </c>
      <c r="C3773" s="1" t="n">
        <v>45792</v>
      </c>
      <c r="D3773" t="inlineStr">
        <is>
          <t>UPPSALA LÄN</t>
        </is>
      </c>
      <c r="E3773" t="inlineStr">
        <is>
          <t>TIERP</t>
        </is>
      </c>
      <c r="F3773" t="inlineStr">
        <is>
          <t>Bergvik skog väst AB</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19135-2023</t>
        </is>
      </c>
      <c r="B3774" s="1" t="n">
        <v>45048</v>
      </c>
      <c r="C3774" s="1" t="n">
        <v>45792</v>
      </c>
      <c r="D3774" t="inlineStr">
        <is>
          <t>UPPSALA LÄN</t>
        </is>
      </c>
      <c r="E3774" t="inlineStr">
        <is>
          <t>UPPSALA</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19127-2023</t>
        </is>
      </c>
      <c r="B3775" s="1" t="n">
        <v>45048</v>
      </c>
      <c r="C3775" s="1" t="n">
        <v>45792</v>
      </c>
      <c r="D3775" t="inlineStr">
        <is>
          <t>UPPSALA LÄN</t>
        </is>
      </c>
      <c r="E3775" t="inlineStr">
        <is>
          <t>TIERP</t>
        </is>
      </c>
      <c r="F3775" t="inlineStr">
        <is>
          <t>Bergvik skog väst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19139-2023</t>
        </is>
      </c>
      <c r="B3776" s="1" t="n">
        <v>45048</v>
      </c>
      <c r="C3776" s="1" t="n">
        <v>45792</v>
      </c>
      <c r="D3776" t="inlineStr">
        <is>
          <t>UPPSALA LÄN</t>
        </is>
      </c>
      <c r="E3776" t="inlineStr">
        <is>
          <t>UPPSALA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19298-2023</t>
        </is>
      </c>
      <c r="B3777" s="1" t="n">
        <v>45048</v>
      </c>
      <c r="C3777" s="1" t="n">
        <v>45792</v>
      </c>
      <c r="D3777" t="inlineStr">
        <is>
          <t>UPPSALA LÄN</t>
        </is>
      </c>
      <c r="E3777" t="inlineStr">
        <is>
          <t>ENKÖPING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19215-2023</t>
        </is>
      </c>
      <c r="B3778" s="1" t="n">
        <v>45048</v>
      </c>
      <c r="C3778" s="1" t="n">
        <v>45792</v>
      </c>
      <c r="D3778" t="inlineStr">
        <is>
          <t>UPPSALA LÄN</t>
        </is>
      </c>
      <c r="E3778" t="inlineStr">
        <is>
          <t>ÖSTHAMMAR</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19301-2023</t>
        </is>
      </c>
      <c r="B3779" s="1" t="n">
        <v>45048</v>
      </c>
      <c r="C3779" s="1" t="n">
        <v>45792</v>
      </c>
      <c r="D3779" t="inlineStr">
        <is>
          <t>UPPSALA LÄN</t>
        </is>
      </c>
      <c r="E3779" t="inlineStr">
        <is>
          <t>ENKÖPING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19216-2023</t>
        </is>
      </c>
      <c r="B3780" s="1" t="n">
        <v>45048</v>
      </c>
      <c r="C3780" s="1" t="n">
        <v>45792</v>
      </c>
      <c r="D3780" t="inlineStr">
        <is>
          <t>UPPSALA LÄN</t>
        </is>
      </c>
      <c r="E3780" t="inlineStr">
        <is>
          <t>ÖSTHAMMAR</t>
        </is>
      </c>
      <c r="G3780" t="n">
        <v>11.3</v>
      </c>
      <c r="H3780" t="n">
        <v>0</v>
      </c>
      <c r="I3780" t="n">
        <v>0</v>
      </c>
      <c r="J3780" t="n">
        <v>0</v>
      </c>
      <c r="K3780" t="n">
        <v>0</v>
      </c>
      <c r="L3780" t="n">
        <v>0</v>
      </c>
      <c r="M3780" t="n">
        <v>0</v>
      </c>
      <c r="N3780" t="n">
        <v>0</v>
      </c>
      <c r="O3780" t="n">
        <v>0</v>
      </c>
      <c r="P3780" t="n">
        <v>0</v>
      </c>
      <c r="Q3780" t="n">
        <v>0</v>
      </c>
      <c r="R3780" s="2" t="inlineStr"/>
    </row>
    <row r="3781" ht="15" customHeight="1">
      <c r="A3781" t="inlineStr">
        <is>
          <t>A 19279-2023</t>
        </is>
      </c>
      <c r="B3781" s="1" t="n">
        <v>45049</v>
      </c>
      <c r="C3781" s="1" t="n">
        <v>45792</v>
      </c>
      <c r="D3781" t="inlineStr">
        <is>
          <t>UPPSALA LÄN</t>
        </is>
      </c>
      <c r="E3781" t="inlineStr">
        <is>
          <t>UPPSALA</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19283-2023</t>
        </is>
      </c>
      <c r="B3782" s="1" t="n">
        <v>45049</v>
      </c>
      <c r="C3782" s="1" t="n">
        <v>45792</v>
      </c>
      <c r="D3782" t="inlineStr">
        <is>
          <t>UPPSALA LÄN</t>
        </is>
      </c>
      <c r="E3782" t="inlineStr">
        <is>
          <t>TIERP</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19269-2023</t>
        </is>
      </c>
      <c r="B3783" s="1" t="n">
        <v>45049</v>
      </c>
      <c r="C3783" s="1" t="n">
        <v>45792</v>
      </c>
      <c r="D3783" t="inlineStr">
        <is>
          <t>UPPSALA LÄN</t>
        </is>
      </c>
      <c r="E3783" t="inlineStr">
        <is>
          <t>UPPSALA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19314-2023</t>
        </is>
      </c>
      <c r="B3784" s="1" t="n">
        <v>45049</v>
      </c>
      <c r="C3784" s="1" t="n">
        <v>45792</v>
      </c>
      <c r="D3784" t="inlineStr">
        <is>
          <t>UPPSALA LÄN</t>
        </is>
      </c>
      <c r="E3784" t="inlineStr">
        <is>
          <t>UPPSALA</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19320-2023</t>
        </is>
      </c>
      <c r="B3785" s="1" t="n">
        <v>45049</v>
      </c>
      <c r="C3785" s="1" t="n">
        <v>45792</v>
      </c>
      <c r="D3785" t="inlineStr">
        <is>
          <t>UPPSALA LÄN</t>
        </is>
      </c>
      <c r="E3785" t="inlineStr">
        <is>
          <t>UPPSALA</t>
        </is>
      </c>
      <c r="G3785" t="n">
        <v>17.5</v>
      </c>
      <c r="H3785" t="n">
        <v>0</v>
      </c>
      <c r="I3785" t="n">
        <v>0</v>
      </c>
      <c r="J3785" t="n">
        <v>0</v>
      </c>
      <c r="K3785" t="n">
        <v>0</v>
      </c>
      <c r="L3785" t="n">
        <v>0</v>
      </c>
      <c r="M3785" t="n">
        <v>0</v>
      </c>
      <c r="N3785" t="n">
        <v>0</v>
      </c>
      <c r="O3785" t="n">
        <v>0</v>
      </c>
      <c r="P3785" t="n">
        <v>0</v>
      </c>
      <c r="Q3785" t="n">
        <v>0</v>
      </c>
      <c r="R3785" s="2" t="inlineStr"/>
    </row>
    <row r="3786" ht="15" customHeight="1">
      <c r="A3786" t="inlineStr">
        <is>
          <t>A 19339-2023</t>
        </is>
      </c>
      <c r="B3786" s="1" t="n">
        <v>45049</v>
      </c>
      <c r="C3786" s="1" t="n">
        <v>45792</v>
      </c>
      <c r="D3786" t="inlineStr">
        <is>
          <t>UPPSALA LÄN</t>
        </is>
      </c>
      <c r="E3786" t="inlineStr">
        <is>
          <t>UPPSALA</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19380-2023</t>
        </is>
      </c>
      <c r="B3787" s="1" t="n">
        <v>45049</v>
      </c>
      <c r="C3787" s="1" t="n">
        <v>45792</v>
      </c>
      <c r="D3787" t="inlineStr">
        <is>
          <t>UPPSALA LÄN</t>
        </is>
      </c>
      <c r="E3787" t="inlineStr">
        <is>
          <t>UPPSALA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19411-2023</t>
        </is>
      </c>
      <c r="B3788" s="1" t="n">
        <v>45049</v>
      </c>
      <c r="C3788" s="1" t="n">
        <v>45792</v>
      </c>
      <c r="D3788" t="inlineStr">
        <is>
          <t>UPPSALA LÄN</t>
        </is>
      </c>
      <c r="E3788" t="inlineStr">
        <is>
          <t>UPPSALA</t>
        </is>
      </c>
      <c r="G3788" t="n">
        <v>12.6</v>
      </c>
      <c r="H3788" t="n">
        <v>0</v>
      </c>
      <c r="I3788" t="n">
        <v>0</v>
      </c>
      <c r="J3788" t="n">
        <v>0</v>
      </c>
      <c r="K3788" t="n">
        <v>0</v>
      </c>
      <c r="L3788" t="n">
        <v>0</v>
      </c>
      <c r="M3788" t="n">
        <v>0</v>
      </c>
      <c r="N3788" t="n">
        <v>0</v>
      </c>
      <c r="O3788" t="n">
        <v>0</v>
      </c>
      <c r="P3788" t="n">
        <v>0</v>
      </c>
      <c r="Q3788" t="n">
        <v>0</v>
      </c>
      <c r="R3788" s="2" t="inlineStr"/>
    </row>
    <row r="3789" ht="15" customHeight="1">
      <c r="A3789" t="inlineStr">
        <is>
          <t>A 19272-2023</t>
        </is>
      </c>
      <c r="B3789" s="1" t="n">
        <v>45049</v>
      </c>
      <c r="C3789" s="1" t="n">
        <v>45792</v>
      </c>
      <c r="D3789" t="inlineStr">
        <is>
          <t>UPPSALA LÄN</t>
        </is>
      </c>
      <c r="E3789" t="inlineStr">
        <is>
          <t>UPPSALA</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19276-2023</t>
        </is>
      </c>
      <c r="B3790" s="1" t="n">
        <v>45049</v>
      </c>
      <c r="C3790" s="1" t="n">
        <v>45792</v>
      </c>
      <c r="D3790" t="inlineStr">
        <is>
          <t>UPPSALA LÄN</t>
        </is>
      </c>
      <c r="E3790" t="inlineStr">
        <is>
          <t>UPPSALA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19317-2023</t>
        </is>
      </c>
      <c r="B3791" s="1" t="n">
        <v>45049</v>
      </c>
      <c r="C3791" s="1" t="n">
        <v>45792</v>
      </c>
      <c r="D3791" t="inlineStr">
        <is>
          <t>UPPSALA LÄN</t>
        </is>
      </c>
      <c r="E3791" t="inlineStr">
        <is>
          <t>UPPSALA</t>
        </is>
      </c>
      <c r="G3791" t="n">
        <v>15.4</v>
      </c>
      <c r="H3791" t="n">
        <v>0</v>
      </c>
      <c r="I3791" t="n">
        <v>0</v>
      </c>
      <c r="J3791" t="n">
        <v>0</v>
      </c>
      <c r="K3791" t="n">
        <v>0</v>
      </c>
      <c r="L3791" t="n">
        <v>0</v>
      </c>
      <c r="M3791" t="n">
        <v>0</v>
      </c>
      <c r="N3791" t="n">
        <v>0</v>
      </c>
      <c r="O3791" t="n">
        <v>0</v>
      </c>
      <c r="P3791" t="n">
        <v>0</v>
      </c>
      <c r="Q3791" t="n">
        <v>0</v>
      </c>
      <c r="R3791" s="2" t="inlineStr"/>
    </row>
    <row r="3792" ht="15" customHeight="1">
      <c r="A3792" t="inlineStr">
        <is>
          <t>A 19409-2023</t>
        </is>
      </c>
      <c r="B3792" s="1" t="n">
        <v>45049</v>
      </c>
      <c r="C3792" s="1" t="n">
        <v>45792</v>
      </c>
      <c r="D3792" t="inlineStr">
        <is>
          <t>UPPSALA LÄN</t>
        </is>
      </c>
      <c r="E3792" t="inlineStr">
        <is>
          <t>UPPSALA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19415-2023</t>
        </is>
      </c>
      <c r="B3793" s="1" t="n">
        <v>45049</v>
      </c>
      <c r="C3793" s="1" t="n">
        <v>45792</v>
      </c>
      <c r="D3793" t="inlineStr">
        <is>
          <t>UPPSALA LÄN</t>
        </is>
      </c>
      <c r="E3793" t="inlineStr">
        <is>
          <t>ENKÖPING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19455-2023</t>
        </is>
      </c>
      <c r="B3794" s="1" t="n">
        <v>45050</v>
      </c>
      <c r="C3794" s="1" t="n">
        <v>45792</v>
      </c>
      <c r="D3794" t="inlineStr">
        <is>
          <t>UPPSALA LÄN</t>
        </is>
      </c>
      <c r="E3794" t="inlineStr">
        <is>
          <t>UPPSALA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19515-2023</t>
        </is>
      </c>
      <c r="B3795" s="1" t="n">
        <v>45050</v>
      </c>
      <c r="C3795" s="1" t="n">
        <v>45792</v>
      </c>
      <c r="D3795" t="inlineStr">
        <is>
          <t>UPPSALA LÄN</t>
        </is>
      </c>
      <c r="E3795" t="inlineStr">
        <is>
          <t>UPPSALA</t>
        </is>
      </c>
      <c r="G3795" t="n">
        <v>11.2</v>
      </c>
      <c r="H3795" t="n">
        <v>0</v>
      </c>
      <c r="I3795" t="n">
        <v>0</v>
      </c>
      <c r="J3795" t="n">
        <v>0</v>
      </c>
      <c r="K3795" t="n">
        <v>0</v>
      </c>
      <c r="L3795" t="n">
        <v>0</v>
      </c>
      <c r="M3795" t="n">
        <v>0</v>
      </c>
      <c r="N3795" t="n">
        <v>0</v>
      </c>
      <c r="O3795" t="n">
        <v>0</v>
      </c>
      <c r="P3795" t="n">
        <v>0</v>
      </c>
      <c r="Q3795" t="n">
        <v>0</v>
      </c>
      <c r="R3795" s="2" t="inlineStr"/>
    </row>
    <row r="3796" ht="15" customHeight="1">
      <c r="A3796" t="inlineStr">
        <is>
          <t>A 19447-2023</t>
        </is>
      </c>
      <c r="B3796" s="1" t="n">
        <v>45050</v>
      </c>
      <c r="C3796" s="1" t="n">
        <v>45792</v>
      </c>
      <c r="D3796" t="inlineStr">
        <is>
          <t>UPPSALA LÄN</t>
        </is>
      </c>
      <c r="E3796" t="inlineStr">
        <is>
          <t>UPPSALA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19454-2023</t>
        </is>
      </c>
      <c r="B3797" s="1" t="n">
        <v>45050</v>
      </c>
      <c r="C3797" s="1" t="n">
        <v>45792</v>
      </c>
      <c r="D3797" t="inlineStr">
        <is>
          <t>UPPSALA LÄN</t>
        </is>
      </c>
      <c r="E3797" t="inlineStr">
        <is>
          <t>HEBY</t>
        </is>
      </c>
      <c r="F3797" t="inlineStr">
        <is>
          <t>Kyrkan</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19513-2023</t>
        </is>
      </c>
      <c r="B3798" s="1" t="n">
        <v>45050</v>
      </c>
      <c r="C3798" s="1" t="n">
        <v>45792</v>
      </c>
      <c r="D3798" t="inlineStr">
        <is>
          <t>UPPSALA LÄN</t>
        </is>
      </c>
      <c r="E3798" t="inlineStr">
        <is>
          <t>UPPSALA</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19516-2023</t>
        </is>
      </c>
      <c r="B3799" s="1" t="n">
        <v>45050</v>
      </c>
      <c r="C3799" s="1" t="n">
        <v>45792</v>
      </c>
      <c r="D3799" t="inlineStr">
        <is>
          <t>UPPSALA LÄN</t>
        </is>
      </c>
      <c r="E3799" t="inlineStr">
        <is>
          <t>UPPSALA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19741-2023</t>
        </is>
      </c>
      <c r="B3800" s="1" t="n">
        <v>45050</v>
      </c>
      <c r="C3800" s="1" t="n">
        <v>45792</v>
      </c>
      <c r="D3800" t="inlineStr">
        <is>
          <t>UPPSALA LÄN</t>
        </is>
      </c>
      <c r="E3800" t="inlineStr">
        <is>
          <t>HEBY</t>
        </is>
      </c>
      <c r="F3800" t="inlineStr">
        <is>
          <t>Bergvik skog väst AB</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19718-2023</t>
        </is>
      </c>
      <c r="B3801" s="1" t="n">
        <v>45050</v>
      </c>
      <c r="C3801" s="1" t="n">
        <v>45792</v>
      </c>
      <c r="D3801" t="inlineStr">
        <is>
          <t>UPPSALA LÄN</t>
        </is>
      </c>
      <c r="E3801" t="inlineStr">
        <is>
          <t>HEBY</t>
        </is>
      </c>
      <c r="F3801" t="inlineStr">
        <is>
          <t>Bergvik skog väst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19751-2023</t>
        </is>
      </c>
      <c r="B3802" s="1" t="n">
        <v>45050</v>
      </c>
      <c r="C3802" s="1" t="n">
        <v>45792</v>
      </c>
      <c r="D3802" t="inlineStr">
        <is>
          <t>UPPSALA LÄN</t>
        </is>
      </c>
      <c r="E3802" t="inlineStr">
        <is>
          <t>HEBY</t>
        </is>
      </c>
      <c r="F3802" t="inlineStr">
        <is>
          <t>Bergvik skog väst AB</t>
        </is>
      </c>
      <c r="G3802" t="n">
        <v>2.3</v>
      </c>
      <c r="H3802" t="n">
        <v>0</v>
      </c>
      <c r="I3802" t="n">
        <v>0</v>
      </c>
      <c r="J3802" t="n">
        <v>0</v>
      </c>
      <c r="K3802" t="n">
        <v>0</v>
      </c>
      <c r="L3802" t="n">
        <v>0</v>
      </c>
      <c r="M3802" t="n">
        <v>0</v>
      </c>
      <c r="N3802" t="n">
        <v>0</v>
      </c>
      <c r="O3802" t="n">
        <v>0</v>
      </c>
      <c r="P3802" t="n">
        <v>0</v>
      </c>
      <c r="Q3802" t="n">
        <v>0</v>
      </c>
      <c r="R3802" s="2" t="inlineStr"/>
      <c r="U3802">
        <f>HYPERLINK("https://klasma.github.io/Logging_0331/knärot/A 19751-2023 karta knärot.png", "A 19751-2023")</f>
        <v/>
      </c>
      <c r="V3802">
        <f>HYPERLINK("https://klasma.github.io/Logging_0331/klagomål/A 19751-2023 FSC-klagomål.docx", "A 19751-2023")</f>
        <v/>
      </c>
      <c r="W3802">
        <f>HYPERLINK("https://klasma.github.io/Logging_0331/klagomålsmail/A 19751-2023 FSC-klagomål mail.docx", "A 19751-2023")</f>
        <v/>
      </c>
      <c r="X3802">
        <f>HYPERLINK("https://klasma.github.io/Logging_0331/tillsyn/A 19751-2023 tillsynsbegäran.docx", "A 19751-2023")</f>
        <v/>
      </c>
      <c r="Y3802">
        <f>HYPERLINK("https://klasma.github.io/Logging_0331/tillsynsmail/A 19751-2023 tillsynsbegäran mail.docx", "A 19751-2023")</f>
        <v/>
      </c>
    </row>
    <row r="3803" ht="15" customHeight="1">
      <c r="A3803" t="inlineStr">
        <is>
          <t>A 19764-2023</t>
        </is>
      </c>
      <c r="B3803" s="1" t="n">
        <v>45050</v>
      </c>
      <c r="C3803" s="1" t="n">
        <v>45792</v>
      </c>
      <c r="D3803" t="inlineStr">
        <is>
          <t>UPPSALA LÄN</t>
        </is>
      </c>
      <c r="E3803" t="inlineStr">
        <is>
          <t>HEBY</t>
        </is>
      </c>
      <c r="F3803" t="inlineStr">
        <is>
          <t>Bergvik skog väst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19754-2023</t>
        </is>
      </c>
      <c r="B3804" s="1" t="n">
        <v>45050</v>
      </c>
      <c r="C3804" s="1" t="n">
        <v>45792</v>
      </c>
      <c r="D3804" t="inlineStr">
        <is>
          <t>UPPSALA LÄN</t>
        </is>
      </c>
      <c r="E3804" t="inlineStr">
        <is>
          <t>HEBY</t>
        </is>
      </c>
      <c r="F3804" t="inlineStr">
        <is>
          <t>Bergvik skog väst AB</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19737-2023</t>
        </is>
      </c>
      <c r="B3805" s="1" t="n">
        <v>45050</v>
      </c>
      <c r="C3805" s="1" t="n">
        <v>45792</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19791-2023</t>
        </is>
      </c>
      <c r="B3806" s="1" t="n">
        <v>45051</v>
      </c>
      <c r="C3806" s="1" t="n">
        <v>45792</v>
      </c>
      <c r="D3806" t="inlineStr">
        <is>
          <t>UPPSALA LÄN</t>
        </is>
      </c>
      <c r="E3806" t="inlineStr">
        <is>
          <t>TIERP</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19784-2023</t>
        </is>
      </c>
      <c r="B3807" s="1" t="n">
        <v>45051</v>
      </c>
      <c r="C3807" s="1" t="n">
        <v>45792</v>
      </c>
      <c r="D3807" t="inlineStr">
        <is>
          <t>UPPSALA LÄN</t>
        </is>
      </c>
      <c r="E3807" t="inlineStr">
        <is>
          <t>ÖSTHAMMAR</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19801-2023</t>
        </is>
      </c>
      <c r="B3808" s="1" t="n">
        <v>45051</v>
      </c>
      <c r="C3808" s="1" t="n">
        <v>45792</v>
      </c>
      <c r="D3808" t="inlineStr">
        <is>
          <t>UPPSALA LÄN</t>
        </is>
      </c>
      <c r="E3808" t="inlineStr">
        <is>
          <t>ÖSTHAMMAR</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19920-2023</t>
        </is>
      </c>
      <c r="B3809" s="1" t="n">
        <v>45054</v>
      </c>
      <c r="C3809" s="1" t="n">
        <v>45792</v>
      </c>
      <c r="D3809" t="inlineStr">
        <is>
          <t>UPPSALA LÄN</t>
        </is>
      </c>
      <c r="E3809" t="inlineStr">
        <is>
          <t>UPPSALA</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19968-2023</t>
        </is>
      </c>
      <c r="B3810" s="1" t="n">
        <v>45054</v>
      </c>
      <c r="C3810" s="1" t="n">
        <v>45792</v>
      </c>
      <c r="D3810" t="inlineStr">
        <is>
          <t>UPPSALA LÄN</t>
        </is>
      </c>
      <c r="E3810" t="inlineStr">
        <is>
          <t>ÖSTHAMMAR</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20038-2023</t>
        </is>
      </c>
      <c r="B3811" s="1" t="n">
        <v>45054</v>
      </c>
      <c r="C3811" s="1" t="n">
        <v>45792</v>
      </c>
      <c r="D3811" t="inlineStr">
        <is>
          <t>UPPSALA LÄN</t>
        </is>
      </c>
      <c r="E3811" t="inlineStr">
        <is>
          <t>ÖSTHAMMAR</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20046-2023</t>
        </is>
      </c>
      <c r="B3812" s="1" t="n">
        <v>45054</v>
      </c>
      <c r="C3812" s="1" t="n">
        <v>45792</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20087-2023</t>
        </is>
      </c>
      <c r="B3813" s="1" t="n">
        <v>45055</v>
      </c>
      <c r="C3813" s="1" t="n">
        <v>45792</v>
      </c>
      <c r="D3813" t="inlineStr">
        <is>
          <t>UPPSALA LÄN</t>
        </is>
      </c>
      <c r="E3813" t="inlineStr">
        <is>
          <t>UPPSALA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20102-2023</t>
        </is>
      </c>
      <c r="B3814" s="1" t="n">
        <v>45055</v>
      </c>
      <c r="C3814" s="1" t="n">
        <v>45792</v>
      </c>
      <c r="D3814" t="inlineStr">
        <is>
          <t>UPPSALA LÄN</t>
        </is>
      </c>
      <c r="E3814" t="inlineStr">
        <is>
          <t>UPPSALA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20029-2023</t>
        </is>
      </c>
      <c r="B3815" s="1" t="n">
        <v>45054</v>
      </c>
      <c r="C3815" s="1" t="n">
        <v>45792</v>
      </c>
      <c r="D3815" t="inlineStr">
        <is>
          <t>UPPSALA LÄN</t>
        </is>
      </c>
      <c r="E3815" t="inlineStr">
        <is>
          <t>ÖSTHAMMAR</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20431-2023</t>
        </is>
      </c>
      <c r="B3816" s="1" t="n">
        <v>45054</v>
      </c>
      <c r="C3816" s="1" t="n">
        <v>45792</v>
      </c>
      <c r="D3816" t="inlineStr">
        <is>
          <t>UPPSALA LÄN</t>
        </is>
      </c>
      <c r="E3816" t="inlineStr">
        <is>
          <t>ENKÖPING</t>
        </is>
      </c>
      <c r="F3816" t="inlineStr">
        <is>
          <t>Övriga statliga verk och myndigheter</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20105-2023</t>
        </is>
      </c>
      <c r="B3817" s="1" t="n">
        <v>45055</v>
      </c>
      <c r="C3817" s="1" t="n">
        <v>45792</v>
      </c>
      <c r="D3817" t="inlineStr">
        <is>
          <t>UPPSALA LÄN</t>
        </is>
      </c>
      <c r="E3817" t="inlineStr">
        <is>
          <t>UPPSALA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20179-2023</t>
        </is>
      </c>
      <c r="B3818" s="1" t="n">
        <v>45055</v>
      </c>
      <c r="C3818" s="1" t="n">
        <v>45792</v>
      </c>
      <c r="D3818" t="inlineStr">
        <is>
          <t>UPPSALA LÄN</t>
        </is>
      </c>
      <c r="E3818" t="inlineStr">
        <is>
          <t>ENKÖPING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20184-2023</t>
        </is>
      </c>
      <c r="B3819" s="1" t="n">
        <v>45055</v>
      </c>
      <c r="C3819" s="1" t="n">
        <v>45792</v>
      </c>
      <c r="D3819" t="inlineStr">
        <is>
          <t>UPPSALA LÄN</t>
        </is>
      </c>
      <c r="E3819" t="inlineStr">
        <is>
          <t>ENKÖPING</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20188-2023</t>
        </is>
      </c>
      <c r="B3820" s="1" t="n">
        <v>45055</v>
      </c>
      <c r="C3820" s="1" t="n">
        <v>45792</v>
      </c>
      <c r="D3820" t="inlineStr">
        <is>
          <t>UPPSALA LÄN</t>
        </is>
      </c>
      <c r="E3820" t="inlineStr">
        <is>
          <t>ENKÖPING</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20201-2023</t>
        </is>
      </c>
      <c r="B3821" s="1" t="n">
        <v>45055</v>
      </c>
      <c r="C3821" s="1" t="n">
        <v>45792</v>
      </c>
      <c r="D3821" t="inlineStr">
        <is>
          <t>UPPSALA LÄN</t>
        </is>
      </c>
      <c r="E3821" t="inlineStr">
        <is>
          <t>ENKÖPING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20206-2023</t>
        </is>
      </c>
      <c r="B3822" s="1" t="n">
        <v>45055</v>
      </c>
      <c r="C3822" s="1" t="n">
        <v>45792</v>
      </c>
      <c r="D3822" t="inlineStr">
        <is>
          <t>UPPSALA LÄN</t>
        </is>
      </c>
      <c r="E3822" t="inlineStr">
        <is>
          <t>UPPSALA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20116-2023</t>
        </is>
      </c>
      <c r="B3823" s="1" t="n">
        <v>45055</v>
      </c>
      <c r="C3823" s="1" t="n">
        <v>45792</v>
      </c>
      <c r="D3823" t="inlineStr">
        <is>
          <t>UPPSALA LÄN</t>
        </is>
      </c>
      <c r="E3823" t="inlineStr">
        <is>
          <t>TIERP</t>
        </is>
      </c>
      <c r="G3823" t="n">
        <v>8.9</v>
      </c>
      <c r="H3823" t="n">
        <v>0</v>
      </c>
      <c r="I3823" t="n">
        <v>0</v>
      </c>
      <c r="J3823" t="n">
        <v>0</v>
      </c>
      <c r="K3823" t="n">
        <v>0</v>
      </c>
      <c r="L3823" t="n">
        <v>0</v>
      </c>
      <c r="M3823" t="n">
        <v>0</v>
      </c>
      <c r="N3823" t="n">
        <v>0</v>
      </c>
      <c r="O3823" t="n">
        <v>0</v>
      </c>
      <c r="P3823" t="n">
        <v>0</v>
      </c>
      <c r="Q3823" t="n">
        <v>0</v>
      </c>
      <c r="R3823" s="2" t="inlineStr"/>
    </row>
    <row r="3824" ht="15" customHeight="1">
      <c r="A3824" t="inlineStr">
        <is>
          <t>A 20181-2023</t>
        </is>
      </c>
      <c r="B3824" s="1" t="n">
        <v>45055</v>
      </c>
      <c r="C3824" s="1" t="n">
        <v>45792</v>
      </c>
      <c r="D3824" t="inlineStr">
        <is>
          <t>UPPSALA LÄN</t>
        </is>
      </c>
      <c r="E3824" t="inlineStr">
        <is>
          <t>ENKÖPING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20186-2023</t>
        </is>
      </c>
      <c r="B3825" s="1" t="n">
        <v>45055</v>
      </c>
      <c r="C3825" s="1" t="n">
        <v>45792</v>
      </c>
      <c r="D3825" t="inlineStr">
        <is>
          <t>UPPSALA LÄN</t>
        </is>
      </c>
      <c r="E3825" t="inlineStr">
        <is>
          <t>ENKÖPING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20199-2023</t>
        </is>
      </c>
      <c r="B3826" s="1" t="n">
        <v>45055</v>
      </c>
      <c r="C3826" s="1" t="n">
        <v>45792</v>
      </c>
      <c r="D3826" t="inlineStr">
        <is>
          <t>UPPSALA LÄN</t>
        </is>
      </c>
      <c r="E3826" t="inlineStr">
        <is>
          <t>ENKÖPING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20261-2023</t>
        </is>
      </c>
      <c r="B3827" s="1" t="n">
        <v>45055</v>
      </c>
      <c r="C3827" s="1" t="n">
        <v>45792</v>
      </c>
      <c r="D3827" t="inlineStr">
        <is>
          <t>UPPSALA LÄN</t>
        </is>
      </c>
      <c r="E3827" t="inlineStr">
        <is>
          <t>ENKÖPING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20438-2023</t>
        </is>
      </c>
      <c r="B3828" s="1" t="n">
        <v>45056</v>
      </c>
      <c r="C3828" s="1" t="n">
        <v>45792</v>
      </c>
      <c r="D3828" t="inlineStr">
        <is>
          <t>UPPSALA LÄN</t>
        </is>
      </c>
      <c r="E3828" t="inlineStr">
        <is>
          <t>UPPSALA</t>
        </is>
      </c>
      <c r="F3828" t="inlineStr">
        <is>
          <t>Holmen skog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20366-2023</t>
        </is>
      </c>
      <c r="B3829" s="1" t="n">
        <v>45056</v>
      </c>
      <c r="C3829" s="1" t="n">
        <v>45792</v>
      </c>
      <c r="D3829" t="inlineStr">
        <is>
          <t>UPPSALA LÄN</t>
        </is>
      </c>
      <c r="E3829" t="inlineStr">
        <is>
          <t>ÖSTHAMMAR</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20440-2023</t>
        </is>
      </c>
      <c r="B3830" s="1" t="n">
        <v>45056</v>
      </c>
      <c r="C3830" s="1" t="n">
        <v>45792</v>
      </c>
      <c r="D3830" t="inlineStr">
        <is>
          <t>UPPSALA LÄN</t>
        </is>
      </c>
      <c r="E3830" t="inlineStr">
        <is>
          <t>UPPSALA</t>
        </is>
      </c>
      <c r="F3830" t="inlineStr">
        <is>
          <t>Holmen skog AB</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20396-2023</t>
        </is>
      </c>
      <c r="B3831" s="1" t="n">
        <v>45056</v>
      </c>
      <c r="C3831" s="1" t="n">
        <v>45792</v>
      </c>
      <c r="D3831" t="inlineStr">
        <is>
          <t>UPPSALA LÄN</t>
        </is>
      </c>
      <c r="E3831" t="inlineStr">
        <is>
          <t>ENKÖPING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20845-2023</t>
        </is>
      </c>
      <c r="B3832" s="1" t="n">
        <v>45056</v>
      </c>
      <c r="C3832" s="1" t="n">
        <v>45792</v>
      </c>
      <c r="D3832" t="inlineStr">
        <is>
          <t>UPPSALA LÄN</t>
        </is>
      </c>
      <c r="E3832" t="inlineStr">
        <is>
          <t>ENKÖPING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20437-2023</t>
        </is>
      </c>
      <c r="B3833" s="1" t="n">
        <v>45056</v>
      </c>
      <c r="C3833" s="1" t="n">
        <v>45792</v>
      </c>
      <c r="D3833" t="inlineStr">
        <is>
          <t>UPPSALA LÄN</t>
        </is>
      </c>
      <c r="E3833" t="inlineStr">
        <is>
          <t>UPPSALA</t>
        </is>
      </c>
      <c r="F3833" t="inlineStr">
        <is>
          <t>Holmen skog AB</t>
        </is>
      </c>
      <c r="G3833" t="n">
        <v>20.1</v>
      </c>
      <c r="H3833" t="n">
        <v>0</v>
      </c>
      <c r="I3833" t="n">
        <v>0</v>
      </c>
      <c r="J3833" t="n">
        <v>0</v>
      </c>
      <c r="K3833" t="n">
        <v>0</v>
      </c>
      <c r="L3833" t="n">
        <v>0</v>
      </c>
      <c r="M3833" t="n">
        <v>0</v>
      </c>
      <c r="N3833" t="n">
        <v>0</v>
      </c>
      <c r="O3833" t="n">
        <v>0</v>
      </c>
      <c r="P3833" t="n">
        <v>0</v>
      </c>
      <c r="Q3833" t="n">
        <v>0</v>
      </c>
      <c r="R3833" s="2" t="inlineStr"/>
    </row>
    <row r="3834" ht="15" customHeight="1">
      <c r="A3834" t="inlineStr">
        <is>
          <t>A 20508-2023</t>
        </is>
      </c>
      <c r="B3834" s="1" t="n">
        <v>45057</v>
      </c>
      <c r="C3834" s="1" t="n">
        <v>45792</v>
      </c>
      <c r="D3834" t="inlineStr">
        <is>
          <t>UPPSALA LÄN</t>
        </is>
      </c>
      <c r="E3834" t="inlineStr">
        <is>
          <t>TIERP</t>
        </is>
      </c>
      <c r="F3834" t="inlineStr">
        <is>
          <t>Bergvik skog öst AB</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20572-2023</t>
        </is>
      </c>
      <c r="B3835" s="1" t="n">
        <v>45057</v>
      </c>
      <c r="C3835" s="1" t="n">
        <v>45792</v>
      </c>
      <c r="D3835" t="inlineStr">
        <is>
          <t>UPPSALA LÄN</t>
        </is>
      </c>
      <c r="E3835" t="inlineStr">
        <is>
          <t>ÖSTHAMMAR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20495-2023</t>
        </is>
      </c>
      <c r="B3836" s="1" t="n">
        <v>45057</v>
      </c>
      <c r="C3836" s="1" t="n">
        <v>45792</v>
      </c>
      <c r="D3836" t="inlineStr">
        <is>
          <t>UPPSALA LÄN</t>
        </is>
      </c>
      <c r="E3836" t="inlineStr">
        <is>
          <t>TIERP</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20496-2023</t>
        </is>
      </c>
      <c r="B3837" s="1" t="n">
        <v>45057</v>
      </c>
      <c r="C3837" s="1" t="n">
        <v>45792</v>
      </c>
      <c r="D3837" t="inlineStr">
        <is>
          <t>UPPSALA LÄN</t>
        </is>
      </c>
      <c r="E3837" t="inlineStr">
        <is>
          <t>TIERP</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20550-2023</t>
        </is>
      </c>
      <c r="B3838" s="1" t="n">
        <v>45057</v>
      </c>
      <c r="C3838" s="1" t="n">
        <v>45792</v>
      </c>
      <c r="D3838" t="inlineStr">
        <is>
          <t>UPPSALA LÄN</t>
        </is>
      </c>
      <c r="E3838" t="inlineStr">
        <is>
          <t>UPPSALA</t>
        </is>
      </c>
      <c r="F3838" t="inlineStr">
        <is>
          <t>Övriga Aktiebolag</t>
        </is>
      </c>
      <c r="G3838" t="n">
        <v>12.2</v>
      </c>
      <c r="H3838" t="n">
        <v>0</v>
      </c>
      <c r="I3838" t="n">
        <v>0</v>
      </c>
      <c r="J3838" t="n">
        <v>0</v>
      </c>
      <c r="K3838" t="n">
        <v>0</v>
      </c>
      <c r="L3838" t="n">
        <v>0</v>
      </c>
      <c r="M3838" t="n">
        <v>0</v>
      </c>
      <c r="N3838" t="n">
        <v>0</v>
      </c>
      <c r="O3838" t="n">
        <v>0</v>
      </c>
      <c r="P3838" t="n">
        <v>0</v>
      </c>
      <c r="Q3838" t="n">
        <v>0</v>
      </c>
      <c r="R3838" s="2" t="inlineStr"/>
    </row>
    <row r="3839" ht="15" customHeight="1">
      <c r="A3839" t="inlineStr">
        <is>
          <t>A 20657-2023</t>
        </is>
      </c>
      <c r="B3839" s="1" t="n">
        <v>45058</v>
      </c>
      <c r="C3839" s="1" t="n">
        <v>45792</v>
      </c>
      <c r="D3839" t="inlineStr">
        <is>
          <t>UPPSALA LÄN</t>
        </is>
      </c>
      <c r="E3839" t="inlineStr">
        <is>
          <t>ÖSTHAMMAR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20664-2023</t>
        </is>
      </c>
      <c r="B3840" s="1" t="n">
        <v>45058</v>
      </c>
      <c r="C3840" s="1" t="n">
        <v>45792</v>
      </c>
      <c r="D3840" t="inlineStr">
        <is>
          <t>UPPSALA LÄN</t>
        </is>
      </c>
      <c r="E3840" t="inlineStr">
        <is>
          <t>ÖSTHAMMAR</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20748-2023</t>
        </is>
      </c>
      <c r="B3841" s="1" t="n">
        <v>45058</v>
      </c>
      <c r="C3841" s="1" t="n">
        <v>45792</v>
      </c>
      <c r="D3841" t="inlineStr">
        <is>
          <t>UPPSALA LÄN</t>
        </is>
      </c>
      <c r="E3841" t="inlineStr">
        <is>
          <t>TIERP</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20670-2023</t>
        </is>
      </c>
      <c r="B3842" s="1" t="n">
        <v>45058</v>
      </c>
      <c r="C3842" s="1" t="n">
        <v>45792</v>
      </c>
      <c r="D3842" t="inlineStr">
        <is>
          <t>UPPSALA LÄN</t>
        </is>
      </c>
      <c r="E3842" t="inlineStr">
        <is>
          <t>UPPSALA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20680-2023</t>
        </is>
      </c>
      <c r="B3843" s="1" t="n">
        <v>45058</v>
      </c>
      <c r="C3843" s="1" t="n">
        <v>45792</v>
      </c>
      <c r="D3843" t="inlineStr">
        <is>
          <t>UPPSALA LÄN</t>
        </is>
      </c>
      <c r="E3843" t="inlineStr">
        <is>
          <t>ÖSTHAMMAR</t>
        </is>
      </c>
      <c r="F3843" t="inlineStr">
        <is>
          <t>Bergvik skog öst AB</t>
        </is>
      </c>
      <c r="G3843" t="n">
        <v>10.5</v>
      </c>
      <c r="H3843" t="n">
        <v>0</v>
      </c>
      <c r="I3843" t="n">
        <v>0</v>
      </c>
      <c r="J3843" t="n">
        <v>0</v>
      </c>
      <c r="K3843" t="n">
        <v>0</v>
      </c>
      <c r="L3843" t="n">
        <v>0</v>
      </c>
      <c r="M3843" t="n">
        <v>0</v>
      </c>
      <c r="N3843" t="n">
        <v>0</v>
      </c>
      <c r="O3843" t="n">
        <v>0</v>
      </c>
      <c r="P3843" t="n">
        <v>0</v>
      </c>
      <c r="Q3843" t="n">
        <v>0</v>
      </c>
      <c r="R3843" s="2" t="inlineStr"/>
    </row>
    <row r="3844" ht="15" customHeight="1">
      <c r="A3844" t="inlineStr">
        <is>
          <t>A 20692-2023</t>
        </is>
      </c>
      <c r="B3844" s="1" t="n">
        <v>45058</v>
      </c>
      <c r="C3844" s="1" t="n">
        <v>45792</v>
      </c>
      <c r="D3844" t="inlineStr">
        <is>
          <t>UPPSALA LÄN</t>
        </is>
      </c>
      <c r="E3844" t="inlineStr">
        <is>
          <t>UPPSALA</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20667-2023</t>
        </is>
      </c>
      <c r="B3845" s="1" t="n">
        <v>45058</v>
      </c>
      <c r="C3845" s="1" t="n">
        <v>45792</v>
      </c>
      <c r="D3845" t="inlineStr">
        <is>
          <t>UPPSALA LÄN</t>
        </is>
      </c>
      <c r="E3845" t="inlineStr">
        <is>
          <t>UPPSALA</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20677-2023</t>
        </is>
      </c>
      <c r="B3846" s="1" t="n">
        <v>45058</v>
      </c>
      <c r="C3846" s="1" t="n">
        <v>45792</v>
      </c>
      <c r="D3846" t="inlineStr">
        <is>
          <t>UPPSALA LÄN</t>
        </is>
      </c>
      <c r="E3846" t="inlineStr">
        <is>
          <t>ÖSTHAMMAR</t>
        </is>
      </c>
      <c r="F3846" t="inlineStr">
        <is>
          <t>Bergvik skog öst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20750-2023</t>
        </is>
      </c>
      <c r="B3847" s="1" t="n">
        <v>45058</v>
      </c>
      <c r="C3847" s="1" t="n">
        <v>45792</v>
      </c>
      <c r="D3847" t="inlineStr">
        <is>
          <t>UPPSALA LÄN</t>
        </is>
      </c>
      <c r="E3847" t="inlineStr">
        <is>
          <t>TIERP</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20708-2023</t>
        </is>
      </c>
      <c r="B3848" s="1" t="n">
        <v>45058</v>
      </c>
      <c r="C3848" s="1" t="n">
        <v>45792</v>
      </c>
      <c r="D3848" t="inlineStr">
        <is>
          <t>UPPSALA LÄN</t>
        </is>
      </c>
      <c r="E3848" t="inlineStr">
        <is>
          <t>UPPSALA</t>
        </is>
      </c>
      <c r="F3848" t="inlineStr">
        <is>
          <t>Holmen skog AB</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20767-2023</t>
        </is>
      </c>
      <c r="B3849" s="1" t="n">
        <v>45058</v>
      </c>
      <c r="C3849" s="1" t="n">
        <v>45792</v>
      </c>
      <c r="D3849" t="inlineStr">
        <is>
          <t>UPPSALA LÄN</t>
        </is>
      </c>
      <c r="E3849" t="inlineStr">
        <is>
          <t>TIERP</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20669-2023</t>
        </is>
      </c>
      <c r="B3850" s="1" t="n">
        <v>45058</v>
      </c>
      <c r="C3850" s="1" t="n">
        <v>45792</v>
      </c>
      <c r="D3850" t="inlineStr">
        <is>
          <t>UPPSALA LÄN</t>
        </is>
      </c>
      <c r="E3850" t="inlineStr">
        <is>
          <t>UPPSALA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20786-2023</t>
        </is>
      </c>
      <c r="B3851" s="1" t="n">
        <v>45058</v>
      </c>
      <c r="C3851" s="1" t="n">
        <v>45792</v>
      </c>
      <c r="D3851" t="inlineStr">
        <is>
          <t>UPPSALA LÄN</t>
        </is>
      </c>
      <c r="E3851" t="inlineStr">
        <is>
          <t>UPPSALA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21310-2023</t>
        </is>
      </c>
      <c r="B3852" s="1" t="n">
        <v>45058</v>
      </c>
      <c r="C3852" s="1" t="n">
        <v>45792</v>
      </c>
      <c r="D3852" t="inlineStr">
        <is>
          <t>UPPSALA LÄN</t>
        </is>
      </c>
      <c r="E3852" t="inlineStr">
        <is>
          <t>HEBY</t>
        </is>
      </c>
      <c r="F3852" t="inlineStr">
        <is>
          <t>Bergvik skog väst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21313-2023</t>
        </is>
      </c>
      <c r="B3853" s="1" t="n">
        <v>45058</v>
      </c>
      <c r="C3853" s="1" t="n">
        <v>45792</v>
      </c>
      <c r="D3853" t="inlineStr">
        <is>
          <t>UPPSALA LÄN</t>
        </is>
      </c>
      <c r="E3853" t="inlineStr">
        <is>
          <t>HEBY</t>
        </is>
      </c>
      <c r="F3853" t="inlineStr">
        <is>
          <t>Bergvik skog väst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21293-2023</t>
        </is>
      </c>
      <c r="B3854" s="1" t="n">
        <v>45058</v>
      </c>
      <c r="C3854" s="1" t="n">
        <v>45792</v>
      </c>
      <c r="D3854" t="inlineStr">
        <is>
          <t>UPPSALA LÄN</t>
        </is>
      </c>
      <c r="E3854" t="inlineStr">
        <is>
          <t>HEBY</t>
        </is>
      </c>
      <c r="F3854" t="inlineStr">
        <is>
          <t>Bergvik skog väst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21302-2023</t>
        </is>
      </c>
      <c r="B3855" s="1" t="n">
        <v>45058</v>
      </c>
      <c r="C3855" s="1" t="n">
        <v>45792</v>
      </c>
      <c r="D3855" t="inlineStr">
        <is>
          <t>UPPSALA LÄN</t>
        </is>
      </c>
      <c r="E3855" t="inlineStr">
        <is>
          <t>HEBY</t>
        </is>
      </c>
      <c r="F3855" t="inlineStr">
        <is>
          <t>Bergvik skog väst AB</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20897-2023</t>
        </is>
      </c>
      <c r="B3856" s="1" t="n">
        <v>45059</v>
      </c>
      <c r="C3856" s="1" t="n">
        <v>45792</v>
      </c>
      <c r="D3856" t="inlineStr">
        <is>
          <t>UPPSALA LÄN</t>
        </is>
      </c>
      <c r="E3856" t="inlineStr">
        <is>
          <t>ENKÖPING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20900-2023</t>
        </is>
      </c>
      <c r="B3857" s="1" t="n">
        <v>45060</v>
      </c>
      <c r="C3857" s="1" t="n">
        <v>45792</v>
      </c>
      <c r="D3857" t="inlineStr">
        <is>
          <t>UPPSALA LÄN</t>
        </is>
      </c>
      <c r="E3857" t="inlineStr">
        <is>
          <t>UPPSALA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21020-2023</t>
        </is>
      </c>
      <c r="B3858" s="1" t="n">
        <v>45061</v>
      </c>
      <c r="C3858" s="1" t="n">
        <v>45792</v>
      </c>
      <c r="D3858" t="inlineStr">
        <is>
          <t>UPPSALA LÄN</t>
        </is>
      </c>
      <c r="E3858" t="inlineStr">
        <is>
          <t>ENKÖPING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21051-2023</t>
        </is>
      </c>
      <c r="B3859" s="1" t="n">
        <v>45061</v>
      </c>
      <c r="C3859" s="1" t="n">
        <v>45792</v>
      </c>
      <c r="D3859" t="inlineStr">
        <is>
          <t>UPPSALA LÄN</t>
        </is>
      </c>
      <c r="E3859" t="inlineStr">
        <is>
          <t>TIERP</t>
        </is>
      </c>
      <c r="F3859" t="inlineStr">
        <is>
          <t>Bergvik skog öst AB</t>
        </is>
      </c>
      <c r="G3859" t="n">
        <v>40.2</v>
      </c>
      <c r="H3859" t="n">
        <v>0</v>
      </c>
      <c r="I3859" t="n">
        <v>0</v>
      </c>
      <c r="J3859" t="n">
        <v>0</v>
      </c>
      <c r="K3859" t="n">
        <v>0</v>
      </c>
      <c r="L3859" t="n">
        <v>0</v>
      </c>
      <c r="M3859" t="n">
        <v>0</v>
      </c>
      <c r="N3859" t="n">
        <v>0</v>
      </c>
      <c r="O3859" t="n">
        <v>0</v>
      </c>
      <c r="P3859" t="n">
        <v>0</v>
      </c>
      <c r="Q3859" t="n">
        <v>0</v>
      </c>
      <c r="R3859" s="2" t="inlineStr"/>
    </row>
    <row r="3860" ht="15" customHeight="1">
      <c r="A3860" t="inlineStr">
        <is>
          <t>A 21052-2023</t>
        </is>
      </c>
      <c r="B3860" s="1" t="n">
        <v>45061</v>
      </c>
      <c r="C3860" s="1" t="n">
        <v>45792</v>
      </c>
      <c r="D3860" t="inlineStr">
        <is>
          <t>UPPSALA LÄN</t>
        </is>
      </c>
      <c r="E3860" t="inlineStr">
        <is>
          <t>UPPSALA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21017-2023</t>
        </is>
      </c>
      <c r="B3861" s="1" t="n">
        <v>45061</v>
      </c>
      <c r="C3861" s="1" t="n">
        <v>45792</v>
      </c>
      <c r="D3861" t="inlineStr">
        <is>
          <t>UPPSALA LÄN</t>
        </is>
      </c>
      <c r="E3861" t="inlineStr">
        <is>
          <t>ENKÖPING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21053-2023</t>
        </is>
      </c>
      <c r="B3862" s="1" t="n">
        <v>45061</v>
      </c>
      <c r="C3862" s="1" t="n">
        <v>45792</v>
      </c>
      <c r="D3862" t="inlineStr">
        <is>
          <t>UPPSALA LÄN</t>
        </is>
      </c>
      <c r="E3862" t="inlineStr">
        <is>
          <t>TIERP</t>
        </is>
      </c>
      <c r="F3862" t="inlineStr">
        <is>
          <t>Bergvik skog öst AB</t>
        </is>
      </c>
      <c r="G3862" t="n">
        <v>13.4</v>
      </c>
      <c r="H3862" t="n">
        <v>0</v>
      </c>
      <c r="I3862" t="n">
        <v>0</v>
      </c>
      <c r="J3862" t="n">
        <v>0</v>
      </c>
      <c r="K3862" t="n">
        <v>0</v>
      </c>
      <c r="L3862" t="n">
        <v>0</v>
      </c>
      <c r="M3862" t="n">
        <v>0</v>
      </c>
      <c r="N3862" t="n">
        <v>0</v>
      </c>
      <c r="O3862" t="n">
        <v>0</v>
      </c>
      <c r="P3862" t="n">
        <v>0</v>
      </c>
      <c r="Q3862" t="n">
        <v>0</v>
      </c>
      <c r="R3862" s="2" t="inlineStr"/>
    </row>
    <row r="3863" ht="15" customHeight="1">
      <c r="A3863" t="inlineStr">
        <is>
          <t>A 21170-2023</t>
        </is>
      </c>
      <c r="B3863" s="1" t="n">
        <v>45062</v>
      </c>
      <c r="C3863" s="1" t="n">
        <v>45792</v>
      </c>
      <c r="D3863" t="inlineStr">
        <is>
          <t>UPPSALA LÄN</t>
        </is>
      </c>
      <c r="E3863" t="inlineStr">
        <is>
          <t>TIERP</t>
        </is>
      </c>
      <c r="F3863" t="inlineStr">
        <is>
          <t>Bergvik skog öst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21193-2023</t>
        </is>
      </c>
      <c r="B3864" s="1" t="n">
        <v>45062</v>
      </c>
      <c r="C3864" s="1" t="n">
        <v>45792</v>
      </c>
      <c r="D3864" t="inlineStr">
        <is>
          <t>UPPSALA LÄN</t>
        </is>
      </c>
      <c r="E3864" t="inlineStr">
        <is>
          <t>HEBY</t>
        </is>
      </c>
      <c r="G3864" t="n">
        <v>10.6</v>
      </c>
      <c r="H3864" t="n">
        <v>0</v>
      </c>
      <c r="I3864" t="n">
        <v>0</v>
      </c>
      <c r="J3864" t="n">
        <v>0</v>
      </c>
      <c r="K3864" t="n">
        <v>0</v>
      </c>
      <c r="L3864" t="n">
        <v>0</v>
      </c>
      <c r="M3864" t="n">
        <v>0</v>
      </c>
      <c r="N3864" t="n">
        <v>0</v>
      </c>
      <c r="O3864" t="n">
        <v>0</v>
      </c>
      <c r="P3864" t="n">
        <v>0</v>
      </c>
      <c r="Q3864" t="n">
        <v>0</v>
      </c>
      <c r="R3864" s="2" t="inlineStr"/>
    </row>
    <row r="3865" ht="15" customHeight="1">
      <c r="A3865" t="inlineStr">
        <is>
          <t>A 21143-2023</t>
        </is>
      </c>
      <c r="B3865" s="1" t="n">
        <v>45062</v>
      </c>
      <c r="C3865" s="1" t="n">
        <v>45792</v>
      </c>
      <c r="D3865" t="inlineStr">
        <is>
          <t>UPPSALA LÄN</t>
        </is>
      </c>
      <c r="E3865" t="inlineStr">
        <is>
          <t>HEBY</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21520-2023</t>
        </is>
      </c>
      <c r="B3866" s="1" t="n">
        <v>45063</v>
      </c>
      <c r="C3866" s="1" t="n">
        <v>45792</v>
      </c>
      <c r="D3866" t="inlineStr">
        <is>
          <t>UPPSALA LÄN</t>
        </is>
      </c>
      <c r="E3866" t="inlineStr">
        <is>
          <t>ÄLVKARLEBY</t>
        </is>
      </c>
      <c r="F3866" t="inlineStr">
        <is>
          <t>Bergvik skog väst AB</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21416-2023</t>
        </is>
      </c>
      <c r="B3867" s="1" t="n">
        <v>45063</v>
      </c>
      <c r="C3867" s="1" t="n">
        <v>45792</v>
      </c>
      <c r="D3867" t="inlineStr">
        <is>
          <t>UPPSALA LÄN</t>
        </is>
      </c>
      <c r="E3867" t="inlineStr">
        <is>
          <t>UPPSALA</t>
        </is>
      </c>
      <c r="G3867" t="n">
        <v>13.9</v>
      </c>
      <c r="H3867" t="n">
        <v>0</v>
      </c>
      <c r="I3867" t="n">
        <v>0</v>
      </c>
      <c r="J3867" t="n">
        <v>0</v>
      </c>
      <c r="K3867" t="n">
        <v>0</v>
      </c>
      <c r="L3867" t="n">
        <v>0</v>
      </c>
      <c r="M3867" t="n">
        <v>0</v>
      </c>
      <c r="N3867" t="n">
        <v>0</v>
      </c>
      <c r="O3867" t="n">
        <v>0</v>
      </c>
      <c r="P3867" t="n">
        <v>0</v>
      </c>
      <c r="Q3867" t="n">
        <v>0</v>
      </c>
      <c r="R3867" s="2" t="inlineStr"/>
    </row>
    <row r="3868" ht="15" customHeight="1">
      <c r="A3868" t="inlineStr">
        <is>
          <t>A 21478-2023</t>
        </is>
      </c>
      <c r="B3868" s="1" t="n">
        <v>45063</v>
      </c>
      <c r="C3868" s="1" t="n">
        <v>45792</v>
      </c>
      <c r="D3868" t="inlineStr">
        <is>
          <t>UPPSALA LÄN</t>
        </is>
      </c>
      <c r="E3868" t="inlineStr">
        <is>
          <t>ÖSTHAMMAR</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21424-2023</t>
        </is>
      </c>
      <c r="B3869" s="1" t="n">
        <v>45063</v>
      </c>
      <c r="C3869" s="1" t="n">
        <v>45792</v>
      </c>
      <c r="D3869" t="inlineStr">
        <is>
          <t>UPPSALA LÄN</t>
        </is>
      </c>
      <c r="E3869" t="inlineStr">
        <is>
          <t>UPPSALA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21547-2023</t>
        </is>
      </c>
      <c r="B3870" s="1" t="n">
        <v>45063</v>
      </c>
      <c r="C3870" s="1" t="n">
        <v>45792</v>
      </c>
      <c r="D3870" t="inlineStr">
        <is>
          <t>UPPSALA LÄN</t>
        </is>
      </c>
      <c r="E3870" t="inlineStr">
        <is>
          <t>TIERP</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21550-2023</t>
        </is>
      </c>
      <c r="B3871" s="1" t="n">
        <v>45063</v>
      </c>
      <c r="C3871" s="1" t="n">
        <v>45792</v>
      </c>
      <c r="D3871" t="inlineStr">
        <is>
          <t>UPPSALA LÄN</t>
        </is>
      </c>
      <c r="E3871" t="inlineStr">
        <is>
          <t>TIERP</t>
        </is>
      </c>
      <c r="F3871" t="inlineStr">
        <is>
          <t>Bergvik skog väst AB</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21615-2023</t>
        </is>
      </c>
      <c r="B3872" s="1" t="n">
        <v>45063</v>
      </c>
      <c r="C3872" s="1" t="n">
        <v>45792</v>
      </c>
      <c r="D3872" t="inlineStr">
        <is>
          <t>UPPSALA LÄN</t>
        </is>
      </c>
      <c r="E3872" t="inlineStr">
        <is>
          <t>ÖSTHAMMAR</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21620-2023</t>
        </is>
      </c>
      <c r="B3873" s="1" t="n">
        <v>45063</v>
      </c>
      <c r="C3873" s="1" t="n">
        <v>45792</v>
      </c>
      <c r="D3873" t="inlineStr">
        <is>
          <t>UPPSALA LÄN</t>
        </is>
      </c>
      <c r="E3873" t="inlineStr">
        <is>
          <t>ENKÖPING</t>
        </is>
      </c>
      <c r="F3873" t="inlineStr">
        <is>
          <t>Allmännings- och besparingsskogar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21612-2023</t>
        </is>
      </c>
      <c r="B3874" s="1" t="n">
        <v>45063</v>
      </c>
      <c r="C3874" s="1" t="n">
        <v>45792</v>
      </c>
      <c r="D3874" t="inlineStr">
        <is>
          <t>UPPSALA LÄN</t>
        </is>
      </c>
      <c r="E3874" t="inlineStr">
        <is>
          <t>ENKÖPING</t>
        </is>
      </c>
      <c r="F3874" t="inlineStr">
        <is>
          <t>Allmännings- och besparingsskogar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21624-2023</t>
        </is>
      </c>
      <c r="B3875" s="1" t="n">
        <v>45063</v>
      </c>
      <c r="C3875" s="1" t="n">
        <v>45792</v>
      </c>
      <c r="D3875" t="inlineStr">
        <is>
          <t>UPPSALA LÄN</t>
        </is>
      </c>
      <c r="E3875" t="inlineStr">
        <is>
          <t>ÖSTHAMMAR</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21727-2023</t>
        </is>
      </c>
      <c r="B3876" s="1" t="n">
        <v>45065</v>
      </c>
      <c r="C3876" s="1" t="n">
        <v>45792</v>
      </c>
      <c r="D3876" t="inlineStr">
        <is>
          <t>UPPSALA LÄN</t>
        </is>
      </c>
      <c r="E3876" t="inlineStr">
        <is>
          <t>UPPSALA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22090-2023</t>
        </is>
      </c>
      <c r="B3877" s="1" t="n">
        <v>45065</v>
      </c>
      <c r="C3877" s="1" t="n">
        <v>45792</v>
      </c>
      <c r="D3877" t="inlineStr">
        <is>
          <t>UPPSALA LÄN</t>
        </is>
      </c>
      <c r="E3877" t="inlineStr">
        <is>
          <t>HEBY</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21935-2023</t>
        </is>
      </c>
      <c r="B3878" s="1" t="n">
        <v>45068</v>
      </c>
      <c r="C3878" s="1" t="n">
        <v>45792</v>
      </c>
      <c r="D3878" t="inlineStr">
        <is>
          <t>UPPSALA LÄN</t>
        </is>
      </c>
      <c r="E3878" t="inlineStr">
        <is>
          <t>UPPSALA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21882-2023</t>
        </is>
      </c>
      <c r="B3879" s="1" t="n">
        <v>45068</v>
      </c>
      <c r="C3879" s="1" t="n">
        <v>45792</v>
      </c>
      <c r="D3879" t="inlineStr">
        <is>
          <t>UPPSALA LÄN</t>
        </is>
      </c>
      <c r="E3879" t="inlineStr">
        <is>
          <t>HEBY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21862-2023</t>
        </is>
      </c>
      <c r="B3880" s="1" t="n">
        <v>45068</v>
      </c>
      <c r="C3880" s="1" t="n">
        <v>45792</v>
      </c>
      <c r="D3880" t="inlineStr">
        <is>
          <t>UPPSALA LÄN</t>
        </is>
      </c>
      <c r="E3880" t="inlineStr">
        <is>
          <t>ÖSTHAMMAR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22166-2023</t>
        </is>
      </c>
      <c r="B3881" s="1" t="n">
        <v>45068</v>
      </c>
      <c r="C3881" s="1" t="n">
        <v>45792</v>
      </c>
      <c r="D3881" t="inlineStr">
        <is>
          <t>UPPSALA LÄN</t>
        </is>
      </c>
      <c r="E3881" t="inlineStr">
        <is>
          <t>HEBY</t>
        </is>
      </c>
      <c r="F3881" t="inlineStr">
        <is>
          <t>Bergvik skog väst AB</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22094-2023</t>
        </is>
      </c>
      <c r="B3882" s="1" t="n">
        <v>45069</v>
      </c>
      <c r="C3882" s="1" t="n">
        <v>45792</v>
      </c>
      <c r="D3882" t="inlineStr">
        <is>
          <t>UPPSALA LÄN</t>
        </is>
      </c>
      <c r="E3882" t="inlineStr">
        <is>
          <t>ENKÖPING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22321-2023</t>
        </is>
      </c>
      <c r="B3883" s="1" t="n">
        <v>45070</v>
      </c>
      <c r="C3883" s="1" t="n">
        <v>45792</v>
      </c>
      <c r="D3883" t="inlineStr">
        <is>
          <t>UPPSALA LÄN</t>
        </is>
      </c>
      <c r="E3883" t="inlineStr">
        <is>
          <t>TIERP</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22405-2023</t>
        </is>
      </c>
      <c r="B3884" s="1" t="n">
        <v>45070</v>
      </c>
      <c r="C3884" s="1" t="n">
        <v>45792</v>
      </c>
      <c r="D3884" t="inlineStr">
        <is>
          <t>UPPSALA LÄN</t>
        </is>
      </c>
      <c r="E3884" t="inlineStr">
        <is>
          <t>ÖSTHAMMAR</t>
        </is>
      </c>
      <c r="F3884" t="inlineStr">
        <is>
          <t>Bergvik skog öst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22450-2023</t>
        </is>
      </c>
      <c r="B3885" s="1" t="n">
        <v>45070</v>
      </c>
      <c r="C3885" s="1" t="n">
        <v>45792</v>
      </c>
      <c r="D3885" t="inlineStr">
        <is>
          <t>UPPSALA LÄN</t>
        </is>
      </c>
      <c r="E3885" t="inlineStr">
        <is>
          <t>UPPSALA</t>
        </is>
      </c>
      <c r="F3885" t="inlineStr">
        <is>
          <t>Allmännings- och besparingsskogar</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22413-2023</t>
        </is>
      </c>
      <c r="B3886" s="1" t="n">
        <v>45070</v>
      </c>
      <c r="C3886" s="1" t="n">
        <v>45792</v>
      </c>
      <c r="D3886" t="inlineStr">
        <is>
          <t>UPPSALA LÄN</t>
        </is>
      </c>
      <c r="E3886" t="inlineStr">
        <is>
          <t>ÖSTHAMMAR</t>
        </is>
      </c>
      <c r="F3886" t="inlineStr">
        <is>
          <t>Bergvik skog öst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22322-2023</t>
        </is>
      </c>
      <c r="B3887" s="1" t="n">
        <v>45070</v>
      </c>
      <c r="C3887" s="1" t="n">
        <v>45792</v>
      </c>
      <c r="D3887" t="inlineStr">
        <is>
          <t>UPPSALA LÄN</t>
        </is>
      </c>
      <c r="E3887" t="inlineStr">
        <is>
          <t>ÖSTHAMMAR</t>
        </is>
      </c>
      <c r="F3887" t="inlineStr">
        <is>
          <t>Bergvik skog öst AB</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22486-2023</t>
        </is>
      </c>
      <c r="B3888" s="1" t="n">
        <v>45071</v>
      </c>
      <c r="C3888" s="1" t="n">
        <v>45792</v>
      </c>
      <c r="D3888" t="inlineStr">
        <is>
          <t>UPPSALA LÄN</t>
        </is>
      </c>
      <c r="E3888" t="inlineStr">
        <is>
          <t>HEBY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22519-2023</t>
        </is>
      </c>
      <c r="B3889" s="1" t="n">
        <v>45071</v>
      </c>
      <c r="C3889" s="1" t="n">
        <v>45792</v>
      </c>
      <c r="D3889" t="inlineStr">
        <is>
          <t>UPPSALA LÄN</t>
        </is>
      </c>
      <c r="E3889" t="inlineStr">
        <is>
          <t>HEBY</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22549-2023</t>
        </is>
      </c>
      <c r="B3890" s="1" t="n">
        <v>45071</v>
      </c>
      <c r="C3890" s="1" t="n">
        <v>45792</v>
      </c>
      <c r="D3890" t="inlineStr">
        <is>
          <t>UPPSALA LÄN</t>
        </is>
      </c>
      <c r="E3890" t="inlineStr">
        <is>
          <t>HEBY</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22545-2023</t>
        </is>
      </c>
      <c r="B3891" s="1" t="n">
        <v>45071</v>
      </c>
      <c r="C3891" s="1" t="n">
        <v>45792</v>
      </c>
      <c r="D3891" t="inlineStr">
        <is>
          <t>UPPSALA LÄN</t>
        </is>
      </c>
      <c r="E3891" t="inlineStr">
        <is>
          <t>HEBY</t>
        </is>
      </c>
      <c r="G3891" t="n">
        <v>19.3</v>
      </c>
      <c r="H3891" t="n">
        <v>0</v>
      </c>
      <c r="I3891" t="n">
        <v>0</v>
      </c>
      <c r="J3891" t="n">
        <v>0</v>
      </c>
      <c r="K3891" t="n">
        <v>0</v>
      </c>
      <c r="L3891" t="n">
        <v>0</v>
      </c>
      <c r="M3891" t="n">
        <v>0</v>
      </c>
      <c r="N3891" t="n">
        <v>0</v>
      </c>
      <c r="O3891" t="n">
        <v>0</v>
      </c>
      <c r="P3891" t="n">
        <v>0</v>
      </c>
      <c r="Q3891" t="n">
        <v>0</v>
      </c>
      <c r="R3891" s="2" t="inlineStr"/>
    </row>
    <row r="3892" ht="15" customHeight="1">
      <c r="A3892" t="inlineStr">
        <is>
          <t>A 22672-2023</t>
        </is>
      </c>
      <c r="B3892" s="1" t="n">
        <v>45071</v>
      </c>
      <c r="C3892" s="1" t="n">
        <v>45792</v>
      </c>
      <c r="D3892" t="inlineStr">
        <is>
          <t>UPPSALA LÄN</t>
        </is>
      </c>
      <c r="E3892" t="inlineStr">
        <is>
          <t>TIERP</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22701-2023</t>
        </is>
      </c>
      <c r="B3893" s="1" t="n">
        <v>45071</v>
      </c>
      <c r="C3893" s="1" t="n">
        <v>45792</v>
      </c>
      <c r="D3893" t="inlineStr">
        <is>
          <t>UPPSALA LÄN</t>
        </is>
      </c>
      <c r="E3893" t="inlineStr">
        <is>
          <t>ÖSTHAMMAR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22794-2023</t>
        </is>
      </c>
      <c r="B3894" s="1" t="n">
        <v>45072</v>
      </c>
      <c r="C3894" s="1" t="n">
        <v>45792</v>
      </c>
      <c r="D3894" t="inlineStr">
        <is>
          <t>UPPSALA LÄN</t>
        </is>
      </c>
      <c r="E3894" t="inlineStr">
        <is>
          <t>ÖSTHAMMAR</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22798-2023</t>
        </is>
      </c>
      <c r="B3895" s="1" t="n">
        <v>45072</v>
      </c>
      <c r="C3895" s="1" t="n">
        <v>45792</v>
      </c>
      <c r="D3895" t="inlineStr">
        <is>
          <t>UPPSALA LÄN</t>
        </is>
      </c>
      <c r="E3895" t="inlineStr">
        <is>
          <t>ÖSTHAMMAR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22796-2023</t>
        </is>
      </c>
      <c r="B3896" s="1" t="n">
        <v>45072</v>
      </c>
      <c r="C3896" s="1" t="n">
        <v>45792</v>
      </c>
      <c r="D3896" t="inlineStr">
        <is>
          <t>UPPSALA LÄN</t>
        </is>
      </c>
      <c r="E3896" t="inlineStr">
        <is>
          <t>ÖSTHAMMAR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22901-2023</t>
        </is>
      </c>
      <c r="B3897" s="1" t="n">
        <v>45072</v>
      </c>
      <c r="C3897" s="1" t="n">
        <v>45792</v>
      </c>
      <c r="D3897" t="inlineStr">
        <is>
          <t>UPPSALA LÄN</t>
        </is>
      </c>
      <c r="E3897" t="inlineStr">
        <is>
          <t>TIERP</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23065-2023</t>
        </is>
      </c>
      <c r="B3898" s="1" t="n">
        <v>45075</v>
      </c>
      <c r="C3898" s="1" t="n">
        <v>45792</v>
      </c>
      <c r="D3898" t="inlineStr">
        <is>
          <t>UPPSALA LÄN</t>
        </is>
      </c>
      <c r="E3898" t="inlineStr">
        <is>
          <t>HEBY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23083-2023</t>
        </is>
      </c>
      <c r="B3899" s="1" t="n">
        <v>45075</v>
      </c>
      <c r="C3899" s="1" t="n">
        <v>45792</v>
      </c>
      <c r="D3899" t="inlineStr">
        <is>
          <t>UPPSALA LÄN</t>
        </is>
      </c>
      <c r="E3899" t="inlineStr">
        <is>
          <t>ÖSTHAMMAR</t>
        </is>
      </c>
      <c r="F3899" t="inlineStr">
        <is>
          <t>Sveaskog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23064-2023</t>
        </is>
      </c>
      <c r="B3900" s="1" t="n">
        <v>45075</v>
      </c>
      <c r="C3900" s="1" t="n">
        <v>45792</v>
      </c>
      <c r="D3900" t="inlineStr">
        <is>
          <t>UPPSALA LÄN</t>
        </is>
      </c>
      <c r="E3900" t="inlineStr">
        <is>
          <t>ÖSTHAMMAR</t>
        </is>
      </c>
      <c r="F3900" t="inlineStr">
        <is>
          <t>Kyrkan</t>
        </is>
      </c>
      <c r="G3900" t="n">
        <v>16.6</v>
      </c>
      <c r="H3900" t="n">
        <v>0</v>
      </c>
      <c r="I3900" t="n">
        <v>0</v>
      </c>
      <c r="J3900" t="n">
        <v>0</v>
      </c>
      <c r="K3900" t="n">
        <v>0</v>
      </c>
      <c r="L3900" t="n">
        <v>0</v>
      </c>
      <c r="M3900" t="n">
        <v>0</v>
      </c>
      <c r="N3900" t="n">
        <v>0</v>
      </c>
      <c r="O3900" t="n">
        <v>0</v>
      </c>
      <c r="P3900" t="n">
        <v>0</v>
      </c>
      <c r="Q3900" t="n">
        <v>0</v>
      </c>
      <c r="R3900" s="2" t="inlineStr"/>
    </row>
    <row r="3901" ht="15" customHeight="1">
      <c r="A3901" t="inlineStr">
        <is>
          <t>A 23042-2023</t>
        </is>
      </c>
      <c r="B3901" s="1" t="n">
        <v>45075</v>
      </c>
      <c r="C3901" s="1" t="n">
        <v>45792</v>
      </c>
      <c r="D3901" t="inlineStr">
        <is>
          <t>UPPSALA LÄN</t>
        </is>
      </c>
      <c r="E3901" t="inlineStr">
        <is>
          <t>KNIVSTA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23164-2023</t>
        </is>
      </c>
      <c r="B3902" s="1" t="n">
        <v>45075</v>
      </c>
      <c r="C3902" s="1" t="n">
        <v>45792</v>
      </c>
      <c r="D3902" t="inlineStr">
        <is>
          <t>UPPSALA LÄN</t>
        </is>
      </c>
      <c r="E3902" t="inlineStr">
        <is>
          <t>TIERP</t>
        </is>
      </c>
      <c r="F3902" t="inlineStr">
        <is>
          <t>Bergvik skog öst AB</t>
        </is>
      </c>
      <c r="G3902" t="n">
        <v>16.5</v>
      </c>
      <c r="H3902" t="n">
        <v>0</v>
      </c>
      <c r="I3902" t="n">
        <v>0</v>
      </c>
      <c r="J3902" t="n">
        <v>0</v>
      </c>
      <c r="K3902" t="n">
        <v>0</v>
      </c>
      <c r="L3902" t="n">
        <v>0</v>
      </c>
      <c r="M3902" t="n">
        <v>0</v>
      </c>
      <c r="N3902" t="n">
        <v>0</v>
      </c>
      <c r="O3902" t="n">
        <v>0</v>
      </c>
      <c r="P3902" t="n">
        <v>0</v>
      </c>
      <c r="Q3902" t="n">
        <v>0</v>
      </c>
      <c r="R3902" s="2" t="inlineStr"/>
    </row>
    <row r="3903" ht="15" customHeight="1">
      <c r="A3903" t="inlineStr">
        <is>
          <t>A 23197-2023</t>
        </is>
      </c>
      <c r="B3903" s="1" t="n">
        <v>45075</v>
      </c>
      <c r="C3903" s="1" t="n">
        <v>45792</v>
      </c>
      <c r="D3903" t="inlineStr">
        <is>
          <t>UPPSALA LÄN</t>
        </is>
      </c>
      <c r="E3903" t="inlineStr">
        <is>
          <t>ÖSTHAMMAR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23142-2023</t>
        </is>
      </c>
      <c r="B3904" s="1" t="n">
        <v>45075</v>
      </c>
      <c r="C3904" s="1" t="n">
        <v>45792</v>
      </c>
      <c r="D3904" t="inlineStr">
        <is>
          <t>UPPSALA LÄN</t>
        </is>
      </c>
      <c r="E3904" t="inlineStr">
        <is>
          <t>ÖSTHAMMAR</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23154-2023</t>
        </is>
      </c>
      <c r="B3905" s="1" t="n">
        <v>45075</v>
      </c>
      <c r="C3905" s="1" t="n">
        <v>45792</v>
      </c>
      <c r="D3905" t="inlineStr">
        <is>
          <t>UPPSALA LÄN</t>
        </is>
      </c>
      <c r="E3905" t="inlineStr">
        <is>
          <t>TIERP</t>
        </is>
      </c>
      <c r="F3905" t="inlineStr">
        <is>
          <t>Kyrkan</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23059-2023</t>
        </is>
      </c>
      <c r="B3906" s="1" t="n">
        <v>45075</v>
      </c>
      <c r="C3906" s="1" t="n">
        <v>45792</v>
      </c>
      <c r="D3906" t="inlineStr">
        <is>
          <t>UPPSALA LÄN</t>
        </is>
      </c>
      <c r="E3906" t="inlineStr">
        <is>
          <t>ÖSTHAMMAR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23159-2023</t>
        </is>
      </c>
      <c r="B3907" s="1" t="n">
        <v>45075</v>
      </c>
      <c r="C3907" s="1" t="n">
        <v>45792</v>
      </c>
      <c r="D3907" t="inlineStr">
        <is>
          <t>UPPSALA LÄN</t>
        </is>
      </c>
      <c r="E3907" t="inlineStr">
        <is>
          <t>UPPSALA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23239-2023</t>
        </is>
      </c>
      <c r="B3908" s="1" t="n">
        <v>45075</v>
      </c>
      <c r="C3908" s="1" t="n">
        <v>45792</v>
      </c>
      <c r="D3908" t="inlineStr">
        <is>
          <t>UPPSALA LÄN</t>
        </is>
      </c>
      <c r="E3908" t="inlineStr">
        <is>
          <t>KNIVSTA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23157-2023</t>
        </is>
      </c>
      <c r="B3909" s="1" t="n">
        <v>45075</v>
      </c>
      <c r="C3909" s="1" t="n">
        <v>45792</v>
      </c>
      <c r="D3909" t="inlineStr">
        <is>
          <t>UPPSALA LÄN</t>
        </is>
      </c>
      <c r="E3909" t="inlineStr">
        <is>
          <t>UPPSALA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23363-2023</t>
        </is>
      </c>
      <c r="B3910" s="1" t="n">
        <v>45076</v>
      </c>
      <c r="C3910" s="1" t="n">
        <v>45792</v>
      </c>
      <c r="D3910" t="inlineStr">
        <is>
          <t>UPPSALA LÄN</t>
        </is>
      </c>
      <c r="E3910" t="inlineStr">
        <is>
          <t>ÖSTHAMMAR</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23466-2023</t>
        </is>
      </c>
      <c r="B3911" s="1" t="n">
        <v>45076</v>
      </c>
      <c r="C3911" s="1" t="n">
        <v>45792</v>
      </c>
      <c r="D3911" t="inlineStr">
        <is>
          <t>UPPSALA LÄN</t>
        </is>
      </c>
      <c r="E3911" t="inlineStr">
        <is>
          <t>KNIVSTA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23495-2023</t>
        </is>
      </c>
      <c r="B3912" s="1" t="n">
        <v>45076</v>
      </c>
      <c r="C3912" s="1" t="n">
        <v>45792</v>
      </c>
      <c r="D3912" t="inlineStr">
        <is>
          <t>UPPSALA LÄN</t>
        </is>
      </c>
      <c r="E3912" t="inlineStr">
        <is>
          <t>ÖSTHAMMAR</t>
        </is>
      </c>
      <c r="F3912" t="inlineStr">
        <is>
          <t>Sveaskog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23929-2023</t>
        </is>
      </c>
      <c r="B3913" s="1" t="n">
        <v>45078</v>
      </c>
      <c r="C3913" s="1" t="n">
        <v>45792</v>
      </c>
      <c r="D3913" t="inlineStr">
        <is>
          <t>UPPSALA LÄN</t>
        </is>
      </c>
      <c r="E3913" t="inlineStr">
        <is>
          <t>UPPSALA</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24012-2023</t>
        </is>
      </c>
      <c r="B3914" s="1" t="n">
        <v>45078</v>
      </c>
      <c r="C3914" s="1" t="n">
        <v>45792</v>
      </c>
      <c r="D3914" t="inlineStr">
        <is>
          <t>UPPSALA LÄN</t>
        </is>
      </c>
      <c r="E3914" t="inlineStr">
        <is>
          <t>UPPSALA</t>
        </is>
      </c>
      <c r="F3914" t="inlineStr">
        <is>
          <t>Kyrkan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24016-2023</t>
        </is>
      </c>
      <c r="B3915" s="1" t="n">
        <v>45078</v>
      </c>
      <c r="C3915" s="1" t="n">
        <v>45792</v>
      </c>
      <c r="D3915" t="inlineStr">
        <is>
          <t>UPPSALA LÄN</t>
        </is>
      </c>
      <c r="E3915" t="inlineStr">
        <is>
          <t>UPPSALA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24033-2023</t>
        </is>
      </c>
      <c r="B3916" s="1" t="n">
        <v>45078</v>
      </c>
      <c r="C3916" s="1" t="n">
        <v>45792</v>
      </c>
      <c r="D3916" t="inlineStr">
        <is>
          <t>UPPSALA LÄN</t>
        </is>
      </c>
      <c r="E3916" t="inlineStr">
        <is>
          <t>ÖSTHAMMAR</t>
        </is>
      </c>
      <c r="F3916" t="inlineStr">
        <is>
          <t>Bergvik skog öst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24009-2023</t>
        </is>
      </c>
      <c r="B3917" s="1" t="n">
        <v>45078</v>
      </c>
      <c r="C3917" s="1" t="n">
        <v>45792</v>
      </c>
      <c r="D3917" t="inlineStr">
        <is>
          <t>UPPSALA LÄN</t>
        </is>
      </c>
      <c r="E3917" t="inlineStr">
        <is>
          <t>UPPSALA</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24110-2023</t>
        </is>
      </c>
      <c r="B3918" s="1" t="n">
        <v>45079</v>
      </c>
      <c r="C3918" s="1" t="n">
        <v>45792</v>
      </c>
      <c r="D3918" t="inlineStr">
        <is>
          <t>UPPSALA LÄN</t>
        </is>
      </c>
      <c r="E3918" t="inlineStr">
        <is>
          <t>TIERP</t>
        </is>
      </c>
      <c r="F3918" t="inlineStr">
        <is>
          <t>Kyrkan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24128-2023</t>
        </is>
      </c>
      <c r="B3919" s="1" t="n">
        <v>45079</v>
      </c>
      <c r="C3919" s="1" t="n">
        <v>45792</v>
      </c>
      <c r="D3919" t="inlineStr">
        <is>
          <t>UPPSALA LÄN</t>
        </is>
      </c>
      <c r="E3919" t="inlineStr">
        <is>
          <t>ÖSTHAMMAR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24174-2023</t>
        </is>
      </c>
      <c r="B3920" s="1" t="n">
        <v>45079</v>
      </c>
      <c r="C3920" s="1" t="n">
        <v>45792</v>
      </c>
      <c r="D3920" t="inlineStr">
        <is>
          <t>UPPSALA LÄN</t>
        </is>
      </c>
      <c r="E3920" t="inlineStr">
        <is>
          <t>UPPSALA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24325-2023</t>
        </is>
      </c>
      <c r="B3921" s="1" t="n">
        <v>45080</v>
      </c>
      <c r="C3921" s="1" t="n">
        <v>45792</v>
      </c>
      <c r="D3921" t="inlineStr">
        <is>
          <t>UPPSALA LÄN</t>
        </is>
      </c>
      <c r="E3921" t="inlineStr">
        <is>
          <t>ÖSTHAMMAR</t>
        </is>
      </c>
      <c r="F3921" t="inlineStr">
        <is>
          <t>Bergvik skog öst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24324-2023</t>
        </is>
      </c>
      <c r="B3922" s="1" t="n">
        <v>45080</v>
      </c>
      <c r="C3922" s="1" t="n">
        <v>45792</v>
      </c>
      <c r="D3922" t="inlineStr">
        <is>
          <t>UPPSALA LÄN</t>
        </is>
      </c>
      <c r="E3922" t="inlineStr">
        <is>
          <t>ÖSTHAMMAR</t>
        </is>
      </c>
      <c r="F3922" t="inlineStr">
        <is>
          <t>Bergvik skog öst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25408-2023</t>
        </is>
      </c>
      <c r="B3923" s="1" t="n">
        <v>45080</v>
      </c>
      <c r="C3923" s="1" t="n">
        <v>45792</v>
      </c>
      <c r="D3923" t="inlineStr">
        <is>
          <t>UPPSALA LÄN</t>
        </is>
      </c>
      <c r="E3923" t="inlineStr">
        <is>
          <t>TIERP</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24421-2023</t>
        </is>
      </c>
      <c r="B3924" s="1" t="n">
        <v>45082</v>
      </c>
      <c r="C3924" s="1" t="n">
        <v>45792</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24408-2023</t>
        </is>
      </c>
      <c r="B3925" s="1" t="n">
        <v>45082</v>
      </c>
      <c r="C3925" s="1" t="n">
        <v>45792</v>
      </c>
      <c r="D3925" t="inlineStr">
        <is>
          <t>UPPSALA LÄN</t>
        </is>
      </c>
      <c r="E3925" t="inlineStr">
        <is>
          <t>HEBY</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24419-2023</t>
        </is>
      </c>
      <c r="B3926" s="1" t="n">
        <v>45082</v>
      </c>
      <c r="C3926" s="1" t="n">
        <v>45792</v>
      </c>
      <c r="D3926" t="inlineStr">
        <is>
          <t>UPPSALA LÄN</t>
        </is>
      </c>
      <c r="E3926" t="inlineStr">
        <is>
          <t>HEBY</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24428-2023</t>
        </is>
      </c>
      <c r="B3927" s="1" t="n">
        <v>45082</v>
      </c>
      <c r="C3927" s="1" t="n">
        <v>45792</v>
      </c>
      <c r="D3927" t="inlineStr">
        <is>
          <t>UPPSALA LÄN</t>
        </is>
      </c>
      <c r="E3927" t="inlineStr">
        <is>
          <t>ÖSTHAMMAR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24493-2023</t>
        </is>
      </c>
      <c r="B3928" s="1" t="n">
        <v>45082</v>
      </c>
      <c r="C3928" s="1" t="n">
        <v>45792</v>
      </c>
      <c r="D3928" t="inlineStr">
        <is>
          <t>UPPSALA LÄN</t>
        </is>
      </c>
      <c r="E3928" t="inlineStr">
        <is>
          <t>ÖSTHAMMAR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24491-2023</t>
        </is>
      </c>
      <c r="B3929" s="1" t="n">
        <v>45082</v>
      </c>
      <c r="C3929" s="1" t="n">
        <v>45792</v>
      </c>
      <c r="D3929" t="inlineStr">
        <is>
          <t>UPPSALA LÄN</t>
        </is>
      </c>
      <c r="E3929" t="inlineStr">
        <is>
          <t>ÖSTHAMMAR</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24559-2023</t>
        </is>
      </c>
      <c r="B3930" s="1" t="n">
        <v>45083</v>
      </c>
      <c r="C3930" s="1" t="n">
        <v>45792</v>
      </c>
      <c r="D3930" t="inlineStr">
        <is>
          <t>UPPSALA LÄN</t>
        </is>
      </c>
      <c r="E3930" t="inlineStr">
        <is>
          <t>HEBY</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24558-2023</t>
        </is>
      </c>
      <c r="B3931" s="1" t="n">
        <v>45083</v>
      </c>
      <c r="C3931" s="1" t="n">
        <v>45792</v>
      </c>
      <c r="D3931" t="inlineStr">
        <is>
          <t>UPPSALA LÄN</t>
        </is>
      </c>
      <c r="E3931" t="inlineStr">
        <is>
          <t>HEBY</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24562-2023</t>
        </is>
      </c>
      <c r="B3932" s="1" t="n">
        <v>45083</v>
      </c>
      <c r="C3932" s="1" t="n">
        <v>45792</v>
      </c>
      <c r="D3932" t="inlineStr">
        <is>
          <t>UPPSALA LÄN</t>
        </is>
      </c>
      <c r="E3932" t="inlineStr">
        <is>
          <t>HEBY</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24587-2023</t>
        </is>
      </c>
      <c r="B3933" s="1" t="n">
        <v>45083</v>
      </c>
      <c r="C3933" s="1" t="n">
        <v>45792</v>
      </c>
      <c r="D3933" t="inlineStr">
        <is>
          <t>UPPSALA LÄN</t>
        </is>
      </c>
      <c r="E3933" t="inlineStr">
        <is>
          <t>ÖSTHAMMAR</t>
        </is>
      </c>
      <c r="F3933" t="inlineStr">
        <is>
          <t>Bergvik skog öst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24560-2023</t>
        </is>
      </c>
      <c r="B3934" s="1" t="n">
        <v>45083</v>
      </c>
      <c r="C3934" s="1" t="n">
        <v>45792</v>
      </c>
      <c r="D3934" t="inlineStr">
        <is>
          <t>UPPSALA LÄN</t>
        </is>
      </c>
      <c r="E3934" t="inlineStr">
        <is>
          <t>HEBY</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25333-2023</t>
        </is>
      </c>
      <c r="B3935" s="1" t="n">
        <v>45083</v>
      </c>
      <c r="C3935" s="1" t="n">
        <v>45792</v>
      </c>
      <c r="D3935" t="inlineStr">
        <is>
          <t>UPPSALA LÄN</t>
        </is>
      </c>
      <c r="E3935" t="inlineStr">
        <is>
          <t>ENKÖPING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25334-2023</t>
        </is>
      </c>
      <c r="B3936" s="1" t="n">
        <v>45083</v>
      </c>
      <c r="C3936" s="1" t="n">
        <v>45792</v>
      </c>
      <c r="D3936" t="inlineStr">
        <is>
          <t>UPPSALA LÄN</t>
        </is>
      </c>
      <c r="E3936" t="inlineStr">
        <is>
          <t>ENKÖPING</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24642-2023</t>
        </is>
      </c>
      <c r="B3937" s="1" t="n">
        <v>45084</v>
      </c>
      <c r="C3937" s="1" t="n">
        <v>45792</v>
      </c>
      <c r="D3937" t="inlineStr">
        <is>
          <t>UPPSALA LÄN</t>
        </is>
      </c>
      <c r="E3937" t="inlineStr">
        <is>
          <t>ÖSTHAMMAR</t>
        </is>
      </c>
      <c r="F3937" t="inlineStr">
        <is>
          <t>Bergvik skog öst AB</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24648-2023</t>
        </is>
      </c>
      <c r="B3938" s="1" t="n">
        <v>45084</v>
      </c>
      <c r="C3938" s="1" t="n">
        <v>45792</v>
      </c>
      <c r="D3938" t="inlineStr">
        <is>
          <t>UPPSALA LÄN</t>
        </is>
      </c>
      <c r="E3938" t="inlineStr">
        <is>
          <t>ÖSTHAMMAR</t>
        </is>
      </c>
      <c r="F3938" t="inlineStr">
        <is>
          <t>Bergvik skog öst AB</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24670-2023</t>
        </is>
      </c>
      <c r="B3939" s="1" t="n">
        <v>45084</v>
      </c>
      <c r="C3939" s="1" t="n">
        <v>45792</v>
      </c>
      <c r="D3939" t="inlineStr">
        <is>
          <t>UPPSALA LÄN</t>
        </is>
      </c>
      <c r="E3939" t="inlineStr">
        <is>
          <t>UPPSALA</t>
        </is>
      </c>
      <c r="F3939" t="inlineStr">
        <is>
          <t>Holmen skog AB</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24751-2023</t>
        </is>
      </c>
      <c r="B3940" s="1" t="n">
        <v>45084</v>
      </c>
      <c r="C3940" s="1" t="n">
        <v>45792</v>
      </c>
      <c r="D3940" t="inlineStr">
        <is>
          <t>UPPSALA LÄN</t>
        </is>
      </c>
      <c r="E3940" t="inlineStr">
        <is>
          <t>ÖSTHAMMAR</t>
        </is>
      </c>
      <c r="F3940" t="inlineStr">
        <is>
          <t>Bergvik skog öst AB</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24962-2023</t>
        </is>
      </c>
      <c r="B3941" s="1" t="n">
        <v>45085</v>
      </c>
      <c r="C3941" s="1" t="n">
        <v>45792</v>
      </c>
      <c r="D3941" t="inlineStr">
        <is>
          <t>UPPSALA LÄN</t>
        </is>
      </c>
      <c r="E3941" t="inlineStr">
        <is>
          <t>ENKÖPING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24960-2023</t>
        </is>
      </c>
      <c r="B3942" s="1" t="n">
        <v>45085</v>
      </c>
      <c r="C3942" s="1" t="n">
        <v>45792</v>
      </c>
      <c r="D3942" t="inlineStr">
        <is>
          <t>UPPSALA LÄN</t>
        </is>
      </c>
      <c r="E3942" t="inlineStr">
        <is>
          <t>ENKÖPING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24974-2023</t>
        </is>
      </c>
      <c r="B3943" s="1" t="n">
        <v>45085</v>
      </c>
      <c r="C3943" s="1" t="n">
        <v>45792</v>
      </c>
      <c r="D3943" t="inlineStr">
        <is>
          <t>UPPSALA LÄN</t>
        </is>
      </c>
      <c r="E3943" t="inlineStr">
        <is>
          <t>ENKÖPING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24978-2023</t>
        </is>
      </c>
      <c r="B3944" s="1" t="n">
        <v>45085</v>
      </c>
      <c r="C3944" s="1" t="n">
        <v>45792</v>
      </c>
      <c r="D3944" t="inlineStr">
        <is>
          <t>UPPSALA LÄN</t>
        </is>
      </c>
      <c r="E3944" t="inlineStr">
        <is>
          <t>ENKÖPING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25235-2023</t>
        </is>
      </c>
      <c r="B3945" s="1" t="n">
        <v>45086</v>
      </c>
      <c r="C3945" s="1" t="n">
        <v>45792</v>
      </c>
      <c r="D3945" t="inlineStr">
        <is>
          <t>UPPSALA LÄN</t>
        </is>
      </c>
      <c r="E3945" t="inlineStr">
        <is>
          <t>HEBY</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25194-2023</t>
        </is>
      </c>
      <c r="B3946" s="1" t="n">
        <v>45086</v>
      </c>
      <c r="C3946" s="1" t="n">
        <v>45792</v>
      </c>
      <c r="D3946" t="inlineStr">
        <is>
          <t>UPPSALA LÄN</t>
        </is>
      </c>
      <c r="E3946" t="inlineStr">
        <is>
          <t>ÖSTHAMMAR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25264-2023</t>
        </is>
      </c>
      <c r="B3947" s="1" t="n">
        <v>45086</v>
      </c>
      <c r="C3947" s="1" t="n">
        <v>45792</v>
      </c>
      <c r="D3947" t="inlineStr">
        <is>
          <t>UPPSALA LÄN</t>
        </is>
      </c>
      <c r="E3947" t="inlineStr">
        <is>
          <t>UPPSALA</t>
        </is>
      </c>
      <c r="F3947" t="inlineStr">
        <is>
          <t>Holmen skog AB</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25280-2023</t>
        </is>
      </c>
      <c r="B3948" s="1" t="n">
        <v>45086</v>
      </c>
      <c r="C3948" s="1" t="n">
        <v>45792</v>
      </c>
      <c r="D3948" t="inlineStr">
        <is>
          <t>UPPSALA LÄN</t>
        </is>
      </c>
      <c r="E3948" t="inlineStr">
        <is>
          <t>UPPSALA</t>
        </is>
      </c>
      <c r="F3948" t="inlineStr">
        <is>
          <t>Holmen skog AB</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25249-2023</t>
        </is>
      </c>
      <c r="B3949" s="1" t="n">
        <v>45086</v>
      </c>
      <c r="C3949" s="1" t="n">
        <v>45792</v>
      </c>
      <c r="D3949" t="inlineStr">
        <is>
          <t>UPPSALA LÄN</t>
        </is>
      </c>
      <c r="E3949" t="inlineStr">
        <is>
          <t>HEBY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25380-2023</t>
        </is>
      </c>
      <c r="B3950" s="1" t="n">
        <v>45089</v>
      </c>
      <c r="C3950" s="1" t="n">
        <v>45792</v>
      </c>
      <c r="D3950" t="inlineStr">
        <is>
          <t>UPPSALA LÄN</t>
        </is>
      </c>
      <c r="E3950" t="inlineStr">
        <is>
          <t>UPPSALA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25529-2023</t>
        </is>
      </c>
      <c r="B3951" s="1" t="n">
        <v>45089</v>
      </c>
      <c r="C3951" s="1" t="n">
        <v>45792</v>
      </c>
      <c r="D3951" t="inlineStr">
        <is>
          <t>UPPSALA LÄN</t>
        </is>
      </c>
      <c r="E3951" t="inlineStr">
        <is>
          <t>HEBY</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25381-2023</t>
        </is>
      </c>
      <c r="B3952" s="1" t="n">
        <v>45089</v>
      </c>
      <c r="C3952" s="1" t="n">
        <v>45792</v>
      </c>
      <c r="D3952" t="inlineStr">
        <is>
          <t>UPPSALA LÄN</t>
        </is>
      </c>
      <c r="E3952" t="inlineStr">
        <is>
          <t>UPPSALA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25446-2023</t>
        </is>
      </c>
      <c r="B3953" s="1" t="n">
        <v>45089</v>
      </c>
      <c r="C3953" s="1" t="n">
        <v>45792</v>
      </c>
      <c r="D3953" t="inlineStr">
        <is>
          <t>UPPSALA LÄN</t>
        </is>
      </c>
      <c r="E3953" t="inlineStr">
        <is>
          <t>UPPSALA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25525-2023</t>
        </is>
      </c>
      <c r="B3954" s="1" t="n">
        <v>45089</v>
      </c>
      <c r="C3954" s="1" t="n">
        <v>45792</v>
      </c>
      <c r="D3954" t="inlineStr">
        <is>
          <t>UPPSALA LÄN</t>
        </is>
      </c>
      <c r="E3954" t="inlineStr">
        <is>
          <t>HEBY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25462-2023</t>
        </is>
      </c>
      <c r="B3955" s="1" t="n">
        <v>45089</v>
      </c>
      <c r="C3955" s="1" t="n">
        <v>45792</v>
      </c>
      <c r="D3955" t="inlineStr">
        <is>
          <t>UPPSALA LÄN</t>
        </is>
      </c>
      <c r="E3955" t="inlineStr">
        <is>
          <t>UPPSALA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26612-2023</t>
        </is>
      </c>
      <c r="B3956" s="1" t="n">
        <v>45089</v>
      </c>
      <c r="C3956" s="1" t="n">
        <v>45792</v>
      </c>
      <c r="D3956" t="inlineStr">
        <is>
          <t>UPPSALA LÄN</t>
        </is>
      </c>
      <c r="E3956" t="inlineStr">
        <is>
          <t>ÖSTHAMMAR</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26610-2023</t>
        </is>
      </c>
      <c r="B3957" s="1" t="n">
        <v>45089</v>
      </c>
      <c r="C3957" s="1" t="n">
        <v>45792</v>
      </c>
      <c r="D3957" t="inlineStr">
        <is>
          <t>UPPSALA LÄN</t>
        </is>
      </c>
      <c r="E3957" t="inlineStr">
        <is>
          <t>ÖSTHAMMAR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25784-2023</t>
        </is>
      </c>
      <c r="B3958" s="1" t="n">
        <v>45090</v>
      </c>
      <c r="C3958" s="1" t="n">
        <v>45792</v>
      </c>
      <c r="D3958" t="inlineStr">
        <is>
          <t>UPPSALA LÄN</t>
        </is>
      </c>
      <c r="E3958" t="inlineStr">
        <is>
          <t>TIERP</t>
        </is>
      </c>
      <c r="F3958" t="inlineStr">
        <is>
          <t>Bergvik skog väst AB</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25897-2023</t>
        </is>
      </c>
      <c r="B3959" s="1" t="n">
        <v>45090</v>
      </c>
      <c r="C3959" s="1" t="n">
        <v>45792</v>
      </c>
      <c r="D3959" t="inlineStr">
        <is>
          <t>UPPSALA LÄN</t>
        </is>
      </c>
      <c r="E3959" t="inlineStr">
        <is>
          <t>ÖSTHAMMAR</t>
        </is>
      </c>
      <c r="F3959" t="inlineStr">
        <is>
          <t>Bergvik skog öst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25939-2023</t>
        </is>
      </c>
      <c r="B3960" s="1" t="n">
        <v>45090</v>
      </c>
      <c r="C3960" s="1" t="n">
        <v>45792</v>
      </c>
      <c r="D3960" t="inlineStr">
        <is>
          <t>UPPSALA LÄN</t>
        </is>
      </c>
      <c r="E3960" t="inlineStr">
        <is>
          <t>UPPSALA</t>
        </is>
      </c>
      <c r="F3960" t="inlineStr">
        <is>
          <t>Holmen skog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25903-2023</t>
        </is>
      </c>
      <c r="B3961" s="1" t="n">
        <v>45090</v>
      </c>
      <c r="C3961" s="1" t="n">
        <v>45792</v>
      </c>
      <c r="D3961" t="inlineStr">
        <is>
          <t>UPPSALA LÄN</t>
        </is>
      </c>
      <c r="E3961" t="inlineStr">
        <is>
          <t>ÖSTHAMMAR</t>
        </is>
      </c>
      <c r="F3961" t="inlineStr">
        <is>
          <t>Bergvik skog öst AB</t>
        </is>
      </c>
      <c r="G3961" t="n">
        <v>29.2</v>
      </c>
      <c r="H3961" t="n">
        <v>0</v>
      </c>
      <c r="I3961" t="n">
        <v>0</v>
      </c>
      <c r="J3961" t="n">
        <v>0</v>
      </c>
      <c r="K3961" t="n">
        <v>0</v>
      </c>
      <c r="L3961" t="n">
        <v>0</v>
      </c>
      <c r="M3961" t="n">
        <v>0</v>
      </c>
      <c r="N3961" t="n">
        <v>0</v>
      </c>
      <c r="O3961" t="n">
        <v>0</v>
      </c>
      <c r="P3961" t="n">
        <v>0</v>
      </c>
      <c r="Q3961" t="n">
        <v>0</v>
      </c>
      <c r="R3961" s="2" t="inlineStr"/>
    </row>
    <row r="3962" ht="15" customHeight="1">
      <c r="A3962" t="inlineStr">
        <is>
          <t>A 25970-2023</t>
        </is>
      </c>
      <c r="B3962" s="1" t="n">
        <v>45090</v>
      </c>
      <c r="C3962" s="1" t="n">
        <v>45792</v>
      </c>
      <c r="D3962" t="inlineStr">
        <is>
          <t>UPPSALA LÄN</t>
        </is>
      </c>
      <c r="E3962" t="inlineStr">
        <is>
          <t>ÖSTHAMMAR</t>
        </is>
      </c>
      <c r="F3962" t="inlineStr">
        <is>
          <t>Sveaskog</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25971-2023</t>
        </is>
      </c>
      <c r="B3963" s="1" t="n">
        <v>45090</v>
      </c>
      <c r="C3963" s="1" t="n">
        <v>45792</v>
      </c>
      <c r="D3963" t="inlineStr">
        <is>
          <t>UPPSALA LÄN</t>
        </is>
      </c>
      <c r="E3963" t="inlineStr">
        <is>
          <t>HEBY</t>
        </is>
      </c>
      <c r="F3963" t="inlineStr">
        <is>
          <t>Övriga Aktiebolag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25968-2023</t>
        </is>
      </c>
      <c r="B3964" s="1" t="n">
        <v>45090</v>
      </c>
      <c r="C3964" s="1" t="n">
        <v>45792</v>
      </c>
      <c r="D3964" t="inlineStr">
        <is>
          <t>UPPSALA LÄN</t>
        </is>
      </c>
      <c r="E3964" t="inlineStr">
        <is>
          <t>ÖSTHAMMAR</t>
        </is>
      </c>
      <c r="F3964" t="inlineStr">
        <is>
          <t>Sveaskog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25969-2023</t>
        </is>
      </c>
      <c r="B3965" s="1" t="n">
        <v>45090</v>
      </c>
      <c r="C3965" s="1" t="n">
        <v>45792</v>
      </c>
      <c r="D3965" t="inlineStr">
        <is>
          <t>UPPSALA LÄN</t>
        </is>
      </c>
      <c r="E3965" t="inlineStr">
        <is>
          <t>ÖSTHAMMAR</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25972-2023</t>
        </is>
      </c>
      <c r="B3966" s="1" t="n">
        <v>45090</v>
      </c>
      <c r="C3966" s="1" t="n">
        <v>45792</v>
      </c>
      <c r="D3966" t="inlineStr">
        <is>
          <t>UPPSALA LÄN</t>
        </is>
      </c>
      <c r="E3966" t="inlineStr">
        <is>
          <t>HEBY</t>
        </is>
      </c>
      <c r="F3966" t="inlineStr">
        <is>
          <t>Övriga Aktiebolag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26332-2023</t>
        </is>
      </c>
      <c r="B3967" s="1" t="n">
        <v>45091</v>
      </c>
      <c r="C3967" s="1" t="n">
        <v>45792</v>
      </c>
      <c r="D3967" t="inlineStr">
        <is>
          <t>UPPSALA LÄN</t>
        </is>
      </c>
      <c r="E3967" t="inlineStr">
        <is>
          <t>HEBY</t>
        </is>
      </c>
      <c r="F3967" t="inlineStr">
        <is>
          <t>Övriga Aktiebolag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26208-2023</t>
        </is>
      </c>
      <c r="B3968" s="1" t="n">
        <v>45091</v>
      </c>
      <c r="C3968" s="1" t="n">
        <v>45792</v>
      </c>
      <c r="D3968" t="inlineStr">
        <is>
          <t>UPPSALA LÄN</t>
        </is>
      </c>
      <c r="E3968" t="inlineStr">
        <is>
          <t>UPPSALA</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26275-2023</t>
        </is>
      </c>
      <c r="B3969" s="1" t="n">
        <v>45091</v>
      </c>
      <c r="C3969" s="1" t="n">
        <v>45792</v>
      </c>
      <c r="D3969" t="inlineStr">
        <is>
          <t>UPPSALA LÄN</t>
        </is>
      </c>
      <c r="E3969" t="inlineStr">
        <is>
          <t>TIERP</t>
        </is>
      </c>
      <c r="F3969" t="inlineStr">
        <is>
          <t>Bergvik skog väst AB</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26298-2023</t>
        </is>
      </c>
      <c r="B3970" s="1" t="n">
        <v>45091</v>
      </c>
      <c r="C3970" s="1" t="n">
        <v>45792</v>
      </c>
      <c r="D3970" t="inlineStr">
        <is>
          <t>UPPSALA LÄN</t>
        </is>
      </c>
      <c r="E3970" t="inlineStr">
        <is>
          <t>UPPSALA</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26331-2023</t>
        </is>
      </c>
      <c r="B3971" s="1" t="n">
        <v>45091</v>
      </c>
      <c r="C3971" s="1" t="n">
        <v>45792</v>
      </c>
      <c r="D3971" t="inlineStr">
        <is>
          <t>UPPSALA LÄN</t>
        </is>
      </c>
      <c r="E3971" t="inlineStr">
        <is>
          <t>HEBY</t>
        </is>
      </c>
      <c r="F3971" t="inlineStr">
        <is>
          <t>Övriga Aktiebolag</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26323-2023</t>
        </is>
      </c>
      <c r="B3972" s="1" t="n">
        <v>45091</v>
      </c>
      <c r="C3972" s="1" t="n">
        <v>45792</v>
      </c>
      <c r="D3972" t="inlineStr">
        <is>
          <t>UPPSALA LÄN</t>
        </is>
      </c>
      <c r="E3972" t="inlineStr">
        <is>
          <t>UPPSALA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26333-2023</t>
        </is>
      </c>
      <c r="B3973" s="1" t="n">
        <v>45091</v>
      </c>
      <c r="C3973" s="1" t="n">
        <v>45792</v>
      </c>
      <c r="D3973" t="inlineStr">
        <is>
          <t>UPPSALA LÄN</t>
        </is>
      </c>
      <c r="E3973" t="inlineStr">
        <is>
          <t>HEBY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26081-2023</t>
        </is>
      </c>
      <c r="B3974" s="1" t="n">
        <v>45091</v>
      </c>
      <c r="C3974" s="1" t="n">
        <v>45792</v>
      </c>
      <c r="D3974" t="inlineStr">
        <is>
          <t>UPPSALA LÄN</t>
        </is>
      </c>
      <c r="E3974" t="inlineStr">
        <is>
          <t>UPPSALA</t>
        </is>
      </c>
      <c r="F3974" t="inlineStr">
        <is>
          <t>Holmen skog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26143-2023</t>
        </is>
      </c>
      <c r="B3975" s="1" t="n">
        <v>45091</v>
      </c>
      <c r="C3975" s="1" t="n">
        <v>45792</v>
      </c>
      <c r="D3975" t="inlineStr">
        <is>
          <t>UPPSALA LÄN</t>
        </is>
      </c>
      <c r="E3975" t="inlineStr">
        <is>
          <t>UPPSALA</t>
        </is>
      </c>
      <c r="F3975" t="inlineStr">
        <is>
          <t>Holmen skog AB</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26134-2023</t>
        </is>
      </c>
      <c r="B3976" s="1" t="n">
        <v>45091</v>
      </c>
      <c r="C3976" s="1" t="n">
        <v>45792</v>
      </c>
      <c r="D3976" t="inlineStr">
        <is>
          <t>UPPSALA LÄN</t>
        </is>
      </c>
      <c r="E3976" t="inlineStr">
        <is>
          <t>UPPSALA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26380-2023</t>
        </is>
      </c>
      <c r="B3977" s="1" t="n">
        <v>45092</v>
      </c>
      <c r="C3977" s="1" t="n">
        <v>45792</v>
      </c>
      <c r="D3977" t="inlineStr">
        <is>
          <t>UPPSALA LÄN</t>
        </is>
      </c>
      <c r="E3977" t="inlineStr">
        <is>
          <t>TIERP</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26546-2023</t>
        </is>
      </c>
      <c r="B3978" s="1" t="n">
        <v>45092</v>
      </c>
      <c r="C3978" s="1" t="n">
        <v>45792</v>
      </c>
      <c r="D3978" t="inlineStr">
        <is>
          <t>UPPSALA LÄN</t>
        </is>
      </c>
      <c r="E3978" t="inlineStr">
        <is>
          <t>TIERP</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26421-2023</t>
        </is>
      </c>
      <c r="B3979" s="1" t="n">
        <v>45092</v>
      </c>
      <c r="C3979" s="1" t="n">
        <v>45792</v>
      </c>
      <c r="D3979" t="inlineStr">
        <is>
          <t>UPPSALA LÄN</t>
        </is>
      </c>
      <c r="E3979" t="inlineStr">
        <is>
          <t>HEBY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26449-2023</t>
        </is>
      </c>
      <c r="B3980" s="1" t="n">
        <v>45092</v>
      </c>
      <c r="C3980" s="1" t="n">
        <v>45792</v>
      </c>
      <c r="D3980" t="inlineStr">
        <is>
          <t>UPPSALA LÄN</t>
        </is>
      </c>
      <c r="E3980" t="inlineStr">
        <is>
          <t>HEBY</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26511-2023</t>
        </is>
      </c>
      <c r="B3981" s="1" t="n">
        <v>45092</v>
      </c>
      <c r="C3981" s="1" t="n">
        <v>45792</v>
      </c>
      <c r="D3981" t="inlineStr">
        <is>
          <t>UPPSALA LÄN</t>
        </is>
      </c>
      <c r="E3981" t="inlineStr">
        <is>
          <t>HEBY</t>
        </is>
      </c>
      <c r="F3981" t="inlineStr">
        <is>
          <t>Sveaskog</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26541-2023</t>
        </is>
      </c>
      <c r="B3982" s="1" t="n">
        <v>45092</v>
      </c>
      <c r="C3982" s="1" t="n">
        <v>45792</v>
      </c>
      <c r="D3982" t="inlineStr">
        <is>
          <t>UPPSALA LÄN</t>
        </is>
      </c>
      <c r="E3982" t="inlineStr">
        <is>
          <t>TIERP</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26559-2023</t>
        </is>
      </c>
      <c r="B3983" s="1" t="n">
        <v>45092</v>
      </c>
      <c r="C3983" s="1" t="n">
        <v>45792</v>
      </c>
      <c r="D3983" t="inlineStr">
        <is>
          <t>UPPSALA LÄN</t>
        </is>
      </c>
      <c r="E3983" t="inlineStr">
        <is>
          <t>HEBY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26550-2023</t>
        </is>
      </c>
      <c r="B3984" s="1" t="n">
        <v>45092</v>
      </c>
      <c r="C3984" s="1" t="n">
        <v>45792</v>
      </c>
      <c r="D3984" t="inlineStr">
        <is>
          <t>UPPSALA LÄN</t>
        </is>
      </c>
      <c r="E3984" t="inlineStr">
        <is>
          <t>HEBY</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26571-2023</t>
        </is>
      </c>
      <c r="B3985" s="1" t="n">
        <v>45092</v>
      </c>
      <c r="C3985" s="1" t="n">
        <v>45792</v>
      </c>
      <c r="D3985" t="inlineStr">
        <is>
          <t>UPPSALA LÄN</t>
        </is>
      </c>
      <c r="E3985" t="inlineStr">
        <is>
          <t>HEBY</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26577-2023</t>
        </is>
      </c>
      <c r="B3986" s="1" t="n">
        <v>45092</v>
      </c>
      <c r="C3986" s="1" t="n">
        <v>45792</v>
      </c>
      <c r="D3986" t="inlineStr">
        <is>
          <t>UPPSALA LÄN</t>
        </is>
      </c>
      <c r="E3986" t="inlineStr">
        <is>
          <t>ENKÖPING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26759-2023</t>
        </is>
      </c>
      <c r="B3987" s="1" t="n">
        <v>45093</v>
      </c>
      <c r="C3987" s="1" t="n">
        <v>45792</v>
      </c>
      <c r="D3987" t="inlineStr">
        <is>
          <t>UPPSALA LÄN</t>
        </is>
      </c>
      <c r="E3987" t="inlineStr">
        <is>
          <t>UPPSALA</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26774-2023</t>
        </is>
      </c>
      <c r="B3988" s="1" t="n">
        <v>45093</v>
      </c>
      <c r="C3988" s="1" t="n">
        <v>45792</v>
      </c>
      <c r="D3988" t="inlineStr">
        <is>
          <t>UPPSALA LÄN</t>
        </is>
      </c>
      <c r="E3988" t="inlineStr">
        <is>
          <t>ÖSTHAMMAR</t>
        </is>
      </c>
      <c r="F3988" t="inlineStr">
        <is>
          <t>Bergvik skog öst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26762-2023</t>
        </is>
      </c>
      <c r="B3989" s="1" t="n">
        <v>45093</v>
      </c>
      <c r="C3989" s="1" t="n">
        <v>45792</v>
      </c>
      <c r="D3989" t="inlineStr">
        <is>
          <t>UPPSALA LÄN</t>
        </is>
      </c>
      <c r="E3989" t="inlineStr">
        <is>
          <t>UPPSALA</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26734-2023</t>
        </is>
      </c>
      <c r="B3990" s="1" t="n">
        <v>45093</v>
      </c>
      <c r="C3990" s="1" t="n">
        <v>45792</v>
      </c>
      <c r="D3990" t="inlineStr">
        <is>
          <t>UPPSALA LÄN</t>
        </is>
      </c>
      <c r="E3990" t="inlineStr">
        <is>
          <t>ÖSTHAMMAR</t>
        </is>
      </c>
      <c r="F3990" t="inlineStr">
        <is>
          <t>Bergvik skog öst AB</t>
        </is>
      </c>
      <c r="G3990" t="n">
        <v>25.5</v>
      </c>
      <c r="H3990" t="n">
        <v>0</v>
      </c>
      <c r="I3990" t="n">
        <v>0</v>
      </c>
      <c r="J3990" t="n">
        <v>0</v>
      </c>
      <c r="K3990" t="n">
        <v>0</v>
      </c>
      <c r="L3990" t="n">
        <v>0</v>
      </c>
      <c r="M3990" t="n">
        <v>0</v>
      </c>
      <c r="N3990" t="n">
        <v>0</v>
      </c>
      <c r="O3990" t="n">
        <v>0</v>
      </c>
      <c r="P3990" t="n">
        <v>0</v>
      </c>
      <c r="Q3990" t="n">
        <v>0</v>
      </c>
      <c r="R3990" s="2" t="inlineStr"/>
    </row>
    <row r="3991" ht="15" customHeight="1">
      <c r="A3991" t="inlineStr">
        <is>
          <t>A 28170-2023</t>
        </is>
      </c>
      <c r="B3991" s="1" t="n">
        <v>45093</v>
      </c>
      <c r="C3991" s="1" t="n">
        <v>45792</v>
      </c>
      <c r="D3991" t="inlineStr">
        <is>
          <t>UPPSALA LÄN</t>
        </is>
      </c>
      <c r="E3991" t="inlineStr">
        <is>
          <t>ÖSTHAMMAR</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27128-2023</t>
        </is>
      </c>
      <c r="B3992" s="1" t="n">
        <v>45096</v>
      </c>
      <c r="C3992" s="1" t="n">
        <v>45792</v>
      </c>
      <c r="D3992" t="inlineStr">
        <is>
          <t>UPPSALA LÄN</t>
        </is>
      </c>
      <c r="E3992" t="inlineStr">
        <is>
          <t>UPPSALA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27168-2023</t>
        </is>
      </c>
      <c r="B3993" s="1" t="n">
        <v>45096</v>
      </c>
      <c r="C3993" s="1" t="n">
        <v>45792</v>
      </c>
      <c r="D3993" t="inlineStr">
        <is>
          <t>UPPSALA LÄN</t>
        </is>
      </c>
      <c r="E3993" t="inlineStr">
        <is>
          <t>TIERP</t>
        </is>
      </c>
      <c r="F3993" t="inlineStr">
        <is>
          <t>Bergvik skog öst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27068-2023</t>
        </is>
      </c>
      <c r="B3994" s="1" t="n">
        <v>45096</v>
      </c>
      <c r="C3994" s="1" t="n">
        <v>45792</v>
      </c>
      <c r="D3994" t="inlineStr">
        <is>
          <t>UPPSALA LÄN</t>
        </is>
      </c>
      <c r="E3994" t="inlineStr">
        <is>
          <t>UPPSALA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27074-2023</t>
        </is>
      </c>
      <c r="B3995" s="1" t="n">
        <v>45096</v>
      </c>
      <c r="C3995" s="1" t="n">
        <v>45792</v>
      </c>
      <c r="D3995" t="inlineStr">
        <is>
          <t>UPPSALA LÄN</t>
        </is>
      </c>
      <c r="E3995" t="inlineStr">
        <is>
          <t>TIERP</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27119-2023</t>
        </is>
      </c>
      <c r="B3996" s="1" t="n">
        <v>45096</v>
      </c>
      <c r="C3996" s="1" t="n">
        <v>45792</v>
      </c>
      <c r="D3996" t="inlineStr">
        <is>
          <t>UPPSALA LÄN</t>
        </is>
      </c>
      <c r="E3996" t="inlineStr">
        <is>
          <t>UPPSALA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27123-2023</t>
        </is>
      </c>
      <c r="B3997" s="1" t="n">
        <v>45096</v>
      </c>
      <c r="C3997" s="1" t="n">
        <v>45792</v>
      </c>
      <c r="D3997" t="inlineStr">
        <is>
          <t>UPPSALA LÄN</t>
        </is>
      </c>
      <c r="E3997" t="inlineStr">
        <is>
          <t>UPPSALA</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27126-2023</t>
        </is>
      </c>
      <c r="B3998" s="1" t="n">
        <v>45096</v>
      </c>
      <c r="C3998" s="1" t="n">
        <v>45792</v>
      </c>
      <c r="D3998" t="inlineStr">
        <is>
          <t>UPPSALA LÄN</t>
        </is>
      </c>
      <c r="E3998" t="inlineStr">
        <is>
          <t>UPPSALA</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27150-2023</t>
        </is>
      </c>
      <c r="B3999" s="1" t="n">
        <v>45096</v>
      </c>
      <c r="C3999" s="1" t="n">
        <v>45792</v>
      </c>
      <c r="D3999" t="inlineStr">
        <is>
          <t>UPPSALA LÄN</t>
        </is>
      </c>
      <c r="E3999" t="inlineStr">
        <is>
          <t>ÖSTHAMMAR</t>
        </is>
      </c>
      <c r="F3999" t="inlineStr">
        <is>
          <t>Bergvik skog öst AB</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27154-2023</t>
        </is>
      </c>
      <c r="B4000" s="1" t="n">
        <v>45096</v>
      </c>
      <c r="C4000" s="1" t="n">
        <v>45792</v>
      </c>
      <c r="D4000" t="inlineStr">
        <is>
          <t>UPPSALA LÄN</t>
        </is>
      </c>
      <c r="E4000" t="inlineStr">
        <is>
          <t>ÖSTHAMMAR</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27212-2023</t>
        </is>
      </c>
      <c r="B4001" s="1" t="n">
        <v>45096</v>
      </c>
      <c r="C4001" s="1" t="n">
        <v>45792</v>
      </c>
      <c r="D4001" t="inlineStr">
        <is>
          <t>UPPSALA LÄN</t>
        </is>
      </c>
      <c r="E4001" t="inlineStr">
        <is>
          <t>HEBY</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27178-2023</t>
        </is>
      </c>
      <c r="B4002" s="1" t="n">
        <v>45096</v>
      </c>
      <c r="C4002" s="1" t="n">
        <v>45792</v>
      </c>
      <c r="D4002" t="inlineStr">
        <is>
          <t>UPPSALA LÄN</t>
        </is>
      </c>
      <c r="E4002" t="inlineStr">
        <is>
          <t>ENKÖPING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27266-2023</t>
        </is>
      </c>
      <c r="B4003" s="1" t="n">
        <v>45096</v>
      </c>
      <c r="C4003" s="1" t="n">
        <v>45792</v>
      </c>
      <c r="D4003" t="inlineStr">
        <is>
          <t>UPPSALA LÄN</t>
        </is>
      </c>
      <c r="E4003" t="inlineStr">
        <is>
          <t>TIERP</t>
        </is>
      </c>
      <c r="F4003" t="inlineStr">
        <is>
          <t>Bergvik skog öst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27104-2023</t>
        </is>
      </c>
      <c r="B4004" s="1" t="n">
        <v>45096</v>
      </c>
      <c r="C4004" s="1" t="n">
        <v>45792</v>
      </c>
      <c r="D4004" t="inlineStr">
        <is>
          <t>UPPSALA LÄN</t>
        </is>
      </c>
      <c r="E4004" t="inlineStr">
        <is>
          <t>UPPSALA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27121-2023</t>
        </is>
      </c>
      <c r="B4005" s="1" t="n">
        <v>45096</v>
      </c>
      <c r="C4005" s="1" t="n">
        <v>45792</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27125-2023</t>
        </is>
      </c>
      <c r="B4006" s="1" t="n">
        <v>45096</v>
      </c>
      <c r="C4006" s="1" t="n">
        <v>45792</v>
      </c>
      <c r="D4006" t="inlineStr">
        <is>
          <t>UPPSALA LÄN</t>
        </is>
      </c>
      <c r="E4006" t="inlineStr">
        <is>
          <t>UPPSALA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27254-2023</t>
        </is>
      </c>
      <c r="B4007" s="1" t="n">
        <v>45096</v>
      </c>
      <c r="C4007" s="1" t="n">
        <v>45792</v>
      </c>
      <c r="D4007" t="inlineStr">
        <is>
          <t>UPPSALA LÄN</t>
        </is>
      </c>
      <c r="E4007" t="inlineStr">
        <is>
          <t>UPPSALA</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27308-2023</t>
        </is>
      </c>
      <c r="B4008" s="1" t="n">
        <v>45096</v>
      </c>
      <c r="C4008" s="1" t="n">
        <v>45792</v>
      </c>
      <c r="D4008" t="inlineStr">
        <is>
          <t>UPPSALA LÄN</t>
        </is>
      </c>
      <c r="E4008" t="inlineStr">
        <is>
          <t>ÖSTHAMMAR</t>
        </is>
      </c>
      <c r="F4008" t="inlineStr">
        <is>
          <t>Bergvik skog öst AB</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27467-2023</t>
        </is>
      </c>
      <c r="B4009" s="1" t="n">
        <v>45097</v>
      </c>
      <c r="C4009" s="1" t="n">
        <v>45792</v>
      </c>
      <c r="D4009" t="inlineStr">
        <is>
          <t>UPPSALA LÄN</t>
        </is>
      </c>
      <c r="E4009" t="inlineStr">
        <is>
          <t>UPPSALA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27617-2023</t>
        </is>
      </c>
      <c r="B4010" s="1" t="n">
        <v>45097</v>
      </c>
      <c r="C4010" s="1" t="n">
        <v>45792</v>
      </c>
      <c r="D4010" t="inlineStr">
        <is>
          <t>UPPSALA LÄN</t>
        </is>
      </c>
      <c r="E4010" t="inlineStr">
        <is>
          <t>UPPSALA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27622-2023</t>
        </is>
      </c>
      <c r="B4011" s="1" t="n">
        <v>45097</v>
      </c>
      <c r="C4011" s="1" t="n">
        <v>45792</v>
      </c>
      <c r="D4011" t="inlineStr">
        <is>
          <t>UPPSALA LÄN</t>
        </is>
      </c>
      <c r="E4011" t="inlineStr">
        <is>
          <t>UPPSALA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27538-2023</t>
        </is>
      </c>
      <c r="B4012" s="1" t="n">
        <v>45097</v>
      </c>
      <c r="C4012" s="1" t="n">
        <v>45792</v>
      </c>
      <c r="D4012" t="inlineStr">
        <is>
          <t>UPPSALA LÄN</t>
        </is>
      </c>
      <c r="E4012" t="inlineStr">
        <is>
          <t>ENKÖPING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27599-2023</t>
        </is>
      </c>
      <c r="B4013" s="1" t="n">
        <v>45097</v>
      </c>
      <c r="C4013" s="1" t="n">
        <v>45792</v>
      </c>
      <c r="D4013" t="inlineStr">
        <is>
          <t>UPPSALA LÄN</t>
        </is>
      </c>
      <c r="E4013" t="inlineStr">
        <is>
          <t>UPPSALA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27620-2023</t>
        </is>
      </c>
      <c r="B4014" s="1" t="n">
        <v>45097</v>
      </c>
      <c r="C4014" s="1" t="n">
        <v>45792</v>
      </c>
      <c r="D4014" t="inlineStr">
        <is>
          <t>UPPSALA LÄN</t>
        </is>
      </c>
      <c r="E4014" t="inlineStr">
        <is>
          <t>UPPSALA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27660-2023</t>
        </is>
      </c>
      <c r="B4015" s="1" t="n">
        <v>45097</v>
      </c>
      <c r="C4015" s="1" t="n">
        <v>45792</v>
      </c>
      <c r="D4015" t="inlineStr">
        <is>
          <t>UPPSALA LÄN</t>
        </is>
      </c>
      <c r="E4015" t="inlineStr">
        <is>
          <t>ÖSTHAMMAR</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27659-2023</t>
        </is>
      </c>
      <c r="B4016" s="1" t="n">
        <v>45097</v>
      </c>
      <c r="C4016" s="1" t="n">
        <v>45792</v>
      </c>
      <c r="D4016" t="inlineStr">
        <is>
          <t>UPPSALA LÄN</t>
        </is>
      </c>
      <c r="E4016" t="inlineStr">
        <is>
          <t>ÖSTHAMMAR</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27730-2023</t>
        </is>
      </c>
      <c r="B4017" s="1" t="n">
        <v>45097</v>
      </c>
      <c r="C4017" s="1" t="n">
        <v>45792</v>
      </c>
      <c r="D4017" t="inlineStr">
        <is>
          <t>UPPSALA LÄN</t>
        </is>
      </c>
      <c r="E4017" t="inlineStr">
        <is>
          <t>ENKÖPING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29220-2023</t>
        </is>
      </c>
      <c r="B4018" s="1" t="n">
        <v>45097</v>
      </c>
      <c r="C4018" s="1" t="n">
        <v>45792</v>
      </c>
      <c r="D4018" t="inlineStr">
        <is>
          <t>UPPSALA LÄN</t>
        </is>
      </c>
      <c r="E4018" t="inlineStr">
        <is>
          <t>KNIVSTA</t>
        </is>
      </c>
      <c r="G4018" t="n">
        <v>21.3</v>
      </c>
      <c r="H4018" t="n">
        <v>0</v>
      </c>
      <c r="I4018" t="n">
        <v>0</v>
      </c>
      <c r="J4018" t="n">
        <v>0</v>
      </c>
      <c r="K4018" t="n">
        <v>0</v>
      </c>
      <c r="L4018" t="n">
        <v>0</v>
      </c>
      <c r="M4018" t="n">
        <v>0</v>
      </c>
      <c r="N4018" t="n">
        <v>0</v>
      </c>
      <c r="O4018" t="n">
        <v>0</v>
      </c>
      <c r="P4018" t="n">
        <v>0</v>
      </c>
      <c r="Q4018" t="n">
        <v>0</v>
      </c>
      <c r="R4018" s="2" t="inlineStr"/>
    </row>
    <row r="4019" ht="15" customHeight="1">
      <c r="A4019" t="inlineStr">
        <is>
          <t>A 27801-2023</t>
        </is>
      </c>
      <c r="B4019" s="1" t="n">
        <v>45098</v>
      </c>
      <c r="C4019" s="1" t="n">
        <v>45792</v>
      </c>
      <c r="D4019" t="inlineStr">
        <is>
          <t>UPPSALA LÄN</t>
        </is>
      </c>
      <c r="E4019" t="inlineStr">
        <is>
          <t>ÖSTHAMMAR</t>
        </is>
      </c>
      <c r="F4019" t="inlineStr">
        <is>
          <t>Kyrkan</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27805-2023</t>
        </is>
      </c>
      <c r="B4020" s="1" t="n">
        <v>45098</v>
      </c>
      <c r="C4020" s="1" t="n">
        <v>45792</v>
      </c>
      <c r="D4020" t="inlineStr">
        <is>
          <t>UPPSALA LÄN</t>
        </is>
      </c>
      <c r="E4020" t="inlineStr">
        <is>
          <t>ENKÖPING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27840-2023</t>
        </is>
      </c>
      <c r="B4021" s="1" t="n">
        <v>45098</v>
      </c>
      <c r="C4021" s="1" t="n">
        <v>45792</v>
      </c>
      <c r="D4021" t="inlineStr">
        <is>
          <t>UPPSALA LÄN</t>
        </is>
      </c>
      <c r="E4021" t="inlineStr">
        <is>
          <t>HEBY</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27839-2023</t>
        </is>
      </c>
      <c r="B4022" s="1" t="n">
        <v>45098</v>
      </c>
      <c r="C4022" s="1" t="n">
        <v>45792</v>
      </c>
      <c r="D4022" t="inlineStr">
        <is>
          <t>UPPSALA LÄN</t>
        </is>
      </c>
      <c r="E4022" t="inlineStr">
        <is>
          <t>ENKÖPING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27856-2023</t>
        </is>
      </c>
      <c r="B4023" s="1" t="n">
        <v>45098</v>
      </c>
      <c r="C4023" s="1" t="n">
        <v>45792</v>
      </c>
      <c r="D4023" t="inlineStr">
        <is>
          <t>UPPSALA LÄN</t>
        </is>
      </c>
      <c r="E4023" t="inlineStr">
        <is>
          <t>TIERP</t>
        </is>
      </c>
      <c r="F4023" t="inlineStr">
        <is>
          <t>Bergvik skog öst AB</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27912-2023</t>
        </is>
      </c>
      <c r="B4024" s="1" t="n">
        <v>45098</v>
      </c>
      <c r="C4024" s="1" t="n">
        <v>45792</v>
      </c>
      <c r="D4024" t="inlineStr">
        <is>
          <t>UPPSALA LÄN</t>
        </is>
      </c>
      <c r="E4024" t="inlineStr">
        <is>
          <t>UPPSALA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27903-2023</t>
        </is>
      </c>
      <c r="B4025" s="1" t="n">
        <v>45098</v>
      </c>
      <c r="C4025" s="1" t="n">
        <v>45792</v>
      </c>
      <c r="D4025" t="inlineStr">
        <is>
          <t>UPPSALA LÄN</t>
        </is>
      </c>
      <c r="E4025" t="inlineStr">
        <is>
          <t>UPPSALA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27786-2023</t>
        </is>
      </c>
      <c r="B4026" s="1" t="n">
        <v>45098</v>
      </c>
      <c r="C4026" s="1" t="n">
        <v>45792</v>
      </c>
      <c r="D4026" t="inlineStr">
        <is>
          <t>UPPSALA LÄN</t>
        </is>
      </c>
      <c r="E4026" t="inlineStr">
        <is>
          <t>ENKÖPING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27855-2023</t>
        </is>
      </c>
      <c r="B4027" s="1" t="n">
        <v>45098</v>
      </c>
      <c r="C4027" s="1" t="n">
        <v>45792</v>
      </c>
      <c r="D4027" t="inlineStr">
        <is>
          <t>UPPSALA LÄN</t>
        </is>
      </c>
      <c r="E4027" t="inlineStr">
        <is>
          <t>ENKÖPING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27879-2023</t>
        </is>
      </c>
      <c r="B4028" s="1" t="n">
        <v>45098</v>
      </c>
      <c r="C4028" s="1" t="n">
        <v>45792</v>
      </c>
      <c r="D4028" t="inlineStr">
        <is>
          <t>UPPSALA LÄN</t>
        </is>
      </c>
      <c r="E4028" t="inlineStr">
        <is>
          <t>HEBY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27928-2023</t>
        </is>
      </c>
      <c r="B4029" s="1" t="n">
        <v>45098</v>
      </c>
      <c r="C4029" s="1" t="n">
        <v>45792</v>
      </c>
      <c r="D4029" t="inlineStr">
        <is>
          <t>UPPSALA LÄN</t>
        </is>
      </c>
      <c r="E4029" t="inlineStr">
        <is>
          <t>ENKÖPING</t>
        </is>
      </c>
      <c r="G4029" t="n">
        <v>11.5</v>
      </c>
      <c r="H4029" t="n">
        <v>0</v>
      </c>
      <c r="I4029" t="n">
        <v>0</v>
      </c>
      <c r="J4029" t="n">
        <v>0</v>
      </c>
      <c r="K4029" t="n">
        <v>0</v>
      </c>
      <c r="L4029" t="n">
        <v>0</v>
      </c>
      <c r="M4029" t="n">
        <v>0</v>
      </c>
      <c r="N4029" t="n">
        <v>0</v>
      </c>
      <c r="O4029" t="n">
        <v>0</v>
      </c>
      <c r="P4029" t="n">
        <v>0</v>
      </c>
      <c r="Q4029" t="n">
        <v>0</v>
      </c>
      <c r="R4029" s="2" t="inlineStr"/>
    </row>
    <row r="4030" ht="15" customHeight="1">
      <c r="A4030" t="inlineStr">
        <is>
          <t>A 27930-2023</t>
        </is>
      </c>
      <c r="B4030" s="1" t="n">
        <v>45098</v>
      </c>
      <c r="C4030" s="1" t="n">
        <v>45792</v>
      </c>
      <c r="D4030" t="inlineStr">
        <is>
          <t>UPPSALA LÄN</t>
        </is>
      </c>
      <c r="E4030" t="inlineStr">
        <is>
          <t>UPPSALA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28207-2023</t>
        </is>
      </c>
      <c r="B4031" s="1" t="n">
        <v>45099</v>
      </c>
      <c r="C4031" s="1" t="n">
        <v>45792</v>
      </c>
      <c r="D4031" t="inlineStr">
        <is>
          <t>UPPSALA LÄN</t>
        </is>
      </c>
      <c r="E4031" t="inlineStr">
        <is>
          <t>HEBY</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28146-2023</t>
        </is>
      </c>
      <c r="B4032" s="1" t="n">
        <v>45099</v>
      </c>
      <c r="C4032" s="1" t="n">
        <v>45792</v>
      </c>
      <c r="D4032" t="inlineStr">
        <is>
          <t>UPPSALA LÄN</t>
        </is>
      </c>
      <c r="E4032" t="inlineStr">
        <is>
          <t>HEBY</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28186-2023</t>
        </is>
      </c>
      <c r="B4033" s="1" t="n">
        <v>45099</v>
      </c>
      <c r="C4033" s="1" t="n">
        <v>45792</v>
      </c>
      <c r="D4033" t="inlineStr">
        <is>
          <t>UPPSALA LÄN</t>
        </is>
      </c>
      <c r="E4033" t="inlineStr">
        <is>
          <t>UPPSALA</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28243-2023</t>
        </is>
      </c>
      <c r="B4034" s="1" t="n">
        <v>45099</v>
      </c>
      <c r="C4034" s="1" t="n">
        <v>45792</v>
      </c>
      <c r="D4034" t="inlineStr">
        <is>
          <t>UPPSALA LÄN</t>
        </is>
      </c>
      <c r="E4034" t="inlineStr">
        <is>
          <t>ENKÖPING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28252-2023</t>
        </is>
      </c>
      <c r="B4035" s="1" t="n">
        <v>45099</v>
      </c>
      <c r="C4035" s="1" t="n">
        <v>45792</v>
      </c>
      <c r="D4035" t="inlineStr">
        <is>
          <t>UPPSALA LÄN</t>
        </is>
      </c>
      <c r="E4035" t="inlineStr">
        <is>
          <t>TIERP</t>
        </is>
      </c>
      <c r="F4035" t="inlineStr">
        <is>
          <t>Bergvik skog väst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28226-2023</t>
        </is>
      </c>
      <c r="B4036" s="1" t="n">
        <v>45099</v>
      </c>
      <c r="C4036" s="1" t="n">
        <v>45792</v>
      </c>
      <c r="D4036" t="inlineStr">
        <is>
          <t>UPPSALA LÄN</t>
        </is>
      </c>
      <c r="E4036" t="inlineStr">
        <is>
          <t>HEBY</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29917-2023</t>
        </is>
      </c>
      <c r="B4037" s="1" t="n">
        <v>45099</v>
      </c>
      <c r="C4037" s="1" t="n">
        <v>45792</v>
      </c>
      <c r="D4037" t="inlineStr">
        <is>
          <t>UPPSALA LÄN</t>
        </is>
      </c>
      <c r="E4037" t="inlineStr">
        <is>
          <t>ENKÖPING</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29918-2023</t>
        </is>
      </c>
      <c r="B4038" s="1" t="n">
        <v>45099</v>
      </c>
      <c r="C4038" s="1" t="n">
        <v>45792</v>
      </c>
      <c r="D4038" t="inlineStr">
        <is>
          <t>UPPSALA LÄN</t>
        </is>
      </c>
      <c r="E4038" t="inlineStr">
        <is>
          <t>ENKÖPING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28422-2023</t>
        </is>
      </c>
      <c r="B4039" s="1" t="n">
        <v>45102</v>
      </c>
      <c r="C4039" s="1" t="n">
        <v>45792</v>
      </c>
      <c r="D4039" t="inlineStr">
        <is>
          <t>UPPSALA LÄN</t>
        </is>
      </c>
      <c r="E4039" t="inlineStr">
        <is>
          <t>ÖSTHAMMAR</t>
        </is>
      </c>
      <c r="F4039" t="inlineStr">
        <is>
          <t>Bergvik skog öst AB</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28430-2023</t>
        </is>
      </c>
      <c r="B4040" s="1" t="n">
        <v>45102</v>
      </c>
      <c r="C4040" s="1" t="n">
        <v>45792</v>
      </c>
      <c r="D4040" t="inlineStr">
        <is>
          <t>UPPSALA LÄN</t>
        </is>
      </c>
      <c r="E4040" t="inlineStr">
        <is>
          <t>ÖSTHAMMAR</t>
        </is>
      </c>
      <c r="F4040" t="inlineStr">
        <is>
          <t>Bergvik skog öst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28434-2023</t>
        </is>
      </c>
      <c r="B4041" s="1" t="n">
        <v>45102</v>
      </c>
      <c r="C4041" s="1" t="n">
        <v>45792</v>
      </c>
      <c r="D4041" t="inlineStr">
        <is>
          <t>UPPSALA LÄN</t>
        </is>
      </c>
      <c r="E4041" t="inlineStr">
        <is>
          <t>ÖSTHAMMAR</t>
        </is>
      </c>
      <c r="F4041" t="inlineStr">
        <is>
          <t>Bergvik skog öst AB</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28420-2023</t>
        </is>
      </c>
      <c r="B4042" s="1" t="n">
        <v>45102</v>
      </c>
      <c r="C4042" s="1" t="n">
        <v>45792</v>
      </c>
      <c r="D4042" t="inlineStr">
        <is>
          <t>UPPSALA LÄN</t>
        </is>
      </c>
      <c r="E4042" t="inlineStr">
        <is>
          <t>ÖSTHAMMAR</t>
        </is>
      </c>
      <c r="F4042" t="inlineStr">
        <is>
          <t>Bergvik skog öst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28432-2023</t>
        </is>
      </c>
      <c r="B4043" s="1" t="n">
        <v>45102</v>
      </c>
      <c r="C4043" s="1" t="n">
        <v>45792</v>
      </c>
      <c r="D4043" t="inlineStr">
        <is>
          <t>UPPSALA LÄN</t>
        </is>
      </c>
      <c r="E4043" t="inlineStr">
        <is>
          <t>ÖSTHAMMAR</t>
        </is>
      </c>
      <c r="F4043" t="inlineStr">
        <is>
          <t>Bergvik skog öst AB</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28421-2023</t>
        </is>
      </c>
      <c r="B4044" s="1" t="n">
        <v>45102</v>
      </c>
      <c r="C4044" s="1" t="n">
        <v>45792</v>
      </c>
      <c r="D4044" t="inlineStr">
        <is>
          <t>UPPSALA LÄN</t>
        </is>
      </c>
      <c r="E4044" t="inlineStr">
        <is>
          <t>ÖSTHAMMAR</t>
        </is>
      </c>
      <c r="F4044" t="inlineStr">
        <is>
          <t>Bergvik skog öst AB</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28429-2023</t>
        </is>
      </c>
      <c r="B4045" s="1" t="n">
        <v>45102</v>
      </c>
      <c r="C4045" s="1" t="n">
        <v>45792</v>
      </c>
      <c r="D4045" t="inlineStr">
        <is>
          <t>UPPSALA LÄN</t>
        </is>
      </c>
      <c r="E4045" t="inlineStr">
        <is>
          <t>ÖSTHAMMAR</t>
        </is>
      </c>
      <c r="F4045" t="inlineStr">
        <is>
          <t>Bergvik skog öst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28482-2023</t>
        </is>
      </c>
      <c r="B4046" s="1" t="n">
        <v>45103</v>
      </c>
      <c r="C4046" s="1" t="n">
        <v>45792</v>
      </c>
      <c r="D4046" t="inlineStr">
        <is>
          <t>UPPSALA LÄN</t>
        </is>
      </c>
      <c r="E4046" t="inlineStr">
        <is>
          <t>ÖSTHAMMAR</t>
        </is>
      </c>
      <c r="F4046" t="inlineStr">
        <is>
          <t>Naturvårdsverket</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28564-2023</t>
        </is>
      </c>
      <c r="B4047" s="1" t="n">
        <v>45103</v>
      </c>
      <c r="C4047" s="1" t="n">
        <v>45792</v>
      </c>
      <c r="D4047" t="inlineStr">
        <is>
          <t>UPPSALA LÄN</t>
        </is>
      </c>
      <c r="E4047" t="inlineStr">
        <is>
          <t>TIERP</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28577-2023</t>
        </is>
      </c>
      <c r="B4048" s="1" t="n">
        <v>45103</v>
      </c>
      <c r="C4048" s="1" t="n">
        <v>45792</v>
      </c>
      <c r="D4048" t="inlineStr">
        <is>
          <t>UPPSALA LÄN</t>
        </is>
      </c>
      <c r="E4048" t="inlineStr">
        <is>
          <t>UPPSALA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28701-2023</t>
        </is>
      </c>
      <c r="B4049" s="1" t="n">
        <v>45103</v>
      </c>
      <c r="C4049" s="1" t="n">
        <v>45792</v>
      </c>
      <c r="D4049" t="inlineStr">
        <is>
          <t>UPPSALA LÄN</t>
        </is>
      </c>
      <c r="E4049" t="inlineStr">
        <is>
          <t>UPPSALA</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31131-2023</t>
        </is>
      </c>
      <c r="B4050" s="1" t="n">
        <v>45103</v>
      </c>
      <c r="C4050" s="1" t="n">
        <v>45792</v>
      </c>
      <c r="D4050" t="inlineStr">
        <is>
          <t>UPPSALA LÄN</t>
        </is>
      </c>
      <c r="E4050" t="inlineStr">
        <is>
          <t>HEBY</t>
        </is>
      </c>
      <c r="F4050" t="inlineStr">
        <is>
          <t>Bergvik skog väst AB</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31139-2023</t>
        </is>
      </c>
      <c r="B4051" s="1" t="n">
        <v>45103</v>
      </c>
      <c r="C4051" s="1" t="n">
        <v>45792</v>
      </c>
      <c r="D4051" t="inlineStr">
        <is>
          <t>UPPSALA LÄN</t>
        </is>
      </c>
      <c r="E4051" t="inlineStr">
        <is>
          <t>HEBY</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31143-2023</t>
        </is>
      </c>
      <c r="B4052" s="1" t="n">
        <v>45103</v>
      </c>
      <c r="C4052" s="1" t="n">
        <v>45792</v>
      </c>
      <c r="D4052" t="inlineStr">
        <is>
          <t>UPPSALA LÄN</t>
        </is>
      </c>
      <c r="E4052" t="inlineStr">
        <is>
          <t>HEBY</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28912-2023</t>
        </is>
      </c>
      <c r="B4053" s="1" t="n">
        <v>45104</v>
      </c>
      <c r="C4053" s="1" t="n">
        <v>45792</v>
      </c>
      <c r="D4053" t="inlineStr">
        <is>
          <t>UPPSALA LÄN</t>
        </is>
      </c>
      <c r="E4053" t="inlineStr">
        <is>
          <t>TIERP</t>
        </is>
      </c>
      <c r="F4053" t="inlineStr">
        <is>
          <t>Bergvik skog öst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29019-2023</t>
        </is>
      </c>
      <c r="B4054" s="1" t="n">
        <v>45104</v>
      </c>
      <c r="C4054" s="1" t="n">
        <v>45792</v>
      </c>
      <c r="D4054" t="inlineStr">
        <is>
          <t>UPPSALA LÄN</t>
        </is>
      </c>
      <c r="E4054" t="inlineStr">
        <is>
          <t>UPPSALA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28909-2023</t>
        </is>
      </c>
      <c r="B4055" s="1" t="n">
        <v>45104</v>
      </c>
      <c r="C4055" s="1" t="n">
        <v>45792</v>
      </c>
      <c r="D4055" t="inlineStr">
        <is>
          <t>UPPSALA LÄN</t>
        </is>
      </c>
      <c r="E4055" t="inlineStr">
        <is>
          <t>TIERP</t>
        </is>
      </c>
      <c r="F4055" t="inlineStr">
        <is>
          <t>Bergvik skog öst AB</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31573-2023</t>
        </is>
      </c>
      <c r="B4056" s="1" t="n">
        <v>45104</v>
      </c>
      <c r="C4056" s="1" t="n">
        <v>45792</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29109-2023</t>
        </is>
      </c>
      <c r="B4057" s="1" t="n">
        <v>45105</v>
      </c>
      <c r="C4057" s="1" t="n">
        <v>45792</v>
      </c>
      <c r="D4057" t="inlineStr">
        <is>
          <t>UPPSALA LÄN</t>
        </is>
      </c>
      <c r="E4057" t="inlineStr">
        <is>
          <t>TIERP</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29113-2023</t>
        </is>
      </c>
      <c r="B4058" s="1" t="n">
        <v>45105</v>
      </c>
      <c r="C4058" s="1" t="n">
        <v>45792</v>
      </c>
      <c r="D4058" t="inlineStr">
        <is>
          <t>UPPSALA LÄN</t>
        </is>
      </c>
      <c r="E4058" t="inlineStr">
        <is>
          <t>TIERP</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29110-2023</t>
        </is>
      </c>
      <c r="B4059" s="1" t="n">
        <v>45105</v>
      </c>
      <c r="C4059" s="1" t="n">
        <v>45792</v>
      </c>
      <c r="D4059" t="inlineStr">
        <is>
          <t>UPPSALA LÄN</t>
        </is>
      </c>
      <c r="E4059" t="inlineStr">
        <is>
          <t>TIERP</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29115-2023</t>
        </is>
      </c>
      <c r="B4060" s="1" t="n">
        <v>45105</v>
      </c>
      <c r="C4060" s="1" t="n">
        <v>45792</v>
      </c>
      <c r="D4060" t="inlineStr">
        <is>
          <t>UPPSALA LÄN</t>
        </is>
      </c>
      <c r="E4060" t="inlineStr">
        <is>
          <t>TIERP</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29085-2023</t>
        </is>
      </c>
      <c r="B4061" s="1" t="n">
        <v>45105</v>
      </c>
      <c r="C4061" s="1" t="n">
        <v>45792</v>
      </c>
      <c r="D4061" t="inlineStr">
        <is>
          <t>UPPSALA LÄN</t>
        </is>
      </c>
      <c r="E4061" t="inlineStr">
        <is>
          <t>HEBY</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29099-2023</t>
        </is>
      </c>
      <c r="B4062" s="1" t="n">
        <v>45105</v>
      </c>
      <c r="C4062" s="1" t="n">
        <v>45792</v>
      </c>
      <c r="D4062" t="inlineStr">
        <is>
          <t>UPPSALA LÄN</t>
        </is>
      </c>
      <c r="E4062" t="inlineStr">
        <is>
          <t>TIERP</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31599-2023</t>
        </is>
      </c>
      <c r="B4063" s="1" t="n">
        <v>45105</v>
      </c>
      <c r="C4063" s="1" t="n">
        <v>45792</v>
      </c>
      <c r="D4063" t="inlineStr">
        <is>
          <t>UPPSALA LÄN</t>
        </is>
      </c>
      <c r="E4063" t="inlineStr">
        <is>
          <t>UPPSALA</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29282-2023</t>
        </is>
      </c>
      <c r="B4064" s="1" t="n">
        <v>45105</v>
      </c>
      <c r="C4064" s="1" t="n">
        <v>45792</v>
      </c>
      <c r="D4064" t="inlineStr">
        <is>
          <t>UPPSALA LÄN</t>
        </is>
      </c>
      <c r="E4064" t="inlineStr">
        <is>
          <t>UPPSALA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29098-2023</t>
        </is>
      </c>
      <c r="B4065" s="1" t="n">
        <v>45105</v>
      </c>
      <c r="C4065" s="1" t="n">
        <v>45792</v>
      </c>
      <c r="D4065" t="inlineStr">
        <is>
          <t>UPPSALA LÄN</t>
        </is>
      </c>
      <c r="E4065" t="inlineStr">
        <is>
          <t>TIERP</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29107-2023</t>
        </is>
      </c>
      <c r="B4066" s="1" t="n">
        <v>45105</v>
      </c>
      <c r="C4066" s="1" t="n">
        <v>45792</v>
      </c>
      <c r="D4066" t="inlineStr">
        <is>
          <t>UPPSALA LÄN</t>
        </is>
      </c>
      <c r="E4066" t="inlineStr">
        <is>
          <t>TIERP</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31630-2023</t>
        </is>
      </c>
      <c r="B4067" s="1" t="n">
        <v>45105</v>
      </c>
      <c r="C4067" s="1" t="n">
        <v>45792</v>
      </c>
      <c r="D4067" t="inlineStr">
        <is>
          <t>UPPSALA LÄN</t>
        </is>
      </c>
      <c r="E4067" t="inlineStr">
        <is>
          <t>UPPSALA</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29536-2023</t>
        </is>
      </c>
      <c r="B4068" s="1" t="n">
        <v>45106</v>
      </c>
      <c r="C4068" s="1" t="n">
        <v>45792</v>
      </c>
      <c r="D4068" t="inlineStr">
        <is>
          <t>UPPSALA LÄN</t>
        </is>
      </c>
      <c r="E4068" t="inlineStr">
        <is>
          <t>HEBY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29480-2023</t>
        </is>
      </c>
      <c r="B4069" s="1" t="n">
        <v>45106</v>
      </c>
      <c r="C4069" s="1" t="n">
        <v>45792</v>
      </c>
      <c r="D4069" t="inlineStr">
        <is>
          <t>UPPSALA LÄN</t>
        </is>
      </c>
      <c r="E4069" t="inlineStr">
        <is>
          <t>TIERP</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29529-2023</t>
        </is>
      </c>
      <c r="B4070" s="1" t="n">
        <v>45106</v>
      </c>
      <c r="C4070" s="1" t="n">
        <v>45792</v>
      </c>
      <c r="D4070" t="inlineStr">
        <is>
          <t>UPPSALA LÄN</t>
        </is>
      </c>
      <c r="E4070" t="inlineStr">
        <is>
          <t>HEBY</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29579-2023</t>
        </is>
      </c>
      <c r="B4071" s="1" t="n">
        <v>45106</v>
      </c>
      <c r="C4071" s="1" t="n">
        <v>45792</v>
      </c>
      <c r="D4071" t="inlineStr">
        <is>
          <t>UPPSALA LÄN</t>
        </is>
      </c>
      <c r="E4071" t="inlineStr">
        <is>
          <t>UPPSALA</t>
        </is>
      </c>
      <c r="F4071" t="inlineStr">
        <is>
          <t>Kyrkan</t>
        </is>
      </c>
      <c r="G4071" t="n">
        <v>2.7</v>
      </c>
      <c r="H4071" t="n">
        <v>0</v>
      </c>
      <c r="I4071" t="n">
        <v>0</v>
      </c>
      <c r="J4071" t="n">
        <v>0</v>
      </c>
      <c r="K4071" t="n">
        <v>0</v>
      </c>
      <c r="L4071" t="n">
        <v>0</v>
      </c>
      <c r="M4071" t="n">
        <v>0</v>
      </c>
      <c r="N4071" t="n">
        <v>0</v>
      </c>
      <c r="O4071" t="n">
        <v>0</v>
      </c>
      <c r="P4071" t="n">
        <v>0</v>
      </c>
      <c r="Q4071" t="n">
        <v>0</v>
      </c>
      <c r="R4071" s="2" t="inlineStr"/>
      <c r="U4071">
        <f>HYPERLINK("https://klasma.github.io/Logging_0380/knärot/A 29579-2023 karta knärot.png", "A 29579-2023")</f>
        <v/>
      </c>
      <c r="V4071">
        <f>HYPERLINK("https://klasma.github.io/Logging_0380/klagomål/A 29579-2023 FSC-klagomål.docx", "A 29579-2023")</f>
        <v/>
      </c>
      <c r="W4071">
        <f>HYPERLINK("https://klasma.github.io/Logging_0380/klagomålsmail/A 29579-2023 FSC-klagomål mail.docx", "A 29579-2023")</f>
        <v/>
      </c>
      <c r="X4071">
        <f>HYPERLINK("https://klasma.github.io/Logging_0380/tillsyn/A 29579-2023 tillsynsbegäran.docx", "A 29579-2023")</f>
        <v/>
      </c>
      <c r="Y4071">
        <f>HYPERLINK("https://klasma.github.io/Logging_0380/tillsynsmail/A 29579-2023 tillsynsbegäran mail.docx", "A 29579-2023")</f>
        <v/>
      </c>
    </row>
    <row r="4072" ht="15" customHeight="1">
      <c r="A4072" t="inlineStr">
        <is>
          <t>A 29591-2023</t>
        </is>
      </c>
      <c r="B4072" s="1" t="n">
        <v>45106</v>
      </c>
      <c r="C4072" s="1" t="n">
        <v>45792</v>
      </c>
      <c r="D4072" t="inlineStr">
        <is>
          <t>UPPSALA LÄN</t>
        </is>
      </c>
      <c r="E4072" t="inlineStr">
        <is>
          <t>HEBY</t>
        </is>
      </c>
      <c r="F4072" t="inlineStr">
        <is>
          <t>Bergvik skog öst AB</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29533-2023</t>
        </is>
      </c>
      <c r="B4073" s="1" t="n">
        <v>45106</v>
      </c>
      <c r="C4073" s="1" t="n">
        <v>45792</v>
      </c>
      <c r="D4073" t="inlineStr">
        <is>
          <t>UPPSALA LÄN</t>
        </is>
      </c>
      <c r="E4073" t="inlineStr">
        <is>
          <t>HEBY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29815-2023</t>
        </is>
      </c>
      <c r="B4074" s="1" t="n">
        <v>45107</v>
      </c>
      <c r="C4074" s="1" t="n">
        <v>45792</v>
      </c>
      <c r="D4074" t="inlineStr">
        <is>
          <t>UPPSALA LÄN</t>
        </is>
      </c>
      <c r="E4074" t="inlineStr">
        <is>
          <t>UPPSALA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29873-2023</t>
        </is>
      </c>
      <c r="B4075" s="1" t="n">
        <v>45107</v>
      </c>
      <c r="C4075" s="1" t="n">
        <v>45792</v>
      </c>
      <c r="D4075" t="inlineStr">
        <is>
          <t>UPPSALA LÄN</t>
        </is>
      </c>
      <c r="E4075" t="inlineStr">
        <is>
          <t>ÖSTHAMMAR</t>
        </is>
      </c>
      <c r="F4075" t="inlineStr">
        <is>
          <t>Naturvårdsverket</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29901-2023</t>
        </is>
      </c>
      <c r="B4076" s="1" t="n">
        <v>45107</v>
      </c>
      <c r="C4076" s="1" t="n">
        <v>45792</v>
      </c>
      <c r="D4076" t="inlineStr">
        <is>
          <t>UPPSALA LÄN</t>
        </is>
      </c>
      <c r="E4076" t="inlineStr">
        <is>
          <t>UPPSALA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29868-2023</t>
        </is>
      </c>
      <c r="B4077" s="1" t="n">
        <v>45107</v>
      </c>
      <c r="C4077" s="1" t="n">
        <v>45792</v>
      </c>
      <c r="D4077" t="inlineStr">
        <is>
          <t>UPPSALA LÄN</t>
        </is>
      </c>
      <c r="E4077" t="inlineStr">
        <is>
          <t>UPPSALA</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29799-2023</t>
        </is>
      </c>
      <c r="B4078" s="1" t="n">
        <v>45107</v>
      </c>
      <c r="C4078" s="1" t="n">
        <v>45792</v>
      </c>
      <c r="D4078" t="inlineStr">
        <is>
          <t>UPPSALA LÄN</t>
        </is>
      </c>
      <c r="E4078" t="inlineStr">
        <is>
          <t>UPPSALA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29808-2023</t>
        </is>
      </c>
      <c r="B4079" s="1" t="n">
        <v>45107</v>
      </c>
      <c r="C4079" s="1" t="n">
        <v>45792</v>
      </c>
      <c r="D4079" t="inlineStr">
        <is>
          <t>UPPSALA LÄN</t>
        </is>
      </c>
      <c r="E4079" t="inlineStr">
        <is>
          <t>UPPSALA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29824-2023</t>
        </is>
      </c>
      <c r="B4080" s="1" t="n">
        <v>45107</v>
      </c>
      <c r="C4080" s="1" t="n">
        <v>45792</v>
      </c>
      <c r="D4080" t="inlineStr">
        <is>
          <t>UPPSALA LÄN</t>
        </is>
      </c>
      <c r="E4080" t="inlineStr">
        <is>
          <t>ÖSTHAMMAR</t>
        </is>
      </c>
      <c r="F4080" t="inlineStr">
        <is>
          <t>Naturvårdsverket</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29926-2023</t>
        </is>
      </c>
      <c r="B4081" s="1" t="n">
        <v>45107</v>
      </c>
      <c r="C4081" s="1" t="n">
        <v>45792</v>
      </c>
      <c r="D4081" t="inlineStr">
        <is>
          <t>UPPSALA LÄN</t>
        </is>
      </c>
      <c r="E4081" t="inlineStr">
        <is>
          <t>UPPSALA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29927-2023</t>
        </is>
      </c>
      <c r="B4082" s="1" t="n">
        <v>45107</v>
      </c>
      <c r="C4082" s="1" t="n">
        <v>45792</v>
      </c>
      <c r="D4082" t="inlineStr">
        <is>
          <t>UPPSALA LÄN</t>
        </is>
      </c>
      <c r="E4082" t="inlineStr">
        <is>
          <t>UPPSALA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30058-2023</t>
        </is>
      </c>
      <c r="B4083" s="1" t="n">
        <v>45110</v>
      </c>
      <c r="C4083" s="1" t="n">
        <v>45792</v>
      </c>
      <c r="D4083" t="inlineStr">
        <is>
          <t>UPPSALA LÄN</t>
        </is>
      </c>
      <c r="E4083" t="inlineStr">
        <is>
          <t>HEBY</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30086-2023</t>
        </is>
      </c>
      <c r="B4084" s="1" t="n">
        <v>45110</v>
      </c>
      <c r="C4084" s="1" t="n">
        <v>45792</v>
      </c>
      <c r="D4084" t="inlineStr">
        <is>
          <t>UPPSALA LÄN</t>
        </is>
      </c>
      <c r="E4084" t="inlineStr">
        <is>
          <t>ÖSTHAMMAR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30111-2023</t>
        </is>
      </c>
      <c r="B4085" s="1" t="n">
        <v>45110</v>
      </c>
      <c r="C4085" s="1" t="n">
        <v>45792</v>
      </c>
      <c r="D4085" t="inlineStr">
        <is>
          <t>UPPSALA LÄN</t>
        </is>
      </c>
      <c r="E4085" t="inlineStr">
        <is>
          <t>KNIVSTA</t>
        </is>
      </c>
      <c r="F4085" t="inlineStr">
        <is>
          <t>Holmen skog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30128-2023</t>
        </is>
      </c>
      <c r="B4086" s="1" t="n">
        <v>45110</v>
      </c>
      <c r="C4086" s="1" t="n">
        <v>45792</v>
      </c>
      <c r="D4086" t="inlineStr">
        <is>
          <t>UPPSALA LÄN</t>
        </is>
      </c>
      <c r="E4086" t="inlineStr">
        <is>
          <t>KNIVSTA</t>
        </is>
      </c>
      <c r="F4086" t="inlineStr">
        <is>
          <t>Holmen skog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30167-2023</t>
        </is>
      </c>
      <c r="B4087" s="1" t="n">
        <v>45110</v>
      </c>
      <c r="C4087" s="1" t="n">
        <v>45792</v>
      </c>
      <c r="D4087" t="inlineStr">
        <is>
          <t>UPPSALA LÄN</t>
        </is>
      </c>
      <c r="E4087" t="inlineStr">
        <is>
          <t>KNIVSTA</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30178-2023</t>
        </is>
      </c>
      <c r="B4088" s="1" t="n">
        <v>45110</v>
      </c>
      <c r="C4088" s="1" t="n">
        <v>45792</v>
      </c>
      <c r="D4088" t="inlineStr">
        <is>
          <t>UPPSALA LÄN</t>
        </is>
      </c>
      <c r="E4088" t="inlineStr">
        <is>
          <t>KNIVSTA</t>
        </is>
      </c>
      <c r="F4088" t="inlineStr">
        <is>
          <t>Holmen skog AB</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32428-2023</t>
        </is>
      </c>
      <c r="B4089" s="1" t="n">
        <v>45110</v>
      </c>
      <c r="C4089" s="1" t="n">
        <v>45792</v>
      </c>
      <c r="D4089" t="inlineStr">
        <is>
          <t>UPPSALA LÄN</t>
        </is>
      </c>
      <c r="E4089" t="inlineStr">
        <is>
          <t>UPPSALA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30470-2023</t>
        </is>
      </c>
      <c r="B4090" s="1" t="n">
        <v>45111</v>
      </c>
      <c r="C4090" s="1" t="n">
        <v>45792</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30498-2023</t>
        </is>
      </c>
      <c r="B4091" s="1" t="n">
        <v>45111</v>
      </c>
      <c r="C4091" s="1" t="n">
        <v>45792</v>
      </c>
      <c r="D4091" t="inlineStr">
        <is>
          <t>UPPSALA LÄN</t>
        </is>
      </c>
      <c r="E4091" t="inlineStr">
        <is>
          <t>ÖSTHAMMAR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30433-2023</t>
        </is>
      </c>
      <c r="B4092" s="1" t="n">
        <v>45111</v>
      </c>
      <c r="C4092" s="1" t="n">
        <v>45792</v>
      </c>
      <c r="D4092" t="inlineStr">
        <is>
          <t>UPPSALA LÄN</t>
        </is>
      </c>
      <c r="E4092" t="inlineStr">
        <is>
          <t>HEBY</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30693-2023</t>
        </is>
      </c>
      <c r="B4093" s="1" t="n">
        <v>45112</v>
      </c>
      <c r="C4093" s="1" t="n">
        <v>45792</v>
      </c>
      <c r="D4093" t="inlineStr">
        <is>
          <t>UPPSALA LÄN</t>
        </is>
      </c>
      <c r="E4093" t="inlineStr">
        <is>
          <t>KNIVSTA</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30719-2023</t>
        </is>
      </c>
      <c r="B4094" s="1" t="n">
        <v>45112</v>
      </c>
      <c r="C4094" s="1" t="n">
        <v>45792</v>
      </c>
      <c r="D4094" t="inlineStr">
        <is>
          <t>UPPSALA LÄN</t>
        </is>
      </c>
      <c r="E4094" t="inlineStr">
        <is>
          <t>KNIVSTA</t>
        </is>
      </c>
      <c r="F4094" t="inlineStr">
        <is>
          <t>Holmen skog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30629-2023</t>
        </is>
      </c>
      <c r="B4095" s="1" t="n">
        <v>45112</v>
      </c>
      <c r="C4095" s="1" t="n">
        <v>45792</v>
      </c>
      <c r="D4095" t="inlineStr">
        <is>
          <t>UPPSALA LÄN</t>
        </is>
      </c>
      <c r="E4095" t="inlineStr">
        <is>
          <t>UPPSALA</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30809-2023</t>
        </is>
      </c>
      <c r="B4096" s="1" t="n">
        <v>45112</v>
      </c>
      <c r="C4096" s="1" t="n">
        <v>45792</v>
      </c>
      <c r="D4096" t="inlineStr">
        <is>
          <t>UPPSALA LÄN</t>
        </is>
      </c>
      <c r="E4096" t="inlineStr">
        <is>
          <t>ÖSTHAMMAR</t>
        </is>
      </c>
      <c r="F4096" t="inlineStr">
        <is>
          <t>Bergvik skog öst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30808-2023</t>
        </is>
      </c>
      <c r="B4097" s="1" t="n">
        <v>45112</v>
      </c>
      <c r="C4097" s="1" t="n">
        <v>45792</v>
      </c>
      <c r="D4097" t="inlineStr">
        <is>
          <t>UPPSALA LÄN</t>
        </is>
      </c>
      <c r="E4097" t="inlineStr">
        <is>
          <t>ÖSTHAMMAR</t>
        </is>
      </c>
      <c r="F4097" t="inlineStr">
        <is>
          <t>Bergvik skog öst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30812-2023</t>
        </is>
      </c>
      <c r="B4098" s="1" t="n">
        <v>45112</v>
      </c>
      <c r="C4098" s="1" t="n">
        <v>45792</v>
      </c>
      <c r="D4098" t="inlineStr">
        <is>
          <t>UPPSALA LÄN</t>
        </is>
      </c>
      <c r="E4098" t="inlineStr">
        <is>
          <t>ÖSTHAMMAR</t>
        </is>
      </c>
      <c r="F4098" t="inlineStr">
        <is>
          <t>Bergvik skog öst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30627-2023</t>
        </is>
      </c>
      <c r="B4099" s="1" t="n">
        <v>45112</v>
      </c>
      <c r="C4099" s="1" t="n">
        <v>45792</v>
      </c>
      <c r="D4099" t="inlineStr">
        <is>
          <t>UPPSALA LÄN</t>
        </is>
      </c>
      <c r="E4099" t="inlineStr">
        <is>
          <t>KNIVSTA</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30764-2023</t>
        </is>
      </c>
      <c r="B4100" s="1" t="n">
        <v>45112</v>
      </c>
      <c r="C4100" s="1" t="n">
        <v>45792</v>
      </c>
      <c r="D4100" t="inlineStr">
        <is>
          <t>UPPSALA LÄN</t>
        </is>
      </c>
      <c r="E4100" t="inlineStr">
        <is>
          <t>KNIVSTA</t>
        </is>
      </c>
      <c r="F4100" t="inlineStr">
        <is>
          <t>Holmen skog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30810-2023</t>
        </is>
      </c>
      <c r="B4101" s="1" t="n">
        <v>45112</v>
      </c>
      <c r="C4101" s="1" t="n">
        <v>45792</v>
      </c>
      <c r="D4101" t="inlineStr">
        <is>
          <t>UPPSALA LÄN</t>
        </is>
      </c>
      <c r="E4101" t="inlineStr">
        <is>
          <t>ÖSTHAMMAR</t>
        </is>
      </c>
      <c r="F4101" t="inlineStr">
        <is>
          <t>Bergvik skog öst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30811-2023</t>
        </is>
      </c>
      <c r="B4102" s="1" t="n">
        <v>45112</v>
      </c>
      <c r="C4102" s="1" t="n">
        <v>45792</v>
      </c>
      <c r="D4102" t="inlineStr">
        <is>
          <t>UPPSALA LÄN</t>
        </is>
      </c>
      <c r="E4102" t="inlineStr">
        <is>
          <t>ÖSTHAMMAR</t>
        </is>
      </c>
      <c r="F4102" t="inlineStr">
        <is>
          <t>Bergvik skog öst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32689-2023</t>
        </is>
      </c>
      <c r="B4103" s="1" t="n">
        <v>45112</v>
      </c>
      <c r="C4103" s="1" t="n">
        <v>45792</v>
      </c>
      <c r="D4103" t="inlineStr">
        <is>
          <t>UPPSALA LÄN</t>
        </is>
      </c>
      <c r="E4103" t="inlineStr">
        <is>
          <t>UPPSALA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32867-2023</t>
        </is>
      </c>
      <c r="B4104" s="1" t="n">
        <v>45112</v>
      </c>
      <c r="C4104" s="1" t="n">
        <v>45792</v>
      </c>
      <c r="D4104" t="inlineStr">
        <is>
          <t>UPPSALA LÄN</t>
        </is>
      </c>
      <c r="E4104" t="inlineStr">
        <is>
          <t>HEBY</t>
        </is>
      </c>
      <c r="F4104" t="inlineStr">
        <is>
          <t>Bergvik skog väst AB</t>
        </is>
      </c>
      <c r="G4104" t="n">
        <v>12.3</v>
      </c>
      <c r="H4104" t="n">
        <v>0</v>
      </c>
      <c r="I4104" t="n">
        <v>0</v>
      </c>
      <c r="J4104" t="n">
        <v>0</v>
      </c>
      <c r="K4104" t="n">
        <v>0</v>
      </c>
      <c r="L4104" t="n">
        <v>0</v>
      </c>
      <c r="M4104" t="n">
        <v>0</v>
      </c>
      <c r="N4104" t="n">
        <v>0</v>
      </c>
      <c r="O4104" t="n">
        <v>0</v>
      </c>
      <c r="P4104" t="n">
        <v>0</v>
      </c>
      <c r="Q4104" t="n">
        <v>0</v>
      </c>
      <c r="R4104" s="2" t="inlineStr"/>
    </row>
    <row r="4105" ht="15" customHeight="1">
      <c r="A4105" t="inlineStr">
        <is>
          <t>A 30891-2023</t>
        </is>
      </c>
      <c r="B4105" s="1" t="n">
        <v>45113</v>
      </c>
      <c r="C4105" s="1" t="n">
        <v>45792</v>
      </c>
      <c r="D4105" t="inlineStr">
        <is>
          <t>UPPSALA LÄN</t>
        </is>
      </c>
      <c r="E4105" t="inlineStr">
        <is>
          <t>HEBY</t>
        </is>
      </c>
      <c r="F4105" t="inlineStr">
        <is>
          <t>Övriga Aktiebolag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30950-2023</t>
        </is>
      </c>
      <c r="B4106" s="1" t="n">
        <v>45113</v>
      </c>
      <c r="C4106" s="1" t="n">
        <v>45792</v>
      </c>
      <c r="D4106" t="inlineStr">
        <is>
          <t>UPPSALA LÄN</t>
        </is>
      </c>
      <c r="E4106" t="inlineStr">
        <is>
          <t>ENKÖPING</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30897-2023</t>
        </is>
      </c>
      <c r="B4107" s="1" t="n">
        <v>45113</v>
      </c>
      <c r="C4107" s="1" t="n">
        <v>45792</v>
      </c>
      <c r="D4107" t="inlineStr">
        <is>
          <t>UPPSALA LÄN</t>
        </is>
      </c>
      <c r="E4107" t="inlineStr">
        <is>
          <t>HEBY</t>
        </is>
      </c>
      <c r="F4107" t="inlineStr">
        <is>
          <t>Övriga Aktiebolag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30901-2023</t>
        </is>
      </c>
      <c r="B4108" s="1" t="n">
        <v>45113</v>
      </c>
      <c r="C4108" s="1" t="n">
        <v>45792</v>
      </c>
      <c r="D4108" t="inlineStr">
        <is>
          <t>UPPSALA LÄN</t>
        </is>
      </c>
      <c r="E4108" t="inlineStr">
        <is>
          <t>HEBY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31157-2023</t>
        </is>
      </c>
      <c r="B4109" s="1" t="n">
        <v>45113</v>
      </c>
      <c r="C4109" s="1" t="n">
        <v>45792</v>
      </c>
      <c r="D4109" t="inlineStr">
        <is>
          <t>UPPSALA LÄN</t>
        </is>
      </c>
      <c r="E4109" t="inlineStr">
        <is>
          <t>UPPSALA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31163-2023</t>
        </is>
      </c>
      <c r="B4110" s="1" t="n">
        <v>45113</v>
      </c>
      <c r="C4110" s="1" t="n">
        <v>45792</v>
      </c>
      <c r="D4110" t="inlineStr">
        <is>
          <t>UPPSALA LÄN</t>
        </is>
      </c>
      <c r="E4110" t="inlineStr">
        <is>
          <t>ENKÖPING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31161-2023</t>
        </is>
      </c>
      <c r="B4111" s="1" t="n">
        <v>45113</v>
      </c>
      <c r="C4111" s="1" t="n">
        <v>45792</v>
      </c>
      <c r="D4111" t="inlineStr">
        <is>
          <t>UPPSALA LÄN</t>
        </is>
      </c>
      <c r="E4111" t="inlineStr">
        <is>
          <t>UPPSALA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31279-2023</t>
        </is>
      </c>
      <c r="B4112" s="1" t="n">
        <v>45114</v>
      </c>
      <c r="C4112" s="1" t="n">
        <v>45792</v>
      </c>
      <c r="D4112" t="inlineStr">
        <is>
          <t>UPPSALA LÄN</t>
        </is>
      </c>
      <c r="E4112" t="inlineStr">
        <is>
          <t>TIERP</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31407-2023</t>
        </is>
      </c>
      <c r="B4113" s="1" t="n">
        <v>45114</v>
      </c>
      <c r="C4113" s="1" t="n">
        <v>45792</v>
      </c>
      <c r="D4113" t="inlineStr">
        <is>
          <t>UPPSALA LÄN</t>
        </is>
      </c>
      <c r="E4113" t="inlineStr">
        <is>
          <t>HEBY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31273-2023</t>
        </is>
      </c>
      <c r="B4114" s="1" t="n">
        <v>45114</v>
      </c>
      <c r="C4114" s="1" t="n">
        <v>45792</v>
      </c>
      <c r="D4114" t="inlineStr">
        <is>
          <t>UPPSALA LÄN</t>
        </is>
      </c>
      <c r="E4114" t="inlineStr">
        <is>
          <t>TIERP</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31480-2023</t>
        </is>
      </c>
      <c r="B4115" s="1" t="n">
        <v>45114</v>
      </c>
      <c r="C4115" s="1" t="n">
        <v>45792</v>
      </c>
      <c r="D4115" t="inlineStr">
        <is>
          <t>UPPSALA LÄN</t>
        </is>
      </c>
      <c r="E4115" t="inlineStr">
        <is>
          <t>ÖSTHAMMAR</t>
        </is>
      </c>
      <c r="F4115" t="inlineStr">
        <is>
          <t>Bergvik skog öst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31484-2023</t>
        </is>
      </c>
      <c r="B4116" s="1" t="n">
        <v>45114</v>
      </c>
      <c r="C4116" s="1" t="n">
        <v>45792</v>
      </c>
      <c r="D4116" t="inlineStr">
        <is>
          <t>UPPSALA LÄN</t>
        </is>
      </c>
      <c r="E4116" t="inlineStr">
        <is>
          <t>ÖSTHAMMAR</t>
        </is>
      </c>
      <c r="F4116" t="inlineStr">
        <is>
          <t>Bergvik skog öst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31479-2023</t>
        </is>
      </c>
      <c r="B4117" s="1" t="n">
        <v>45114</v>
      </c>
      <c r="C4117" s="1" t="n">
        <v>45792</v>
      </c>
      <c r="D4117" t="inlineStr">
        <is>
          <t>UPPSALA LÄN</t>
        </is>
      </c>
      <c r="E4117" t="inlineStr">
        <is>
          <t>ÖSTHAMMAR</t>
        </is>
      </c>
      <c r="F4117" t="inlineStr">
        <is>
          <t>Bergvik skog öst AB</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31483-2023</t>
        </is>
      </c>
      <c r="B4118" s="1" t="n">
        <v>45114</v>
      </c>
      <c r="C4118" s="1" t="n">
        <v>45792</v>
      </c>
      <c r="D4118" t="inlineStr">
        <is>
          <t>UPPSALA LÄN</t>
        </is>
      </c>
      <c r="E4118" t="inlineStr">
        <is>
          <t>ÖSTHAMMAR</t>
        </is>
      </c>
      <c r="F4118" t="inlineStr">
        <is>
          <t>Bergvik skog öst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31482-2023</t>
        </is>
      </c>
      <c r="B4119" s="1" t="n">
        <v>45114</v>
      </c>
      <c r="C4119" s="1" t="n">
        <v>45792</v>
      </c>
      <c r="D4119" t="inlineStr">
        <is>
          <t>UPPSALA LÄN</t>
        </is>
      </c>
      <c r="E4119" t="inlineStr">
        <is>
          <t>ÖSTHAMMAR</t>
        </is>
      </c>
      <c r="F4119" t="inlineStr">
        <is>
          <t>Bergvik skog öst AB</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31486-2023</t>
        </is>
      </c>
      <c r="B4120" s="1" t="n">
        <v>45114</v>
      </c>
      <c r="C4120" s="1" t="n">
        <v>45792</v>
      </c>
      <c r="D4120" t="inlineStr">
        <is>
          <t>UPPSALA LÄN</t>
        </is>
      </c>
      <c r="E4120" t="inlineStr">
        <is>
          <t>ÖSTHAMMAR</t>
        </is>
      </c>
      <c r="F4120" t="inlineStr">
        <is>
          <t>Bergvik skog öst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31481-2023</t>
        </is>
      </c>
      <c r="B4121" s="1" t="n">
        <v>45114</v>
      </c>
      <c r="C4121" s="1" t="n">
        <v>45792</v>
      </c>
      <c r="D4121" t="inlineStr">
        <is>
          <t>UPPSALA LÄN</t>
        </is>
      </c>
      <c r="E4121" t="inlineStr">
        <is>
          <t>ÖSTHAMMAR</t>
        </is>
      </c>
      <c r="F4121" t="inlineStr">
        <is>
          <t>Bergvik skog öst AB</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31485-2023</t>
        </is>
      </c>
      <c r="B4122" s="1" t="n">
        <v>45114</v>
      </c>
      <c r="C4122" s="1" t="n">
        <v>45792</v>
      </c>
      <c r="D4122" t="inlineStr">
        <is>
          <t>UPPSALA LÄN</t>
        </is>
      </c>
      <c r="E4122" t="inlineStr">
        <is>
          <t>ÖSTHAMMAR</t>
        </is>
      </c>
      <c r="F4122" t="inlineStr">
        <is>
          <t>Bergvik skog öst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31557-2023</t>
        </is>
      </c>
      <c r="B4123" s="1" t="n">
        <v>45117</v>
      </c>
      <c r="C4123" s="1" t="n">
        <v>45792</v>
      </c>
      <c r="D4123" t="inlineStr">
        <is>
          <t>UPPSALA LÄN</t>
        </is>
      </c>
      <c r="E4123" t="inlineStr">
        <is>
          <t>ENKÖPING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31567-2023</t>
        </is>
      </c>
      <c r="B4124" s="1" t="n">
        <v>45117</v>
      </c>
      <c r="C4124" s="1" t="n">
        <v>45792</v>
      </c>
      <c r="D4124" t="inlineStr">
        <is>
          <t>UPPSALA LÄN</t>
        </is>
      </c>
      <c r="E4124" t="inlineStr">
        <is>
          <t>HEBY</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31559-2023</t>
        </is>
      </c>
      <c r="B4125" s="1" t="n">
        <v>45117</v>
      </c>
      <c r="C4125" s="1" t="n">
        <v>45792</v>
      </c>
      <c r="D4125" t="inlineStr">
        <is>
          <t>UPPSALA LÄN</t>
        </is>
      </c>
      <c r="E4125" t="inlineStr">
        <is>
          <t>ENKÖPING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31564-2023</t>
        </is>
      </c>
      <c r="B4126" s="1" t="n">
        <v>45117</v>
      </c>
      <c r="C4126" s="1" t="n">
        <v>45792</v>
      </c>
      <c r="D4126" t="inlineStr">
        <is>
          <t>UPPSALA LÄN</t>
        </is>
      </c>
      <c r="E4126" t="inlineStr">
        <is>
          <t>HEBY</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31586-2023</t>
        </is>
      </c>
      <c r="B4127" s="1" t="n">
        <v>45117</v>
      </c>
      <c r="C4127" s="1" t="n">
        <v>45792</v>
      </c>
      <c r="D4127" t="inlineStr">
        <is>
          <t>UPPSALA LÄN</t>
        </is>
      </c>
      <c r="E4127" t="inlineStr">
        <is>
          <t>HEBY</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31604-2023</t>
        </is>
      </c>
      <c r="B4128" s="1" t="n">
        <v>45117</v>
      </c>
      <c r="C4128" s="1" t="n">
        <v>45792</v>
      </c>
      <c r="D4128" t="inlineStr">
        <is>
          <t>UPPSALA LÄN</t>
        </is>
      </c>
      <c r="E4128" t="inlineStr">
        <is>
          <t>ENKÖPING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31636-2023</t>
        </is>
      </c>
      <c r="B4129" s="1" t="n">
        <v>45117</v>
      </c>
      <c r="C4129" s="1" t="n">
        <v>45792</v>
      </c>
      <c r="D4129" t="inlineStr">
        <is>
          <t>UPPSALA LÄN</t>
        </is>
      </c>
      <c r="E4129" t="inlineStr">
        <is>
          <t>ENKÖPING</t>
        </is>
      </c>
      <c r="G4129" t="n">
        <v>22.1</v>
      </c>
      <c r="H4129" t="n">
        <v>0</v>
      </c>
      <c r="I4129" t="n">
        <v>0</v>
      </c>
      <c r="J4129" t="n">
        <v>0</v>
      </c>
      <c r="K4129" t="n">
        <v>0</v>
      </c>
      <c r="L4129" t="n">
        <v>0</v>
      </c>
      <c r="M4129" t="n">
        <v>0</v>
      </c>
      <c r="N4129" t="n">
        <v>0</v>
      </c>
      <c r="O4129" t="n">
        <v>0</v>
      </c>
      <c r="P4129" t="n">
        <v>0</v>
      </c>
      <c r="Q4129" t="n">
        <v>0</v>
      </c>
      <c r="R4129" s="2" t="inlineStr"/>
    </row>
    <row r="4130" ht="15" customHeight="1">
      <c r="A4130" t="inlineStr">
        <is>
          <t>A 31560-2023</t>
        </is>
      </c>
      <c r="B4130" s="1" t="n">
        <v>45117</v>
      </c>
      <c r="C4130" s="1" t="n">
        <v>45792</v>
      </c>
      <c r="D4130" t="inlineStr">
        <is>
          <t>UPPSALA LÄN</t>
        </is>
      </c>
      <c r="E4130" t="inlineStr">
        <is>
          <t>HEBY</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31569-2023</t>
        </is>
      </c>
      <c r="B4131" s="1" t="n">
        <v>45117</v>
      </c>
      <c r="C4131" s="1" t="n">
        <v>45792</v>
      </c>
      <c r="D4131" t="inlineStr">
        <is>
          <t>UPPSALA LÄN</t>
        </is>
      </c>
      <c r="E4131" t="inlineStr">
        <is>
          <t>HEBY</t>
        </is>
      </c>
      <c r="G4131" t="n">
        <v>2.5</v>
      </c>
      <c r="H4131" t="n">
        <v>0</v>
      </c>
      <c r="I4131" t="n">
        <v>0</v>
      </c>
      <c r="J4131" t="n">
        <v>0</v>
      </c>
      <c r="K4131" t="n">
        <v>0</v>
      </c>
      <c r="L4131" t="n">
        <v>0</v>
      </c>
      <c r="M4131" t="n">
        <v>0</v>
      </c>
      <c r="N4131" t="n">
        <v>0</v>
      </c>
      <c r="O4131" t="n">
        <v>0</v>
      </c>
      <c r="P4131" t="n">
        <v>0</v>
      </c>
      <c r="Q4131" t="n">
        <v>0</v>
      </c>
      <c r="R4131" s="2" t="inlineStr"/>
      <c r="U4131">
        <f>HYPERLINK("https://klasma.github.io/Logging_0331/knärot/A 31569-2023 karta knärot.png", "A 31569-2023")</f>
        <v/>
      </c>
      <c r="V4131">
        <f>HYPERLINK("https://klasma.github.io/Logging_0331/klagomål/A 31569-2023 FSC-klagomål.docx", "A 31569-2023")</f>
        <v/>
      </c>
      <c r="W4131">
        <f>HYPERLINK("https://klasma.github.io/Logging_0331/klagomålsmail/A 31569-2023 FSC-klagomål mail.docx", "A 31569-2023")</f>
        <v/>
      </c>
      <c r="X4131">
        <f>HYPERLINK("https://klasma.github.io/Logging_0331/tillsyn/A 31569-2023 tillsynsbegäran.docx", "A 31569-2023")</f>
        <v/>
      </c>
      <c r="Y4131">
        <f>HYPERLINK("https://klasma.github.io/Logging_0331/tillsynsmail/A 31569-2023 tillsynsbegäran mail.docx", "A 31569-2023")</f>
        <v/>
      </c>
    </row>
    <row r="4132" ht="15" customHeight="1">
      <c r="A4132" t="inlineStr">
        <is>
          <t>A 31575-2023</t>
        </is>
      </c>
      <c r="B4132" s="1" t="n">
        <v>45117</v>
      </c>
      <c r="C4132" s="1" t="n">
        <v>45792</v>
      </c>
      <c r="D4132" t="inlineStr">
        <is>
          <t>UPPSALA LÄN</t>
        </is>
      </c>
      <c r="E4132" t="inlineStr">
        <is>
          <t>HEBY</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31642-2023</t>
        </is>
      </c>
      <c r="B4133" s="1" t="n">
        <v>45117</v>
      </c>
      <c r="C4133" s="1" t="n">
        <v>45792</v>
      </c>
      <c r="D4133" t="inlineStr">
        <is>
          <t>UPPSALA LÄN</t>
        </is>
      </c>
      <c r="E4133" t="inlineStr">
        <is>
          <t>ENKÖPING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31566-2023</t>
        </is>
      </c>
      <c r="B4134" s="1" t="n">
        <v>45117</v>
      </c>
      <c r="C4134" s="1" t="n">
        <v>45792</v>
      </c>
      <c r="D4134" t="inlineStr">
        <is>
          <t>UPPSALA LÄN</t>
        </is>
      </c>
      <c r="E4134" t="inlineStr">
        <is>
          <t>HEBY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31648-2023</t>
        </is>
      </c>
      <c r="B4135" s="1" t="n">
        <v>45117</v>
      </c>
      <c r="C4135" s="1" t="n">
        <v>45792</v>
      </c>
      <c r="D4135" t="inlineStr">
        <is>
          <t>UPPSALA LÄN</t>
        </is>
      </c>
      <c r="E4135" t="inlineStr">
        <is>
          <t>ENKÖPING</t>
        </is>
      </c>
      <c r="G4135" t="n">
        <v>12.9</v>
      </c>
      <c r="H4135" t="n">
        <v>0</v>
      </c>
      <c r="I4135" t="n">
        <v>0</v>
      </c>
      <c r="J4135" t="n">
        <v>0</v>
      </c>
      <c r="K4135" t="n">
        <v>0</v>
      </c>
      <c r="L4135" t="n">
        <v>0</v>
      </c>
      <c r="M4135" t="n">
        <v>0</v>
      </c>
      <c r="N4135" t="n">
        <v>0</v>
      </c>
      <c r="O4135" t="n">
        <v>0</v>
      </c>
      <c r="P4135" t="n">
        <v>0</v>
      </c>
      <c r="Q4135" t="n">
        <v>0</v>
      </c>
      <c r="R4135" s="2" t="inlineStr"/>
    </row>
    <row r="4136" ht="15" customHeight="1">
      <c r="A4136" t="inlineStr">
        <is>
          <t>A 31688-2023</t>
        </is>
      </c>
      <c r="B4136" s="1" t="n">
        <v>45117</v>
      </c>
      <c r="C4136" s="1" t="n">
        <v>45792</v>
      </c>
      <c r="D4136" t="inlineStr">
        <is>
          <t>UPPSALA LÄN</t>
        </is>
      </c>
      <c r="E4136" t="inlineStr">
        <is>
          <t>ÖSTHAMMAR</t>
        </is>
      </c>
      <c r="F4136" t="inlineStr">
        <is>
          <t>Bergvik skog öst AB</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31903-2023</t>
        </is>
      </c>
      <c r="B4137" s="1" t="n">
        <v>45118</v>
      </c>
      <c r="C4137" s="1" t="n">
        <v>45792</v>
      </c>
      <c r="D4137" t="inlineStr">
        <is>
          <t>UPPSALA LÄN</t>
        </is>
      </c>
      <c r="E4137" t="inlineStr">
        <is>
          <t>HEBY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32023-2023</t>
        </is>
      </c>
      <c r="B4138" s="1" t="n">
        <v>45119</v>
      </c>
      <c r="C4138" s="1" t="n">
        <v>45792</v>
      </c>
      <c r="D4138" t="inlineStr">
        <is>
          <t>UPPSALA LÄN</t>
        </is>
      </c>
      <c r="E4138" t="inlineStr">
        <is>
          <t>HÅBO</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32194-2023</t>
        </is>
      </c>
      <c r="B4139" s="1" t="n">
        <v>45119</v>
      </c>
      <c r="C4139" s="1" t="n">
        <v>45792</v>
      </c>
      <c r="D4139" t="inlineStr">
        <is>
          <t>UPPSALA LÄN</t>
        </is>
      </c>
      <c r="E4139" t="inlineStr">
        <is>
          <t>ÖSTHAMMAR</t>
        </is>
      </c>
      <c r="F4139" t="inlineStr">
        <is>
          <t>Bergvik skog öst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32195-2023</t>
        </is>
      </c>
      <c r="B4140" s="1" t="n">
        <v>45119</v>
      </c>
      <c r="C4140" s="1" t="n">
        <v>45792</v>
      </c>
      <c r="D4140" t="inlineStr">
        <is>
          <t>UPPSALA LÄN</t>
        </is>
      </c>
      <c r="E4140" t="inlineStr">
        <is>
          <t>ÖSTHAMMAR</t>
        </is>
      </c>
      <c r="F4140" t="inlineStr">
        <is>
          <t>Bergvik skog öst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32197-2023</t>
        </is>
      </c>
      <c r="B4141" s="1" t="n">
        <v>45119</v>
      </c>
      <c r="C4141" s="1" t="n">
        <v>45792</v>
      </c>
      <c r="D4141" t="inlineStr">
        <is>
          <t>UPPSALA LÄN</t>
        </is>
      </c>
      <c r="E4141" t="inlineStr">
        <is>
          <t>ÖSTHAMMAR</t>
        </is>
      </c>
      <c r="F4141" t="inlineStr">
        <is>
          <t>Bergvik skog öst AB</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32196-2023</t>
        </is>
      </c>
      <c r="B4142" s="1" t="n">
        <v>45119</v>
      </c>
      <c r="C4142" s="1" t="n">
        <v>45792</v>
      </c>
      <c r="D4142" t="inlineStr">
        <is>
          <t>UPPSALA LÄN</t>
        </is>
      </c>
      <c r="E4142" t="inlineStr">
        <is>
          <t>ÖSTHAMMAR</t>
        </is>
      </c>
      <c r="F4142" t="inlineStr">
        <is>
          <t>Bergvik skog öst AB</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33689-2023</t>
        </is>
      </c>
      <c r="B4143" s="1" t="n">
        <v>45119</v>
      </c>
      <c r="C4143" s="1" t="n">
        <v>45792</v>
      </c>
      <c r="D4143" t="inlineStr">
        <is>
          <t>UPPSALA LÄN</t>
        </is>
      </c>
      <c r="E4143" t="inlineStr">
        <is>
          <t>UPPSALA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33677-2023</t>
        </is>
      </c>
      <c r="B4144" s="1" t="n">
        <v>45119</v>
      </c>
      <c r="C4144" s="1" t="n">
        <v>45792</v>
      </c>
      <c r="D4144" t="inlineStr">
        <is>
          <t>UPPSALA LÄN</t>
        </is>
      </c>
      <c r="E4144" t="inlineStr">
        <is>
          <t>TIERP</t>
        </is>
      </c>
      <c r="F4144" t="inlineStr">
        <is>
          <t>Bergvik skog väst AB</t>
        </is>
      </c>
      <c r="G4144" t="n">
        <v>57.7</v>
      </c>
      <c r="H4144" t="n">
        <v>0</v>
      </c>
      <c r="I4144" t="n">
        <v>0</v>
      </c>
      <c r="J4144" t="n">
        <v>0</v>
      </c>
      <c r="K4144" t="n">
        <v>0</v>
      </c>
      <c r="L4144" t="n">
        <v>0</v>
      </c>
      <c r="M4144" t="n">
        <v>0</v>
      </c>
      <c r="N4144" t="n">
        <v>0</v>
      </c>
      <c r="O4144" t="n">
        <v>0</v>
      </c>
      <c r="P4144" t="n">
        <v>0</v>
      </c>
      <c r="Q4144" t="n">
        <v>0</v>
      </c>
      <c r="R4144" s="2" t="inlineStr"/>
    </row>
    <row r="4145" ht="15" customHeight="1">
      <c r="A4145" t="inlineStr">
        <is>
          <t>A 33680-2023</t>
        </is>
      </c>
      <c r="B4145" s="1" t="n">
        <v>45119</v>
      </c>
      <c r="C4145" s="1" t="n">
        <v>45792</v>
      </c>
      <c r="D4145" t="inlineStr">
        <is>
          <t>UPPSALA LÄN</t>
        </is>
      </c>
      <c r="E4145" t="inlineStr">
        <is>
          <t>HEBY</t>
        </is>
      </c>
      <c r="F4145" t="inlineStr">
        <is>
          <t>Bergvik skog väst AB</t>
        </is>
      </c>
      <c r="G4145" t="n">
        <v>66.90000000000001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32295-2023</t>
        </is>
      </c>
      <c r="B4146" s="1" t="n">
        <v>45120</v>
      </c>
      <c r="C4146" s="1" t="n">
        <v>45792</v>
      </c>
      <c r="D4146" t="inlineStr">
        <is>
          <t>UPPSALA LÄN</t>
        </is>
      </c>
      <c r="E4146" t="inlineStr">
        <is>
          <t>HEBY</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32390-2023</t>
        </is>
      </c>
      <c r="B4147" s="1" t="n">
        <v>45120</v>
      </c>
      <c r="C4147" s="1" t="n">
        <v>45792</v>
      </c>
      <c r="D4147" t="inlineStr">
        <is>
          <t>UPPSALA LÄN</t>
        </is>
      </c>
      <c r="E4147" t="inlineStr">
        <is>
          <t>ÖSTHAMMAR</t>
        </is>
      </c>
      <c r="F4147" t="inlineStr">
        <is>
          <t>Övriga Aktiebolag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32399-2023</t>
        </is>
      </c>
      <c r="B4148" s="1" t="n">
        <v>45120</v>
      </c>
      <c r="C4148" s="1" t="n">
        <v>45792</v>
      </c>
      <c r="D4148" t="inlineStr">
        <is>
          <t>UPPSALA LÄN</t>
        </is>
      </c>
      <c r="E4148" t="inlineStr">
        <is>
          <t>HEBY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32290-2023</t>
        </is>
      </c>
      <c r="B4149" s="1" t="n">
        <v>45120</v>
      </c>
      <c r="C4149" s="1" t="n">
        <v>45792</v>
      </c>
      <c r="D4149" t="inlineStr">
        <is>
          <t>UPPSALA LÄN</t>
        </is>
      </c>
      <c r="E4149" t="inlineStr">
        <is>
          <t>HEBY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32413-2023</t>
        </is>
      </c>
      <c r="B4150" s="1" t="n">
        <v>45120</v>
      </c>
      <c r="C4150" s="1" t="n">
        <v>45792</v>
      </c>
      <c r="D4150" t="inlineStr">
        <is>
          <t>UPPSALA LÄN</t>
        </is>
      </c>
      <c r="E4150" t="inlineStr">
        <is>
          <t>UPPSALA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32640-2023</t>
        </is>
      </c>
      <c r="B4151" s="1" t="n">
        <v>45121</v>
      </c>
      <c r="C4151" s="1" t="n">
        <v>45792</v>
      </c>
      <c r="D4151" t="inlineStr">
        <is>
          <t>UPPSALA LÄN</t>
        </is>
      </c>
      <c r="E4151" t="inlineStr">
        <is>
          <t>UPPSALA</t>
        </is>
      </c>
      <c r="F4151" t="inlineStr">
        <is>
          <t>Holmen skog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32665-2023</t>
        </is>
      </c>
      <c r="B4152" s="1" t="n">
        <v>45121</v>
      </c>
      <c r="C4152" s="1" t="n">
        <v>45792</v>
      </c>
      <c r="D4152" t="inlineStr">
        <is>
          <t>UPPSALA LÄN</t>
        </is>
      </c>
      <c r="E4152" t="inlineStr">
        <is>
          <t>TIERP</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32674-2023</t>
        </is>
      </c>
      <c r="B4153" s="1" t="n">
        <v>45121</v>
      </c>
      <c r="C4153" s="1" t="n">
        <v>45792</v>
      </c>
      <c r="D4153" t="inlineStr">
        <is>
          <t>UPPSALA LÄN</t>
        </is>
      </c>
      <c r="E4153" t="inlineStr">
        <is>
          <t>UPPSALA</t>
        </is>
      </c>
      <c r="F4153" t="inlineStr">
        <is>
          <t>Holmen skog AB</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32688-2023</t>
        </is>
      </c>
      <c r="B4154" s="1" t="n">
        <v>45121</v>
      </c>
      <c r="C4154" s="1" t="n">
        <v>45792</v>
      </c>
      <c r="D4154" t="inlineStr">
        <is>
          <t>UPPSALA LÄN</t>
        </is>
      </c>
      <c r="E4154" t="inlineStr">
        <is>
          <t>UPPSALA</t>
        </is>
      </c>
      <c r="F4154" t="inlineStr">
        <is>
          <t>Holmen skog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32693-2023</t>
        </is>
      </c>
      <c r="B4155" s="1" t="n">
        <v>45121</v>
      </c>
      <c r="C4155" s="1" t="n">
        <v>45792</v>
      </c>
      <c r="D4155" t="inlineStr">
        <is>
          <t>UPPSALA LÄN</t>
        </is>
      </c>
      <c r="E4155" t="inlineStr">
        <is>
          <t>ÖSTHAMMAR</t>
        </is>
      </c>
      <c r="F4155" t="inlineStr">
        <is>
          <t>Bergvik skog öst AB</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32654-2023</t>
        </is>
      </c>
      <c r="B4156" s="1" t="n">
        <v>45121</v>
      </c>
      <c r="C4156" s="1" t="n">
        <v>45792</v>
      </c>
      <c r="D4156" t="inlineStr">
        <is>
          <t>UPPSALA LÄN</t>
        </is>
      </c>
      <c r="E4156" t="inlineStr">
        <is>
          <t>KNIVSTA</t>
        </is>
      </c>
      <c r="F4156" t="inlineStr">
        <is>
          <t>Holmen skog AB</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32658-2023</t>
        </is>
      </c>
      <c r="B4157" s="1" t="n">
        <v>45121</v>
      </c>
      <c r="C4157" s="1" t="n">
        <v>45792</v>
      </c>
      <c r="D4157" t="inlineStr">
        <is>
          <t>UPPSALA LÄN</t>
        </is>
      </c>
      <c r="E4157" t="inlineStr">
        <is>
          <t>KNIVSTA</t>
        </is>
      </c>
      <c r="F4157" t="inlineStr">
        <is>
          <t>Holmen skog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32663-2023</t>
        </is>
      </c>
      <c r="B4158" s="1" t="n">
        <v>45121</v>
      </c>
      <c r="C4158" s="1" t="n">
        <v>45792</v>
      </c>
      <c r="D4158" t="inlineStr">
        <is>
          <t>UPPSALA LÄN</t>
        </is>
      </c>
      <c r="E4158" t="inlineStr">
        <is>
          <t>KNIVSTA</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32691-2023</t>
        </is>
      </c>
      <c r="B4159" s="1" t="n">
        <v>45121</v>
      </c>
      <c r="C4159" s="1" t="n">
        <v>45792</v>
      </c>
      <c r="D4159" t="inlineStr">
        <is>
          <t>UPPSALA LÄN</t>
        </is>
      </c>
      <c r="E4159" t="inlineStr">
        <is>
          <t>ÖSTHAMMAR</t>
        </is>
      </c>
      <c r="F4159" t="inlineStr">
        <is>
          <t>Bergvik skog öst AB</t>
        </is>
      </c>
      <c r="G4159" t="n">
        <v>20.2</v>
      </c>
      <c r="H4159" t="n">
        <v>0</v>
      </c>
      <c r="I4159" t="n">
        <v>0</v>
      </c>
      <c r="J4159" t="n">
        <v>0</v>
      </c>
      <c r="K4159" t="n">
        <v>0</v>
      </c>
      <c r="L4159" t="n">
        <v>0</v>
      </c>
      <c r="M4159" t="n">
        <v>0</v>
      </c>
      <c r="N4159" t="n">
        <v>0</v>
      </c>
      <c r="O4159" t="n">
        <v>0</v>
      </c>
      <c r="P4159" t="n">
        <v>0</v>
      </c>
      <c r="Q4159" t="n">
        <v>0</v>
      </c>
      <c r="R4159" s="2" t="inlineStr"/>
    </row>
    <row r="4160" ht="15" customHeight="1">
      <c r="A4160" t="inlineStr">
        <is>
          <t>A 32752-2023</t>
        </is>
      </c>
      <c r="B4160" s="1" t="n">
        <v>45122</v>
      </c>
      <c r="C4160" s="1" t="n">
        <v>45792</v>
      </c>
      <c r="D4160" t="inlineStr">
        <is>
          <t>UPPSALA LÄN</t>
        </is>
      </c>
      <c r="E4160" t="inlineStr">
        <is>
          <t>ÖSTHAMMAR</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32779-2023</t>
        </is>
      </c>
      <c r="B4161" s="1" t="n">
        <v>45123</v>
      </c>
      <c r="C4161" s="1" t="n">
        <v>45792</v>
      </c>
      <c r="D4161" t="inlineStr">
        <is>
          <t>UPPSALA LÄN</t>
        </is>
      </c>
      <c r="E4161" t="inlineStr">
        <is>
          <t>ÖSTHAMMAR</t>
        </is>
      </c>
      <c r="F4161" t="inlineStr">
        <is>
          <t>Bergvik skog öst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32778-2023</t>
        </is>
      </c>
      <c r="B4162" s="1" t="n">
        <v>45123</v>
      </c>
      <c r="C4162" s="1" t="n">
        <v>45792</v>
      </c>
      <c r="D4162" t="inlineStr">
        <is>
          <t>UPPSALA LÄN</t>
        </is>
      </c>
      <c r="E4162" t="inlineStr">
        <is>
          <t>ÖSTHAMMAR</t>
        </is>
      </c>
      <c r="F4162" t="inlineStr">
        <is>
          <t>Bergvik skog öst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32895-2023</t>
        </is>
      </c>
      <c r="B4163" s="1" t="n">
        <v>45124</v>
      </c>
      <c r="C4163" s="1" t="n">
        <v>45792</v>
      </c>
      <c r="D4163" t="inlineStr">
        <is>
          <t>UPPSALA LÄN</t>
        </is>
      </c>
      <c r="E4163" t="inlineStr">
        <is>
          <t>ÖSTHAMMAR</t>
        </is>
      </c>
      <c r="F4163" t="inlineStr">
        <is>
          <t>Bergvik skog öst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33162-2023</t>
        </is>
      </c>
      <c r="B4164" s="1" t="n">
        <v>45126</v>
      </c>
      <c r="C4164" s="1" t="n">
        <v>45792</v>
      </c>
      <c r="D4164" t="inlineStr">
        <is>
          <t>UPPSALA LÄN</t>
        </is>
      </c>
      <c r="E4164" t="inlineStr">
        <is>
          <t>HEBY</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33191-2023</t>
        </is>
      </c>
      <c r="B4165" s="1" t="n">
        <v>45127</v>
      </c>
      <c r="C4165" s="1" t="n">
        <v>45792</v>
      </c>
      <c r="D4165" t="inlineStr">
        <is>
          <t>UPPSALA LÄN</t>
        </is>
      </c>
      <c r="E4165" t="inlineStr">
        <is>
          <t>UPPSALA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33189-2023</t>
        </is>
      </c>
      <c r="B4166" s="1" t="n">
        <v>45127</v>
      </c>
      <c r="C4166" s="1" t="n">
        <v>45792</v>
      </c>
      <c r="D4166" t="inlineStr">
        <is>
          <t>UPPSALA LÄN</t>
        </is>
      </c>
      <c r="E4166" t="inlineStr">
        <is>
          <t>UPPSALA</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33307-2023</t>
        </is>
      </c>
      <c r="B4167" s="1" t="n">
        <v>45127</v>
      </c>
      <c r="C4167" s="1" t="n">
        <v>45792</v>
      </c>
      <c r="D4167" t="inlineStr">
        <is>
          <t>UPPSALA LÄN</t>
        </is>
      </c>
      <c r="E4167" t="inlineStr">
        <is>
          <t>TIERP</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33339-2023</t>
        </is>
      </c>
      <c r="B4168" s="1" t="n">
        <v>45128</v>
      </c>
      <c r="C4168" s="1" t="n">
        <v>45792</v>
      </c>
      <c r="D4168" t="inlineStr">
        <is>
          <t>UPPSALA LÄN</t>
        </is>
      </c>
      <c r="E4168" t="inlineStr">
        <is>
          <t>TIERP</t>
        </is>
      </c>
      <c r="F4168" t="inlineStr">
        <is>
          <t>Bergvik skog öst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33389-2023</t>
        </is>
      </c>
      <c r="B4169" s="1" t="n">
        <v>45128</v>
      </c>
      <c r="C4169" s="1" t="n">
        <v>45792</v>
      </c>
      <c r="D4169" t="inlineStr">
        <is>
          <t>UPPSALA LÄN</t>
        </is>
      </c>
      <c r="E4169" t="inlineStr">
        <is>
          <t>HEBY</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33338-2023</t>
        </is>
      </c>
      <c r="B4170" s="1" t="n">
        <v>45128</v>
      </c>
      <c r="C4170" s="1" t="n">
        <v>45792</v>
      </c>
      <c r="D4170" t="inlineStr">
        <is>
          <t>UPPSALA LÄN</t>
        </is>
      </c>
      <c r="E4170" t="inlineStr">
        <is>
          <t>TIERP</t>
        </is>
      </c>
      <c r="F4170" t="inlineStr">
        <is>
          <t>Bergvik skog öst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33385-2023</t>
        </is>
      </c>
      <c r="B4171" s="1" t="n">
        <v>45128</v>
      </c>
      <c r="C4171" s="1" t="n">
        <v>45792</v>
      </c>
      <c r="D4171" t="inlineStr">
        <is>
          <t>UPPSALA LÄN</t>
        </is>
      </c>
      <c r="E4171" t="inlineStr">
        <is>
          <t>HEBY</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34282-2023</t>
        </is>
      </c>
      <c r="B4172" s="1" t="n">
        <v>45128</v>
      </c>
      <c r="C4172" s="1" t="n">
        <v>45792</v>
      </c>
      <c r="D4172" t="inlineStr">
        <is>
          <t>UPPSALA LÄN</t>
        </is>
      </c>
      <c r="E4172" t="inlineStr">
        <is>
          <t>UPPSALA</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33451-2023</t>
        </is>
      </c>
      <c r="B4173" s="1" t="n">
        <v>45130</v>
      </c>
      <c r="C4173" s="1" t="n">
        <v>45792</v>
      </c>
      <c r="D4173" t="inlineStr">
        <is>
          <t>UPPSALA LÄN</t>
        </is>
      </c>
      <c r="E4173" t="inlineStr">
        <is>
          <t>TIERP</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33530-2023</t>
        </is>
      </c>
      <c r="B4174" s="1" t="n">
        <v>45131</v>
      </c>
      <c r="C4174" s="1" t="n">
        <v>45792</v>
      </c>
      <c r="D4174" t="inlineStr">
        <is>
          <t>UPPSALA LÄN</t>
        </is>
      </c>
      <c r="E4174" t="inlineStr">
        <is>
          <t>HEBY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33562-2023</t>
        </is>
      </c>
      <c r="B4175" s="1" t="n">
        <v>45131</v>
      </c>
      <c r="C4175" s="1" t="n">
        <v>45792</v>
      </c>
      <c r="D4175" t="inlineStr">
        <is>
          <t>UPPSALA LÄN</t>
        </is>
      </c>
      <c r="E4175" t="inlineStr">
        <is>
          <t>UPPSALA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33581-2023</t>
        </is>
      </c>
      <c r="B4176" s="1" t="n">
        <v>45131</v>
      </c>
      <c r="C4176" s="1" t="n">
        <v>45792</v>
      </c>
      <c r="D4176" t="inlineStr">
        <is>
          <t>UPPSALA LÄN</t>
        </is>
      </c>
      <c r="E4176" t="inlineStr">
        <is>
          <t>ENKÖPING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33703-2023</t>
        </is>
      </c>
      <c r="B4177" s="1" t="n">
        <v>45132</v>
      </c>
      <c r="C4177" s="1" t="n">
        <v>45792</v>
      </c>
      <c r="D4177" t="inlineStr">
        <is>
          <t>UPPSALA LÄN</t>
        </is>
      </c>
      <c r="E4177" t="inlineStr">
        <is>
          <t>HEBY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33707-2023</t>
        </is>
      </c>
      <c r="B4178" s="1" t="n">
        <v>45132</v>
      </c>
      <c r="C4178" s="1" t="n">
        <v>45792</v>
      </c>
      <c r="D4178" t="inlineStr">
        <is>
          <t>UPPSALA LÄN</t>
        </is>
      </c>
      <c r="E4178" t="inlineStr">
        <is>
          <t>HEBY</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33706-2023</t>
        </is>
      </c>
      <c r="B4179" s="1" t="n">
        <v>45132</v>
      </c>
      <c r="C4179" s="1" t="n">
        <v>45792</v>
      </c>
      <c r="D4179" t="inlineStr">
        <is>
          <t>UPPSALA LÄN</t>
        </is>
      </c>
      <c r="E4179" t="inlineStr">
        <is>
          <t>HEBY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33700-2023</t>
        </is>
      </c>
      <c r="B4180" s="1" t="n">
        <v>45132</v>
      </c>
      <c r="C4180" s="1" t="n">
        <v>45792</v>
      </c>
      <c r="D4180" t="inlineStr">
        <is>
          <t>UPPSALA LÄN</t>
        </is>
      </c>
      <c r="E4180" t="inlineStr">
        <is>
          <t>UPPSALA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33705-2023</t>
        </is>
      </c>
      <c r="B4181" s="1" t="n">
        <v>45132</v>
      </c>
      <c r="C4181" s="1" t="n">
        <v>45792</v>
      </c>
      <c r="D4181" t="inlineStr">
        <is>
          <t>UPPSALA LÄN</t>
        </is>
      </c>
      <c r="E4181" t="inlineStr">
        <is>
          <t>HEBY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33797-2023</t>
        </is>
      </c>
      <c r="B4182" s="1" t="n">
        <v>45133</v>
      </c>
      <c r="C4182" s="1" t="n">
        <v>45792</v>
      </c>
      <c r="D4182" t="inlineStr">
        <is>
          <t>UPPSALA LÄN</t>
        </is>
      </c>
      <c r="E4182" t="inlineStr">
        <is>
          <t>TIERP</t>
        </is>
      </c>
      <c r="F4182" t="inlineStr">
        <is>
          <t>Bergvik skog öst AB</t>
        </is>
      </c>
      <c r="G4182" t="n">
        <v>0.4</v>
      </c>
      <c r="H4182" t="n">
        <v>0</v>
      </c>
      <c r="I4182" t="n">
        <v>0</v>
      </c>
      <c r="J4182" t="n">
        <v>0</v>
      </c>
      <c r="K4182" t="n">
        <v>0</v>
      </c>
      <c r="L4182" t="n">
        <v>0</v>
      </c>
      <c r="M4182" t="n">
        <v>0</v>
      </c>
      <c r="N4182" t="n">
        <v>0</v>
      </c>
      <c r="O4182" t="n">
        <v>0</v>
      </c>
      <c r="P4182" t="n">
        <v>0</v>
      </c>
      <c r="Q4182" t="n">
        <v>0</v>
      </c>
      <c r="R4182" s="2" t="inlineStr"/>
      <c r="U4182">
        <f>HYPERLINK("https://klasma.github.io/Logging_0360/knärot/A 33797-2023 karta knärot.png", "A 33797-2023")</f>
        <v/>
      </c>
      <c r="V4182">
        <f>HYPERLINK("https://klasma.github.io/Logging_0360/klagomål/A 33797-2023 FSC-klagomål.docx", "A 33797-2023")</f>
        <v/>
      </c>
      <c r="W4182">
        <f>HYPERLINK("https://klasma.github.io/Logging_0360/klagomålsmail/A 33797-2023 FSC-klagomål mail.docx", "A 33797-2023")</f>
        <v/>
      </c>
      <c r="X4182">
        <f>HYPERLINK("https://klasma.github.io/Logging_0360/tillsyn/A 33797-2023 tillsynsbegäran.docx", "A 33797-2023")</f>
        <v/>
      </c>
      <c r="Y4182">
        <f>HYPERLINK("https://klasma.github.io/Logging_0360/tillsynsmail/A 33797-2023 tillsynsbegäran mail.docx", "A 33797-2023")</f>
        <v/>
      </c>
    </row>
    <row r="4183" ht="15" customHeight="1">
      <c r="A4183" t="inlineStr">
        <is>
          <t>A 33860-2023</t>
        </is>
      </c>
      <c r="B4183" s="1" t="n">
        <v>45133</v>
      </c>
      <c r="C4183" s="1" t="n">
        <v>45792</v>
      </c>
      <c r="D4183" t="inlineStr">
        <is>
          <t>UPPSALA LÄN</t>
        </is>
      </c>
      <c r="E4183" t="inlineStr">
        <is>
          <t>HEBY</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33729-2023</t>
        </is>
      </c>
      <c r="B4184" s="1" t="n">
        <v>45133</v>
      </c>
      <c r="C4184" s="1" t="n">
        <v>45792</v>
      </c>
      <c r="D4184" t="inlineStr">
        <is>
          <t>UPPSALA LÄN</t>
        </is>
      </c>
      <c r="E4184" t="inlineStr">
        <is>
          <t>HEBY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33807-2023</t>
        </is>
      </c>
      <c r="B4185" s="1" t="n">
        <v>45133</v>
      </c>
      <c r="C4185" s="1" t="n">
        <v>45792</v>
      </c>
      <c r="D4185" t="inlineStr">
        <is>
          <t>UPPSALA LÄN</t>
        </is>
      </c>
      <c r="E4185" t="inlineStr">
        <is>
          <t>HEBY</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33734-2023</t>
        </is>
      </c>
      <c r="B4186" s="1" t="n">
        <v>45133</v>
      </c>
      <c r="C4186" s="1" t="n">
        <v>45792</v>
      </c>
      <c r="D4186" t="inlineStr">
        <is>
          <t>UPPSALA LÄN</t>
        </is>
      </c>
      <c r="E4186" t="inlineStr">
        <is>
          <t>HEBY</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33776-2023</t>
        </is>
      </c>
      <c r="B4187" s="1" t="n">
        <v>45133</v>
      </c>
      <c r="C4187" s="1" t="n">
        <v>45792</v>
      </c>
      <c r="D4187" t="inlineStr">
        <is>
          <t>UPPSALA LÄN</t>
        </is>
      </c>
      <c r="E4187" t="inlineStr">
        <is>
          <t>KNIVSTA</t>
        </is>
      </c>
      <c r="F4187" t="inlineStr">
        <is>
          <t>Holmen skog AB</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33861-2023</t>
        </is>
      </c>
      <c r="B4188" s="1" t="n">
        <v>45133</v>
      </c>
      <c r="C4188" s="1" t="n">
        <v>45792</v>
      </c>
      <c r="D4188" t="inlineStr">
        <is>
          <t>UPPSALA LÄN</t>
        </is>
      </c>
      <c r="E4188" t="inlineStr">
        <is>
          <t>HEBY</t>
        </is>
      </c>
      <c r="G4188" t="n">
        <v>17.6</v>
      </c>
      <c r="H4188" t="n">
        <v>0</v>
      </c>
      <c r="I4188" t="n">
        <v>0</v>
      </c>
      <c r="J4188" t="n">
        <v>0</v>
      </c>
      <c r="K4188" t="n">
        <v>0</v>
      </c>
      <c r="L4188" t="n">
        <v>0</v>
      </c>
      <c r="M4188" t="n">
        <v>0</v>
      </c>
      <c r="N4188" t="n">
        <v>0</v>
      </c>
      <c r="O4188" t="n">
        <v>0</v>
      </c>
      <c r="P4188" t="n">
        <v>0</v>
      </c>
      <c r="Q4188" t="n">
        <v>0</v>
      </c>
      <c r="R4188" s="2" t="inlineStr"/>
    </row>
    <row r="4189" ht="15" customHeight="1">
      <c r="A4189" t="inlineStr">
        <is>
          <t>A 33859-2023</t>
        </is>
      </c>
      <c r="B4189" s="1" t="n">
        <v>45133</v>
      </c>
      <c r="C4189" s="1" t="n">
        <v>45792</v>
      </c>
      <c r="D4189" t="inlineStr">
        <is>
          <t>UPPSALA LÄN</t>
        </is>
      </c>
      <c r="E4189" t="inlineStr">
        <is>
          <t>HEBY</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33777-2023</t>
        </is>
      </c>
      <c r="B4190" s="1" t="n">
        <v>45133</v>
      </c>
      <c r="C4190" s="1" t="n">
        <v>45792</v>
      </c>
      <c r="D4190" t="inlineStr">
        <is>
          <t>UPPSALA LÄN</t>
        </is>
      </c>
      <c r="E4190" t="inlineStr">
        <is>
          <t>KNIVSTA</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34509-2023</t>
        </is>
      </c>
      <c r="B4191" s="1" t="n">
        <v>45133</v>
      </c>
      <c r="C4191" s="1" t="n">
        <v>45792</v>
      </c>
      <c r="D4191" t="inlineStr">
        <is>
          <t>UPPSALA LÄN</t>
        </is>
      </c>
      <c r="E4191" t="inlineStr">
        <is>
          <t>UPPSALA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33941-2023</t>
        </is>
      </c>
      <c r="B4192" s="1" t="n">
        <v>45134</v>
      </c>
      <c r="C4192" s="1" t="n">
        <v>45792</v>
      </c>
      <c r="D4192" t="inlineStr">
        <is>
          <t>UPPSALA LÄN</t>
        </is>
      </c>
      <c r="E4192" t="inlineStr">
        <is>
          <t>UPPSALA</t>
        </is>
      </c>
      <c r="F4192" t="inlineStr">
        <is>
          <t>Holmen skog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33982-2023</t>
        </is>
      </c>
      <c r="B4193" s="1" t="n">
        <v>45134</v>
      </c>
      <c r="C4193" s="1" t="n">
        <v>45792</v>
      </c>
      <c r="D4193" t="inlineStr">
        <is>
          <t>UPPSALA LÄN</t>
        </is>
      </c>
      <c r="E4193" t="inlineStr">
        <is>
          <t>UPPSALA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34082-2023</t>
        </is>
      </c>
      <c r="B4194" s="1" t="n">
        <v>45135</v>
      </c>
      <c r="C4194" s="1" t="n">
        <v>45792</v>
      </c>
      <c r="D4194" t="inlineStr">
        <is>
          <t>UPPSALA LÄN</t>
        </is>
      </c>
      <c r="E4194" t="inlineStr">
        <is>
          <t>TIERP</t>
        </is>
      </c>
      <c r="F4194" t="inlineStr">
        <is>
          <t>Bergvik skog öst AB</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34079-2023</t>
        </is>
      </c>
      <c r="B4195" s="1" t="n">
        <v>45135</v>
      </c>
      <c r="C4195" s="1" t="n">
        <v>45792</v>
      </c>
      <c r="D4195" t="inlineStr">
        <is>
          <t>UPPSALA LÄN</t>
        </is>
      </c>
      <c r="E4195" t="inlineStr">
        <is>
          <t>TIERP</t>
        </is>
      </c>
      <c r="F4195" t="inlineStr">
        <is>
          <t>Bergvik skog öst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34140-2023</t>
        </is>
      </c>
      <c r="B4196" s="1" t="n">
        <v>45135</v>
      </c>
      <c r="C4196" s="1" t="n">
        <v>45792</v>
      </c>
      <c r="D4196" t="inlineStr">
        <is>
          <t>UPPSALA LÄN</t>
        </is>
      </c>
      <c r="E4196" t="inlineStr">
        <is>
          <t>HEBY</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34108-2023</t>
        </is>
      </c>
      <c r="B4197" s="1" t="n">
        <v>45135</v>
      </c>
      <c r="C4197" s="1" t="n">
        <v>45792</v>
      </c>
      <c r="D4197" t="inlineStr">
        <is>
          <t>UPPSALA LÄN</t>
        </is>
      </c>
      <c r="E4197" t="inlineStr">
        <is>
          <t>ÖSTHAMMAR</t>
        </is>
      </c>
      <c r="F4197" t="inlineStr">
        <is>
          <t>Bergvik skog öst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34198-2023</t>
        </is>
      </c>
      <c r="B4198" s="1" t="n">
        <v>45138</v>
      </c>
      <c r="C4198" s="1" t="n">
        <v>45792</v>
      </c>
      <c r="D4198" t="inlineStr">
        <is>
          <t>UPPSALA LÄN</t>
        </is>
      </c>
      <c r="E4198" t="inlineStr">
        <is>
          <t>TIERP</t>
        </is>
      </c>
      <c r="F4198" t="inlineStr">
        <is>
          <t>Bergvik skog öst AB</t>
        </is>
      </c>
      <c r="G4198" t="n">
        <v>11.5</v>
      </c>
      <c r="H4198" t="n">
        <v>0</v>
      </c>
      <c r="I4198" t="n">
        <v>0</v>
      </c>
      <c r="J4198" t="n">
        <v>0</v>
      </c>
      <c r="K4198" t="n">
        <v>0</v>
      </c>
      <c r="L4198" t="n">
        <v>0</v>
      </c>
      <c r="M4198" t="n">
        <v>0</v>
      </c>
      <c r="N4198" t="n">
        <v>0</v>
      </c>
      <c r="O4198" t="n">
        <v>0</v>
      </c>
      <c r="P4198" t="n">
        <v>0</v>
      </c>
      <c r="Q4198" t="n">
        <v>0</v>
      </c>
      <c r="R4198" s="2" t="inlineStr"/>
    </row>
    <row r="4199" ht="15" customHeight="1">
      <c r="A4199" t="inlineStr">
        <is>
          <t>A 34607-2023</t>
        </is>
      </c>
      <c r="B4199" s="1" t="n">
        <v>45138</v>
      </c>
      <c r="C4199" s="1" t="n">
        <v>45792</v>
      </c>
      <c r="D4199" t="inlineStr">
        <is>
          <t>UPPSALA LÄN</t>
        </is>
      </c>
      <c r="E4199" t="inlineStr">
        <is>
          <t>ÖSTHAMMAR</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34593-2023</t>
        </is>
      </c>
      <c r="B4200" s="1" t="n">
        <v>45138</v>
      </c>
      <c r="C4200" s="1" t="n">
        <v>45792</v>
      </c>
      <c r="D4200" t="inlineStr">
        <is>
          <t>UPPSALA LÄN</t>
        </is>
      </c>
      <c r="E4200" t="inlineStr">
        <is>
          <t>HEBY</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34412-2023</t>
        </is>
      </c>
      <c r="B4201" s="1" t="n">
        <v>45139</v>
      </c>
      <c r="C4201" s="1" t="n">
        <v>45792</v>
      </c>
      <c r="D4201" t="inlineStr">
        <is>
          <t>UPPSALA LÄN</t>
        </is>
      </c>
      <c r="E4201" t="inlineStr">
        <is>
          <t>ÖSTHAMMAR</t>
        </is>
      </c>
      <c r="F4201" t="inlineStr">
        <is>
          <t>Bergvik skog öst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34471-2023</t>
        </is>
      </c>
      <c r="B4202" s="1" t="n">
        <v>45139</v>
      </c>
      <c r="C4202" s="1" t="n">
        <v>45792</v>
      </c>
      <c r="D4202" t="inlineStr">
        <is>
          <t>UPPSALA LÄN</t>
        </is>
      </c>
      <c r="E4202" t="inlineStr">
        <is>
          <t>ÖSTHAMMAR</t>
        </is>
      </c>
      <c r="F4202" t="inlineStr">
        <is>
          <t>Bergvik skog öst AB</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34735-2023</t>
        </is>
      </c>
      <c r="B4203" s="1" t="n">
        <v>45139</v>
      </c>
      <c r="C4203" s="1" t="n">
        <v>45792</v>
      </c>
      <c r="D4203" t="inlineStr">
        <is>
          <t>UPPSALA LÄN</t>
        </is>
      </c>
      <c r="E4203" t="inlineStr">
        <is>
          <t>ENKÖPING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34743-2023</t>
        </is>
      </c>
      <c r="B4204" s="1" t="n">
        <v>45141</v>
      </c>
      <c r="C4204" s="1" t="n">
        <v>45792</v>
      </c>
      <c r="D4204" t="inlineStr">
        <is>
          <t>UPPSALA LÄN</t>
        </is>
      </c>
      <c r="E4204" t="inlineStr">
        <is>
          <t>ENKÖPING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34920-2023</t>
        </is>
      </c>
      <c r="B4205" s="1" t="n">
        <v>45142</v>
      </c>
      <c r="C4205" s="1" t="n">
        <v>45792</v>
      </c>
      <c r="D4205" t="inlineStr">
        <is>
          <t>UPPSALA LÄN</t>
        </is>
      </c>
      <c r="E4205" t="inlineStr">
        <is>
          <t>ÖSTHAMMAR</t>
        </is>
      </c>
      <c r="F4205" t="inlineStr">
        <is>
          <t>Bergvik skog öst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34923-2023</t>
        </is>
      </c>
      <c r="B4206" s="1" t="n">
        <v>45142</v>
      </c>
      <c r="C4206" s="1" t="n">
        <v>45792</v>
      </c>
      <c r="D4206" t="inlineStr">
        <is>
          <t>UPPSALA LÄN</t>
        </is>
      </c>
      <c r="E4206" t="inlineStr">
        <is>
          <t>ÖSTHAMMAR</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34951-2023</t>
        </is>
      </c>
      <c r="B4207" s="1" t="n">
        <v>45142</v>
      </c>
      <c r="C4207" s="1" t="n">
        <v>45792</v>
      </c>
      <c r="D4207" t="inlineStr">
        <is>
          <t>UPPSALA LÄN</t>
        </is>
      </c>
      <c r="E4207" t="inlineStr">
        <is>
          <t>ÖSTHAMMAR</t>
        </is>
      </c>
      <c r="F4207" t="inlineStr">
        <is>
          <t>Naturvårdsverket</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34961-2023</t>
        </is>
      </c>
      <c r="B4208" s="1" t="n">
        <v>45142</v>
      </c>
      <c r="C4208" s="1" t="n">
        <v>45792</v>
      </c>
      <c r="D4208" t="inlineStr">
        <is>
          <t>UPPSALA LÄN</t>
        </is>
      </c>
      <c r="E4208" t="inlineStr">
        <is>
          <t>ENKÖPING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34922-2023</t>
        </is>
      </c>
      <c r="B4209" s="1" t="n">
        <v>45142</v>
      </c>
      <c r="C4209" s="1" t="n">
        <v>45792</v>
      </c>
      <c r="D4209" t="inlineStr">
        <is>
          <t>UPPSALA LÄN</t>
        </is>
      </c>
      <c r="E4209" t="inlineStr">
        <is>
          <t>ÖSTHAMMAR</t>
        </is>
      </c>
      <c r="F4209" t="inlineStr">
        <is>
          <t>Bergvik skog öst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34960-2023</t>
        </is>
      </c>
      <c r="B4210" s="1" t="n">
        <v>45142</v>
      </c>
      <c r="C4210" s="1" t="n">
        <v>45792</v>
      </c>
      <c r="D4210" t="inlineStr">
        <is>
          <t>UPPSALA LÄN</t>
        </is>
      </c>
      <c r="E4210" t="inlineStr">
        <is>
          <t>ENKÖPING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35142-2023</t>
        </is>
      </c>
      <c r="B4211" s="1" t="n">
        <v>45145</v>
      </c>
      <c r="C4211" s="1" t="n">
        <v>45792</v>
      </c>
      <c r="D4211" t="inlineStr">
        <is>
          <t>UPPSALA LÄN</t>
        </is>
      </c>
      <c r="E4211" t="inlineStr">
        <is>
          <t>UPPSALA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35246-2023</t>
        </is>
      </c>
      <c r="B4212" s="1" t="n">
        <v>45145</v>
      </c>
      <c r="C4212" s="1" t="n">
        <v>45792</v>
      </c>
      <c r="D4212" t="inlineStr">
        <is>
          <t>UPPSALA LÄN</t>
        </is>
      </c>
      <c r="E4212" t="inlineStr">
        <is>
          <t>HEBY</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35403-2023</t>
        </is>
      </c>
      <c r="B4213" s="1" t="n">
        <v>45146</v>
      </c>
      <c r="C4213" s="1" t="n">
        <v>45792</v>
      </c>
      <c r="D4213" t="inlineStr">
        <is>
          <t>UPPSALA LÄN</t>
        </is>
      </c>
      <c r="E4213" t="inlineStr">
        <is>
          <t>ÖSTHAMMAR</t>
        </is>
      </c>
      <c r="F4213" t="inlineStr">
        <is>
          <t>Bergvik skog öst AB</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35375-2023</t>
        </is>
      </c>
      <c r="B4214" s="1" t="n">
        <v>45146</v>
      </c>
      <c r="C4214" s="1" t="n">
        <v>45792</v>
      </c>
      <c r="D4214" t="inlineStr">
        <is>
          <t>UPPSALA LÄN</t>
        </is>
      </c>
      <c r="E4214" t="inlineStr">
        <is>
          <t>TIERP</t>
        </is>
      </c>
      <c r="F4214" t="inlineStr">
        <is>
          <t>Bergvik skog öst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35309-2023</t>
        </is>
      </c>
      <c r="B4215" s="1" t="n">
        <v>45146</v>
      </c>
      <c r="C4215" s="1" t="n">
        <v>45792</v>
      </c>
      <c r="D4215" t="inlineStr">
        <is>
          <t>UPPSALA LÄN</t>
        </is>
      </c>
      <c r="E4215" t="inlineStr">
        <is>
          <t>ÖSTHAMMAR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35413-2023</t>
        </is>
      </c>
      <c r="B4216" s="1" t="n">
        <v>45146</v>
      </c>
      <c r="C4216" s="1" t="n">
        <v>45792</v>
      </c>
      <c r="D4216" t="inlineStr">
        <is>
          <t>UPPSALA LÄN</t>
        </is>
      </c>
      <c r="E4216" t="inlineStr">
        <is>
          <t>ÖSTHAMMAR</t>
        </is>
      </c>
      <c r="F4216" t="inlineStr">
        <is>
          <t>Bergvik skog öst AB</t>
        </is>
      </c>
      <c r="G4216" t="n">
        <v>26.1</v>
      </c>
      <c r="H4216" t="n">
        <v>0</v>
      </c>
      <c r="I4216" t="n">
        <v>0</v>
      </c>
      <c r="J4216" t="n">
        <v>0</v>
      </c>
      <c r="K4216" t="n">
        <v>0</v>
      </c>
      <c r="L4216" t="n">
        <v>0</v>
      </c>
      <c r="M4216" t="n">
        <v>0</v>
      </c>
      <c r="N4216" t="n">
        <v>0</v>
      </c>
      <c r="O4216" t="n">
        <v>0</v>
      </c>
      <c r="P4216" t="n">
        <v>0</v>
      </c>
      <c r="Q4216" t="n">
        <v>0</v>
      </c>
      <c r="R4216" s="2" t="inlineStr"/>
    </row>
    <row r="4217" ht="15" customHeight="1">
      <c r="A4217" t="inlineStr">
        <is>
          <t>A 35367-2023</t>
        </is>
      </c>
      <c r="B4217" s="1" t="n">
        <v>45146</v>
      </c>
      <c r="C4217" s="1" t="n">
        <v>45792</v>
      </c>
      <c r="D4217" t="inlineStr">
        <is>
          <t>UPPSALA LÄN</t>
        </is>
      </c>
      <c r="E4217" t="inlineStr">
        <is>
          <t>ENKÖPING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35406-2023</t>
        </is>
      </c>
      <c r="B4218" s="1" t="n">
        <v>45146</v>
      </c>
      <c r="C4218" s="1" t="n">
        <v>45792</v>
      </c>
      <c r="D4218" t="inlineStr">
        <is>
          <t>UPPSALA LÄN</t>
        </is>
      </c>
      <c r="E4218" t="inlineStr">
        <is>
          <t>ÖSTHAMMAR</t>
        </is>
      </c>
      <c r="F4218" t="inlineStr">
        <is>
          <t>Bergvik skog öst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35410-2023</t>
        </is>
      </c>
      <c r="B4219" s="1" t="n">
        <v>45146</v>
      </c>
      <c r="C4219" s="1" t="n">
        <v>45792</v>
      </c>
      <c r="D4219" t="inlineStr">
        <is>
          <t>UPPSALA LÄN</t>
        </is>
      </c>
      <c r="E4219" t="inlineStr">
        <is>
          <t>ÖSTHAMMAR</t>
        </is>
      </c>
      <c r="F4219" t="inlineStr">
        <is>
          <t>Bergvik skog öst AB</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35471-2023</t>
        </is>
      </c>
      <c r="B4220" s="1" t="n">
        <v>45146</v>
      </c>
      <c r="C4220" s="1" t="n">
        <v>45792</v>
      </c>
      <c r="D4220" t="inlineStr">
        <is>
          <t>UPPSALA LÄN</t>
        </is>
      </c>
      <c r="E4220" t="inlineStr">
        <is>
          <t>UPPSALA</t>
        </is>
      </c>
      <c r="F4220" t="inlineStr">
        <is>
          <t>Sveaskog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35474-2023</t>
        </is>
      </c>
      <c r="B4221" s="1" t="n">
        <v>45146</v>
      </c>
      <c r="C4221" s="1" t="n">
        <v>45792</v>
      </c>
      <c r="D4221" t="inlineStr">
        <is>
          <t>UPPSALA LÄN</t>
        </is>
      </c>
      <c r="E4221" t="inlineStr">
        <is>
          <t>ÖSTHAMMAR</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35482-2023</t>
        </is>
      </c>
      <c r="B4222" s="1" t="n">
        <v>45146</v>
      </c>
      <c r="C4222" s="1" t="n">
        <v>45792</v>
      </c>
      <c r="D4222" t="inlineStr">
        <is>
          <t>UPPSALA LÄN</t>
        </is>
      </c>
      <c r="E4222" t="inlineStr">
        <is>
          <t>HEBY</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35472-2023</t>
        </is>
      </c>
      <c r="B4223" s="1" t="n">
        <v>45146</v>
      </c>
      <c r="C4223" s="1" t="n">
        <v>45792</v>
      </c>
      <c r="D4223" t="inlineStr">
        <is>
          <t>UPPSALA LÄN</t>
        </is>
      </c>
      <c r="E4223" t="inlineStr">
        <is>
          <t>UPPSALA</t>
        </is>
      </c>
      <c r="F4223" t="inlineStr">
        <is>
          <t>Sveaskog</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35476-2023</t>
        </is>
      </c>
      <c r="B4224" s="1" t="n">
        <v>45146</v>
      </c>
      <c r="C4224" s="1" t="n">
        <v>45792</v>
      </c>
      <c r="D4224" t="inlineStr">
        <is>
          <t>UPPSALA LÄN</t>
        </is>
      </c>
      <c r="E4224" t="inlineStr">
        <is>
          <t>ÖSTHAMMAR</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35473-2023</t>
        </is>
      </c>
      <c r="B4225" s="1" t="n">
        <v>45146</v>
      </c>
      <c r="C4225" s="1" t="n">
        <v>45792</v>
      </c>
      <c r="D4225" t="inlineStr">
        <is>
          <t>UPPSALA LÄN</t>
        </is>
      </c>
      <c r="E4225" t="inlineStr">
        <is>
          <t>UPPSALA</t>
        </is>
      </c>
      <c r="F4225" t="inlineStr">
        <is>
          <t>Sveaskog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35539-2023</t>
        </is>
      </c>
      <c r="B4226" s="1" t="n">
        <v>45147</v>
      </c>
      <c r="C4226" s="1" t="n">
        <v>45792</v>
      </c>
      <c r="D4226" t="inlineStr">
        <is>
          <t>UPPSALA LÄN</t>
        </is>
      </c>
      <c r="E4226" t="inlineStr">
        <is>
          <t>ÖSTHAMMAR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35549-2023</t>
        </is>
      </c>
      <c r="B4227" s="1" t="n">
        <v>45147</v>
      </c>
      <c r="C4227" s="1" t="n">
        <v>45792</v>
      </c>
      <c r="D4227" t="inlineStr">
        <is>
          <t>UPPSALA LÄN</t>
        </is>
      </c>
      <c r="E4227" t="inlineStr">
        <is>
          <t>UPPSALA</t>
        </is>
      </c>
      <c r="F4227" t="inlineStr">
        <is>
          <t>Allmännings- och besparingsskogar</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35684-2023</t>
        </is>
      </c>
      <c r="B4228" s="1" t="n">
        <v>45147</v>
      </c>
      <c r="C4228" s="1" t="n">
        <v>45792</v>
      </c>
      <c r="D4228" t="inlineStr">
        <is>
          <t>UPPSALA LÄN</t>
        </is>
      </c>
      <c r="E4228" t="inlineStr">
        <is>
          <t>ENKÖPING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35902-2023</t>
        </is>
      </c>
      <c r="B4229" s="1" t="n">
        <v>45148</v>
      </c>
      <c r="C4229" s="1" t="n">
        <v>45792</v>
      </c>
      <c r="D4229" t="inlineStr">
        <is>
          <t>UPPSALA LÄN</t>
        </is>
      </c>
      <c r="E4229" t="inlineStr">
        <is>
          <t>UPPSALA</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35906-2023</t>
        </is>
      </c>
      <c r="B4230" s="1" t="n">
        <v>45148</v>
      </c>
      <c r="C4230" s="1" t="n">
        <v>45792</v>
      </c>
      <c r="D4230" t="inlineStr">
        <is>
          <t>UPPSALA LÄN</t>
        </is>
      </c>
      <c r="E4230" t="inlineStr">
        <is>
          <t>UPPSALA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35914-2023</t>
        </is>
      </c>
      <c r="B4231" s="1" t="n">
        <v>45148</v>
      </c>
      <c r="C4231" s="1" t="n">
        <v>45792</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35918-2023</t>
        </is>
      </c>
      <c r="B4232" s="1" t="n">
        <v>45148</v>
      </c>
      <c r="C4232" s="1" t="n">
        <v>45792</v>
      </c>
      <c r="D4232" t="inlineStr">
        <is>
          <t>UPPSALA LÄN</t>
        </is>
      </c>
      <c r="E4232" t="inlineStr">
        <is>
          <t>ÖSTHAMMAR</t>
        </is>
      </c>
      <c r="F4232" t="inlineStr">
        <is>
          <t>Bergvik skog öst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35922-2023</t>
        </is>
      </c>
      <c r="B4233" s="1" t="n">
        <v>45148</v>
      </c>
      <c r="C4233" s="1" t="n">
        <v>45792</v>
      </c>
      <c r="D4233" t="inlineStr">
        <is>
          <t>UPPSALA LÄN</t>
        </is>
      </c>
      <c r="E4233" t="inlineStr">
        <is>
          <t>UPPSALA</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35916-2023</t>
        </is>
      </c>
      <c r="B4234" s="1" t="n">
        <v>45148</v>
      </c>
      <c r="C4234" s="1" t="n">
        <v>45792</v>
      </c>
      <c r="D4234" t="inlineStr">
        <is>
          <t>UPPSALA LÄN</t>
        </is>
      </c>
      <c r="E4234" t="inlineStr">
        <is>
          <t>UPPSALA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35926-2023</t>
        </is>
      </c>
      <c r="B4235" s="1" t="n">
        <v>45148</v>
      </c>
      <c r="C4235" s="1" t="n">
        <v>45792</v>
      </c>
      <c r="D4235" t="inlineStr">
        <is>
          <t>UPPSALA LÄN</t>
        </is>
      </c>
      <c r="E4235" t="inlineStr">
        <is>
          <t>TIERP</t>
        </is>
      </c>
      <c r="F4235" t="inlineStr">
        <is>
          <t>Bergvik skog öst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36020-2023</t>
        </is>
      </c>
      <c r="B4236" s="1" t="n">
        <v>45149</v>
      </c>
      <c r="C4236" s="1" t="n">
        <v>45792</v>
      </c>
      <c r="D4236" t="inlineStr">
        <is>
          <t>UPPSALA LÄN</t>
        </is>
      </c>
      <c r="E4236" t="inlineStr">
        <is>
          <t>ÖSTHAMMAR</t>
        </is>
      </c>
      <c r="F4236" t="inlineStr">
        <is>
          <t>Bergvik skog öst AB</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36028-2023</t>
        </is>
      </c>
      <c r="B4237" s="1" t="n">
        <v>45149</v>
      </c>
      <c r="C4237" s="1" t="n">
        <v>45792</v>
      </c>
      <c r="D4237" t="inlineStr">
        <is>
          <t>UPPSALA LÄN</t>
        </is>
      </c>
      <c r="E4237" t="inlineStr">
        <is>
          <t>UPPSALA</t>
        </is>
      </c>
      <c r="F4237" t="inlineStr">
        <is>
          <t>Allmännings- och besparingsskogar</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36123-2023</t>
        </is>
      </c>
      <c r="B4238" s="1" t="n">
        <v>45149</v>
      </c>
      <c r="C4238" s="1" t="n">
        <v>45792</v>
      </c>
      <c r="D4238" t="inlineStr">
        <is>
          <t>UPPSALA LÄN</t>
        </is>
      </c>
      <c r="E4238" t="inlineStr">
        <is>
          <t>UPPSALA</t>
        </is>
      </c>
      <c r="F4238" t="inlineStr">
        <is>
          <t>Allmännings- och besparingsskogar</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36159-2023</t>
        </is>
      </c>
      <c r="B4239" s="1" t="n">
        <v>45149</v>
      </c>
      <c r="C4239" s="1" t="n">
        <v>45792</v>
      </c>
      <c r="D4239" t="inlineStr">
        <is>
          <t>UPPSALA LÄN</t>
        </is>
      </c>
      <c r="E4239" t="inlineStr">
        <is>
          <t>UPPSALA</t>
        </is>
      </c>
      <c r="F4239" t="inlineStr">
        <is>
          <t>Övriga statliga verk och myndigheter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36388-2023</t>
        </is>
      </c>
      <c r="B4240" s="1" t="n">
        <v>45152</v>
      </c>
      <c r="C4240" s="1" t="n">
        <v>45792</v>
      </c>
      <c r="D4240" t="inlineStr">
        <is>
          <t>UPPSALA LÄN</t>
        </is>
      </c>
      <c r="E4240" t="inlineStr">
        <is>
          <t>UPPSALA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36392-2023</t>
        </is>
      </c>
      <c r="B4241" s="1" t="n">
        <v>45152</v>
      </c>
      <c r="C4241" s="1" t="n">
        <v>45792</v>
      </c>
      <c r="D4241" t="inlineStr">
        <is>
          <t>UPPSALA LÄN</t>
        </is>
      </c>
      <c r="E4241" t="inlineStr">
        <is>
          <t>UPPSALA</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36301-2023</t>
        </is>
      </c>
      <c r="B4242" s="1" t="n">
        <v>45152</v>
      </c>
      <c r="C4242" s="1" t="n">
        <v>45792</v>
      </c>
      <c r="D4242" t="inlineStr">
        <is>
          <t>UPPSALA LÄN</t>
        </is>
      </c>
      <c r="E4242" t="inlineStr">
        <is>
          <t>ÖSTHAMMAR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36479-2023</t>
        </is>
      </c>
      <c r="B4243" s="1" t="n">
        <v>45152</v>
      </c>
      <c r="C4243" s="1" t="n">
        <v>45792</v>
      </c>
      <c r="D4243" t="inlineStr">
        <is>
          <t>UPPSALA LÄN</t>
        </is>
      </c>
      <c r="E4243" t="inlineStr">
        <is>
          <t>UPPSALA</t>
        </is>
      </c>
      <c r="F4243" t="inlineStr">
        <is>
          <t>Allmännings- och besparingsskogar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36478-2023</t>
        </is>
      </c>
      <c r="B4244" s="1" t="n">
        <v>45152</v>
      </c>
      <c r="C4244" s="1" t="n">
        <v>45792</v>
      </c>
      <c r="D4244" t="inlineStr">
        <is>
          <t>UPPSALA LÄN</t>
        </is>
      </c>
      <c r="E4244" t="inlineStr">
        <is>
          <t>UPPSALA</t>
        </is>
      </c>
      <c r="F4244" t="inlineStr">
        <is>
          <t>Allmännings- och besparingsskogar</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36438-2023</t>
        </is>
      </c>
      <c r="B4245" s="1" t="n">
        <v>45152</v>
      </c>
      <c r="C4245" s="1" t="n">
        <v>45792</v>
      </c>
      <c r="D4245" t="inlineStr">
        <is>
          <t>UPPSALA LÄN</t>
        </is>
      </c>
      <c r="E4245" t="inlineStr">
        <is>
          <t>UPPSALA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36447-2023</t>
        </is>
      </c>
      <c r="B4246" s="1" t="n">
        <v>45152</v>
      </c>
      <c r="C4246" s="1" t="n">
        <v>45792</v>
      </c>
      <c r="D4246" t="inlineStr">
        <is>
          <t>UPPSALA LÄN</t>
        </is>
      </c>
      <c r="E4246" t="inlineStr">
        <is>
          <t>ÖSTHAMMAR</t>
        </is>
      </c>
      <c r="F4246" t="inlineStr">
        <is>
          <t>Bergvik skog öst AB</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36544-2023</t>
        </is>
      </c>
      <c r="B4247" s="1" t="n">
        <v>45153</v>
      </c>
      <c r="C4247" s="1" t="n">
        <v>45792</v>
      </c>
      <c r="D4247" t="inlineStr">
        <is>
          <t>UPPSALA LÄN</t>
        </is>
      </c>
      <c r="E4247" t="inlineStr">
        <is>
          <t>TIERP</t>
        </is>
      </c>
      <c r="F4247" t="inlineStr">
        <is>
          <t>Bergvik skog öst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36738-2023</t>
        </is>
      </c>
      <c r="B4248" s="1" t="n">
        <v>45153</v>
      </c>
      <c r="C4248" s="1" t="n">
        <v>45792</v>
      </c>
      <c r="D4248" t="inlineStr">
        <is>
          <t>UPPSALA LÄN</t>
        </is>
      </c>
      <c r="E4248" t="inlineStr">
        <is>
          <t>UPPSALA</t>
        </is>
      </c>
      <c r="F4248" t="inlineStr">
        <is>
          <t>Allmännings- och besparingsskogar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36739-2023</t>
        </is>
      </c>
      <c r="B4249" s="1" t="n">
        <v>45153</v>
      </c>
      <c r="C4249" s="1" t="n">
        <v>45792</v>
      </c>
      <c r="D4249" t="inlineStr">
        <is>
          <t>UPPSALA LÄN</t>
        </is>
      </c>
      <c r="E4249" t="inlineStr">
        <is>
          <t>UPPSALA</t>
        </is>
      </c>
      <c r="F4249" t="inlineStr">
        <is>
          <t>Allmännings- och besparingsskogar</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36781-2023</t>
        </is>
      </c>
      <c r="B4250" s="1" t="n">
        <v>45154</v>
      </c>
      <c r="C4250" s="1" t="n">
        <v>45792</v>
      </c>
      <c r="D4250" t="inlineStr">
        <is>
          <t>UPPSALA LÄN</t>
        </is>
      </c>
      <c r="E4250" t="inlineStr">
        <is>
          <t>UPPSALA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36782-2023</t>
        </is>
      </c>
      <c r="B4251" s="1" t="n">
        <v>45154</v>
      </c>
      <c r="C4251" s="1" t="n">
        <v>45792</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36860-2023</t>
        </is>
      </c>
      <c r="B4252" s="1" t="n">
        <v>45154</v>
      </c>
      <c r="C4252" s="1" t="n">
        <v>45792</v>
      </c>
      <c r="D4252" t="inlineStr">
        <is>
          <t>UPPSALA LÄN</t>
        </is>
      </c>
      <c r="E4252" t="inlineStr">
        <is>
          <t>UPPSALA</t>
        </is>
      </c>
      <c r="F4252" t="inlineStr">
        <is>
          <t>Allmännings- och besparingsskogar</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36861-2023</t>
        </is>
      </c>
      <c r="B4253" s="1" t="n">
        <v>45154</v>
      </c>
      <c r="C4253" s="1" t="n">
        <v>45792</v>
      </c>
      <c r="D4253" t="inlineStr">
        <is>
          <t>UPPSALA LÄN</t>
        </is>
      </c>
      <c r="E4253" t="inlineStr">
        <is>
          <t>ÖSTHAMMAR</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36857-2023</t>
        </is>
      </c>
      <c r="B4254" s="1" t="n">
        <v>45154</v>
      </c>
      <c r="C4254" s="1" t="n">
        <v>45792</v>
      </c>
      <c r="D4254" t="inlineStr">
        <is>
          <t>UPPSALA LÄN</t>
        </is>
      </c>
      <c r="E4254" t="inlineStr">
        <is>
          <t>ÖSTHAMMAR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36904-2023</t>
        </is>
      </c>
      <c r="B4255" s="1" t="n">
        <v>45154</v>
      </c>
      <c r="C4255" s="1" t="n">
        <v>45792</v>
      </c>
      <c r="D4255" t="inlineStr">
        <is>
          <t>UPPSALA LÄN</t>
        </is>
      </c>
      <c r="E4255" t="inlineStr">
        <is>
          <t>ÖSTHAMMAR</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37021-2023</t>
        </is>
      </c>
      <c r="B4256" s="1" t="n">
        <v>45155</v>
      </c>
      <c r="C4256" s="1" t="n">
        <v>45792</v>
      </c>
      <c r="D4256" t="inlineStr">
        <is>
          <t>UPPSALA LÄN</t>
        </is>
      </c>
      <c r="E4256" t="inlineStr">
        <is>
          <t>ÖSTHAMMAR</t>
        </is>
      </c>
      <c r="F4256" t="inlineStr">
        <is>
          <t>Övriga Aktiebolag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37032-2023</t>
        </is>
      </c>
      <c r="B4257" s="1" t="n">
        <v>45155</v>
      </c>
      <c r="C4257" s="1" t="n">
        <v>45792</v>
      </c>
      <c r="D4257" t="inlineStr">
        <is>
          <t>UPPSALA LÄN</t>
        </is>
      </c>
      <c r="E4257" t="inlineStr">
        <is>
          <t>ENKÖPING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37035-2023</t>
        </is>
      </c>
      <c r="B4258" s="1" t="n">
        <v>45155</v>
      </c>
      <c r="C4258" s="1" t="n">
        <v>45792</v>
      </c>
      <c r="D4258" t="inlineStr">
        <is>
          <t>UPPSALA LÄN</t>
        </is>
      </c>
      <c r="E4258" t="inlineStr">
        <is>
          <t>ENKÖPING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37410-2023</t>
        </is>
      </c>
      <c r="B4259" s="1" t="n">
        <v>45155</v>
      </c>
      <c r="C4259" s="1" t="n">
        <v>45792</v>
      </c>
      <c r="D4259" t="inlineStr">
        <is>
          <t>UPPSALA LÄN</t>
        </is>
      </c>
      <c r="E4259" t="inlineStr">
        <is>
          <t>HÅBO</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37415-2023</t>
        </is>
      </c>
      <c r="B4260" s="1" t="n">
        <v>45155</v>
      </c>
      <c r="C4260" s="1" t="n">
        <v>45792</v>
      </c>
      <c r="D4260" t="inlineStr">
        <is>
          <t>UPPSALA LÄN</t>
        </is>
      </c>
      <c r="E4260" t="inlineStr">
        <is>
          <t>HÅBO</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37296-2023</t>
        </is>
      </c>
      <c r="B4261" s="1" t="n">
        <v>45156</v>
      </c>
      <c r="C4261" s="1" t="n">
        <v>45792</v>
      </c>
      <c r="D4261" t="inlineStr">
        <is>
          <t>UPPSALA LÄN</t>
        </is>
      </c>
      <c r="E4261" t="inlineStr">
        <is>
          <t>ÖSTHAMMAR</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45792</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45792</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45792</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45792</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45792</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45792</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45792</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45792</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45792</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45792</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45792</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45792</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45792</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45792</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45792</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45792</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45792</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45792</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45792</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45792</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45792</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45792</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45792</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45792</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45792</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45792</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45792</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45792</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45792</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45792</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45792</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45792</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45792</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45792</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45792</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45792</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45792</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45792</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45792</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45792</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45792</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45792</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45792</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45792</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45792</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45792</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45792</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45792</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45792</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45792</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45792</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45792</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45792</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45792</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45792</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45792</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45792</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45792</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45792</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45792</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45792</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45792</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45792</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45792</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45792</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45792</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45792</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45792</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45792</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45792</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45792</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45792</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45792</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45792</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45792</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45792</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45792</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45792</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45792</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45792</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45792</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45792</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45792</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45792</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45792</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45792</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45792</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45792</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45792</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45792</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45792</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45792</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45792</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45792</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45792</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45792</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45792</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45792</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45792</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45792</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45792</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45792</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45792</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45792</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45792</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45792</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45792</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45792</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45792</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45792</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45792</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45792</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45792</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45792</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45792</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45792</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45792</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45792</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45792</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45792</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45792</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45792</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45792</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45792</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45792</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45792</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45792</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45792</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45792</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45792</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45792</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45792</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45792</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45792</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45792</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45792</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45792</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45792</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45792</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45792</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45792</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45792</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45792</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45792</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45792</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45792</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45792</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45792</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45792</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45792</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45792</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45792</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45792</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45792</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45792</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45792</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45792</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45792</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45792</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45792</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45792</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45792</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45792</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45792</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45792</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45792</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45792</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45792</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45792</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45792</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45792</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45792</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45792</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45792</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45792</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45792</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45792</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45792</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45792</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45792</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45792</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45792</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45792</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45792</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45792</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45792</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45792</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45792</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45792</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45792</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45792</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45792</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45792</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45792</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45792</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45792</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45792</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45792</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45792</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45792</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45792</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45792</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45792</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45792</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45792</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45792</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45792</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45792</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45792</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45792</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45792</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45792</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45792</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45792</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45792</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45792</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45792</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45792</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45792</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45792</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45792</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45792</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45792</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45792</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45792</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45792</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45792</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45792</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45792</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45792</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45792</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45792</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45792</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45792</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45792</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45792</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45792</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45792</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45792</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45792</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45792</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45792</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45792</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45792</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45792</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45792</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45792</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45792</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45792</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45792</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45792</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45792</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45792</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45792</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45792</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45792</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45792</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45792</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45792</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45792</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45792</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45792</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45792</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45792</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45792</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45792</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45792</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45792</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45792</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45792</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45792</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45792</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45792</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45792</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45792</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45792</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45792</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45792</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45792</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45792</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45792</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45792</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45792</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45792</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45792</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45792</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45792</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45792</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45792</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45792</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45792</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45792</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45792</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45792</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45792</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45792</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45792</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45792</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45792</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45792</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45792</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45792</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45792</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45792</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45792</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45792</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45792</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45792</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45792</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45792</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45792</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45792</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45792</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45792</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45792</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45792</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45792</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45792</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45792</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45792</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45792</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45792</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45792</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45792</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45792</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45792</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45792</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45792</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45792</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45792</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45792</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45792</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45792</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45792</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45792</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45792</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45792</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45792</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45792</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45792</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45792</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45792</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45792</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45792</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45792</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45792</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45792</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45792</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45792</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45792</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45792</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45792</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45792</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45792</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45792</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45792</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45792</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45792</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45792</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45792</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45792</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45792</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45792</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45792</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45792</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45792</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45792</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45792</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45792</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45792</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45792</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45792</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45792</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45792</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45792</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45792</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45792</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45792</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45792</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45792</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45792</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45792</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45792</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45792</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45792</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45792</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45792</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45792</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45792</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45792</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45792</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45792</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45792</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45792</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45792</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45792</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45792</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45792</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45792</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45792</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45792</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45792</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45792</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45792</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45792</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45792</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45792</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45792</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45792</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45792</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45792</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45792</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45792</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45792</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45792</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45792</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45792</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45792</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45792</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45792</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45792</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45792</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45792</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45792</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45792</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45792</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45792</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45792</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45792</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45792</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45792</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45792</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45792</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45792</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45792</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45792</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45792</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45792</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45792</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45792</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45792</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45792</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45792</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45792</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45792</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45792</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45792</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45792</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45792</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45792</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45792</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45792</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45792</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45792</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45792</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45792</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45792</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45792</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45792</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45792</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45792</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45792</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45792</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45792</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45792</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45792</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45792</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45792</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45792</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45792</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45792</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45792</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45792</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45792</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45792</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45792</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45792</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45792</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45792</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45792</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45792</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45792</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45792</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45792</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45792</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45792</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45792</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45792</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45792</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45792</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45792</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45792</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45792</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45792</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45792</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45792</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45792</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45792</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45792</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45792</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45792</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45792</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45792</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45792</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45792</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45792</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45792</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45792</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45792</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45792</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45792</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45792</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45792</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45792</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45792</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45792</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45792</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45792</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45792</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45792</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45792</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45792</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45792</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45792</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45792</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45792</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45792</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45792</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45792</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45792</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45792</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45792</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45792</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45792</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45792</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45792</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45792</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45792</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45792</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45792</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45792</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45792</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45792</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45792</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45792</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45792</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45792</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45792</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45792</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45792</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45792</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45792</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45792</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45792</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45792</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45792</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45792</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45792</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45792</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45792</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45792</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45792</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45792</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45792</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45792</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45792</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45792</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45792</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45792</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45792</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45792</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45792</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45792</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45792</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45792</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45792</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45792</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45792</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45792</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45792</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45792</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45792</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45792</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45792</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45792</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45792</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45792</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45792</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45792</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45792</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45792</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45792</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45792</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45792</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45792</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45792</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45792</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45792</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45792</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45792</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45792</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45792</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45792</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45792</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45792</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45792</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45792</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45792</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45792</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45792</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45792</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45792</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45792</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45792</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45792</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45792</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45792</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45792</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45792</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45792</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45792</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45792</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45792</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45792</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45792</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45792</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45792</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45792</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45792</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45792</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45792</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45792</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45792</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45792</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45792</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45792</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45792</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45792</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45792</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45792</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45792</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45792</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45792</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45792</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45792</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45792</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45792</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45792</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45792</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45792</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45792</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45792</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45792</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45792</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45792</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45792</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45792</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45792</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45792</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45792</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45792</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45792</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45792</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45792</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45792</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45792</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45792</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45792</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45792</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45792</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45792</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45792</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45792</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45792</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45792</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45792</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45792</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45792</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45792</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45792</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45792</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45792</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45792</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45792</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45792</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45792</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45792</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45792</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45792</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45792</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45792</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45792</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45792</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45792</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45792</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45792</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45792</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45792</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45792</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45792</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45792</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45792</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45792</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45792</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45792</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45792</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45792</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45792</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45792</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45792</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45792</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45792</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45792</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45792</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45792</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45792</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45792</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45792</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45792</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45792</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45792</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45792</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45792</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45792</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45792</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45792</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45792</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45792</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45792</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45792</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45792</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45792</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45792</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45792</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45792</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45792</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45792</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45792</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45792</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45792</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45792</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45792</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45792</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45792</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45792</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45792</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45792</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45792</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45792</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45792</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45792</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45792</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45792</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45792</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45792</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45792</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45792</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45792</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45792</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45792</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45792</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45792</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45792</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45792</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45792</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45792</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45792</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45792</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45792</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45792</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45792</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45792</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45792</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45792</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45792</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45792</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45792</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45792</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45792</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45792</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45792</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45792</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45792</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45792</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45792</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45792</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45792</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45792</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45792</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45792</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45792</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45792</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45792</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45792</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45792</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45792</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45792</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45792</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45792</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45792</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45792</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45792</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45792</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45792</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45792</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45792</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45792</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45792</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45792</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45792</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45792</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45792</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45792</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45792</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45792</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45792</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45792</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45792</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45792</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45792</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45792</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45792</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45792</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45792</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45792</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45792</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45792</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45792</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45792</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45792</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45792</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45792</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45792</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45792</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45792</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45792</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45792</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45792</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45792</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45792</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45792</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45792</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45792</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45792</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45792</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45792</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45792</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45792</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45792</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45792</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45792</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45792</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45792</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45792</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45792</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45792</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45792</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45792</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45792</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45792</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45792</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45792</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45792</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45792</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45792</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45792</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45792</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45792</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45792</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45792</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45792</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45792</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45792</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45792</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45792</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45792</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45792</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45792</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45792</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45792</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45792</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45792</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45792</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45792</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45792</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45792</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45792</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45792</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45792</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45792</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45792</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45792</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45792</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45792</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45792</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45792</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45792</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45792</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45792</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45792</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45792</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45792</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45792</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45792</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45792</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45792</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45792</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45792</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45792</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45792</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45792</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45792</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45792</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45792</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45792</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45792</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45792</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45792</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45792</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45792</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45792</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45792</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45792</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45792</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45792</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45792</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45792</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45792</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45792</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45792</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45792</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45792</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45792</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45792</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45792</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45792</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45792</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45792</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45792</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45792</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45792</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45792</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45792</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45792</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45792</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45792</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45792</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45792</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45792</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45792</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45792</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45792</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45792</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45792</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45792</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45792</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45792</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45792</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45792</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45792</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45792</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45792</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45792</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45792</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45792</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45792</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45792</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45792</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45792</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45792</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45792</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45792</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45792</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45792</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45792</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45792</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45792</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45792</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45792</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45792</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45792</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45792</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45792</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45792</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45792</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45792</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45792</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45792</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45792</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45792</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45792</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45792</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45792</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45792</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45792</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45792</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45792</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45792</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45792</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45792</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45792</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45792</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45792</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45792</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45792</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45792</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45792</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45792</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45792</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45792</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45792</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45792</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45792</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45792</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45792</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45792</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45792</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45792</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45792</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45792</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45792</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45792</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45792</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45792</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45792</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45792</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45792</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45792</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45792</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45792</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45792</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45792</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45792</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45792</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45792</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45792</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45792</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45792</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45792</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45792</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45792</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45792</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45792</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45792</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45792</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45792</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45792</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45792</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45792</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45792</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45792</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45792</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45792</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45792</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45792</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45792</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45792</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45792</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45792</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45792</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45792</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45792</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45792</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45792</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45792</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45792</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45792</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45792</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45792</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45792</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45792</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45792</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45792</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45792</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45792</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45792</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45792</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45792</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45792</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45792</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45792</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45792</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45792</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45792</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45792</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45792</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45792</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45792</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45792</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45792</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45792</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45792</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45792</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45792</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45792</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45792</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45792</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45792</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45792</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45792</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45792</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45792</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45792</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45792</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45792</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45792</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45792</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45792</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45792</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45792</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45792</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45792</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45792</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45792</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45792</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45792</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45792</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45792</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45792</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45792</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45792</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45792</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45792</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45792</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45792</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45792</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45792</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45792</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45792</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45792</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45792</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45792</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45792</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45792</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45792</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45792</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45792</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45792</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45792</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45792</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45792</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45792</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45792</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45792</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45792</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45792</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45792</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45792</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45792</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45792</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45792</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45792</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45792</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45792</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45792</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45792</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45792</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45792</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45792</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45792</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45792</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45792</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45792</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45792</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45792</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45792</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45792</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45792</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45792</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45792</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45792</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45792</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45792</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45792</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45792</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45792</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45792</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45792</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45792</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45792</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45792</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45792</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45792</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45792</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45792</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45792</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45792</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45792</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45792</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45792</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45792</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45792</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45792</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45792</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45792</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45792</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45792</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45792</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45792</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45792</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45792</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45792</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45792</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45792</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45792</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45792</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45792</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45792</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45792</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45792</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45792</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45792</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45792</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45792</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45792</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45792</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45792</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45792</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45792</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45792</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45792</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45792</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45792</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45792</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45792</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45792</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45792</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45792</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45792</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45792</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45792</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45792</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45792</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45792</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45792</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45792</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45792</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45792</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45792</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45792</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45792</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45792</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45792</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45792</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45792</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45792</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45792</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45792</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45792</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45792</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45792</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45792</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45792</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45792</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45792</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45792</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45792</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45792</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45792</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45792</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45792</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45792</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45792</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45792</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45792</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45792</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45792</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45792</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45792</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45792</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45792</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45792</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45792</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45792</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45792</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45792</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45792</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45792</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45792</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45792</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45792</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45792</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45792</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45792</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45792</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45792</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45792</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45792</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45792</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45792</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45792</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45792</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45792</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45792</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45792</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45792</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45792</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45792</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45792</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45792</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45792</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45792</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45792</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45792</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45792</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45792</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45792</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45792</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45792</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45792</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45792</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45792</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45792</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45792</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45792</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45792</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45792</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45792</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45792</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45792</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45792</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45792</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45792</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45792</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45792</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45792</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45792</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45792</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45792</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45792</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45792</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45792</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45792</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45792</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45792</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45792</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45792</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45792</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45792</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45792</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45792</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45792</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45792</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45792</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45792</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45792</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45792</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45792</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45792</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45792</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45792</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45792</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45792</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45792</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45792</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45792</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45792</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45792</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45792</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45792</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45792</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45792</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45792</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45792</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45792</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45792</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45792</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45792</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45792</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45792</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45792</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45792</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45792</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45792</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45792</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45792</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45792</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45792</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45792</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45792</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45792</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45792</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45792</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45792</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45792</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45792</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45792</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45792</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45792</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45792</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45792</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45792</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45792</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45792</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45792</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45792</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45792</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45792</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45792</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45792</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45792</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45792</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45792</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45792</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45792</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45792</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45792</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45792</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45792</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45792</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45792</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45792</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45792</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45792</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45792</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45792</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45792</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45792</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45792</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45792</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45792</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45792</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45792</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45792</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45792</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45792</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45792</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45792</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45792</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45792</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45792</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45792</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45792</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45792</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45792</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45792</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45792</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45792</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45792</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45792</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45792</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45792</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45792</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45792</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45792</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45792</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45792</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45792</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45792</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45792</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45792</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45792</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45792</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45792</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45792</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45792</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45792</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45792</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45792</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45792</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45792</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45792</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45792</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45792</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45792</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45792</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45792</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45792</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45792</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45792</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45792</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45792</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45792</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45792</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45792</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45792</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45792</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45792</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45792</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45792</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45792</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45792</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45792</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45792</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45792</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45792</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45792</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45792</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45792</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45792</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45792</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45792</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45792</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45792</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45792</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45792</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45792</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45792</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45792</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45792</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45792</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45792</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45792</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45792</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45792</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45792</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45792</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45792</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45792</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45792</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45792</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45792</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45792</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45792</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45792</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45792</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45792</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45792</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45792</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45792</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45792</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45792</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45792</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45792</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45792</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45792</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45792</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45792</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45792</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45792</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45792</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45792</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45792</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45792</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45792</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45792</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45792</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45792</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45792</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45792</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45792</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45792</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45792</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45792</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45792</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45792</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45792</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45792</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45792</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45792</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45792</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45792</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45792</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45792</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45792</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45792</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45792</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45792</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45792</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45792</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45792</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45792</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45792</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45792</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45792</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45792</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45792</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45792</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45792</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45792</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45792</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45792</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45792</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45792</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45792</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45792</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45792</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45792</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45792</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45792</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45792</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45792</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45792</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45792</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45792</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45792</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45792</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45792</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45792</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45792</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45792</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45792</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45792</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45792</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45792</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45792</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45792</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45792</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45792</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45792</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45792</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45792</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45792</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45792</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45792</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45792</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45792</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45792</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45792</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45792</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45792</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45792</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45792</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45792</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45792</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45792</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45792</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45792</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45792</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45792</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45792</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45792</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45792</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45792</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45792</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45792</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45792</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45792</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45792</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45792</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45792</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45792</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45792</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45792</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45792</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45792</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45792</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45792</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45792</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45792</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45792</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45792</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45792</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45792</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45792</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45792</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45792</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45792</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45792</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45792</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45792</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45792</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45792</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45792</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45792</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45792</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45792</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45792</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45792</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45792</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45792</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45792</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45792</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45792</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45792</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45792</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45792</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45792</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45792</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45792</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45792</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45792</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45792</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45792</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45792</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45792</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45792</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45792</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45792</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45792</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45792</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45792</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45792</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45792</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45792</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45792</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45792</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45792</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45792</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45792</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45792</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45792</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45792</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45792</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45792</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45792</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45792</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45792</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45792</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45792</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45792</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45792</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45792</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45792</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45792</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45792</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45792</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45792</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45792</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45792</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45792</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45792</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45792</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45792</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45792</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45792</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45792</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45792</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45792</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45792</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45792</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45792</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45792</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45792</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45792</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45792</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45792</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45792</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45792</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45792</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45792</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45792</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45792</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45792</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45792</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45792</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45792</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45792</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45792</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45792</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45792</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45792</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45792</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45792</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45792</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45792</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45792</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45792</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45792</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45792</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45792</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45792</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45792</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45792</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45792</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45792</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45792</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45792</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45792</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45792</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45792</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45792</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45792</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45792</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45792</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45792</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45792</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45792</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45792</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45792</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45792</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45792</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45792</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45792</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45792</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45792</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45792</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45792</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45792</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45792</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45792</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45792</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45792</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45792</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45792</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45792</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45792</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45792</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45792</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45792</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45792</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45792</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45792</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45792</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45792</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45792</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45792</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45792</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45792</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45792</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45792</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45792</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45792</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45792</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45792</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45792</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45792</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45792</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45792</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45792</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45792</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45792</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45792</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45792</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45792</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45792</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45792</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45792</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45792</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45792</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45792</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45792</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45792</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45792</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45792</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45792</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45792</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45792</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45792</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45792</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45792</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45792</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45792</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45792</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45792</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45792</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45792</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45792</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45792</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45792</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45792</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45792</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45792</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45792</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45792</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45792</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45792</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45792</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45792</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45792</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45792</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45792</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45792</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45792</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45792</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45792</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45792</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45792</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45792</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45792</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45792</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45792</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45792</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45792</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45792</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45792</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45792</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45792</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45792</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45792</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45792</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45792</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45792</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45792</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45792</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45792</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45792</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45792</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45792</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45792</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45792</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45792</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45792</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45792</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45792</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45792</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45792</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45792</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45792</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45792</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45792</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45792</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45792</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45792</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45792</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45792</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45792</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45792</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45792</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45792</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45792</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45792</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45792</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45792</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45792</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45792</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45792</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45792</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45792</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45792</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45792</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45792</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45792</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45792</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45792</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45792</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45792</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45792</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45792</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45792</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45792</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45792</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45792</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45792</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45792</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45792</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45792</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45792</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45792</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45792</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45792</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45792</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45792</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45792</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45792</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45792</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45792</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45792</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45792</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45792</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45792</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45792</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45792</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45792</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45792</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45792</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45792</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45792</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45792</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45792</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45792</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45792</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45792</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45792</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45792</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45792</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45792</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45792</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45792</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45792</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45792</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45792</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45792</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45792</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45792</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45792</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45792</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45792</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45792</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45792</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45792</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45792</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45792</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45792</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45792</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45792</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45792</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45792</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45792</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45792</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45792</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45792</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45792</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45792</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45792</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45792</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45792</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45792</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45792</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45792</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45792</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45792</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45792</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45792</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45792</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45792</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45792</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45792</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45792</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45792</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45792</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45792</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45792</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45792</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45792</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45792</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45792</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45792</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45792</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45792</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45792</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45792</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45792</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45792</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45792</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45792</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45792</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45792</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45792</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45792</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45792</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45792</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45792</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45792</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45792</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45792</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45792</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45792</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45792</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45792</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45792</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45792</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45792</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45792</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45792</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45792</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45792</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45792</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45792</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45792</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45792</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45792</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45792</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45792</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45792</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45792</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45792</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45792</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45792</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45792</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45792</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45792</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45792</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45792</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45792</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45792</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45792</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45792</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45792</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45792</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45792</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45792</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45792</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45792</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45792</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45792</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45792</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45792</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45792</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45792</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45792</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45792</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45792</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45792</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45792</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45792</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45792</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45792</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45792</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45792</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45792</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45792</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45792</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45792</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45792</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45792</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45792</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45792</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45792</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45792</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45792</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45792</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45792</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45792</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45792</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45792</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45792</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45792</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45792</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45792</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45792</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45792</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45792</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45792</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45792</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45792</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45792</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45792</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45792</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45792</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45792</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45792</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45792</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45792</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45792</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45792</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45792</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45792</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45792</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45792</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45792</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45792</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45792</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45792</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45792</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45792</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45792</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45792</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45792</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45792</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45792</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45792</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45792</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45792</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45792</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45792</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45792</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45792</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45792</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45792</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45792</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45792</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45792</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45792</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45792</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45792</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45792</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45792</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45792</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45792</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45792</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45792</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45792</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45792</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45792</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45792</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45792</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45792</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45792</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45792</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45792</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45792</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45792</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45792</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45792</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45792</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45792</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45792</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45792</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45792</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45792</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45792</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45792</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45792</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45792</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45792</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45792</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45792</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45792</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45792</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45792</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45792</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45792</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45792</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45792</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45792</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45792</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45792</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45792</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45792</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45792</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45792</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45792</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45792</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45792</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45792</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45792</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45792</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45792</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45792</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45792</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45792</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45792</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45792</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45792</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45792</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45792</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45792</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45792</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45792</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45792</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45792</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45792</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45792</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45792</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45792</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45792</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45792</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45792</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45792</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45792</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45792</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45792</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45792</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45792</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45792</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45792</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45792</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45792</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45792</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45792</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45792</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45792</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45792</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45792</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45792</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45792</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45792</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45792</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45792</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45792</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45792</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45792</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45792</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45792</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45792</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45792</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45792</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45792</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45792</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45792</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45792</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45792</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45792</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45792</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45792</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45792</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45792</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45792</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45792</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45792</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45792</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45792</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45792</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45792</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45792</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45792</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45792</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45792</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45792</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45792</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45792</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45792</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45792</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45792</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45792</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45792</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45792</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45792</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45792</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45792</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45792</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45792</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45792</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45792</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45792</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45792</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45792</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45792</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45792</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45792</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45792</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45792</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45792</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45792</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45792</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45792</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45792</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45792</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45792</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45792</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45792</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45792</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45792</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45792</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45792</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45792</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45792</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45792</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45792</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45792</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45792</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45792</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45792</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45792</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45792</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45792</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45792</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45792</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45792</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45792</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45792</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45792</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45792</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45792</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45792</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45792</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45792</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45792</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45792</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45792</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45792</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45792</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45792</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45792</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45792</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45792</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45792</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45792</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45792</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45792</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45792</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45792</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45792</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45792</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45792</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45792</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45792</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45792</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45792</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45792</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45792</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45792</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45792</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45792</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45792</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45792</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45792</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45792</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45792</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45792</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45792</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45792</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45792</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45792</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45792</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45792</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45792</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45792</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45792</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45792</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45792</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45792</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45792</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45792</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45792</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45792</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45792</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45792</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45792</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45792</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45792</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45792</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45792</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45792</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45792</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45792</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45792</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45792</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45792</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45792</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45792</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45792</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45792</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45792</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45792</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45792</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45792</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45792</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45792</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45792</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45792</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45792</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45792</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45792</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45792</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45792</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45792</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45792</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45792</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45792</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45792</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45792</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45792</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45792</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45792</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45792</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45792</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45792</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45792</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45792</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45792</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45792</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45792</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45792</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45792</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45792</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45792</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45792</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45792</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45792</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45792</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45792</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45792</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45792</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45792</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45792</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45792</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45792</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45792</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45792</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45792</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45792</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45792</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45792</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45792</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45792</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45792</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45792</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45792</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45792</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45792</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45792</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45792</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45792</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45792</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45792</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45792</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45792</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45792</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45792</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45792</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45792</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45792</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45792</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45792</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45792</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45792</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45792</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45792</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45792</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45792</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45792</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45792</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45792</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45792</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45792</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45792</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45792</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45792</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45792</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45792</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45792</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45792</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45792</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45792</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45792</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45792</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45792</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45792</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45792</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45792</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45792</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45792</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45792</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45792</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45792</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45792</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45792</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45792</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45792</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45792</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45792</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45792</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45792</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45792</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45792</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45792</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45792</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45792</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45792</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45792</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45792</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45792</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45792</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45792</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45792</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45792</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45792</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45792</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45792</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45792</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45792</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45792</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45792</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45792</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45792</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45792</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45792</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45792</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45792</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45792</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45792</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45792</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45792</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45792</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45792</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45792</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45792</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45792</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45792</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45792</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45792</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45792</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45792</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45792</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45792</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45792</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45792</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45792</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45792</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45792</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45792</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45792</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45792</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45792</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45792</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45792</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45792</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45792</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45792</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45792</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45792</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45792</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45792</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45792</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45792</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45792</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45792</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45792</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45792</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45792</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45792</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45792</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45792</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45792</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45792</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45792</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45792</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45792</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45792</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45792</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45792</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45792</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45792</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45792</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45792</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45792</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45792</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45792</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45792</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45792</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45792</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45792</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45792</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45792</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45792</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45792</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45792</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45792</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45792</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45792</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45792</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45792</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45792</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45792</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45792</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45792</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45792</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45792</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45792</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45792</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45792</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45792</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45792</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45792</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45792</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45792</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45792</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45792</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45792</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45792</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45792</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45792</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45792</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45792</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45792</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45792</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45792</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45792</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45792</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45792</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45792</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45792</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45792</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45792</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45792</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45792</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45792</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45792</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45792</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45792</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45792</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45792</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45792</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45792</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45792</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45792</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45792</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45792</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45792</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45792</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45792</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45792</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45792</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45792</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45792</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45792</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45792</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45792</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45792</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45792</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45792</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45792</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45792</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45792</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45792</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45792</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45792</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45792</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45792</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45792</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45792</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45792</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45792</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45792</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45792</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45792</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45792</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45792</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45792</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45792</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45792</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45792</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45792</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45792</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45792</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45792</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45792</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45792</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45792</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45792</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45792</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45792</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45792</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45792</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45792</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45792</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45792</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45792</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45792</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45792</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45792</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45792</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45792</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45792</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45792</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45792</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45792</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45792</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45792</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45792</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45792</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45792</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45792</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45792</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45792</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45792</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45792</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45792</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45792</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45792</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45792</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45792</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45792</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45792</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45792</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18368-2025</t>
        </is>
      </c>
      <c r="B6989" s="1" t="n">
        <v>45762</v>
      </c>
      <c r="C6989" s="1" t="n">
        <v>45792</v>
      </c>
      <c r="D6989" t="inlineStr">
        <is>
          <t>UPPSALA LÄN</t>
        </is>
      </c>
      <c r="E6989" t="inlineStr">
        <is>
          <t>TIERP</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45792</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18410-2025</t>
        </is>
      </c>
      <c r="B6991" s="1" t="n">
        <v>45762</v>
      </c>
      <c r="C6991" s="1" t="n">
        <v>45792</v>
      </c>
      <c r="D6991" t="inlineStr">
        <is>
          <t>UPPSALA LÄN</t>
        </is>
      </c>
      <c r="E6991" t="inlineStr">
        <is>
          <t>UPPSALA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18259-2025</t>
        </is>
      </c>
      <c r="B6992" s="1" t="n">
        <v>45762</v>
      </c>
      <c r="C6992" s="1" t="n">
        <v>45792</v>
      </c>
      <c r="D6992" t="inlineStr">
        <is>
          <t>UPPSALA LÄN</t>
        </is>
      </c>
      <c r="E6992" t="inlineStr">
        <is>
          <t>ENKÖPING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18378-2025</t>
        </is>
      </c>
      <c r="B6993" s="1" t="n">
        <v>45762</v>
      </c>
      <c r="C6993" s="1" t="n">
        <v>45792</v>
      </c>
      <c r="D6993" t="inlineStr">
        <is>
          <t>UPPSALA LÄN</t>
        </is>
      </c>
      <c r="E6993" t="inlineStr">
        <is>
          <t>TIERP</t>
        </is>
      </c>
      <c r="F6993" t="inlineStr">
        <is>
          <t>Bergvik skog öst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18401-2025</t>
        </is>
      </c>
      <c r="B6994" s="1" t="n">
        <v>45762</v>
      </c>
      <c r="C6994" s="1" t="n">
        <v>45792</v>
      </c>
      <c r="D6994" t="inlineStr">
        <is>
          <t>UPPSALA LÄN</t>
        </is>
      </c>
      <c r="E6994" t="inlineStr">
        <is>
          <t>ÖSTHAMMAR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18302-2025</t>
        </is>
      </c>
      <c r="B6995" s="1" t="n">
        <v>45762</v>
      </c>
      <c r="C6995" s="1" t="n">
        <v>45792</v>
      </c>
      <c r="D6995" t="inlineStr">
        <is>
          <t>UPPSALA LÄN</t>
        </is>
      </c>
      <c r="E6995" t="inlineStr">
        <is>
          <t>ENKÖPING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18423-2025</t>
        </is>
      </c>
      <c r="B6996" s="1" t="n">
        <v>45762</v>
      </c>
      <c r="C6996" s="1" t="n">
        <v>45792</v>
      </c>
      <c r="D6996" t="inlineStr">
        <is>
          <t>UPPSALA LÄN</t>
        </is>
      </c>
      <c r="E6996" t="inlineStr">
        <is>
          <t>TIERP</t>
        </is>
      </c>
      <c r="F6996" t="inlineStr">
        <is>
          <t>Bergvik skog öst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45792</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18526-2025</t>
        </is>
      </c>
      <c r="B6998" s="1" t="n">
        <v>45763</v>
      </c>
      <c r="C6998" s="1" t="n">
        <v>45792</v>
      </c>
      <c r="D6998" t="inlineStr">
        <is>
          <t>UPPSALA LÄN</t>
        </is>
      </c>
      <c r="E6998" t="inlineStr">
        <is>
          <t>TIERP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18516-2025</t>
        </is>
      </c>
      <c r="B6999" s="1" t="n">
        <v>45763</v>
      </c>
      <c r="C6999" s="1" t="n">
        <v>45792</v>
      </c>
      <c r="D6999" t="inlineStr">
        <is>
          <t>UPPSALA LÄN</t>
        </is>
      </c>
      <c r="E6999" t="inlineStr">
        <is>
          <t>TIERP</t>
        </is>
      </c>
      <c r="F6999" t="inlineStr">
        <is>
          <t>Bergvik skog öst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18781-2025</t>
        </is>
      </c>
      <c r="B7000" s="1" t="n">
        <v>45763</v>
      </c>
      <c r="C7000" s="1" t="n">
        <v>45792</v>
      </c>
      <c r="D7000" t="inlineStr">
        <is>
          <t>UPPSALA LÄN</t>
        </is>
      </c>
      <c r="E7000" t="inlineStr">
        <is>
          <t>UPPSALA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18544-2025</t>
        </is>
      </c>
      <c r="B7001" s="1" t="n">
        <v>45763</v>
      </c>
      <c r="C7001" s="1" t="n">
        <v>45792</v>
      </c>
      <c r="D7001" t="inlineStr">
        <is>
          <t>UPPSALA LÄN</t>
        </is>
      </c>
      <c r="E7001" t="inlineStr">
        <is>
          <t>TIERP</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18625-2025</t>
        </is>
      </c>
      <c r="B7002" s="1" t="n">
        <v>45763</v>
      </c>
      <c r="C7002" s="1" t="n">
        <v>45792</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18626-2025</t>
        </is>
      </c>
      <c r="B7003" s="1" t="n">
        <v>45763</v>
      </c>
      <c r="C7003" s="1" t="n">
        <v>45792</v>
      </c>
      <c r="D7003" t="inlineStr">
        <is>
          <t>UPPSALA LÄN</t>
        </is>
      </c>
      <c r="E7003" t="inlineStr">
        <is>
          <t>UPPSALA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18734-2025</t>
        </is>
      </c>
      <c r="B7004" s="1" t="n">
        <v>45763</v>
      </c>
      <c r="C7004" s="1" t="n">
        <v>45792</v>
      </c>
      <c r="D7004" t="inlineStr">
        <is>
          <t>UPPSALA LÄN</t>
        </is>
      </c>
      <c r="E7004" t="inlineStr">
        <is>
          <t>TIERP</t>
        </is>
      </c>
      <c r="F7004" t="inlineStr">
        <is>
          <t>Kyrkan</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18717-2025</t>
        </is>
      </c>
      <c r="B7005" s="1" t="n">
        <v>45763</v>
      </c>
      <c r="C7005" s="1" t="n">
        <v>45792</v>
      </c>
      <c r="D7005" t="inlineStr">
        <is>
          <t>UPPSALA LÄN</t>
        </is>
      </c>
      <c r="E7005" t="inlineStr">
        <is>
          <t>UPPSALA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18805-2025</t>
        </is>
      </c>
      <c r="B7006" s="1" t="n">
        <v>45763</v>
      </c>
      <c r="C7006" s="1" t="n">
        <v>45792</v>
      </c>
      <c r="D7006" t="inlineStr">
        <is>
          <t>UPPSALA LÄN</t>
        </is>
      </c>
      <c r="E7006" t="inlineStr">
        <is>
          <t>UPPSALA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19026-2025</t>
        </is>
      </c>
      <c r="B7007" s="1" t="n">
        <v>45764</v>
      </c>
      <c r="C7007" s="1" t="n">
        <v>45792</v>
      </c>
      <c r="D7007" t="inlineStr">
        <is>
          <t>UPPSALA LÄN</t>
        </is>
      </c>
      <c r="E7007" t="inlineStr">
        <is>
          <t>TIERP</t>
        </is>
      </c>
      <c r="F7007" t="inlineStr">
        <is>
          <t>Bergvik skog öst AB</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18994-2025</t>
        </is>
      </c>
      <c r="B7008" s="1" t="n">
        <v>45764</v>
      </c>
      <c r="C7008" s="1" t="n">
        <v>45792</v>
      </c>
      <c r="D7008" t="inlineStr">
        <is>
          <t>UPPSALA LÄN</t>
        </is>
      </c>
      <c r="E7008" t="inlineStr">
        <is>
          <t>ENKÖPING</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18986-2025</t>
        </is>
      </c>
      <c r="B7009" s="1" t="n">
        <v>45764</v>
      </c>
      <c r="C7009" s="1" t="n">
        <v>45792</v>
      </c>
      <c r="D7009" t="inlineStr">
        <is>
          <t>UPPSALA LÄN</t>
        </is>
      </c>
      <c r="E7009" t="inlineStr">
        <is>
          <t>ENKÖPING</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18885-2025</t>
        </is>
      </c>
      <c r="B7010" s="1" t="n">
        <v>45764</v>
      </c>
      <c r="C7010" s="1" t="n">
        <v>45792</v>
      </c>
      <c r="D7010" t="inlineStr">
        <is>
          <t>UPPSALA LÄN</t>
        </is>
      </c>
      <c r="E7010" t="inlineStr">
        <is>
          <t>TIERP</t>
        </is>
      </c>
      <c r="F7010" t="inlineStr">
        <is>
          <t>Bergvik skog öst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19014-2025</t>
        </is>
      </c>
      <c r="B7011" s="1" t="n">
        <v>45764</v>
      </c>
      <c r="C7011" s="1" t="n">
        <v>45792</v>
      </c>
      <c r="D7011" t="inlineStr">
        <is>
          <t>UPPSALA LÄN</t>
        </is>
      </c>
      <c r="E7011" t="inlineStr">
        <is>
          <t>ENKÖPING</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19013-2025</t>
        </is>
      </c>
      <c r="B7012" s="1" t="n">
        <v>45764</v>
      </c>
      <c r="C7012" s="1" t="n">
        <v>45792</v>
      </c>
      <c r="D7012" t="inlineStr">
        <is>
          <t>UPPSALA LÄN</t>
        </is>
      </c>
      <c r="E7012" t="inlineStr">
        <is>
          <t>ENKÖPING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18928-2025</t>
        </is>
      </c>
      <c r="B7013" s="1" t="n">
        <v>45764</v>
      </c>
      <c r="C7013" s="1" t="n">
        <v>45792</v>
      </c>
      <c r="D7013" t="inlineStr">
        <is>
          <t>UPPSALA LÄN</t>
        </is>
      </c>
      <c r="E7013" t="inlineStr">
        <is>
          <t>TIERP</t>
        </is>
      </c>
      <c r="F7013" t="inlineStr">
        <is>
          <t>Bergvik skog öst AB</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19380-2025</t>
        </is>
      </c>
      <c r="B7014" s="1" t="n">
        <v>45769</v>
      </c>
      <c r="C7014" s="1" t="n">
        <v>45792</v>
      </c>
      <c r="D7014" t="inlineStr">
        <is>
          <t>UPPSALA LÄN</t>
        </is>
      </c>
      <c r="E7014" t="inlineStr">
        <is>
          <t>TIERP</t>
        </is>
      </c>
      <c r="F7014" t="inlineStr">
        <is>
          <t>Bergvik skog öst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19138-2025</t>
        </is>
      </c>
      <c r="B7015" s="1" t="n">
        <v>45769</v>
      </c>
      <c r="C7015" s="1" t="n">
        <v>45792</v>
      </c>
      <c r="D7015" t="inlineStr">
        <is>
          <t>UPPSALA LÄN</t>
        </is>
      </c>
      <c r="E7015" t="inlineStr">
        <is>
          <t>TIERP</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19345-2025</t>
        </is>
      </c>
      <c r="B7016" s="1" t="n">
        <v>45769</v>
      </c>
      <c r="C7016" s="1" t="n">
        <v>45792</v>
      </c>
      <c r="D7016" t="inlineStr">
        <is>
          <t>UPPSALA LÄN</t>
        </is>
      </c>
      <c r="E7016" t="inlineStr">
        <is>
          <t>UPPSALA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19274-2025</t>
        </is>
      </c>
      <c r="B7017" s="1" t="n">
        <v>45769</v>
      </c>
      <c r="C7017" s="1" t="n">
        <v>45792</v>
      </c>
      <c r="D7017" t="inlineStr">
        <is>
          <t>UPPSALA LÄN</t>
        </is>
      </c>
      <c r="E7017" t="inlineStr">
        <is>
          <t>HÅBO</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45792</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19613-2025</t>
        </is>
      </c>
      <c r="B7019" s="1" t="n">
        <v>45770</v>
      </c>
      <c r="C7019" s="1" t="n">
        <v>45792</v>
      </c>
      <c r="D7019" t="inlineStr">
        <is>
          <t>UPPSALA LÄN</t>
        </is>
      </c>
      <c r="E7019" t="inlineStr">
        <is>
          <t>UPPSALA</t>
        </is>
      </c>
      <c r="F7019" t="inlineStr">
        <is>
          <t>Övriga Aktiebolag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19637-2025</t>
        </is>
      </c>
      <c r="B7020" s="1" t="n">
        <v>45770</v>
      </c>
      <c r="C7020" s="1" t="n">
        <v>45792</v>
      </c>
      <c r="D7020" t="inlineStr">
        <is>
          <t>UPPSALA LÄN</t>
        </is>
      </c>
      <c r="E7020" t="inlineStr">
        <is>
          <t>ÖSTHAMMAR</t>
        </is>
      </c>
      <c r="F7020" t="inlineStr">
        <is>
          <t>Övriga Aktiebolag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19650-2025</t>
        </is>
      </c>
      <c r="B7021" s="1" t="n">
        <v>45770</v>
      </c>
      <c r="C7021" s="1" t="n">
        <v>45792</v>
      </c>
      <c r="D7021" t="inlineStr">
        <is>
          <t>UPPSALA LÄN</t>
        </is>
      </c>
      <c r="E7021" t="inlineStr">
        <is>
          <t>ÖSTHAMMAR</t>
        </is>
      </c>
      <c r="F7021" t="inlineStr">
        <is>
          <t>Övriga Aktiebolag</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19676-2025</t>
        </is>
      </c>
      <c r="B7022" s="1" t="n">
        <v>45770</v>
      </c>
      <c r="C7022" s="1" t="n">
        <v>45792</v>
      </c>
      <c r="D7022" t="inlineStr">
        <is>
          <t>UPPSALA LÄN</t>
        </is>
      </c>
      <c r="E7022" t="inlineStr">
        <is>
          <t>KNIVSTA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19559-2025</t>
        </is>
      </c>
      <c r="B7023" s="1" t="n">
        <v>45770</v>
      </c>
      <c r="C7023" s="1" t="n">
        <v>45792</v>
      </c>
      <c r="D7023" t="inlineStr">
        <is>
          <t>UPPSALA LÄN</t>
        </is>
      </c>
      <c r="E7023" t="inlineStr">
        <is>
          <t>HEBY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19640-2025</t>
        </is>
      </c>
      <c r="B7024" s="1" t="n">
        <v>45770</v>
      </c>
      <c r="C7024" s="1" t="n">
        <v>45792</v>
      </c>
      <c r="D7024" t="inlineStr">
        <is>
          <t>UPPSALA LÄN</t>
        </is>
      </c>
      <c r="E7024" t="inlineStr">
        <is>
          <t>ÖSTHAMMAR</t>
        </is>
      </c>
      <c r="F7024" t="inlineStr">
        <is>
          <t>Övriga Aktiebolag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19611-2025</t>
        </is>
      </c>
      <c r="B7025" s="1" t="n">
        <v>45770</v>
      </c>
      <c r="C7025" s="1" t="n">
        <v>45792</v>
      </c>
      <c r="D7025" t="inlineStr">
        <is>
          <t>UPPSALA LÄN</t>
        </is>
      </c>
      <c r="E7025" t="inlineStr">
        <is>
          <t>HEBY</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19554-2025</t>
        </is>
      </c>
      <c r="B7026" s="1" t="n">
        <v>45770</v>
      </c>
      <c r="C7026" s="1" t="n">
        <v>45792</v>
      </c>
      <c r="D7026" t="inlineStr">
        <is>
          <t>UPPSALA LÄN</t>
        </is>
      </c>
      <c r="E7026" t="inlineStr">
        <is>
          <t>TIERP</t>
        </is>
      </c>
      <c r="F7026" t="inlineStr">
        <is>
          <t>Bergvik skog öst AB</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19523-2025</t>
        </is>
      </c>
      <c r="B7027" s="1" t="n">
        <v>45770</v>
      </c>
      <c r="C7027" s="1" t="n">
        <v>45792</v>
      </c>
      <c r="D7027" t="inlineStr">
        <is>
          <t>UPPSALA LÄN</t>
        </is>
      </c>
      <c r="E7027" t="inlineStr">
        <is>
          <t>TIERP</t>
        </is>
      </c>
      <c r="F7027" t="inlineStr">
        <is>
          <t>Bergvik skog öst AB</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19555-2025</t>
        </is>
      </c>
      <c r="B7028" s="1" t="n">
        <v>45770</v>
      </c>
      <c r="C7028" s="1" t="n">
        <v>45792</v>
      </c>
      <c r="D7028" t="inlineStr">
        <is>
          <t>UPPSALA LÄN</t>
        </is>
      </c>
      <c r="E7028" t="inlineStr">
        <is>
          <t>HEBY</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19646-2025</t>
        </is>
      </c>
      <c r="B7029" s="1" t="n">
        <v>45770</v>
      </c>
      <c r="C7029" s="1" t="n">
        <v>45792</v>
      </c>
      <c r="D7029" t="inlineStr">
        <is>
          <t>UPPSALA LÄN</t>
        </is>
      </c>
      <c r="E7029" t="inlineStr">
        <is>
          <t>ÖSTHAMMAR</t>
        </is>
      </c>
      <c r="F7029" t="inlineStr">
        <is>
          <t>Övriga Aktiebolag</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19501-2025</t>
        </is>
      </c>
      <c r="B7030" s="1" t="n">
        <v>45770</v>
      </c>
      <c r="C7030" s="1" t="n">
        <v>45792</v>
      </c>
      <c r="D7030" t="inlineStr">
        <is>
          <t>UPPSALA LÄN</t>
        </is>
      </c>
      <c r="E7030" t="inlineStr">
        <is>
          <t>ÖSTHAMMAR</t>
        </is>
      </c>
      <c r="F7030" t="inlineStr">
        <is>
          <t>Övriga Aktiebolag</t>
        </is>
      </c>
      <c r="G7030" t="n">
        <v>17.3</v>
      </c>
      <c r="H7030" t="n">
        <v>0</v>
      </c>
      <c r="I7030" t="n">
        <v>0</v>
      </c>
      <c r="J7030" t="n">
        <v>0</v>
      </c>
      <c r="K7030" t="n">
        <v>0</v>
      </c>
      <c r="L7030" t="n">
        <v>0</v>
      </c>
      <c r="M7030" t="n">
        <v>0</v>
      </c>
      <c r="N7030" t="n">
        <v>0</v>
      </c>
      <c r="O7030" t="n">
        <v>0</v>
      </c>
      <c r="P7030" t="n">
        <v>0</v>
      </c>
      <c r="Q7030" t="n">
        <v>0</v>
      </c>
      <c r="R7030" s="2" t="inlineStr"/>
    </row>
    <row r="7031" ht="15" customHeight="1">
      <c r="A7031" t="inlineStr">
        <is>
          <t>A 19522-2025</t>
        </is>
      </c>
      <c r="B7031" s="1" t="n">
        <v>45770</v>
      </c>
      <c r="C7031" s="1" t="n">
        <v>45792</v>
      </c>
      <c r="D7031" t="inlineStr">
        <is>
          <t>UPPSALA LÄN</t>
        </is>
      </c>
      <c r="E7031" t="inlineStr">
        <is>
          <t>TIERP</t>
        </is>
      </c>
      <c r="F7031" t="inlineStr">
        <is>
          <t>Bergvik skog öst AB</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19862-2025</t>
        </is>
      </c>
      <c r="B7032" s="1" t="n">
        <v>45771</v>
      </c>
      <c r="C7032" s="1" t="n">
        <v>45792</v>
      </c>
      <c r="D7032" t="inlineStr">
        <is>
          <t>UPPSALA LÄN</t>
        </is>
      </c>
      <c r="E7032" t="inlineStr">
        <is>
          <t>ÄLVKARLEBY</t>
        </is>
      </c>
      <c r="F7032" t="inlineStr">
        <is>
          <t>Kyrkan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19744-2025</t>
        </is>
      </c>
      <c r="B7033" s="1" t="n">
        <v>45771</v>
      </c>
      <c r="C7033" s="1" t="n">
        <v>45792</v>
      </c>
      <c r="D7033" t="inlineStr">
        <is>
          <t>UPPSALA LÄN</t>
        </is>
      </c>
      <c r="E7033" t="inlineStr">
        <is>
          <t>ÖSTHAMMAR</t>
        </is>
      </c>
      <c r="F7033" t="inlineStr">
        <is>
          <t>Övriga Aktiebolag</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19748-2025</t>
        </is>
      </c>
      <c r="B7034" s="1" t="n">
        <v>45771</v>
      </c>
      <c r="C7034" s="1" t="n">
        <v>45792</v>
      </c>
      <c r="D7034" t="inlineStr">
        <is>
          <t>UPPSALA LÄN</t>
        </is>
      </c>
      <c r="E7034" t="inlineStr">
        <is>
          <t>ÖSTHAMMAR</t>
        </is>
      </c>
      <c r="F7034" t="inlineStr">
        <is>
          <t>Övriga Aktiebolag</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19703-2025</t>
        </is>
      </c>
      <c r="B7035" s="1" t="n">
        <v>45771</v>
      </c>
      <c r="C7035" s="1" t="n">
        <v>45792</v>
      </c>
      <c r="D7035" t="inlineStr">
        <is>
          <t>UPPSALA LÄN</t>
        </is>
      </c>
      <c r="E7035" t="inlineStr">
        <is>
          <t>ÄLVKARLEBY</t>
        </is>
      </c>
      <c r="F7035" t="inlineStr">
        <is>
          <t>Bergvik skog väst AB</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19740-2025</t>
        </is>
      </c>
      <c r="B7036" s="1" t="n">
        <v>45771</v>
      </c>
      <c r="C7036" s="1" t="n">
        <v>45792</v>
      </c>
      <c r="D7036" t="inlineStr">
        <is>
          <t>UPPSALA LÄN</t>
        </is>
      </c>
      <c r="E7036" t="inlineStr">
        <is>
          <t>ÄLVKARLEBY</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19697-2025</t>
        </is>
      </c>
      <c r="B7037" s="1" t="n">
        <v>45771</v>
      </c>
      <c r="C7037" s="1" t="n">
        <v>45792</v>
      </c>
      <c r="D7037" t="inlineStr">
        <is>
          <t>UPPSALA LÄN</t>
        </is>
      </c>
      <c r="E7037" t="inlineStr">
        <is>
          <t>ÄLVKARLEBY</t>
        </is>
      </c>
      <c r="F7037" t="inlineStr">
        <is>
          <t>Bergvik skog väst AB</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20055-2025</t>
        </is>
      </c>
      <c r="B7038" s="1" t="n">
        <v>45772</v>
      </c>
      <c r="C7038" s="1" t="n">
        <v>45792</v>
      </c>
      <c r="D7038" t="inlineStr">
        <is>
          <t>UPPSALA LÄN</t>
        </is>
      </c>
      <c r="E7038" t="inlineStr">
        <is>
          <t>TIERP</t>
        </is>
      </c>
      <c r="F7038" t="inlineStr">
        <is>
          <t>Bergvik skog öst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20152-2025</t>
        </is>
      </c>
      <c r="B7039" s="1" t="n">
        <v>45772</v>
      </c>
      <c r="C7039" s="1" t="n">
        <v>45792</v>
      </c>
      <c r="D7039" t="inlineStr">
        <is>
          <t>UPPSALA LÄN</t>
        </is>
      </c>
      <c r="E7039" t="inlineStr">
        <is>
          <t>UPPSALA</t>
        </is>
      </c>
      <c r="F7039" t="inlineStr">
        <is>
          <t>Allmännings- och besparingsskogar</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20180-2025</t>
        </is>
      </c>
      <c r="B7040" s="1" t="n">
        <v>45772</v>
      </c>
      <c r="C7040" s="1" t="n">
        <v>45792</v>
      </c>
      <c r="D7040" t="inlineStr">
        <is>
          <t>UPPSALA LÄN</t>
        </is>
      </c>
      <c r="E7040" t="inlineStr">
        <is>
          <t>TIERP</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20248-2025</t>
        </is>
      </c>
      <c r="B7041" s="1" t="n">
        <v>45772</v>
      </c>
      <c r="C7041" s="1" t="n">
        <v>45792</v>
      </c>
      <c r="D7041" t="inlineStr">
        <is>
          <t>UPPSALA LÄN</t>
        </is>
      </c>
      <c r="E7041" t="inlineStr">
        <is>
          <t>UPPSALA</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20021-2025</t>
        </is>
      </c>
      <c r="B7042" s="1" t="n">
        <v>45772</v>
      </c>
      <c r="C7042" s="1" t="n">
        <v>45792</v>
      </c>
      <c r="D7042" t="inlineStr">
        <is>
          <t>UPPSALA LÄN</t>
        </is>
      </c>
      <c r="E7042" t="inlineStr">
        <is>
          <t>TIERP</t>
        </is>
      </c>
      <c r="F7042" t="inlineStr">
        <is>
          <t>Kyrkan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20072-2025</t>
        </is>
      </c>
      <c r="B7043" s="1" t="n">
        <v>45772</v>
      </c>
      <c r="C7043" s="1" t="n">
        <v>45792</v>
      </c>
      <c r="D7043" t="inlineStr">
        <is>
          <t>UPPSALA LÄN</t>
        </is>
      </c>
      <c r="E7043" t="inlineStr">
        <is>
          <t>ÖSTHAMMAR</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20190-2025</t>
        </is>
      </c>
      <c r="B7044" s="1" t="n">
        <v>45772</v>
      </c>
      <c r="C7044" s="1" t="n">
        <v>45792</v>
      </c>
      <c r="D7044" t="inlineStr">
        <is>
          <t>UPPSALA LÄN</t>
        </is>
      </c>
      <c r="E7044" t="inlineStr">
        <is>
          <t>TIERP</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20385-2025</t>
        </is>
      </c>
      <c r="B7045" s="1" t="n">
        <v>45775</v>
      </c>
      <c r="C7045" s="1" t="n">
        <v>45792</v>
      </c>
      <c r="D7045" t="inlineStr">
        <is>
          <t>UPPSALA LÄN</t>
        </is>
      </c>
      <c r="E7045" t="inlineStr">
        <is>
          <t>ÖSTHAMMAR</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20418-2025</t>
        </is>
      </c>
      <c r="B7046" s="1" t="n">
        <v>45775</v>
      </c>
      <c r="C7046" s="1" t="n">
        <v>45792</v>
      </c>
      <c r="D7046" t="inlineStr">
        <is>
          <t>UPPSALA LÄN</t>
        </is>
      </c>
      <c r="E7046" t="inlineStr">
        <is>
          <t>UPPSALA</t>
        </is>
      </c>
      <c r="F7046" t="inlineStr">
        <is>
          <t>Allmännings- och besparingsskogar</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20552-2025</t>
        </is>
      </c>
      <c r="B7047" s="1" t="n">
        <v>45775</v>
      </c>
      <c r="C7047" s="1" t="n">
        <v>45792</v>
      </c>
      <c r="D7047" t="inlineStr">
        <is>
          <t>UPPSALA LÄN</t>
        </is>
      </c>
      <c r="E7047" t="inlineStr">
        <is>
          <t>TIERP</t>
        </is>
      </c>
      <c r="F7047" t="inlineStr">
        <is>
          <t>Bergvik skog öst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20440-2025</t>
        </is>
      </c>
      <c r="B7048" s="1" t="n">
        <v>45775</v>
      </c>
      <c r="C7048" s="1" t="n">
        <v>45792</v>
      </c>
      <c r="D7048" t="inlineStr">
        <is>
          <t>UPPSALA LÄN</t>
        </is>
      </c>
      <c r="E7048" t="inlineStr">
        <is>
          <t>ENKÖPING</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20317-2025</t>
        </is>
      </c>
      <c r="B7049" s="1" t="n">
        <v>45775</v>
      </c>
      <c r="C7049" s="1" t="n">
        <v>45792</v>
      </c>
      <c r="D7049" t="inlineStr">
        <is>
          <t>UPPSALA LÄN</t>
        </is>
      </c>
      <c r="E7049" t="inlineStr">
        <is>
          <t>TIERP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20797-2025</t>
        </is>
      </c>
      <c r="B7050" s="1" t="n">
        <v>45776</v>
      </c>
      <c r="C7050" s="1" t="n">
        <v>45792</v>
      </c>
      <c r="D7050" t="inlineStr">
        <is>
          <t>UPPSALA LÄN</t>
        </is>
      </c>
      <c r="E7050" t="inlineStr">
        <is>
          <t>UPPSALA</t>
        </is>
      </c>
      <c r="F7050" t="inlineStr">
        <is>
          <t>Kommuner</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20641-2025</t>
        </is>
      </c>
      <c r="B7051" s="1" t="n">
        <v>45776</v>
      </c>
      <c r="C7051" s="1" t="n">
        <v>45792</v>
      </c>
      <c r="D7051" t="inlineStr">
        <is>
          <t>UPPSALA LÄN</t>
        </is>
      </c>
      <c r="E7051" t="inlineStr">
        <is>
          <t>TIERP</t>
        </is>
      </c>
      <c r="F7051" t="inlineStr">
        <is>
          <t>Bergvik skog öst AB</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20686-2025</t>
        </is>
      </c>
      <c r="B7052" s="1" t="n">
        <v>45776</v>
      </c>
      <c r="C7052" s="1" t="n">
        <v>45792</v>
      </c>
      <c r="D7052" t="inlineStr">
        <is>
          <t>UPPSALA LÄN</t>
        </is>
      </c>
      <c r="E7052" t="inlineStr">
        <is>
          <t>UPPSALA</t>
        </is>
      </c>
      <c r="F7052" t="inlineStr">
        <is>
          <t>Holmen skog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20703-2025</t>
        </is>
      </c>
      <c r="B7053" s="1" t="n">
        <v>45776</v>
      </c>
      <c r="C7053" s="1" t="n">
        <v>45792</v>
      </c>
      <c r="D7053" t="inlineStr">
        <is>
          <t>UPPSALA LÄN</t>
        </is>
      </c>
      <c r="E7053" t="inlineStr">
        <is>
          <t>UPPSALA</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20712-2025</t>
        </is>
      </c>
      <c r="B7054" s="1" t="n">
        <v>45776</v>
      </c>
      <c r="C7054" s="1" t="n">
        <v>45792</v>
      </c>
      <c r="D7054" t="inlineStr">
        <is>
          <t>UPPSALA LÄN</t>
        </is>
      </c>
      <c r="E7054" t="inlineStr">
        <is>
          <t>UPPSALA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20772-2025</t>
        </is>
      </c>
      <c r="B7055" s="1" t="n">
        <v>45776</v>
      </c>
      <c r="C7055" s="1" t="n">
        <v>45792</v>
      </c>
      <c r="D7055" t="inlineStr">
        <is>
          <t>UPPSALA LÄN</t>
        </is>
      </c>
      <c r="E7055" t="inlineStr">
        <is>
          <t>HEBY</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20644-2025</t>
        </is>
      </c>
      <c r="B7056" s="1" t="n">
        <v>45776</v>
      </c>
      <c r="C7056" s="1" t="n">
        <v>45792</v>
      </c>
      <c r="D7056" t="inlineStr">
        <is>
          <t>UPPSALA LÄN</t>
        </is>
      </c>
      <c r="E7056" t="inlineStr">
        <is>
          <t>TIERP</t>
        </is>
      </c>
      <c r="F7056" t="inlineStr">
        <is>
          <t>Bergvik skog öst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20676-2025</t>
        </is>
      </c>
      <c r="B7057" s="1" t="n">
        <v>45776</v>
      </c>
      <c r="C7057" s="1" t="n">
        <v>45792</v>
      </c>
      <c r="D7057" t="inlineStr">
        <is>
          <t>UPPSALA LÄN</t>
        </is>
      </c>
      <c r="E7057" t="inlineStr">
        <is>
          <t>TIERP</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21012-2025</t>
        </is>
      </c>
      <c r="B7058" s="1" t="n">
        <v>45777</v>
      </c>
      <c r="C7058" s="1" t="n">
        <v>45792</v>
      </c>
      <c r="D7058" t="inlineStr">
        <is>
          <t>UPPSALA LÄN</t>
        </is>
      </c>
      <c r="E7058" t="inlineStr">
        <is>
          <t>ÄLVKARLEBY</t>
        </is>
      </c>
      <c r="F7058" t="inlineStr">
        <is>
          <t>Bergvik skog väst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20995-2025</t>
        </is>
      </c>
      <c r="B7059" s="1" t="n">
        <v>45777</v>
      </c>
      <c r="C7059" s="1" t="n">
        <v>45792</v>
      </c>
      <c r="D7059" t="inlineStr">
        <is>
          <t>UPPSALA LÄN</t>
        </is>
      </c>
      <c r="E7059" t="inlineStr">
        <is>
          <t>HEBY</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21033-2025</t>
        </is>
      </c>
      <c r="B7060" s="1" t="n">
        <v>45777</v>
      </c>
      <c r="C7060" s="1" t="n">
        <v>45792</v>
      </c>
      <c r="D7060" t="inlineStr">
        <is>
          <t>UPPSALA LÄN</t>
        </is>
      </c>
      <c r="E7060" t="inlineStr">
        <is>
          <t>UPPSALA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20858-2025</t>
        </is>
      </c>
      <c r="B7061" s="1" t="n">
        <v>45777</v>
      </c>
      <c r="C7061" s="1" t="n">
        <v>45792</v>
      </c>
      <c r="D7061" t="inlineStr">
        <is>
          <t>UPPSALA LÄN</t>
        </is>
      </c>
      <c r="E7061" t="inlineStr">
        <is>
          <t>UPPSALA</t>
        </is>
      </c>
      <c r="F7061" t="inlineStr">
        <is>
          <t>Övriga Aktiebolag</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20886-2025</t>
        </is>
      </c>
      <c r="B7062" s="1" t="n">
        <v>45777</v>
      </c>
      <c r="C7062" s="1" t="n">
        <v>45792</v>
      </c>
      <c r="D7062" t="inlineStr">
        <is>
          <t>UPPSALA LÄN</t>
        </is>
      </c>
      <c r="E7062" t="inlineStr">
        <is>
          <t>TIERP</t>
        </is>
      </c>
      <c r="F7062" t="inlineStr">
        <is>
          <t>Bergvik skog öst AB</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20990-2025</t>
        </is>
      </c>
      <c r="B7063" s="1" t="n">
        <v>45777</v>
      </c>
      <c r="C7063" s="1" t="n">
        <v>45792</v>
      </c>
      <c r="D7063" t="inlineStr">
        <is>
          <t>UPPSALA LÄN</t>
        </is>
      </c>
      <c r="E7063" t="inlineStr">
        <is>
          <t>HEBY</t>
        </is>
      </c>
      <c r="G7063" t="n">
        <v>10.1</v>
      </c>
      <c r="H7063" t="n">
        <v>0</v>
      </c>
      <c r="I7063" t="n">
        <v>0</v>
      </c>
      <c r="J7063" t="n">
        <v>0</v>
      </c>
      <c r="K7063" t="n">
        <v>0</v>
      </c>
      <c r="L7063" t="n">
        <v>0</v>
      </c>
      <c r="M7063" t="n">
        <v>0</v>
      </c>
      <c r="N7063" t="n">
        <v>0</v>
      </c>
      <c r="O7063" t="n">
        <v>0</v>
      </c>
      <c r="P7063" t="n">
        <v>0</v>
      </c>
      <c r="Q7063" t="n">
        <v>0</v>
      </c>
      <c r="R7063" s="2" t="inlineStr"/>
    </row>
    <row r="7064" ht="15" customHeight="1">
      <c r="A7064" t="inlineStr">
        <is>
          <t>A 21047-2025</t>
        </is>
      </c>
      <c r="B7064" s="1" t="n">
        <v>45777</v>
      </c>
      <c r="C7064" s="1" t="n">
        <v>45792</v>
      </c>
      <c r="D7064" t="inlineStr">
        <is>
          <t>UPPSALA LÄN</t>
        </is>
      </c>
      <c r="E7064" t="inlineStr">
        <is>
          <t>TIERP</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20888-2025</t>
        </is>
      </c>
      <c r="B7065" s="1" t="n">
        <v>45777</v>
      </c>
      <c r="C7065" s="1" t="n">
        <v>45792</v>
      </c>
      <c r="D7065" t="inlineStr">
        <is>
          <t>UPPSALA LÄN</t>
        </is>
      </c>
      <c r="E7065" t="inlineStr">
        <is>
          <t>UPPSALA</t>
        </is>
      </c>
      <c r="F7065" t="inlineStr">
        <is>
          <t>Övriga statliga verk och myndigheter</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20928-2025</t>
        </is>
      </c>
      <c r="B7066" s="1" t="n">
        <v>45777</v>
      </c>
      <c r="C7066" s="1" t="n">
        <v>45792</v>
      </c>
      <c r="D7066" t="inlineStr">
        <is>
          <t>UPPSALA LÄN</t>
        </is>
      </c>
      <c r="E7066" t="inlineStr">
        <is>
          <t>UPPSALA</t>
        </is>
      </c>
      <c r="G7066" t="n">
        <v>11.9</v>
      </c>
      <c r="H7066" t="n">
        <v>0</v>
      </c>
      <c r="I7066" t="n">
        <v>0</v>
      </c>
      <c r="J7066" t="n">
        <v>0</v>
      </c>
      <c r="K7066" t="n">
        <v>0</v>
      </c>
      <c r="L7066" t="n">
        <v>0</v>
      </c>
      <c r="M7066" t="n">
        <v>0</v>
      </c>
      <c r="N7066" t="n">
        <v>0</v>
      </c>
      <c r="O7066" t="n">
        <v>0</v>
      </c>
      <c r="P7066" t="n">
        <v>0</v>
      </c>
      <c r="Q7066" t="n">
        <v>0</v>
      </c>
      <c r="R7066" s="2" t="inlineStr"/>
    </row>
    <row r="7067" ht="15" customHeight="1">
      <c r="A7067" t="inlineStr">
        <is>
          <t>A 20874-2025</t>
        </is>
      </c>
      <c r="B7067" s="1" t="n">
        <v>45777</v>
      </c>
      <c r="C7067" s="1" t="n">
        <v>45792</v>
      </c>
      <c r="D7067" t="inlineStr">
        <is>
          <t>UPPSALA LÄN</t>
        </is>
      </c>
      <c r="E7067" t="inlineStr">
        <is>
          <t>UPPSALA</t>
        </is>
      </c>
      <c r="F7067" t="inlineStr">
        <is>
          <t>Övriga Aktiebolag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21130-2025</t>
        </is>
      </c>
      <c r="B7068" s="1" t="n">
        <v>45778</v>
      </c>
      <c r="C7068" s="1" t="n">
        <v>45792</v>
      </c>
      <c r="D7068" t="inlineStr">
        <is>
          <t>UPPSALA LÄN</t>
        </is>
      </c>
      <c r="E7068" t="inlineStr">
        <is>
          <t>KNIVSTA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21133-2025</t>
        </is>
      </c>
      <c r="B7069" s="1" t="n">
        <v>45778</v>
      </c>
      <c r="C7069" s="1" t="n">
        <v>45792</v>
      </c>
      <c r="D7069" t="inlineStr">
        <is>
          <t>UPPSALA LÄN</t>
        </is>
      </c>
      <c r="E7069" t="inlineStr">
        <is>
          <t>ÖSTHAMMAR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21132-2025</t>
        </is>
      </c>
      <c r="B7070" s="1" t="n">
        <v>45778</v>
      </c>
      <c r="C7070" s="1" t="n">
        <v>45792</v>
      </c>
      <c r="D7070" t="inlineStr">
        <is>
          <t>UPPSALA LÄN</t>
        </is>
      </c>
      <c r="E7070" t="inlineStr">
        <is>
          <t>ÖSTHAMMAR</t>
        </is>
      </c>
      <c r="G7070" t="n">
        <v>10.1</v>
      </c>
      <c r="H7070" t="n">
        <v>0</v>
      </c>
      <c r="I7070" t="n">
        <v>0</v>
      </c>
      <c r="J7070" t="n">
        <v>0</v>
      </c>
      <c r="K7070" t="n">
        <v>0</v>
      </c>
      <c r="L7070" t="n">
        <v>0</v>
      </c>
      <c r="M7070" t="n">
        <v>0</v>
      </c>
      <c r="N7070" t="n">
        <v>0</v>
      </c>
      <c r="O7070" t="n">
        <v>0</v>
      </c>
      <c r="P7070" t="n">
        <v>0</v>
      </c>
      <c r="Q7070" t="n">
        <v>0</v>
      </c>
      <c r="R7070" s="2" t="inlineStr"/>
    </row>
    <row r="7071" ht="15" customHeight="1">
      <c r="A7071" t="inlineStr">
        <is>
          <t>A 21281-2025</t>
        </is>
      </c>
      <c r="B7071" s="1" t="n">
        <v>45779</v>
      </c>
      <c r="C7071" s="1" t="n">
        <v>45792</v>
      </c>
      <c r="D7071" t="inlineStr">
        <is>
          <t>UPPSALA LÄN</t>
        </is>
      </c>
      <c r="E7071" t="inlineStr">
        <is>
          <t>UPPSALA</t>
        </is>
      </c>
      <c r="F7071" t="inlineStr">
        <is>
          <t>Övriga Aktiebolag</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45792</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21217-2025</t>
        </is>
      </c>
      <c r="B7073" s="1" t="n">
        <v>45779</v>
      </c>
      <c r="C7073" s="1" t="n">
        <v>45792</v>
      </c>
      <c r="D7073" t="inlineStr">
        <is>
          <t>UPPSALA LÄN</t>
        </is>
      </c>
      <c r="E7073" t="inlineStr">
        <is>
          <t>UPPSALA</t>
        </is>
      </c>
      <c r="F7073" t="inlineStr">
        <is>
          <t>Holmen skog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21473-2025</t>
        </is>
      </c>
      <c r="B7074" s="1" t="n">
        <v>45782</v>
      </c>
      <c r="C7074" s="1" t="n">
        <v>45792</v>
      </c>
      <c r="D7074" t="inlineStr">
        <is>
          <t>UPPSALA LÄN</t>
        </is>
      </c>
      <c r="E7074" t="inlineStr">
        <is>
          <t>TIERP</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21398-2025</t>
        </is>
      </c>
      <c r="B7075" s="1" t="n">
        <v>45782</v>
      </c>
      <c r="C7075" s="1" t="n">
        <v>45792</v>
      </c>
      <c r="D7075" t="inlineStr">
        <is>
          <t>UPPSALA LÄN</t>
        </is>
      </c>
      <c r="E7075" t="inlineStr">
        <is>
          <t>TIERP</t>
        </is>
      </c>
      <c r="F7075" t="inlineStr">
        <is>
          <t>Kyrkan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21325-2025</t>
        </is>
      </c>
      <c r="B7076" s="1" t="n">
        <v>45782</v>
      </c>
      <c r="C7076" s="1" t="n">
        <v>45792</v>
      </c>
      <c r="D7076" t="inlineStr">
        <is>
          <t>UPPSALA LÄN</t>
        </is>
      </c>
      <c r="E7076" t="inlineStr">
        <is>
          <t>TIERP</t>
        </is>
      </c>
      <c r="F7076" t="inlineStr">
        <is>
          <t>Bergvik skog öst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21345-2025</t>
        </is>
      </c>
      <c r="B7077" s="1" t="n">
        <v>45782</v>
      </c>
      <c r="C7077" s="1" t="n">
        <v>45792</v>
      </c>
      <c r="D7077" t="inlineStr">
        <is>
          <t>UPPSALA LÄN</t>
        </is>
      </c>
      <c r="E7077" t="inlineStr">
        <is>
          <t>TIERP</t>
        </is>
      </c>
      <c r="F7077" t="inlineStr">
        <is>
          <t>Bergvik skog öst AB</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21501-2025</t>
        </is>
      </c>
      <c r="B7078" s="1" t="n">
        <v>45782</v>
      </c>
      <c r="C7078" s="1" t="n">
        <v>45792</v>
      </c>
      <c r="D7078" t="inlineStr">
        <is>
          <t>UPPSALA LÄN</t>
        </is>
      </c>
      <c r="E7078" t="inlineStr">
        <is>
          <t>ENKÖPING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21635-2025</t>
        </is>
      </c>
      <c r="B7079" s="1" t="n">
        <v>45783</v>
      </c>
      <c r="C7079" s="1" t="n">
        <v>45792</v>
      </c>
      <c r="D7079" t="inlineStr">
        <is>
          <t>UPPSALA LÄN</t>
        </is>
      </c>
      <c r="E7079" t="inlineStr">
        <is>
          <t>TIERP</t>
        </is>
      </c>
      <c r="F7079" t="inlineStr">
        <is>
          <t>Bergvik skog öst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21636-2025</t>
        </is>
      </c>
      <c r="B7080" s="1" t="n">
        <v>45783</v>
      </c>
      <c r="C7080" s="1" t="n">
        <v>45792</v>
      </c>
      <c r="D7080" t="inlineStr">
        <is>
          <t>UPPSALA LÄN</t>
        </is>
      </c>
      <c r="E7080" t="inlineStr">
        <is>
          <t>TIERP</t>
        </is>
      </c>
      <c r="F7080" t="inlineStr">
        <is>
          <t>Bergvik skog öst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21782-2025</t>
        </is>
      </c>
      <c r="B7081" s="1" t="n">
        <v>45783</v>
      </c>
      <c r="C7081" s="1" t="n">
        <v>45792</v>
      </c>
      <c r="D7081" t="inlineStr">
        <is>
          <t>UPPSALA LÄN</t>
        </is>
      </c>
      <c r="E7081" t="inlineStr">
        <is>
          <t>TIERP</t>
        </is>
      </c>
      <c r="F7081" t="inlineStr">
        <is>
          <t>Bergvik skog öst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21748-2025</t>
        </is>
      </c>
      <c r="B7082" s="1" t="n">
        <v>45783</v>
      </c>
      <c r="C7082" s="1" t="n">
        <v>45792</v>
      </c>
      <c r="D7082" t="inlineStr">
        <is>
          <t>UPPSALA LÄN</t>
        </is>
      </c>
      <c r="E7082" t="inlineStr">
        <is>
          <t>UPPSALA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21889-2025</t>
        </is>
      </c>
      <c r="B7083" s="1" t="n">
        <v>45784</v>
      </c>
      <c r="C7083" s="1" t="n">
        <v>45792</v>
      </c>
      <c r="D7083" t="inlineStr">
        <is>
          <t>UPPSALA LÄN</t>
        </is>
      </c>
      <c r="E7083" t="inlineStr">
        <is>
          <t>TIERP</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21876-2025</t>
        </is>
      </c>
      <c r="B7084" s="1" t="n">
        <v>45784</v>
      </c>
      <c r="C7084" s="1" t="n">
        <v>45792</v>
      </c>
      <c r="D7084" t="inlineStr">
        <is>
          <t>UPPSALA LÄN</t>
        </is>
      </c>
      <c r="E7084" t="inlineStr">
        <is>
          <t>TIERP</t>
        </is>
      </c>
      <c r="F7084" t="inlineStr">
        <is>
          <t>Bergvik skog öst AB</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21970-2025</t>
        </is>
      </c>
      <c r="B7085" s="1" t="n">
        <v>45784</v>
      </c>
      <c r="C7085" s="1" t="n">
        <v>45792</v>
      </c>
      <c r="D7085" t="inlineStr">
        <is>
          <t>UPPSALA LÄN</t>
        </is>
      </c>
      <c r="E7085" t="inlineStr">
        <is>
          <t>ENKÖPING</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21936-2025</t>
        </is>
      </c>
      <c r="B7086" s="1" t="n">
        <v>45784</v>
      </c>
      <c r="C7086" s="1" t="n">
        <v>45792</v>
      </c>
      <c r="D7086" t="inlineStr">
        <is>
          <t>UPPSALA LÄN</t>
        </is>
      </c>
      <c r="E7086" t="inlineStr">
        <is>
          <t>UPPSALA</t>
        </is>
      </c>
      <c r="F7086" t="inlineStr">
        <is>
          <t>Bergvik skog öst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21905-2025</t>
        </is>
      </c>
      <c r="B7087" s="1" t="n">
        <v>45784</v>
      </c>
      <c r="C7087" s="1" t="n">
        <v>45792</v>
      </c>
      <c r="D7087" t="inlineStr">
        <is>
          <t>UPPSALA LÄN</t>
        </is>
      </c>
      <c r="E7087" t="inlineStr">
        <is>
          <t>TIERP</t>
        </is>
      </c>
      <c r="F7087" t="inlineStr">
        <is>
          <t>Bergvik skog öst AB</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22018-2025</t>
        </is>
      </c>
      <c r="B7088" s="1" t="n">
        <v>45784</v>
      </c>
      <c r="C7088" s="1" t="n">
        <v>45792</v>
      </c>
      <c r="D7088" t="inlineStr">
        <is>
          <t>UPPSALA LÄN</t>
        </is>
      </c>
      <c r="E7088" t="inlineStr">
        <is>
          <t>UPPSALA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22150-2025</t>
        </is>
      </c>
      <c r="B7089" s="1" t="n">
        <v>45785</v>
      </c>
      <c r="C7089" s="1" t="n">
        <v>45792</v>
      </c>
      <c r="D7089" t="inlineStr">
        <is>
          <t>UPPSALA LÄN</t>
        </is>
      </c>
      <c r="E7089" t="inlineStr">
        <is>
          <t>ENKÖPING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22223-2025</t>
        </is>
      </c>
      <c r="B7090" s="1" t="n">
        <v>45785</v>
      </c>
      <c r="C7090" s="1" t="n">
        <v>45792</v>
      </c>
      <c r="D7090" t="inlineStr">
        <is>
          <t>UPPSALA LÄN</t>
        </is>
      </c>
      <c r="E7090" t="inlineStr">
        <is>
          <t>ÄLVKARLEBY</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22135-2025</t>
        </is>
      </c>
      <c r="B7091" s="1" t="n">
        <v>45785</v>
      </c>
      <c r="C7091" s="1" t="n">
        <v>45792</v>
      </c>
      <c r="D7091" t="inlineStr">
        <is>
          <t>UPPSALA LÄN</t>
        </is>
      </c>
      <c r="E7091" t="inlineStr">
        <is>
          <t>TIERP</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22156-2025</t>
        </is>
      </c>
      <c r="B7092" s="1" t="n">
        <v>45785</v>
      </c>
      <c r="C7092" s="1" t="n">
        <v>45792</v>
      </c>
      <c r="D7092" t="inlineStr">
        <is>
          <t>UPPSALA LÄN</t>
        </is>
      </c>
      <c r="E7092" t="inlineStr">
        <is>
          <t>ENKÖPING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22149-2025</t>
        </is>
      </c>
      <c r="B7093" s="1" t="n">
        <v>45785</v>
      </c>
      <c r="C7093" s="1" t="n">
        <v>45792</v>
      </c>
      <c r="D7093" t="inlineStr">
        <is>
          <t>UPPSALA LÄN</t>
        </is>
      </c>
      <c r="E7093" t="inlineStr">
        <is>
          <t>ENKÖPING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22083-2025</t>
        </is>
      </c>
      <c r="B7094" s="1" t="n">
        <v>45785</v>
      </c>
      <c r="C7094" s="1" t="n">
        <v>45792</v>
      </c>
      <c r="D7094" t="inlineStr">
        <is>
          <t>UPPSALA LÄN</t>
        </is>
      </c>
      <c r="E7094" t="inlineStr">
        <is>
          <t>TIERP</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22483-2025</t>
        </is>
      </c>
      <c r="B7095" s="1" t="n">
        <v>45786</v>
      </c>
      <c r="C7095" s="1" t="n">
        <v>45792</v>
      </c>
      <c r="D7095" t="inlineStr">
        <is>
          <t>UPPSALA LÄN</t>
        </is>
      </c>
      <c r="E7095" t="inlineStr">
        <is>
          <t>ÖSTHAMMAR</t>
        </is>
      </c>
      <c r="F7095" t="inlineStr">
        <is>
          <t>Bergvik skog öst AB</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22529-2025</t>
        </is>
      </c>
      <c r="B7096" s="1" t="n">
        <v>45786</v>
      </c>
      <c r="C7096" s="1" t="n">
        <v>45792</v>
      </c>
      <c r="D7096" t="inlineStr">
        <is>
          <t>UPPSALA LÄN</t>
        </is>
      </c>
      <c r="E7096" t="inlineStr">
        <is>
          <t>TIERP</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22327-2025</t>
        </is>
      </c>
      <c r="B7097" s="1" t="n">
        <v>45786</v>
      </c>
      <c r="C7097" s="1" t="n">
        <v>45792</v>
      </c>
      <c r="D7097" t="inlineStr">
        <is>
          <t>UPPSALA LÄN</t>
        </is>
      </c>
      <c r="E7097" t="inlineStr">
        <is>
          <t>HEBY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22333-2025</t>
        </is>
      </c>
      <c r="B7098" s="1" t="n">
        <v>45786</v>
      </c>
      <c r="C7098" s="1" t="n">
        <v>45792</v>
      </c>
      <c r="D7098" t="inlineStr">
        <is>
          <t>UPPSALA LÄN</t>
        </is>
      </c>
      <c r="E7098" t="inlineStr">
        <is>
          <t>HEBY</t>
        </is>
      </c>
      <c r="F7098" t="inlineStr">
        <is>
          <t>Kyrkan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22334-2025</t>
        </is>
      </c>
      <c r="B7099" s="1" t="n">
        <v>45786</v>
      </c>
      <c r="C7099" s="1" t="n">
        <v>45792</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22488-2025</t>
        </is>
      </c>
      <c r="B7100" s="1" t="n">
        <v>45786</v>
      </c>
      <c r="C7100" s="1" t="n">
        <v>45792</v>
      </c>
      <c r="D7100" t="inlineStr">
        <is>
          <t>UPPSALA LÄN</t>
        </is>
      </c>
      <c r="E7100" t="inlineStr">
        <is>
          <t>ÖSTHAMMAR</t>
        </is>
      </c>
      <c r="F7100" t="inlineStr">
        <is>
          <t>Bergvik skog öst AB</t>
        </is>
      </c>
      <c r="G7100" t="n">
        <v>14.9</v>
      </c>
      <c r="H7100" t="n">
        <v>0</v>
      </c>
      <c r="I7100" t="n">
        <v>0</v>
      </c>
      <c r="J7100" t="n">
        <v>0</v>
      </c>
      <c r="K7100" t="n">
        <v>0</v>
      </c>
      <c r="L7100" t="n">
        <v>0</v>
      </c>
      <c r="M7100" t="n">
        <v>0</v>
      </c>
      <c r="N7100" t="n">
        <v>0</v>
      </c>
      <c r="O7100" t="n">
        <v>0</v>
      </c>
      <c r="P7100" t="n">
        <v>0</v>
      </c>
      <c r="Q7100" t="n">
        <v>0</v>
      </c>
      <c r="R7100" s="2" t="inlineStr"/>
    </row>
    <row r="7101" ht="15" customHeight="1">
      <c r="A7101" t="inlineStr">
        <is>
          <t>A 22455-2025</t>
        </is>
      </c>
      <c r="B7101" s="1" t="n">
        <v>45786</v>
      </c>
      <c r="C7101" s="1" t="n">
        <v>45792</v>
      </c>
      <c r="D7101" t="inlineStr">
        <is>
          <t>UPPSALA LÄN</t>
        </is>
      </c>
      <c r="E7101" t="inlineStr">
        <is>
          <t>HEBY</t>
        </is>
      </c>
      <c r="F7101" t="inlineStr">
        <is>
          <t>Kyrkan</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22492-2025</t>
        </is>
      </c>
      <c r="B7102" s="1" t="n">
        <v>45786</v>
      </c>
      <c r="C7102" s="1" t="n">
        <v>45792</v>
      </c>
      <c r="D7102" t="inlineStr">
        <is>
          <t>UPPSALA LÄN</t>
        </is>
      </c>
      <c r="E7102" t="inlineStr">
        <is>
          <t>ÖSTHAMMAR</t>
        </is>
      </c>
      <c r="F7102" t="inlineStr">
        <is>
          <t>Bergvik skog öst AB</t>
        </is>
      </c>
      <c r="G7102" t="n">
        <v>16.6</v>
      </c>
      <c r="H7102" t="n">
        <v>0</v>
      </c>
      <c r="I7102" t="n">
        <v>0</v>
      </c>
      <c r="J7102" t="n">
        <v>0</v>
      </c>
      <c r="K7102" t="n">
        <v>0</v>
      </c>
      <c r="L7102" t="n">
        <v>0</v>
      </c>
      <c r="M7102" t="n">
        <v>0</v>
      </c>
      <c r="N7102" t="n">
        <v>0</v>
      </c>
      <c r="O7102" t="n">
        <v>0</v>
      </c>
      <c r="P7102" t="n">
        <v>0</v>
      </c>
      <c r="Q7102" t="n">
        <v>0</v>
      </c>
      <c r="R7102" s="2" t="inlineStr"/>
    </row>
    <row r="7103" ht="15" customHeight="1">
      <c r="A7103" t="inlineStr">
        <is>
          <t>A 22392-2025</t>
        </is>
      </c>
      <c r="B7103" s="1" t="n">
        <v>45786</v>
      </c>
      <c r="C7103" s="1" t="n">
        <v>45792</v>
      </c>
      <c r="D7103" t="inlineStr">
        <is>
          <t>UPPSALA LÄN</t>
        </is>
      </c>
      <c r="E7103" t="inlineStr">
        <is>
          <t>TIERP</t>
        </is>
      </c>
      <c r="F7103" t="inlineStr">
        <is>
          <t>Bergvik skog öst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22525-2025</t>
        </is>
      </c>
      <c r="B7104" s="1" t="n">
        <v>45786</v>
      </c>
      <c r="C7104" s="1" t="n">
        <v>45792</v>
      </c>
      <c r="D7104" t="inlineStr">
        <is>
          <t>UPPSALA LÄN</t>
        </is>
      </c>
      <c r="E7104" t="inlineStr">
        <is>
          <t>HÅBO</t>
        </is>
      </c>
      <c r="F7104" t="inlineStr">
        <is>
          <t>Kyrkan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22460-2025</t>
        </is>
      </c>
      <c r="B7105" s="1" t="n">
        <v>45786</v>
      </c>
      <c r="C7105" s="1" t="n">
        <v>45792</v>
      </c>
      <c r="D7105" t="inlineStr">
        <is>
          <t>UPPSALA LÄN</t>
        </is>
      </c>
      <c r="E7105" t="inlineStr">
        <is>
          <t>HEBY</t>
        </is>
      </c>
      <c r="F7105" t="inlineStr">
        <is>
          <t>Kyrkan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22524-2025</t>
        </is>
      </c>
      <c r="B7106" s="1" t="n">
        <v>45786</v>
      </c>
      <c r="C7106" s="1" t="n">
        <v>45792</v>
      </c>
      <c r="D7106" t="inlineStr">
        <is>
          <t>UPPSALA LÄN</t>
        </is>
      </c>
      <c r="E7106" t="inlineStr">
        <is>
          <t>HÅBO</t>
        </is>
      </c>
      <c r="F7106" t="inlineStr">
        <is>
          <t>Kyrkan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22528-2025</t>
        </is>
      </c>
      <c r="B7107" s="1" t="n">
        <v>45786</v>
      </c>
      <c r="C7107" s="1" t="n">
        <v>45792</v>
      </c>
      <c r="D7107" t="inlineStr">
        <is>
          <t>UPPSALA LÄN</t>
        </is>
      </c>
      <c r="E7107" t="inlineStr">
        <is>
          <t>TIERP</t>
        </is>
      </c>
      <c r="F7107" t="inlineStr">
        <is>
          <t>Övriga Aktiebolag</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22677-2025</t>
        </is>
      </c>
      <c r="B7108" s="1" t="n">
        <v>45789</v>
      </c>
      <c r="C7108" s="1" t="n">
        <v>45792</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22769-2025</t>
        </is>
      </c>
      <c r="B7109" s="1" t="n">
        <v>45789</v>
      </c>
      <c r="C7109" s="1" t="n">
        <v>45792</v>
      </c>
      <c r="D7109" t="inlineStr">
        <is>
          <t>UPPSALA LÄN</t>
        </is>
      </c>
      <c r="E7109" t="inlineStr">
        <is>
          <t>TIERP</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22729-2025</t>
        </is>
      </c>
      <c r="B7110" s="1" t="n">
        <v>45789</v>
      </c>
      <c r="C7110" s="1" t="n">
        <v>45792</v>
      </c>
      <c r="D7110" t="inlineStr">
        <is>
          <t>UPPSALA LÄN</t>
        </is>
      </c>
      <c r="E7110" t="inlineStr">
        <is>
          <t>ENKÖPING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22680-2025</t>
        </is>
      </c>
      <c r="B7111" s="1" t="n">
        <v>45789</v>
      </c>
      <c r="C7111" s="1" t="n">
        <v>45792</v>
      </c>
      <c r="D7111" t="inlineStr">
        <is>
          <t>UPPSALA LÄN</t>
        </is>
      </c>
      <c r="E7111" t="inlineStr">
        <is>
          <t>ENKÖPING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22795-2025</t>
        </is>
      </c>
      <c r="B7112" s="1" t="n">
        <v>45789</v>
      </c>
      <c r="C7112" s="1" t="n">
        <v>45792</v>
      </c>
      <c r="D7112" t="inlineStr">
        <is>
          <t>UPPSALA LÄN</t>
        </is>
      </c>
      <c r="E7112" t="inlineStr">
        <is>
          <t>ENKÖPING</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22632-2025</t>
        </is>
      </c>
      <c r="B7113" s="1" t="n">
        <v>45789</v>
      </c>
      <c r="C7113" s="1" t="n">
        <v>45792</v>
      </c>
      <c r="D7113" t="inlineStr">
        <is>
          <t>UPPSALA LÄN</t>
        </is>
      </c>
      <c r="E7113" t="inlineStr">
        <is>
          <t>ENKÖPING</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22793-2025</t>
        </is>
      </c>
      <c r="B7114" s="1" t="n">
        <v>45789</v>
      </c>
      <c r="C7114" s="1" t="n">
        <v>45792</v>
      </c>
      <c r="D7114" t="inlineStr">
        <is>
          <t>UPPSALA LÄN</t>
        </is>
      </c>
      <c r="E7114" t="inlineStr">
        <is>
          <t>ENKÖPING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22802-2025</t>
        </is>
      </c>
      <c r="B7115" s="1" t="n">
        <v>45789</v>
      </c>
      <c r="C7115" s="1" t="n">
        <v>45792</v>
      </c>
      <c r="D7115" t="inlineStr">
        <is>
          <t>UPPSALA LÄN</t>
        </is>
      </c>
      <c r="E7115" t="inlineStr">
        <is>
          <t>ENKÖPING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22796-2025</t>
        </is>
      </c>
      <c r="B7116" s="1" t="n">
        <v>45789</v>
      </c>
      <c r="C7116" s="1" t="n">
        <v>45792</v>
      </c>
      <c r="D7116" t="inlineStr">
        <is>
          <t>UPPSALA LÄN</t>
        </is>
      </c>
      <c r="E7116" t="inlineStr">
        <is>
          <t>ENKÖPING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22800-2025</t>
        </is>
      </c>
      <c r="B7117" s="1" t="n">
        <v>45789</v>
      </c>
      <c r="C7117" s="1" t="n">
        <v>45792</v>
      </c>
      <c r="D7117" t="inlineStr">
        <is>
          <t>UPPSALA LÄN</t>
        </is>
      </c>
      <c r="E7117" t="inlineStr">
        <is>
          <t>ENKÖPING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22725-2025</t>
        </is>
      </c>
      <c r="B7118" s="1" t="n">
        <v>45789</v>
      </c>
      <c r="C7118" s="1" t="n">
        <v>45792</v>
      </c>
      <c r="D7118" t="inlineStr">
        <is>
          <t>UPPSALA LÄN</t>
        </is>
      </c>
      <c r="E7118" t="inlineStr">
        <is>
          <t>ENKÖPING</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22770-2025</t>
        </is>
      </c>
      <c r="B7119" s="1" t="n">
        <v>45789</v>
      </c>
      <c r="C7119" s="1" t="n">
        <v>45792</v>
      </c>
      <c r="D7119" t="inlineStr">
        <is>
          <t>UPPSALA LÄN</t>
        </is>
      </c>
      <c r="E7119" t="inlineStr">
        <is>
          <t>ENKÖPING</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22786-2025</t>
        </is>
      </c>
      <c r="B7120" s="1" t="n">
        <v>45789</v>
      </c>
      <c r="C7120" s="1" t="n">
        <v>45792</v>
      </c>
      <c r="D7120" t="inlineStr">
        <is>
          <t>UPPSALA LÄN</t>
        </is>
      </c>
      <c r="E7120" t="inlineStr">
        <is>
          <t>ENKÖPING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22679-2025</t>
        </is>
      </c>
      <c r="B7121" s="1" t="n">
        <v>45789</v>
      </c>
      <c r="C7121" s="1" t="n">
        <v>45792</v>
      </c>
      <c r="D7121" t="inlineStr">
        <is>
          <t>UPPSALA LÄN</t>
        </is>
      </c>
      <c r="E7121" t="inlineStr">
        <is>
          <t>ENKÖPING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23020-2025</t>
        </is>
      </c>
      <c r="B7122" s="1" t="n">
        <v>45790</v>
      </c>
      <c r="C7122" s="1" t="n">
        <v>45792</v>
      </c>
      <c r="D7122" t="inlineStr">
        <is>
          <t>UPPSALA LÄN</t>
        </is>
      </c>
      <c r="E7122" t="inlineStr">
        <is>
          <t>ENKÖPING</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22981-2025</t>
        </is>
      </c>
      <c r="B7123" s="1" t="n">
        <v>45790</v>
      </c>
      <c r="C7123" s="1" t="n">
        <v>45792</v>
      </c>
      <c r="D7123" t="inlineStr">
        <is>
          <t>UPPSALA LÄN</t>
        </is>
      </c>
      <c r="E7123" t="inlineStr">
        <is>
          <t>ENKÖPING</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22951-2025</t>
        </is>
      </c>
      <c r="B7124" s="1" t="n">
        <v>45790</v>
      </c>
      <c r="C7124" s="1" t="n">
        <v>45792</v>
      </c>
      <c r="D7124" t="inlineStr">
        <is>
          <t>UPPSALA LÄN</t>
        </is>
      </c>
      <c r="E7124" t="inlineStr">
        <is>
          <t>UPPSALA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22930-2025</t>
        </is>
      </c>
      <c r="B7125" s="1" t="n">
        <v>45790</v>
      </c>
      <c r="C7125" s="1" t="n">
        <v>45792</v>
      </c>
      <c r="D7125" t="inlineStr">
        <is>
          <t>UPPSALA LÄN</t>
        </is>
      </c>
      <c r="E7125" t="inlineStr">
        <is>
          <t>UPPSALA</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22953-2025</t>
        </is>
      </c>
      <c r="B7126" s="1" t="n">
        <v>45790</v>
      </c>
      <c r="C7126" s="1" t="n">
        <v>45792</v>
      </c>
      <c r="D7126" t="inlineStr">
        <is>
          <t>UPPSALA LÄN</t>
        </is>
      </c>
      <c r="E7126" t="inlineStr">
        <is>
          <t>UPPSALA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23312-2025</t>
        </is>
      </c>
      <c r="B7127" s="1" t="n">
        <v>45791</v>
      </c>
      <c r="C7127" s="1" t="n">
        <v>45792</v>
      </c>
      <c r="D7127" t="inlineStr">
        <is>
          <t>UPPSALA LÄN</t>
        </is>
      </c>
      <c r="E7127" t="inlineStr">
        <is>
          <t>TIERP</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23204-2025</t>
        </is>
      </c>
      <c r="B7128" s="1" t="n">
        <v>45791</v>
      </c>
      <c r="C7128" s="1" t="n">
        <v>45792</v>
      </c>
      <c r="D7128" t="inlineStr">
        <is>
          <t>UPPSALA LÄN</t>
        </is>
      </c>
      <c r="E7128" t="inlineStr">
        <is>
          <t>TIERP</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23198-2025</t>
        </is>
      </c>
      <c r="B7129" s="1" t="n">
        <v>45791</v>
      </c>
      <c r="C7129" s="1" t="n">
        <v>45792</v>
      </c>
      <c r="D7129" t="inlineStr">
        <is>
          <t>UPPSALA LÄN</t>
        </is>
      </c>
      <c r="E7129" t="inlineStr">
        <is>
          <t>TIERP</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23201-2025</t>
        </is>
      </c>
      <c r="B7130" s="1" t="n">
        <v>45791</v>
      </c>
      <c r="C7130" s="1" t="n">
        <v>45792</v>
      </c>
      <c r="D7130" t="inlineStr">
        <is>
          <t>UPPSALA LÄN</t>
        </is>
      </c>
      <c r="E7130" t="inlineStr">
        <is>
          <t>TIERP</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23370-2025</t>
        </is>
      </c>
      <c r="B7131" s="1" t="n">
        <v>45791</v>
      </c>
      <c r="C7131" s="1" t="n">
        <v>45792</v>
      </c>
      <c r="D7131" t="inlineStr">
        <is>
          <t>UPPSALA LÄN</t>
        </is>
      </c>
      <c r="E7131" t="inlineStr">
        <is>
          <t>HÅBO</t>
        </is>
      </c>
      <c r="G7131" t="n">
        <v>3.8</v>
      </c>
      <c r="H7131" t="n">
        <v>0</v>
      </c>
      <c r="I7131" t="n">
        <v>0</v>
      </c>
      <c r="J7131" t="n">
        <v>0</v>
      </c>
      <c r="K7131" t="n">
        <v>0</v>
      </c>
      <c r="L7131" t="n">
        <v>0</v>
      </c>
      <c r="M7131" t="n">
        <v>0</v>
      </c>
      <c r="N7131" t="n">
        <v>0</v>
      </c>
      <c r="O7131" t="n">
        <v>0</v>
      </c>
      <c r="P7131" t="n">
        <v>0</v>
      </c>
      <c r="Q7131" t="n">
        <v>0</v>
      </c>
      <c r="R7131" s="2" t="inlineStr"/>
    </row>
    <row r="7132">
      <c r="A7132" t="inlineStr">
        <is>
          <t>A 23305-2025</t>
        </is>
      </c>
      <c r="B7132" s="1" t="n">
        <v>45791</v>
      </c>
      <c r="C7132" s="1" t="n">
        <v>45792</v>
      </c>
      <c r="D7132" t="inlineStr">
        <is>
          <t>UPPSALA LÄN</t>
        </is>
      </c>
      <c r="E7132" t="inlineStr">
        <is>
          <t>ÖSTHAMMAR</t>
        </is>
      </c>
      <c r="G7132" t="n">
        <v>1.9</v>
      </c>
      <c r="H7132" t="n">
        <v>0</v>
      </c>
      <c r="I7132" t="n">
        <v>0</v>
      </c>
      <c r="J7132" t="n">
        <v>0</v>
      </c>
      <c r="K7132" t="n">
        <v>0</v>
      </c>
      <c r="L7132" t="n">
        <v>0</v>
      </c>
      <c r="M7132" t="n">
        <v>0</v>
      </c>
      <c r="N7132" t="n">
        <v>0</v>
      </c>
      <c r="O7132" t="n">
        <v>0</v>
      </c>
      <c r="P7132" t="n">
        <v>0</v>
      </c>
      <c r="Q7132" t="n">
        <v>0</v>
      </c>
      <c r="R7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2025-05-15T16:45:56Z</dcterms:created>
  <dcterms:modified xmlns:dcterms="http://purl.org/dc/terms/" xmlns:xsi="http://www.w3.org/2001/XMLSchema-instance" xsi:type="dcterms:W3CDTF">2025-05-15T16:46:03Z</dcterms:modified>
</cp:coreProperties>
</file>