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45353</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45353</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45353</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45353</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45353</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45353</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45353</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45353</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45353</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45353</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45353</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45353</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45353</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45353</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45353</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45353</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45353</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45353</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45353</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45353</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45353</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45353</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45353</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45353</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45353</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45353</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45353</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45353</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45353</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45353</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45353</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45353</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45353</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45353</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45353</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45353</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45353</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45353</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45353</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45353</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45353</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45353</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45353</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45353</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45353</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45353</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45353</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45353</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45353</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45353</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45353</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45353</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45353</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45353</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45353</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45353</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45353</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45353</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45353</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45353</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45353</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45353</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45353</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45353</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45353</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45353</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45353</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45353</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45353</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45353</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45353</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45353</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45353</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45353</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45353</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45353</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45353</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45353</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45353</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45353</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45353</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45353</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45353</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45353</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45353</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45353</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45353</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45353</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45353</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45353</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45353</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45353</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45353</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45353</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45353</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45353</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45353</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45353</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45353</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45353</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45353</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45353</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45353</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45353</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45353</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45353</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45353</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45353</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45353</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45353</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45353</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45353</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45353</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45353</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45353</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45353</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45353</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45353</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45353</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45353</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45353</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45353</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45353</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45353</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45353</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45353</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45353</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45353</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45353</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45353</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45353</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45353</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45353</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45353</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45353</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45353</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45353</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45353</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45353</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45353</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45353</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45353</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45353</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45353</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45353</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45353</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45353</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45353</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45353</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45353</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45353</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45353</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45353</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45353</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45353</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45353</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45353</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45353</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45353</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45353</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45353</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45353</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45353</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45353</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45353</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45353</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45353</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45353</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45353</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45353</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45353</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45353</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45353</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45353</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45353</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45353</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45353</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45353</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45353</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45353</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45353</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45353</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45353</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45353</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45353</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45353</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45353</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45353</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45353</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45353</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45353</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45353</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45353</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45353</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45353</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45353</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45353</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45353</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45353</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45353</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45353</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45353</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45353</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45353</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45353</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45353</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45353</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45353</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45353</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45353</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45353</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45353</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45353</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45353</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45353</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45353</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45353</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45353</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45353</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45353</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45353</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45353</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45353</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45353</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45353</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45353</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45353</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45353</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45353</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45353</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45353</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45353</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45353</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45353</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45353</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45353</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45353</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45353</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45353</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45353</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45353</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45353</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45353</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45353</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45353</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45353</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45353</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45353</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45353</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45353</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45353</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45353</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45353</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45353</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45353</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45353</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45353</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45353</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45353</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45353</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45353</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45353</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45353</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45353</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45353</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45353</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45353</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45353</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45353</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45353</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45353</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45353</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45353</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45353</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45353</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45353</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45353</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45353</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45353</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45353</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45353</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45353</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45353</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45353</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45353</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45353</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45353</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45353</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45353</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45353</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45353</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45353</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45353</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45353</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45353</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45353</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45353</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45353</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45353</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45353</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45353</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45353</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45353</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45353</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45353</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45353</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45353</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45353</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45353</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45353</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45353</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45353</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45353</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45353</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45353</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45353</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45353</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45353</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45353</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45353</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45353</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45353</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45353</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45353</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45353</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45353</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45353</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45353</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45353</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45353</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45353</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45353</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45353</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45353</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45353</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45353</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45353</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45353</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45353</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45353</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45353</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45353</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45353</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45353</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45353</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45353</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45353</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45353</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45353</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45353</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45353</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45353</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45353</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45353</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45353</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45353</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45353</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45353</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45353</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45353</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45353</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45353</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45353</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45353</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45353</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45353</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45353</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45353</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45353</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45353</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45353</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45353</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45353</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45353</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45353</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45353</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45353</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45353</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45353</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45353</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45353</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45353</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45353</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45353</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45353</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45353</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45353</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45353</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45353</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45353</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45353</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45353</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45353</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45353</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45353</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45353</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45353</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45353</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45353</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45353</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45353</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45353</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45353</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45353</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45353</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45353</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45353</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45353</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45353</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45353</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45353</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45353</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45353</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45353</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45353</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45353</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45353</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45353</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45353</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45353</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45353</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45353</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45353</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45353</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45353</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45353</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45353</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45353</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45353</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45353</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45353</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45353</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45353</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45353</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45353</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45353</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45353</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45353</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45353</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45353</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45353</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45353</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45353</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45353</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45353</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45353</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45353</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45353</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45353</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45353</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45353</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45353</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45353</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45353</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45353</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45353</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45353</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45353</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45353</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45353</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45353</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45353</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45353</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45353</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45353</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45353</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45353</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45353</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45353</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45353</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45353</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45353</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45353</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45353</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45353</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45353</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45353</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45353</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45353</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45353</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45353</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45353</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45353</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45353</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45353</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45353</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45353</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45353</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45353</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45353</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45353</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45353</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45353</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45353</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45353</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45353</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45353</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45353</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45353</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45353</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45353</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45353</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45353</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45353</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45353</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45353</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45353</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45353</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45353</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45353</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45353</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45353</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45353</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45353</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45353</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45353</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45353</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7395-2024</t>
        </is>
      </c>
      <c r="B523" s="1" t="n">
        <v>45345</v>
      </c>
      <c r="C523" s="1" t="n">
        <v>45353</v>
      </c>
      <c r="D523" t="inlineStr">
        <is>
          <t>UPPSALA LÄN</t>
        </is>
      </c>
      <c r="E523" t="inlineStr">
        <is>
          <t>UPPSALA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HYPERLINK("https://klasma.github.io/Logging_0380/artfynd/A 7395-2024 artfynd.xlsx", "A 7395-2024")</f>
        <v/>
      </c>
      <c r="T523">
        <f>HYPERLINK("https://klasma.github.io/Logging_0380/kartor/A 7395-2024 karta.png", "A 7395-2024")</f>
        <v/>
      </c>
      <c r="U523">
        <f>HYPERLINK("https://klasma.github.io/Logging_0380/knärot/A 7395-2024 karta knärot.png", "A 7395-2024")</f>
        <v/>
      </c>
      <c r="V523">
        <f>HYPERLINK("https://klasma.github.io/Logging_0380/klagomål/A 7395-2024 FSC-klagomål.docx", "A 7395-2024")</f>
        <v/>
      </c>
      <c r="W523">
        <f>HYPERLINK("https://klasma.github.io/Logging_0380/klagomålsmail/A 7395-2024 FSC-klagomål mail.docx", "A 7395-2024")</f>
        <v/>
      </c>
      <c r="X523">
        <f>HYPERLINK("https://klasma.github.io/Logging_0380/tillsyn/A 7395-2024 tillsynsbegäran.docx", "A 7395-2024")</f>
        <v/>
      </c>
      <c r="Y523">
        <f>HYPERLINK("https://klasma.github.io/Logging_0380/tillsynsmail/A 7395-2024 tillsynsbegäran mail.docx", "A 7395-2024")</f>
        <v/>
      </c>
    </row>
    <row r="524" ht="15" customHeight="1">
      <c r="A524" t="inlineStr">
        <is>
          <t>A 7397-2024</t>
        </is>
      </c>
      <c r="B524" s="1" t="n">
        <v>45345</v>
      </c>
      <c r="C524" s="1" t="n">
        <v>45353</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34674-2018</t>
        </is>
      </c>
      <c r="B525" s="1" t="n">
        <v>43320</v>
      </c>
      <c r="C525" s="1" t="n">
        <v>45353</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45353</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45353</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45353</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45353</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45353</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45353</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45353</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45353</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45353</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45353</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45353</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45353</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45353</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45353</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45353</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45353</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45353</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45353</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45353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45353</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45353</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45353</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45353</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45353</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45353</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45353</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45353</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45353</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45353</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45353</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45353</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45353</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45353</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45353</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45353</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45353</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45353</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45353</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45353</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45353</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45353</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45353</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45353</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45353</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45353</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45353</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45353</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45353</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45353</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45353</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45353</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45353</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45353</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45353</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45353</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45353</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45353</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45353</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45353</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45353</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45353</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45353</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45353</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45353</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45353</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45353</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45353</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45353</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45353</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45353</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45353</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45353</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45353</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45353</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45353</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45353</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45353</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45353</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45353</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45353</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45353</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45353</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45353</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45353</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45353</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45353</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45353</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45353</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45353</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45353</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45353</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45353</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45353</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45353</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45353</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45353</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45353</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45353</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45353</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45353</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45353</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45353</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45353</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45353</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45353</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45353</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45353</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45353</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45353</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45353</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45353</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45353</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45353</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45353</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45353</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45353</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45353</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45353</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45353</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45353</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45353</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45353</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45353</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45353</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45353</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45353</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45353</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45353</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45353</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45353</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45353</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45353</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45353</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45353</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45353</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45353</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45353</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45353</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45353</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45353</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45353</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45353</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45353</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45353</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45353</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45353</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45353</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45353</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45353</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45353</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45353</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45353</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45353</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45353</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45353</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45353</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45353</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45353</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45353</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45353</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45353</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45353</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45353</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45353</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45353</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45353</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45353</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45353</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45353</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45353</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45353</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45353</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45353</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45353</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45353</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45353</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45353</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45353</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45353</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45353</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45353</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45353</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45353</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45353</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45353</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45353</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45353</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45353</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45353</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45353</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45353</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45353</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45353</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45353</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45353</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45353</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45353</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45353</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45353</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45353</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45353</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45353</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45353</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45353</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45353</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45353</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45353</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45353</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45353</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45353</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45353</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45353</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45353</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45353</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45353</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45353</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45353</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45353</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45353</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45353</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45353</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45353</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45353</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45353</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45353</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45353</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45353</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45353</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45353</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45353</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45353</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45353</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45353</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45353</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45353</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45353</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45353</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45353</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45353</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45353</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45353</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45353</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45353</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45353</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45353</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45353</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45353</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45353</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45353</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45353</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45353</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45353</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45353</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45353</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45353</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45353</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45353</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45353</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45353</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45353</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45353</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45353</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45353</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45353</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45353</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45353</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45353</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45353</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45353</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45353</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45353</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45353</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45353</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45353</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45353</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45353</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45353</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45353</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45353</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45353</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45353</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45353</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45353</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45353</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45353</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45353</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45353</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45353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45353</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45353</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45353</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45353</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45353</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45353</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45353</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45353</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45353</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45353</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45353</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45353</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45353</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45353</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45353</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45353</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45353</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45353</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45353</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45353</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45353</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45353</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45353</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45353</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45353</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45353</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45353</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45353</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45353</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45353</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45353</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45353</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45353</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45353</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45353</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45353</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45353</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45353</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45353</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45353</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45353</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45353</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45353</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45353</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45353</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45353</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45353</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45353</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45353</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45353</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45353</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45353</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45353</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45353</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45353</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45353</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45353</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45353</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45353</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45353</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45353</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45353</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45353</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45353</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45353</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45353</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45353</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45353</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45353</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45353</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45353</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45353</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45353</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45353</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45353</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45353</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45353</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45353</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45353</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45353</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45353</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45353</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45353</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45353</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45353</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45353</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45353</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45353</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45353</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45353</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45353</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45353</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45353</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45353</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45353</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45353</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45353</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45353</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45353</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45353</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45353</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45353</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45353</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45353</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45353</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45353</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45353</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45353</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45353</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45353</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45353</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45353</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45353</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45353</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45353</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45353</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45353</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45353</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45353</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45353</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45353</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45353</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45353</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45353</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45353</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45353</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45353</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45353</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45353</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45353</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45353</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45353</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45353</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45353</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45353</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45353</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45353</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45353</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45353</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45353</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45353</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45353</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45353</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45353</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45353</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45353</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45353</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45353</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45353</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45353</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45353</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45353</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45353</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45353</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45353</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45353</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45353</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45353</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45353</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45353</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45353</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45353</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45353</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45353</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45353</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45353</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45353</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45353</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45353</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45353</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45353</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45353</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45353</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45353</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45353</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45353</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45353</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45353</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45353</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45353</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45353</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45353</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45353</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45353</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45353</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45353</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45353</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45353</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45353</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45353</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45353</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45353</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45353</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45353</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45353</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45353</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45353</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45353</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45353</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45353</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45353</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45353</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45353</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45353</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45353</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45353</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45353</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45353</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45353</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45353</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45353</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45353</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45353</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45353</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45353</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45353</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45353</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45353</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45353</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45353</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45353</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45353</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45353</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45353</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45353</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45353</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45353</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45353</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45353</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45353</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45353</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45353</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45353</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45353</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45353</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45353</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45353</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45353</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45353</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45353</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45353</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45353</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45353</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45353</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45353</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45353</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45353</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45353</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45353</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45353</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45353</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45353</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45353</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45353</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45353</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45353</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45353</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45353</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45353</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45353</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45353</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45353</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45353</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45353</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45353</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45353</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45353</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45353</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45353</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45353</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45353</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45353</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45353</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45353</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45353</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45353</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45353</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45353</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45353</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45353</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45353</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45353</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45353</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45353</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45353</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45353</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45353</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45353</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45353</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45353</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45353</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45353</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45353</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45353</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45353</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45353</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45353</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45353</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45353</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45353</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45353</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45353</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45353</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45353</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45353</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45353</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45353</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45353</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45353</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45353</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45353</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45353</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45353</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45353</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45353</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45353</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45353</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45353</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45353</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45353</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45353</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45353</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45353</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45353</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45353</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45353</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45353</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45353</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45353</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45353</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45353</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45353</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45353</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45353</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45353</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45353</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45353</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45353</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45353</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45353</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45353</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45353</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45353</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45353</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45353</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45353</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45353</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45353</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45353</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45353</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45353</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45353</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45353</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45353</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45353</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45353</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45353</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45353</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45353</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45353</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45353</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45353</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45353</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45353</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45353</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45353</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45353</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45353</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45353</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45353</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45353</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45353</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45353</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45353</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45353</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45353</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45353</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45353</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45353</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45353</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45353</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45353</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45353</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45353</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45353</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45353</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45353</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45353</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45353</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45353</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45353</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45353</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45353</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45353</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45353</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45353</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45353</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45353</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45353</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45353</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45353</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45353</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45353</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45353</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45353</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45353</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45353</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45353</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45353</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45353</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45353</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45353</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45353</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45353</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45353</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45353</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45353</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45353</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45353</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45353</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45353</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45353</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45353</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45353</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45353</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45353</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45353</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45353</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45353</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45353</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45353</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45353</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45353</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45353</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45353</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45353</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45353</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45353</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45353</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45353</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45353</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45353</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45353</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45353</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45353</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45353</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45353</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45353</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45353</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45353</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45353</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45353</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45353</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45353</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45353</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45353</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45353</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45353</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45353</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45353</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45353</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45353</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45353</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45353</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45353</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45353</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45353</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45353</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45353</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45353</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45353</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45353</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45353</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45353</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45353</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45353</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45353</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45353</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45353</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45353</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45353</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45353</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45353</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45353</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45353</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45353</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45353</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45353</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45353</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45353</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45353</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45353</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45353</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45353</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45353</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45353</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45353</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45353</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45353</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45353</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45353</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45353</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45353</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45353</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45353</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45353</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45353</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45353</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45353</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45353</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45353</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45353</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45353</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45353</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45353</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45353</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45353</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45353</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45353</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45353</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45353</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45353</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45353</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45353</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45353</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45353</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45353</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45353</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45353</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45353</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45353</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45353</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45353</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45353</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45353</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45353</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45353</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45353</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45353</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45353</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45353</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45353</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45353</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45353</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45353</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45353</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45353</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45353</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45353</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45353</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45353</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45353</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45353</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45353</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45353</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45353</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45353</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45353</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45353</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45353</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45353</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45353</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45353</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45353</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45353</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45353</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45353</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45353</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45353</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45353</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45353</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45353</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45353</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45353</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45353</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45353</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45353</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45353</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45353</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45353</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45353</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45353</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45353</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45353</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45353</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45353</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45353</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45353</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45353</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45353</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45353</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45353</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45353</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45353</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45353</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45353</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45353</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45353</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45353</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45353</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45353</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45353</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45353</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45353</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45353</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45353</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45353</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45353</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45353</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45353</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45353</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45353</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45353</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45353</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45353</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45353</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45353</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45353</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45353</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45353</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45353</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45353</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45353</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45353</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45353</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45353</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45353</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45353</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45353</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45353</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45353</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45353</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45353</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45353</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45353</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45353</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45353</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45353</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45353</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45353</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45353</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45353</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45353</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45353</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45353</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45353</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45353</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45353</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45353</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45353</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45353</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45353</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45353</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45353</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45353</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45353</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45353</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45353</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45353</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45353</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45353</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45353</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45353</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45353</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45353</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45353</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45353</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45353</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45353</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45353</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45353</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45353</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45353</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45353</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45353</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45353</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45353</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45353</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45353</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45353</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45353</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45353</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45353</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45353</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45353</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45353</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45353</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45353</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45353</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45353</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45353</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45353</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45353</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45353</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45353</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45353</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45353</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45353</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45353</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45353</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45353</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45353</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45353</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45353</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45353</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45353</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45353</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45353</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45353</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45353</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45353</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45353</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45353</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45353</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45353</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45353</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45353</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45353</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45353</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45353</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45353</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45353</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45353</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45353</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45353</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45353</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45353</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45353</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45353</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45353</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45353</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45353</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45353</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45353</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45353</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45353</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45353</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45353</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45353</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45353</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45353</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45353</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45353</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45353</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45353</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45353</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45353</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45353</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45353</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45353</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45353</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45353</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45353</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45353</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45353</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45353</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45353</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45353</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45353</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45353</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45353</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45353</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45353</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45353</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45353</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45353</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45353</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45353</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45353</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45353</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45353</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45353</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45353</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45353</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45353</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45353</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45353</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45353</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45353</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45353</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45353</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45353</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45353</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45353</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45353</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45353</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45353</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45353</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45353</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45353</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45353</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45353</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45353</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45353</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45353</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45353</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45353</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45353</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45353</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45353</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45353</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45353</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45353</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45353</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45353</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45353</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45353</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45353</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45353</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45353</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45353</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45353</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45353</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45353</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45353</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45353</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45353</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45353</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45353</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45353</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45353</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45353</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45353</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45353</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45353</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45353</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45353</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45353</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45353</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45353</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45353</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45353</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45353</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45353</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45353</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45353</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45353</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45353</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45353</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45353</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45353</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45353</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45353</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45353</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45353</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45353</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45353</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45353</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45353</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45353</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45353</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45353</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45353</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45353</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45353</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45353</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45353</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45353</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45353</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45353</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45353</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45353</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45353</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45353</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45353</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45353</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45353</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45353</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45353</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45353</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45353</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45353</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45353</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45353</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45353</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45353</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45353</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45353</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45353</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45353</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45353</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45353</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45353</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45353</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45353</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45353</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45353</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45353</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45353</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45353</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45353</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45353</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45353</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45353</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45353</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45353</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45353</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45353</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45353</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45353</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45353</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45353</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45353</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45353</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45353</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45353</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45353</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45353</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45353</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45353</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45353</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45353</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45353</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45353</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45353</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45353</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45353</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45353</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45353</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45353</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45353</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45353</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45353</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45353</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45353</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45353</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45353</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45353</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45353</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45353</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45353</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45353</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45353</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45353</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45353</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45353</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45353</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45353</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45353</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45353</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45353</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45353</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45353</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45353</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45353</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45353</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45353</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45353</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45353</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45353</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45353</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45353</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45353</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45353</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45353</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45353</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45353</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45353</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45353</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45353</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45353</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45353</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45353</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45353</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45353</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45353</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45353</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45353</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45353</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45353</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45353</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45353</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45353</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45353</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45353</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45353</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45353</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45353</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45353</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45353</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45353</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45353</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45353</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45353</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45353</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45353</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45353</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45353</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45353</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45353</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45353</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45353</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45353</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45353</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45353</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45353</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45353</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45353</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45353</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45353</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45353</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45353</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45353</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45353</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45353</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45353</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45353</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45353</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45353</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45353</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45353</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45353</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45353</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45353</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45353</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45353</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45353</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45353</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45353</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45353</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45353</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45353</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45353</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45353</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45353</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45353</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45353</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45353</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45353</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45353</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45353</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45353</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45353</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45353</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45353</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45353</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45353</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45353</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45353</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45353</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45353</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45353</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45353</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45353</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45353</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45353</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45353</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45353</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45353</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45353</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45353</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45353</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45353</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45353</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45353</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45353</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45353</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45353</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45353</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45353</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45353</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45353</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45353</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45353</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45353</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45353</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45353</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45353</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45353</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45353</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45353</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45353</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45353</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45353</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45353</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45353</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45353</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45353</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45353</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45353</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45353</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45353</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45353</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45353</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45353</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45353</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45353</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45353</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45353</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45353</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45353</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45353</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45353</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45353</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45353</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45353</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45353</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45353</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45353</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45353</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45353</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45353</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45353</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45353</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45353</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45353</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45353</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45353</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45353</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45353</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45353</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45353</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45353</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45353</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45353</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45353</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45353</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45353</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45353</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45353</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45353</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45353</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45353</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45353</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45353</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45353</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45353</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45353</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45353</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45353</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45353</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45353</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45353</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45353</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45353</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45353</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45353</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45353</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45353</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45353</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45353</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45353</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45353</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45353</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45353</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45353</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45353</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45353</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45353</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45353</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45353</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45353</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45353</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45353</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45353</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45353</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45353</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45353</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45353</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45353</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45353</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45353</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45353</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45353</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45353</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45353</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45353</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45353</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45353</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45353</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45353</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45353</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45353</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45353</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45353</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45353</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45353</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45353</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45353</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45353</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45353</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45353</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45353</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45353</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45353</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45353</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45353</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45353</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45353</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45353</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45353</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45353</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45353</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45353</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45353</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45353</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45353</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45353</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45353</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45353</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45353</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45353</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45353</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45353</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45353</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45353</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45353</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45353</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45353</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45353</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45353</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45353</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45353</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45353</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45353</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45353</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45353</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45353</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45353</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45353</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45353</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45353</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45353</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45353</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45353</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45353</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45353</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45353</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45353</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45353</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45353</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45353</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45353</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45353</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45353</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45353</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45353</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45353</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45353</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45353</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45353</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45353</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45353</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45353</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45353</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45353</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45353</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45353</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45353</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45353</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45353</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45353</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45353</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45353</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45353</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45353</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45353</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45353</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45353</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45353</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45353</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45353</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45353</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45353</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45353</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45353</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45353</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45353</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45353</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45353</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45353</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45353</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45353</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45353</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45353</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45353</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45353</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45353</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45353</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45353</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45353</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45353</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45353</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45353</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45353</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45353</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45353</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45353</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45353</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45353</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45353</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45353</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45353</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45353</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45353</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45353</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45353</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45353</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45353</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45353</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45353</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45353</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45353</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45353</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45353</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45353</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45353</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45353</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45353</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45353</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45353</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45353</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45353</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45353</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45353</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45353</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45353</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45353</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45353</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45353</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45353</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45353</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45353</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45353</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45353</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45353</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45353</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45353</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45353</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45353</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45353</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45353</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45353</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45353</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45353</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45353</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45353</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45353</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45353</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45353</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45353</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45353</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45353</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45353</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45353</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45353</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45353</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45353</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45353</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45353</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45353</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45353</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45353</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45353</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45353</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45353</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45353</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45353</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45353</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45353</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45353</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45353</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45353</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45353</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45353</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45353</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45353</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45353</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45353</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45353</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45353</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45353</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45353</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45353</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45353</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45353</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45353</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45353</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45353</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45353</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45353</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45353</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45353</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45353</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45353</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45353</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45353</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45353</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45353</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45353</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45353</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45353</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45353</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45353</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45353</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45353</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45353</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45353</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45353</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45353</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45353</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45353</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45353</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45353</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45353</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45353</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45353</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45353</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45353</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45353</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45353</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45353</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45353</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45353</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45353</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45353</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45353</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45353</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45353</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45353</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45353</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45353</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45353</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45353</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45353</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45353</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45353</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45353</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45353</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45353</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45353</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45353</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45353</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45353</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45353</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45353</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45353</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45353</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45353</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45353</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45353</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45353</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45353</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45353</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45353</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45353</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45353</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45353</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45353</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45353</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45353</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45353</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45353</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45353</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45353</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45353</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45353</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45353</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45353</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45353</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45353</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45353</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45353</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45353</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45353</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45353</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45353</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45353</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45353</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45353</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45353</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45353</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45353</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45353</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45353</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45353</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45353</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45353</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45353</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45353</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45353</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45353</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45353</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45353</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45353</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45353</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45353</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45353</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45353</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45353</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45353</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45353</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45353</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45353</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45353</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45353</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45353</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45353</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45353</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45353</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45353</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45353</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45353</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45353</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45353</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45353</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45353</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45353</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45353</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45353</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45353</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45353</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45353</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45353</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45353</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45353</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45353</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45353</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45353</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45353</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45353</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45353</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45353</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45353</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45353</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45353</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45353</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45353</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45353</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45353</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45353</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45353</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45353</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45353</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45353</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45353</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45353</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45353</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45353</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45353</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45353</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45353</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45353</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45353</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45353</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45353</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45353</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45353</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45353</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45353</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45353</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45353</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45353</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45353</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45353</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45353</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45353</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45353</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45353</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45353</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45353</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45353</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45353</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45353</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45353</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45353</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45353</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45353</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45353</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45353</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45353</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45353</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45353</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45353</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45353</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45353</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45353</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45353</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45353</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45353</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45353</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45353</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45353</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45353</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45353</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45353</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45353</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45353</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45353</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45353</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45353</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45353</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45353</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45353</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45353</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45353</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45353</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45353</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45353</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45353</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45353</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45353</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45353</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45353</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45353</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45353</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45353</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45353</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45353</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45353</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45353</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45353</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45353</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45353</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45353</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45353</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45353</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45353</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45353</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45353</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45353</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45353</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45353</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45353</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45353</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45353</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45353</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45353</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45353</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45353</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45353</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45353</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45353</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45353</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45353</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45353</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45353</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45353</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45353</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45353</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45353</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45353</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45353</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45353</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45353</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45353</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45353</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45353</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45353</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45353</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45353</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45353</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45353</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45353</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45353</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45353</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45353</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45353</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45353</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45353</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45353</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45353</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45353</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45353</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45353</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45353</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45353</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45353</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45353</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45353</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45353</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45353</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45353</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45353</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45353</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45353</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45353</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45353</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45353</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45353</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45353</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45353</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45353</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45353</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45353</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45353</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45353</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45353</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45353</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45353</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45353</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45353</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45353</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45353</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45353</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45353</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45353</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45353</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45353</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45353</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45353</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45353</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45353</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45353</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45353</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45353</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45353</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45353</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45353</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45353</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45353</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45353</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45353</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45353</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45353</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45353</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45353</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45353</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45353</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45353</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45353</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45353</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45353</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45353</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45353</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45353</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45353</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45353</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45353</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45353</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45353</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45353</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45353</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45353</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45353</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45353</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45353</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45353</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45353</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45353</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45353</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45353</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45353</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45353</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45353</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45353</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45353</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45353</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45353</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45353</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45353</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45353</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45353</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45353</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45353</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45353</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45353</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45353</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45353</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45353</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45353</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45353</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45353</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45353</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45353</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45353</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45353</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45353</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45353</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45353</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45353</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45353</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45353</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45353</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45353</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45353</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45353</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45353</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45353</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45353</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45353</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45353</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45353</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45353</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45353</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45353</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45353</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45353</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45353</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45353</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45353</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45353</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45353</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45353</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45353</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45353</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45353</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45353</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45353</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45353</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45353</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45353</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45353</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45353</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45353</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45353</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45353</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45353</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45353</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45353</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45353</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45353</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45353</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45353</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45353</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45353</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45353</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45353</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45353</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45353</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45353</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45353</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45353</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45353</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45353</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45353</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45353</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45353</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45353</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45353</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45353</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45353</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45353</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45353</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45353</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45353</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45353</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45353</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45353</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45353</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45353</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45353</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45353</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45353</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45353</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45353</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45353</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45353</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45353</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45353</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45353</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45353</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45353</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45353</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45353</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45353</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45353</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45353</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45353</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45353</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45353</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45353</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45353</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45353</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45353</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45353</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45353</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45353</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45353</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45353</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45353</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45353</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45353</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45353</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45353</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45353</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45353</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45353</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45353</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45353</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45353</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45353</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45353</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45353</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45353</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45353</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45353</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45353</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45353</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45353</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45353</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45353</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45353</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45353</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45353</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45353</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45353</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45353</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45353</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45353</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45353</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45353</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45353</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45353</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45353</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45353</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45353</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45353</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45353</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45353</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45353</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45353</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45353</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45353</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45353</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45353</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45353</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45353</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45353</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45353</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45353</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45353</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45353</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45353</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45353</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45353</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45353</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45353</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45353</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45353</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45353</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45353</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45353</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45353</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45353</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45353</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45353</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45353</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45353</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45353</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45353</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45353</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45353</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45353</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45353</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45353</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45353</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45353</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45353</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45353</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45353</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45353</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45353</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45353</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45353</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45353</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45353</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45353</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45353</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45353</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45353</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45353</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45353</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45353</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45353</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45353</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45353</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45353</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45353</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45353</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45353</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45353</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45353</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45353</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45353</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45353</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45353</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45353</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45353</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45353</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45353</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45353</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45353</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45353</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45353</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45353</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45353</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45353</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45353</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45353</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45353</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45353</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45353</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45353</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45353</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45353</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45353</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45353</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45353</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45353</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45353</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45353</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45353</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45353</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45353</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45353</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45353</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45353</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45353</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45353</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45353</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45353</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45353</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45353</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45353</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45353</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45353</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45353</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45353</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45353</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45353</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45353</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45353</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45353</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45353</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45353</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45353</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45353</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45353</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45353</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45353</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45353</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45353</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45353</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45353</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45353</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45353</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45353</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45353</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45353</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45353</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45353</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45353</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45353</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45353</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45353</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45353</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45353</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45353</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45353</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45353</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45353</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45353</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45353</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45353</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45353</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45353</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45353</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45353</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45353</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45353</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45353</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45353</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45353</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45353</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45353</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45353</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45353</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45353</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45353</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45353</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45353</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45353</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45353</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45353</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45353</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45353</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45353</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45353</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45353</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45353</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45353</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45353</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45353</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45353</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45353</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45353</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45353</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45353</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45353</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45353</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45353</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45353</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45353</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45353</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45353</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45353</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45353</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45353</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45353</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45353</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45353</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45353</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45353</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45353</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45353</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45353</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45353</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45353</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45353</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45353</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45353</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45353</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45353</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45353</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45353</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45353</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45353</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45353</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45353</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45353</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45353</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45353</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45353</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45353</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45353</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45353</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45353</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45353</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45353</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45353</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45353</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45353</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45353</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45353</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45353</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45353</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45353</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45353</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45353</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45353</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45353</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45353</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45353</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45353</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45353</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45353</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45353</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45353</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45353</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45353</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45353</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45353</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45353</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45353</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45353</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45353</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45353</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45353</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45353</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45353</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45353</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45353</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45353</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45353</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45353</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45353</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45353</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45353</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45353</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45353</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45353</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45353</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45353</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45353</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45353</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45353</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45353</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45353</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45353</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45353</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45353</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45353</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45353</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45353</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45353</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45353</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45353</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45353</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45353</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45353</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45353</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45353</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45353</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45353</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45353</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45353</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45353</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45353</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45353</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45353</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45353</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45353</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45353</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45353</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45353</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45353</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45353</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45353</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45353</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45353</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45353</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45353</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45353</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45353</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45353</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45353</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45353</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45353</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45353</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45353</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45353</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45353</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45353</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45353</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45353</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45353</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45353</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45353</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45353</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45353</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45353</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45353</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45353</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45353</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45353</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45353</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45353</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45353</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45353</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45353</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45353</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45353</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45353</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45353</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45353</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45353</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45353</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45353</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45353</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45353</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45353</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45353</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45353</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45353</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45353</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45353</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45353</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45353</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45353</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45353</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45353</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45353</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45353</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45353</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45353</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45353</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45353</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45353</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45353</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45353</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45353</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45353</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45353</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45353</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45353</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45353</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45353</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45353</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45353</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45353</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45353</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45353</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45353</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45353</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45353</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45353</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45353</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45353</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45353</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45353</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45353</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45353</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45353</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45353</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45353</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45353</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45353</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45353</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45353</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45353</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45353</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45353</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45353</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45353</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45353</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45353</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45353</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45353</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45353</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45353</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45353</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45353</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45353</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45353</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45353</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45353</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45353</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45353</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45353</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45353</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45353</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45353</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45353</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45353</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45353</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45353</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45353</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45353</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45353</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45353</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45353</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45353</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45353</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45353</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45353</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45353</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45353</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45353</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45353</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45353</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45353</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45353</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45353</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45353</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45353</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45353</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45353</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45353</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45353</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45353</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45353</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45353</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45353</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45353</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45353</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45353</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45353</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45353</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45353</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45353</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45353</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45353</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45353</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45353</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45353</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45353</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45353</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45353</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45353</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45353</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45353</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45353</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45353</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45353</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45353</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45353</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45353</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45353</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45353</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45353</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45353</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45353</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45353</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45353</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45353</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45353</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45353</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45353</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45353</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45353</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45353</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45353</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45353</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45353</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45353</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45353</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45353</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45353</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45353</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45353</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45353</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45353</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45353</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45353</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45353</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45353</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45353</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45353</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45353</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45353</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45353</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45353</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45353</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45353</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45353</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45353</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45353</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45353</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45353</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45353</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45353</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45353</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45353</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45353</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45353</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45353</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45353</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45353</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45353</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45353</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45353</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45353</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45353</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45353</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45353</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45353</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45353</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45353</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45353</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45353</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45353</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45353</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45353</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45353</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45353</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45353</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45353</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45353</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45353</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45353</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45353</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45353</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45353</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45353</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45353</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45353</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45353</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45353</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45353</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45353</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45353</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45353</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45353</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45353</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45353</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45353</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45353</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45353</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45353</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45353</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45353</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45353</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45353</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45353</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45353</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45353</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45353</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45353</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45353</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45353</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45353</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45353</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45353</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45353</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45353</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45353</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45353</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45353</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45353</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45353</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45353</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45353</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45353</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45353</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45353</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45353</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45353</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45353</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45353</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45353</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45353</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45353</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45353</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45353</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45353</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45353</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45353</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45353</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45353</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45353</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45353</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45353</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45353</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45353</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45353</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45353</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45353</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45353</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45353</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45353</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45353</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45353</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45353</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45353</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45353</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45353</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45353</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45353</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45353</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45353</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45353</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45353</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45353</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45353</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45353</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45353</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45353</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45353</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45353</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45353</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45353</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45353</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45353</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45353</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45353</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45353</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45353</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45353</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45353</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45353</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45353</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45353</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45353</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45353</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45353</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45353</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45353</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45353</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45353</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45353</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45353</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45353</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45353</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45353</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45353</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45353</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45353</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45353</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45353</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45353</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45353</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45353</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45353</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45353</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45353</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45353</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45353</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45353</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45353</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45353</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45353</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45353</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45353</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45353</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45353</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45353</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45353</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45353</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45353</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45353</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45353</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45353</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45353</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45353</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45353</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45353</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45353</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45353</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45353</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45353</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45353</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45353</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45353</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45353</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45353</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45353</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45353</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45353</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45353</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45353</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45353</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45353</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45353</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45353</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45353</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45353</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45353</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45353</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45353</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45353</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45353</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45353</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45353</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45353</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45353</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45353</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45353</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45353</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45353</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45353</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45353</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45353</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45353</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45353</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45353</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45353</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45353</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45353</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45353</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45353</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45353</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45353</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45353</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45353</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45353</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45353</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45353</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45353</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45353</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45353</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45353</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45353</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45353</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45353</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45353</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45353</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45353</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45353</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45353</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45353</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45353</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45353</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45353</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45353</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45353</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45353</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45353</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45353</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45353</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45353</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45353</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45353</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45353</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45353</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45353</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45353</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45353</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45353</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45353</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45353</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45353</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45353</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45353</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45353</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45353</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45353</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45353</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45353</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45353</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45353</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45353</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45353</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45353</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45353</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45353</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45353</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45353</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45353</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45353</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45353</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45353</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45353</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45353</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45353</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45353</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45353</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45353</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45353</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45353</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45353</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45353</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45353</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45353</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45353</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45353</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45353</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45353</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45353</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45353</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45353</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45353</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45353</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45353</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45353</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45353</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45353</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45353</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45353</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45353</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45353</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45353</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45353</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45353</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45353</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45353</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45353</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45353</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45353</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45353</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45353</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45353</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45353</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45353</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45353</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45353</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45353</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45353</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45353</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45353</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45353</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45353</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45353</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45353</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45353</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45353</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45353</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45353</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45353</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45353</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45353</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45353</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45353</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45353</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45353</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45353</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45353</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45353</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45353</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45353</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45353</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45353</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45353</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45353</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45353</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45353</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45353</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45353</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45353</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45353</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45353</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45353</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45353</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45353</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45353</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45353</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45353</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45353</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45353</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45353</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45353</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45353</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45353</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45353</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45353</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45353</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45353</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45353</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45353</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45353</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45353</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45353</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45353</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45353</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45353</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45353</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45353</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45353</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45353</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45353</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45353</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45353</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45353</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45353</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45353</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45353</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45353</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45353</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45353</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45353</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45353</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45353</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45353</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45353</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45353</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45353</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45353</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45353</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45353</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45353</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45353</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45353</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45353</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45353</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45353</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45353</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45353</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45353</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45353</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45353</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45353</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45353</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45353</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45353</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45353</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45353</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45353</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45353</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45353</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45353</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45353</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45353</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45353</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45353</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45353</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45353</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45353</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45353</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45353</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45353</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45353</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45353</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45353</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45353</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45353</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45353</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45353</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45353</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45353</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45353</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45353</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45353</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45353</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45353</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45353</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45353</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45353</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45353</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45353</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45353</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45353</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45353</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45353</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45353</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45353</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45353</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45353</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45353</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45353</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45353</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45353</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45353</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45353</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45353</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45353</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45353</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45353</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45353</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45353</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45353</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45353</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45353</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45353</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45353</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45353</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45353</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45353</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45353</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45353</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45353</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45353</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45353</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45353</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45353</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45353</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45353</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45353</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45353</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45353</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45353</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45353</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45353</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45353</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45353</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45353</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45353</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45353</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45353</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45353</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45353</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45353</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45353</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45353</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45353</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45353</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45353</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45353</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45353</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45353</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45353</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45353</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45353</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45353</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45353</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45353</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45353</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45353</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45353</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45353</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45353</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45353</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45353</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45353</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45353</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45353</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45353</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45353</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45353</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45353</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45353</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45353</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45353</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45353</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45353</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45353</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45353</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45353</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45353</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45353</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45353</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45353</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45353</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45353</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45353</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45353</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45353</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45353</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45353</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45353</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45353</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45353</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45353</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45353</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45353</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45353</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45353</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45353</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45353</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45353</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45353</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45353</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45353</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45353</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45353</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45353</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45353</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45353</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45353</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45353</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45353</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45353</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45353</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45353</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45353</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45353</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45353</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45353</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45353</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45353</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45353</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45353</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45353</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45353</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45353</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45353</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45353</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45353</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45353</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45353</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45353</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45353</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45353</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45353</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45353</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45353</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45353</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45353</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45353</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45353</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45353</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45353</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45353</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45353</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45353</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45353</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45353</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45353</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45353</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45353</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45353</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45353</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45353</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45353</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45353</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45353</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45353</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45353</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45353</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45353</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45353</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45353</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45353</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45353</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45353</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45353</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45353</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45353</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45353</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45353</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45353</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45353</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45353</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45353</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45353</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45353</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45353</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45353</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45353</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45353</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45353</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45353</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45353</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45353</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45353</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45353</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45353</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45353</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45353</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45353</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45353</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45353</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45353</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45353</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45353</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45353</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45353</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45353</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45353</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45353</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45353</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45353</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45353</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45353</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45353</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45353</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45353</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45353</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45353</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45353</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45353</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45353</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45353</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45353</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45353</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45353</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45353</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45353</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45353</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45353</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45353</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45353</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45353</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45353</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45353</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45353</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45353</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45353</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45353</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45353</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45353</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45353</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45353</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45353</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45353</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45353</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45353</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45353</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45353</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45353</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45353</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45353</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45353</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45353</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45353</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45353</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45353</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45353</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45353</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45353</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45353</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45353</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45353</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45353</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45353</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45353</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45353</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45353</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45353</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45353</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45353</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45353</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45353</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45353</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45353</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45353</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45353</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45353</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45353</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45353</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45353</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45353</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45353</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45353</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45353</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45353</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45353</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45353</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45353</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45353</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45353</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45353</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45353</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45353</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45353</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45353</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45353</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45353</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45353</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45353</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45353</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45353</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45353</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45353</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45353</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45353</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45353</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45353</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45353</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45353</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45353</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45353</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45353</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45353</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45353</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45353</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45353</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45353</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45353</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45353</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45353</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45353</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45353</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45353</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45353</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45353</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45353</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45353</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45353</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45353</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45353</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45353</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45353</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45353</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45353</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45353</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45353</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45353</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45353</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45353</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45353</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45353</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45353</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45353</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45353</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45353</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45353</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45353</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45353</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45353</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45353</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45353</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45353</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45353</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45353</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45353</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45353</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45353</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45353</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45353</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45353</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45353</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45353</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45353</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45353</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45353</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45353</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45353</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45353</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45353</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45353</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45353</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45353</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45353</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45353</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45353</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45353</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45353</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45353</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45353</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45353</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45353</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45353</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45353</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45353</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45353</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45353</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45353</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45353</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45353</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45353</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45353</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45353</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45353</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45353</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45353</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45353</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45353</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45353</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45353</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45353</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45353</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45353</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45353</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45353</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45353</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45353</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45353</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45353</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45353</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45353</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45353</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45353</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45353</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45353</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45353</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45353</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45353</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45353</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45353</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45353</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45353</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45353</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45353</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45353</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45353</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45353</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45353</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45353</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45353</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45353</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45353</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45353</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45353</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45353</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45353</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45353</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45353</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45353</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45353</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45353</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45353</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45353</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45353</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45353</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45353</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45353</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45353</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45353</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45353</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45353</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45353</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45353</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45353</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45353</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45353</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45353</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45353</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45353</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45353</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45353</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45353</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45353</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45353</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45353</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45353</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45353</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45353</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45353</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45353</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45353</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45353</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45353</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45353</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45353</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45353</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45353</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45353</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45353</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45353</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45353</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45353</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45353</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45353</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45353</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45353</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45353</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45353</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45353</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45353</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45353</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45353</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45353</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45353</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45353</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45353</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45353</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45353</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45353</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45353</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45353</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45353</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45353</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45353</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45353</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45353</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45353</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45353</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45353</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45353</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45353</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45353</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45353</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45353</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45353</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45353</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45353</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45353</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45353</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45353</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45353</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45353</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45353</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45353</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45353</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45353</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45353</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45353</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45353</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45353</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45353</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45353</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45353</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45353</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45353</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45353</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45353</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45353</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45353</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45353</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45353</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45353</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45353</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45353</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45353</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45353</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45353</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45353</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45353</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45353</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45353</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45353</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45353</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45353</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45353</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45353</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45353</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45353</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45353</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45353</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45353</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45353</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45353</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45353</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45353</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45353</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45353</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45353</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45353</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45353</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45353</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45353</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45353</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45353</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45353</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45353</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45353</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45353</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45353</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45353</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45353</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45353</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45353</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45353</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45353</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45353</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45353</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45353</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45353</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45353</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45353</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45353</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45353</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45353</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45353</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45353</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45353</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45353</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45353</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45353</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45353</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45353</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45353</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45353</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45353</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45353</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45353</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45353</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45353</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45353</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45353</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45353</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45353</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45353</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45353</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45353</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45353</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45353</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45353</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45353</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45353</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45353</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45353</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45353</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45353</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45353</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45353</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45353</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45353</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45353</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45353</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45353</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45353</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45353</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45353</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45353</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45353</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45353</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45353</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45353</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45353</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45353</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45353</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45353</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45353</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45353</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45353</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45353</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45353</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45353</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45353</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45353</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45353</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45353</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45353</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45353</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45353</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45353</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45353</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45353</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45353</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45353</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45353</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45353</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45353</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45353</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45353</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45353</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45353</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45353</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45353</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45353</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45353</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45353</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45353</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45353</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45353</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45353</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45353</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45353</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45353</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45353</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45353</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45353</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45353</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45353</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45353</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45353</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45353</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45353</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45353</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45353</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45353</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45353</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45353</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45353</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45353</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45353</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45353</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45353</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45353</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45353</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45353</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45353</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45353</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45353</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45353</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45353</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45353</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45353</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45353</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45353</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45353</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45353</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45353</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45353</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45353</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45353</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45353</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45353</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45353</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45353</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45353</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45353</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45353</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45353</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45353</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45353</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45353</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45353</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45353</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45353</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45353</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45353</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45353</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45353</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45353</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45353</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45353</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45353</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45353</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45353</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45353</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45353</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45353</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45353</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45353</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45353</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45353</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45353</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45353</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45353</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45353</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45353</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45353</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45353</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45353</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45353</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45353</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45353</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45353</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45353</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45353</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45353</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45353</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45353</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45353</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45353</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45353</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45353</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45353</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45353</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45353</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45353</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45353</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45353</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45353</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45353</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45353</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45353</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45353</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45353</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45353</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45353</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45353</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45353</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45353</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45353</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45353</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45353</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45353</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45353</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45353</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45353</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45353</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45353</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45353</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45353</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45353</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45353</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45353</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45353</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45353</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45353</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45353</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45353</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45353</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45353</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45353</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45353</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45353</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45353</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45353</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45353</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45353</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45353</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45353</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45353</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45353</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45353</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45353</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45353</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45353</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45353</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45353</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45353</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45353</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45353</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45353</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45353</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45353</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45353</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45353</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45353</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45353</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45353</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45353</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45353</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45353</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45353</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45353</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45353</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45353</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45353</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45353</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45353</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45353</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45353</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45353</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45353</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45353</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45353</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45353</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45353</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45353</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45353</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45353</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45353</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45353</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45353</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45353</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45353</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45353</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45353</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45353</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45353</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45353</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45353</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45353</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45353</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45353</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45353</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45353</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45353</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45353</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45353</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45353</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45353</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45353</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45353</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45353</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45353</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45353</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45353</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45353</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45353</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45353</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45353</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45353</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45353</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45353</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45353</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45353</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45353</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45353</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45353</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45353</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45353</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45353</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45353</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45353</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45353</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45353</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45353</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45353</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45353</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45353</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45353</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45353</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45353</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45353</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45353</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45353</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45353</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45353</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45353</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45353</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45353</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45353</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45353</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45353</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45353</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45353</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45353</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45353</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45353</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45353</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45353</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45353</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45353</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45353</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45353</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45353</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45353</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45353</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45353</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45353</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45353</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45353</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45353</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45353</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45353</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45353</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45353</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45353</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45353</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45353</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45353</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45353</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45353</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45353</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45353</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45353</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45353</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45353</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45353</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45353</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45353</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45353</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45353</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45353</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45353</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45353</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45353</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45353</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45353</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45353</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45353</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45353</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45353</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45353</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45353</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45353</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45353</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45353</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45353</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45353</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45353</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45353</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45353</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45353</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45353</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45353</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45353</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45353</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45353</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45353</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45353</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45353</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45353</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45353</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45353</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45353</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45353</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45353</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45353</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45353</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45353</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45353</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45353</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45353</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45353</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45353</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45353</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45353</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45353</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45353</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45353</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45353</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45353</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45353</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45353</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45353</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45353</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45353</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45353</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45353</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45353</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45353</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45353</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45353</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45353</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45353</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45353</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45353</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45353</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45353</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45353</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45353</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45353</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45353</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45353</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45353</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45353</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45353</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45353</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45353</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45353</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45353</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45353</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45353</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45353</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45353</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45353</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45353</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45353</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45353</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45353</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45353</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45353</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45353</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45353</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45353</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45353</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45353</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45353</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45353</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45353</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45353</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45353</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45353</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45353</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45353</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45353</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45353</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45353</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45353</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45353</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45353</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45353</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45353</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45353</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45353</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45353</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45353</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45353</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45353</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45353</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45353</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45353</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45353</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45353</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45353</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45353</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45353</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45353</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45353</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45353</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45353</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45353</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45353</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45353</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45353</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45353</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45353</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45353</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45353</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45353</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45353</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45353</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45353</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45353</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45353</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45353</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45353</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45353</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45353</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45353</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45353</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45353</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45353</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45353</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45353</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45353</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45353</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45353</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45353</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45353</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45353</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45353</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45353</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45353</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45353</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45353</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45353</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45353</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45353</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45353</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45353</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45353</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45353</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45353</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45353</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45353</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45353</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45353</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45353</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45353</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45353</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45353</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45353</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45353</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45353</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45353</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45353</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45353</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45353</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45353</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45353</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45353</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45353</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45353</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45353</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45353</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45353</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45353</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45353</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45353</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45353</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45353</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45353</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45353</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45353</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45353</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45353</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45353</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45353</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45353</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45353</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45353</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45353</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45353</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45353</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45353</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45353</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45353</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45353</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45353</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45353</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45353</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45353</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45353</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45353</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45353</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45353</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45353</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45353</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45353</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45353</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45353</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45353</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45353</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45353</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45353</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45353</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45353</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45353</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45353</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45353</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45353</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45353</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45353</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45353</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45353</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45353</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45353</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45353</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45353</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45353</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45353</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45353</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45353</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45353</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45353</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45353</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45353</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45353</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45353</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45353</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45353</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45353</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45353</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45353</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45353</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45353</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45353</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45353</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45353</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45353</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45353</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45353</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45353</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45353</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45353</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45353</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45353</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45353</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45353</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45353</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45353</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45353</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45353</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45353</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45353</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45353</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45353</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45353</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45353</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45353</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45353</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45353</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45353</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45353</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45353</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45353</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45353</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45353</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45353</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45353</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45353</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45353</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45353</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45353</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45353</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45353</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45353</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45353</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45353</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45353</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45353</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45353</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45353</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45353</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45353</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45353</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45353</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45353</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45353</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45353</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45353</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45353</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45353</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45353</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45353</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45353</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45353</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45353</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45353</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45353</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45353</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45353</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45353</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45353</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45353</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45353</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45353</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45353</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45353</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45353</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45353</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45353</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45353</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45353</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45353</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45353</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45353</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45353</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45353</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45353</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45353</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45353</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45353</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45353</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45353</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45353</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45353</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45353</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45353</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45353</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45353</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45353</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45353</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45353</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45353</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45353</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45353</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45353</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45353</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45353</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45353</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45353</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45353</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45353</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45353</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45353</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45353</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45353</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45353</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45353</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45353</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45353</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45353</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45353</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45353</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45353</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45353</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45353</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45353</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45353</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45353</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45353</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45353</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45353</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45353</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45353</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45353</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45353</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45353</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45353</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45353</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45353</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45353</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45353</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45353</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45353</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45353</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45353</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45353</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45353</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45353</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45353</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45353</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45353</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45353</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45353</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45353</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45353</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45353</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45353</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45353</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45353</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45353</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45353</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45353</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45353</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45353</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45353</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45353</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45353</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45353</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45353</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45353</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45353</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45353</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45353</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45353</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45353</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45353</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45353</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45353</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45353</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45353</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45353</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45353</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45353</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45353</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45353</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45353</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45353</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45353</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45353</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45353</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45353</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45353</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45353</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45353</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45353</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45353</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45353</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45353</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45353</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45353</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45353</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45353</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45353</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45353</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45353</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45353</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45353</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45353</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45353</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45353</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45353</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45353</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45353</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45353</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45353</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45353</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45353</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45353</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45353</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45353</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45353</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45353</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45353</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45353</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45353</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45353</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45353</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45353</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45353</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45353</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45353</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45353</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45353</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45353</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45353</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45353</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45353</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45353</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45353</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45353</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45353</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45353</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45353</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45353</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45353</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45353</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45353</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45353</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45353</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45353</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45353</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45353</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45353</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45353</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45353</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45353</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45353</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45353</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45353</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45353</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45353</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45353</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45353</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45353</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45353</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45353</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45353</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45353</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45353</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45353</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45353</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45353</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45353</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45353</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45353</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45353</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45353</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45353</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45353</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45353</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45353</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45353</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45353</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45353</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45353</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45353</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45353</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45353</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45353</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45353</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45353</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45353</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45353</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45353</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45353</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45353</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45353</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45353</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45353</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45353</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45353</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45353</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45353</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45353</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45353</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45353</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45353</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45353</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45353</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45353</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45353</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45353</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45353</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45353</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45353</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45353</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45353</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45353</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45353</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45353</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45353</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45353</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45353</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45353</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45353</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45353</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4065-2024</t>
        </is>
      </c>
      <c r="B5241" s="1" t="n">
        <v>45323</v>
      </c>
      <c r="C5241" s="1" t="n">
        <v>45353</v>
      </c>
      <c r="D5241" t="inlineStr">
        <is>
          <t>UPPSALA LÄN</t>
        </is>
      </c>
      <c r="E5241" t="inlineStr">
        <is>
          <t>UPPSALA</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4040-2024</t>
        </is>
      </c>
      <c r="B5242" s="1" t="n">
        <v>45323</v>
      </c>
      <c r="C5242" s="1" t="n">
        <v>45353</v>
      </c>
      <c r="D5242" t="inlineStr">
        <is>
          <t>UPPSALA LÄN</t>
        </is>
      </c>
      <c r="E5242" t="inlineStr">
        <is>
          <t>HEBY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4044-2024</t>
        </is>
      </c>
      <c r="B5243" s="1" t="n">
        <v>45323</v>
      </c>
      <c r="C5243" s="1" t="n">
        <v>45353</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45353</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45353</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45353</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45353</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4503-2024</t>
        </is>
      </c>
      <c r="B5248" s="1" t="n">
        <v>45327</v>
      </c>
      <c r="C5248" s="1" t="n">
        <v>45353</v>
      </c>
      <c r="D5248" t="inlineStr">
        <is>
          <t>UPPSALA LÄN</t>
        </is>
      </c>
      <c r="E5248" t="inlineStr">
        <is>
          <t>UPPSALA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4509-2024</t>
        </is>
      </c>
      <c r="B5249" s="1" t="n">
        <v>45327</v>
      </c>
      <c r="C5249" s="1" t="n">
        <v>45353</v>
      </c>
      <c r="D5249" t="inlineStr">
        <is>
          <t>UPPSALA LÄN</t>
        </is>
      </c>
      <c r="E5249" t="inlineStr">
        <is>
          <t>UPPSALA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4521-2024</t>
        </is>
      </c>
      <c r="B5250" s="1" t="n">
        <v>45327</v>
      </c>
      <c r="C5250" s="1" t="n">
        <v>45353</v>
      </c>
      <c r="D5250" t="inlineStr">
        <is>
          <t>UPPSALA LÄN</t>
        </is>
      </c>
      <c r="E5250" t="inlineStr">
        <is>
          <t>HÅBO</t>
        </is>
      </c>
      <c r="G5250" t="n">
        <v>17.4</v>
      </c>
      <c r="H5250" t="n">
        <v>0</v>
      </c>
      <c r="I5250" t="n">
        <v>0</v>
      </c>
      <c r="J5250" t="n">
        <v>0</v>
      </c>
      <c r="K5250" t="n">
        <v>0</v>
      </c>
      <c r="L5250" t="n">
        <v>0</v>
      </c>
      <c r="M5250" t="n">
        <v>0</v>
      </c>
      <c r="N5250" t="n">
        <v>0</v>
      </c>
      <c r="O5250" t="n">
        <v>0</v>
      </c>
      <c r="P5250" t="n">
        <v>0</v>
      </c>
      <c r="Q5250" t="n">
        <v>0</v>
      </c>
      <c r="R5250" s="2" t="inlineStr"/>
    </row>
    <row r="5251" ht="15" customHeight="1">
      <c r="A5251" t="inlineStr">
        <is>
          <t>A 4524-2024</t>
        </is>
      </c>
      <c r="B5251" s="1" t="n">
        <v>45327</v>
      </c>
      <c r="C5251" s="1" t="n">
        <v>45353</v>
      </c>
      <c r="D5251" t="inlineStr">
        <is>
          <t>UPPSALA LÄN</t>
        </is>
      </c>
      <c r="E5251" t="inlineStr">
        <is>
          <t>HÅBO</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45353</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4980-2024</t>
        </is>
      </c>
      <c r="B5253" s="1" t="n">
        <v>45329</v>
      </c>
      <c r="C5253" s="1" t="n">
        <v>45353</v>
      </c>
      <c r="D5253" t="inlineStr">
        <is>
          <t>UPPSALA LÄN</t>
        </is>
      </c>
      <c r="E5253" t="inlineStr">
        <is>
          <t>UPPSALA</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4984-2024</t>
        </is>
      </c>
      <c r="B5254" s="1" t="n">
        <v>45329</v>
      </c>
      <c r="C5254" s="1" t="n">
        <v>45353</v>
      </c>
      <c r="D5254" t="inlineStr">
        <is>
          <t>UPPSALA LÄN</t>
        </is>
      </c>
      <c r="E5254" t="inlineStr">
        <is>
          <t>ÖSTHAMMAR</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45353</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45353</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5149-2024</t>
        </is>
      </c>
      <c r="B5257" s="1" t="n">
        <v>45330</v>
      </c>
      <c r="C5257" s="1" t="n">
        <v>45353</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5211-2024</t>
        </is>
      </c>
      <c r="B5258" s="1" t="n">
        <v>45330</v>
      </c>
      <c r="C5258" s="1" t="n">
        <v>45353</v>
      </c>
      <c r="D5258" t="inlineStr">
        <is>
          <t>UPPSALA LÄN</t>
        </is>
      </c>
      <c r="E5258" t="inlineStr">
        <is>
          <t>ENKÖPING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5126-2024</t>
        </is>
      </c>
      <c r="B5259" s="1" t="n">
        <v>45330</v>
      </c>
      <c r="C5259" s="1" t="n">
        <v>45353</v>
      </c>
      <c r="D5259" t="inlineStr">
        <is>
          <t>UPPSALA LÄN</t>
        </is>
      </c>
      <c r="E5259" t="inlineStr">
        <is>
          <t>TIERP</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5212-2024</t>
        </is>
      </c>
      <c r="B5260" s="1" t="n">
        <v>45330</v>
      </c>
      <c r="C5260" s="1" t="n">
        <v>45353</v>
      </c>
      <c r="D5260" t="inlineStr">
        <is>
          <t>UPPSALA LÄN</t>
        </is>
      </c>
      <c r="E5260" t="inlineStr">
        <is>
          <t>HEBY</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5216-2024</t>
        </is>
      </c>
      <c r="B5261" s="1" t="n">
        <v>45330</v>
      </c>
      <c r="C5261" s="1" t="n">
        <v>45353</v>
      </c>
      <c r="D5261" t="inlineStr">
        <is>
          <t>UPPSALA LÄN</t>
        </is>
      </c>
      <c r="E5261" t="inlineStr">
        <is>
          <t>ÖSTHAMMAR</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5161-2024</t>
        </is>
      </c>
      <c r="B5262" s="1" t="n">
        <v>45330</v>
      </c>
      <c r="C5262" s="1" t="n">
        <v>45353</v>
      </c>
      <c r="D5262" t="inlineStr">
        <is>
          <t>UPPSALA LÄN</t>
        </is>
      </c>
      <c r="E5262" t="inlineStr">
        <is>
          <t>ÖSTHAMMAR</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5185-2024</t>
        </is>
      </c>
      <c r="B5263" s="1" t="n">
        <v>45330</v>
      </c>
      <c r="C5263" s="1" t="n">
        <v>45353</v>
      </c>
      <c r="D5263" t="inlineStr">
        <is>
          <t>UPPSALA LÄN</t>
        </is>
      </c>
      <c r="E5263" t="inlineStr">
        <is>
          <t>UPPSALA</t>
        </is>
      </c>
      <c r="F5263" t="inlineStr">
        <is>
          <t>Övriga Aktiebolag</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5198-2024</t>
        </is>
      </c>
      <c r="B5264" s="1" t="n">
        <v>45330</v>
      </c>
      <c r="C5264" s="1" t="n">
        <v>45353</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45353</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5340-2024</t>
        </is>
      </c>
      <c r="B5266" s="1" t="n">
        <v>45331</v>
      </c>
      <c r="C5266" s="1" t="n">
        <v>45353</v>
      </c>
      <c r="D5266" t="inlineStr">
        <is>
          <t>UPPSALA LÄN</t>
        </is>
      </c>
      <c r="E5266" t="inlineStr">
        <is>
          <t>HEBY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5390-2024</t>
        </is>
      </c>
      <c r="B5267" s="1" t="n">
        <v>45331</v>
      </c>
      <c r="C5267" s="1" t="n">
        <v>45353</v>
      </c>
      <c r="D5267" t="inlineStr">
        <is>
          <t>UPPSALA LÄN</t>
        </is>
      </c>
      <c r="E5267" t="inlineStr">
        <is>
          <t>HEBY</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5391-2024</t>
        </is>
      </c>
      <c r="B5268" s="1" t="n">
        <v>45331</v>
      </c>
      <c r="C5268" s="1" t="n">
        <v>45353</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45353</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5537-2024</t>
        </is>
      </c>
      <c r="B5270" s="1" t="n">
        <v>45334</v>
      </c>
      <c r="C5270" s="1" t="n">
        <v>45353</v>
      </c>
      <c r="D5270" t="inlineStr">
        <is>
          <t>UPPSALA LÄN</t>
        </is>
      </c>
      <c r="E5270" t="inlineStr">
        <is>
          <t>HEBY</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5538-2024</t>
        </is>
      </c>
      <c r="B5271" s="1" t="n">
        <v>45334</v>
      </c>
      <c r="C5271" s="1" t="n">
        <v>45353</v>
      </c>
      <c r="D5271" t="inlineStr">
        <is>
          <t>UPPSALA LÄN</t>
        </is>
      </c>
      <c r="E5271" t="inlineStr">
        <is>
          <t>HEBY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5521-2024</t>
        </is>
      </c>
      <c r="B5272" s="1" t="n">
        <v>45334</v>
      </c>
      <c r="C5272" s="1" t="n">
        <v>45353</v>
      </c>
      <c r="D5272" t="inlineStr">
        <is>
          <t>UPPSALA LÄN</t>
        </is>
      </c>
      <c r="E5272" t="inlineStr">
        <is>
          <t>ENKÖPING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45353</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5848-2024</t>
        </is>
      </c>
      <c r="B5274" s="1" t="n">
        <v>45335</v>
      </c>
      <c r="C5274" s="1" t="n">
        <v>45353</v>
      </c>
      <c r="D5274" t="inlineStr">
        <is>
          <t>UPPSALA LÄN</t>
        </is>
      </c>
      <c r="E5274" t="inlineStr">
        <is>
          <t>UPPSALA</t>
        </is>
      </c>
      <c r="F5274" t="inlineStr">
        <is>
          <t>Kyrkan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5860-2024</t>
        </is>
      </c>
      <c r="B5275" s="1" t="n">
        <v>45335</v>
      </c>
      <c r="C5275" s="1" t="n">
        <v>45353</v>
      </c>
      <c r="D5275" t="inlineStr">
        <is>
          <t>UPPSALA LÄN</t>
        </is>
      </c>
      <c r="E5275" t="inlineStr">
        <is>
          <t>ÖSTHAMMAR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5851-2024</t>
        </is>
      </c>
      <c r="B5276" s="1" t="n">
        <v>45335</v>
      </c>
      <c r="C5276" s="1" t="n">
        <v>45353</v>
      </c>
      <c r="D5276" t="inlineStr">
        <is>
          <t>UPPSALA LÄN</t>
        </is>
      </c>
      <c r="E5276" t="inlineStr">
        <is>
          <t>ÖSTHAMMAR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5899-2024</t>
        </is>
      </c>
      <c r="B5277" s="1" t="n">
        <v>45335</v>
      </c>
      <c r="C5277" s="1" t="n">
        <v>45353</v>
      </c>
      <c r="D5277" t="inlineStr">
        <is>
          <t>UPPSALA LÄN</t>
        </is>
      </c>
      <c r="E5277" t="inlineStr">
        <is>
          <t>UPPSALA</t>
        </is>
      </c>
      <c r="F5277" t="inlineStr">
        <is>
          <t>Allmännings- och besparingsskogar</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5876-2024</t>
        </is>
      </c>
      <c r="B5278" s="1" t="n">
        <v>45335</v>
      </c>
      <c r="C5278" s="1" t="n">
        <v>45353</v>
      </c>
      <c r="D5278" t="inlineStr">
        <is>
          <t>UPPSALA LÄN</t>
        </is>
      </c>
      <c r="E5278" t="inlineStr">
        <is>
          <t>UPPSALA</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5896-2024</t>
        </is>
      </c>
      <c r="B5279" s="1" t="n">
        <v>45335</v>
      </c>
      <c r="C5279" s="1" t="n">
        <v>45353</v>
      </c>
      <c r="D5279" t="inlineStr">
        <is>
          <t>UPPSALA LÄN</t>
        </is>
      </c>
      <c r="E5279" t="inlineStr">
        <is>
          <t>UPPSALA</t>
        </is>
      </c>
      <c r="F5279" t="inlineStr">
        <is>
          <t>Allmännings- och besparingsskogar</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5972-2024</t>
        </is>
      </c>
      <c r="B5280" s="1" t="n">
        <v>45336</v>
      </c>
      <c r="C5280" s="1" t="n">
        <v>45353</v>
      </c>
      <c r="D5280" t="inlineStr">
        <is>
          <t>UPPSALA LÄN</t>
        </is>
      </c>
      <c r="E5280" t="inlineStr">
        <is>
          <t>UPPSALA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5974-2024</t>
        </is>
      </c>
      <c r="B5281" s="1" t="n">
        <v>45336</v>
      </c>
      <c r="C5281" s="1" t="n">
        <v>45353</v>
      </c>
      <c r="D5281" t="inlineStr">
        <is>
          <t>UPPSALA LÄN</t>
        </is>
      </c>
      <c r="E5281" t="inlineStr">
        <is>
          <t>UPPSALA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5975-2024</t>
        </is>
      </c>
      <c r="B5282" s="1" t="n">
        <v>45336</v>
      </c>
      <c r="C5282" s="1" t="n">
        <v>45353</v>
      </c>
      <c r="D5282" t="inlineStr">
        <is>
          <t>UPPSALA LÄN</t>
        </is>
      </c>
      <c r="E5282" t="inlineStr">
        <is>
          <t>UPPSALA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6024-2024</t>
        </is>
      </c>
      <c r="B5283" s="1" t="n">
        <v>45336</v>
      </c>
      <c r="C5283" s="1" t="n">
        <v>45353</v>
      </c>
      <c r="D5283" t="inlineStr">
        <is>
          <t>UPPSALA LÄN</t>
        </is>
      </c>
      <c r="E5283" t="inlineStr">
        <is>
          <t>UPPSALA</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45353</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6120-2024</t>
        </is>
      </c>
      <c r="B5285" s="1" t="n">
        <v>45337</v>
      </c>
      <c r="C5285" s="1" t="n">
        <v>45353</v>
      </c>
      <c r="D5285" t="inlineStr">
        <is>
          <t>UPPSALA LÄN</t>
        </is>
      </c>
      <c r="E5285" t="inlineStr">
        <is>
          <t>ÖSTHAMMAR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6121-2024</t>
        </is>
      </c>
      <c r="B5286" s="1" t="n">
        <v>45337</v>
      </c>
      <c r="C5286" s="1" t="n">
        <v>45353</v>
      </c>
      <c r="D5286" t="inlineStr">
        <is>
          <t>UPPSALA LÄN</t>
        </is>
      </c>
      <c r="E5286" t="inlineStr">
        <is>
          <t>ÖSTHAMMAR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6199-2024</t>
        </is>
      </c>
      <c r="B5287" s="1" t="n">
        <v>45337</v>
      </c>
      <c r="C5287" s="1" t="n">
        <v>45353</v>
      </c>
      <c r="D5287" t="inlineStr">
        <is>
          <t>UPPSALA LÄN</t>
        </is>
      </c>
      <c r="E5287" t="inlineStr">
        <is>
          <t>UPPSALA</t>
        </is>
      </c>
      <c r="F5287" t="inlineStr">
        <is>
          <t>Kyrkan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6211-2024</t>
        </is>
      </c>
      <c r="B5288" s="1" t="n">
        <v>45337</v>
      </c>
      <c r="C5288" s="1" t="n">
        <v>45353</v>
      </c>
      <c r="D5288" t="inlineStr">
        <is>
          <t>UPPSALA LÄN</t>
        </is>
      </c>
      <c r="E5288" t="inlineStr">
        <is>
          <t>UPPSALA</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6227-2024</t>
        </is>
      </c>
      <c r="B5289" s="1" t="n">
        <v>45337</v>
      </c>
      <c r="C5289" s="1" t="n">
        <v>45353</v>
      </c>
      <c r="D5289" t="inlineStr">
        <is>
          <t>UPPSALA LÄN</t>
        </is>
      </c>
      <c r="E5289" t="inlineStr">
        <is>
          <t>KNIVSTA</t>
        </is>
      </c>
      <c r="F5289" t="inlineStr">
        <is>
          <t>Holmen skog AB</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6247-2024</t>
        </is>
      </c>
      <c r="B5290" s="1" t="n">
        <v>45337</v>
      </c>
      <c r="C5290" s="1" t="n">
        <v>45353</v>
      </c>
      <c r="D5290" t="inlineStr">
        <is>
          <t>UPPSALA LÄN</t>
        </is>
      </c>
      <c r="E5290" t="inlineStr">
        <is>
          <t>ENKÖPING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6143-2024</t>
        </is>
      </c>
      <c r="B5291" s="1" t="n">
        <v>45337</v>
      </c>
      <c r="C5291" s="1" t="n">
        <v>45353</v>
      </c>
      <c r="D5291" t="inlineStr">
        <is>
          <t>UPPSALA LÄN</t>
        </is>
      </c>
      <c r="E5291" t="inlineStr">
        <is>
          <t>ÖSTHAMMAR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6098-2024</t>
        </is>
      </c>
      <c r="B5292" s="1" t="n">
        <v>45337</v>
      </c>
      <c r="C5292" s="1" t="n">
        <v>45353</v>
      </c>
      <c r="D5292" t="inlineStr">
        <is>
          <t>UPPSALA LÄN</t>
        </is>
      </c>
      <c r="E5292" t="inlineStr">
        <is>
          <t>UPPSALA</t>
        </is>
      </c>
      <c r="F5292" t="inlineStr">
        <is>
          <t>Övriga Aktiebolag</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6102-2024</t>
        </is>
      </c>
      <c r="B5293" s="1" t="n">
        <v>45337</v>
      </c>
      <c r="C5293" s="1" t="n">
        <v>45353</v>
      </c>
      <c r="D5293" t="inlineStr">
        <is>
          <t>UPPSALA LÄN</t>
        </is>
      </c>
      <c r="E5293" t="inlineStr">
        <is>
          <t>ÖSTHAMMAR</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6106-2024</t>
        </is>
      </c>
      <c r="B5294" s="1" t="n">
        <v>45337</v>
      </c>
      <c r="C5294" s="1" t="n">
        <v>45353</v>
      </c>
      <c r="D5294" t="inlineStr">
        <is>
          <t>UPPSALA LÄN</t>
        </is>
      </c>
      <c r="E5294" t="inlineStr">
        <is>
          <t>ÖSTHAMMAR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6144-2024</t>
        </is>
      </c>
      <c r="B5295" s="1" t="n">
        <v>45337</v>
      </c>
      <c r="C5295" s="1" t="n">
        <v>45353</v>
      </c>
      <c r="D5295" t="inlineStr">
        <is>
          <t>UPPSALA LÄN</t>
        </is>
      </c>
      <c r="E5295" t="inlineStr">
        <is>
          <t>ENKÖPING</t>
        </is>
      </c>
      <c r="G5295" t="n">
        <v>13.8</v>
      </c>
      <c r="H5295" t="n">
        <v>0</v>
      </c>
      <c r="I5295" t="n">
        <v>0</v>
      </c>
      <c r="J5295" t="n">
        <v>0</v>
      </c>
      <c r="K5295" t="n">
        <v>0</v>
      </c>
      <c r="L5295" t="n">
        <v>0</v>
      </c>
      <c r="M5295" t="n">
        <v>0</v>
      </c>
      <c r="N5295" t="n">
        <v>0</v>
      </c>
      <c r="O5295" t="n">
        <v>0</v>
      </c>
      <c r="P5295" t="n">
        <v>0</v>
      </c>
      <c r="Q5295" t="n">
        <v>0</v>
      </c>
      <c r="R5295" s="2" t="inlineStr"/>
    </row>
    <row r="5296" ht="15" customHeight="1">
      <c r="A5296" t="inlineStr">
        <is>
          <t>A 6226-2024</t>
        </is>
      </c>
      <c r="B5296" s="1" t="n">
        <v>45337</v>
      </c>
      <c r="C5296" s="1" t="n">
        <v>45353</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6234-2024</t>
        </is>
      </c>
      <c r="B5297" s="1" t="n">
        <v>45337</v>
      </c>
      <c r="C5297" s="1" t="n">
        <v>45353</v>
      </c>
      <c r="D5297" t="inlineStr">
        <is>
          <t>UPPSALA LÄN</t>
        </is>
      </c>
      <c r="E5297" t="inlineStr">
        <is>
          <t>KNIVSTA</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6385-2024</t>
        </is>
      </c>
      <c r="B5298" s="1" t="n">
        <v>45338</v>
      </c>
      <c r="C5298" s="1" t="n">
        <v>45353</v>
      </c>
      <c r="D5298" t="inlineStr">
        <is>
          <t>UPPSALA LÄN</t>
        </is>
      </c>
      <c r="E5298" t="inlineStr">
        <is>
          <t>TIERP</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6363-2024</t>
        </is>
      </c>
      <c r="B5299" s="1" t="n">
        <v>45338</v>
      </c>
      <c r="C5299" s="1" t="n">
        <v>45353</v>
      </c>
      <c r="D5299" t="inlineStr">
        <is>
          <t>UPPSALA LÄN</t>
        </is>
      </c>
      <c r="E5299" t="inlineStr">
        <is>
          <t>UPPSALA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6395-2024</t>
        </is>
      </c>
      <c r="B5300" s="1" t="n">
        <v>45338</v>
      </c>
      <c r="C5300" s="1" t="n">
        <v>45353</v>
      </c>
      <c r="D5300" t="inlineStr">
        <is>
          <t>UPPSALA LÄN</t>
        </is>
      </c>
      <c r="E5300" t="inlineStr">
        <is>
          <t>TIERP</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6418-2024</t>
        </is>
      </c>
      <c r="B5301" s="1" t="n">
        <v>45338</v>
      </c>
      <c r="C5301" s="1" t="n">
        <v>45353</v>
      </c>
      <c r="D5301" t="inlineStr">
        <is>
          <t>UPPSALA LÄN</t>
        </is>
      </c>
      <c r="E5301" t="inlineStr">
        <is>
          <t>ÖSTHAMMAR</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6500-2024</t>
        </is>
      </c>
      <c r="B5302" s="1" t="n">
        <v>45339</v>
      </c>
      <c r="C5302" s="1" t="n">
        <v>45353</v>
      </c>
      <c r="D5302" t="inlineStr">
        <is>
          <t>UPPSALA LÄN</t>
        </is>
      </c>
      <c r="E5302" t="inlineStr">
        <is>
          <t>UPPSALA</t>
        </is>
      </c>
      <c r="F5302" t="inlineStr">
        <is>
          <t>Bergvik skog öst AB</t>
        </is>
      </c>
      <c r="G5302" t="n">
        <v>23.7</v>
      </c>
      <c r="H5302" t="n">
        <v>0</v>
      </c>
      <c r="I5302" t="n">
        <v>0</v>
      </c>
      <c r="J5302" t="n">
        <v>0</v>
      </c>
      <c r="K5302" t="n">
        <v>0</v>
      </c>
      <c r="L5302" t="n">
        <v>0</v>
      </c>
      <c r="M5302" t="n">
        <v>0</v>
      </c>
      <c r="N5302" t="n">
        <v>0</v>
      </c>
      <c r="O5302" t="n">
        <v>0</v>
      </c>
      <c r="P5302" t="n">
        <v>0</v>
      </c>
      <c r="Q5302" t="n">
        <v>0</v>
      </c>
      <c r="R5302" s="2" t="inlineStr"/>
    </row>
    <row r="5303" ht="15" customHeight="1">
      <c r="A5303" t="inlineStr">
        <is>
          <t>A 6504-2024</t>
        </is>
      </c>
      <c r="B5303" s="1" t="n">
        <v>45339</v>
      </c>
      <c r="C5303" s="1" t="n">
        <v>45353</v>
      </c>
      <c r="D5303" t="inlineStr">
        <is>
          <t>UPPSALA LÄN</t>
        </is>
      </c>
      <c r="E5303" t="inlineStr">
        <is>
          <t>UPPSALA</t>
        </is>
      </c>
      <c r="F5303" t="inlineStr">
        <is>
          <t>Bergvik skog öst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6503-2024</t>
        </is>
      </c>
      <c r="B5304" s="1" t="n">
        <v>45339</v>
      </c>
      <c r="C5304" s="1" t="n">
        <v>45353</v>
      </c>
      <c r="D5304" t="inlineStr">
        <is>
          <t>UPPSALA LÄN</t>
        </is>
      </c>
      <c r="E5304" t="inlineStr">
        <is>
          <t>UPPSALA</t>
        </is>
      </c>
      <c r="F5304" t="inlineStr">
        <is>
          <t>Bergvik skog öst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6497-2024</t>
        </is>
      </c>
      <c r="B5305" s="1" t="n">
        <v>45339</v>
      </c>
      <c r="C5305" s="1" t="n">
        <v>45353</v>
      </c>
      <c r="D5305" t="inlineStr">
        <is>
          <t>UPPSALA LÄN</t>
        </is>
      </c>
      <c r="E5305" t="inlineStr">
        <is>
          <t>HEBY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6501-2024</t>
        </is>
      </c>
      <c r="B5306" s="1" t="n">
        <v>45339</v>
      </c>
      <c r="C5306" s="1" t="n">
        <v>45353</v>
      </c>
      <c r="D5306" t="inlineStr">
        <is>
          <t>UPPSALA LÄN</t>
        </is>
      </c>
      <c r="E5306" t="inlineStr">
        <is>
          <t>UPPSALA</t>
        </is>
      </c>
      <c r="F5306" t="inlineStr">
        <is>
          <t>Bergvik skog öst AB</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6507-2024</t>
        </is>
      </c>
      <c r="B5307" s="1" t="n">
        <v>45339</v>
      </c>
      <c r="C5307" s="1" t="n">
        <v>45353</v>
      </c>
      <c r="D5307" t="inlineStr">
        <is>
          <t>UPPSALA LÄN</t>
        </is>
      </c>
      <c r="E5307" t="inlineStr">
        <is>
          <t>UPPSALA</t>
        </is>
      </c>
      <c r="F5307" t="inlineStr">
        <is>
          <t>Bergvik skog öst AB</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6505-2024</t>
        </is>
      </c>
      <c r="B5308" s="1" t="n">
        <v>45339</v>
      </c>
      <c r="C5308" s="1" t="n">
        <v>45353</v>
      </c>
      <c r="D5308" t="inlineStr">
        <is>
          <t>UPPSALA LÄN</t>
        </is>
      </c>
      <c r="E5308" t="inlineStr">
        <is>
          <t>UPPSALA</t>
        </is>
      </c>
      <c r="F5308" t="inlineStr">
        <is>
          <t>Bergvik skog öst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6506-2024</t>
        </is>
      </c>
      <c r="B5309" s="1" t="n">
        <v>45339</v>
      </c>
      <c r="C5309" s="1" t="n">
        <v>45353</v>
      </c>
      <c r="D5309" t="inlineStr">
        <is>
          <t>UPPSALA LÄN</t>
        </is>
      </c>
      <c r="E5309" t="inlineStr">
        <is>
          <t>UPPSALA</t>
        </is>
      </c>
      <c r="F5309" t="inlineStr">
        <is>
          <t>Bergvik skog öst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6547-2024</t>
        </is>
      </c>
      <c r="B5310" s="1" t="n">
        <v>45341</v>
      </c>
      <c r="C5310" s="1" t="n">
        <v>45353</v>
      </c>
      <c r="D5310" t="inlineStr">
        <is>
          <t>UPPSALA LÄN</t>
        </is>
      </c>
      <c r="E5310" t="inlineStr">
        <is>
          <t>HEBY</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6555-2024</t>
        </is>
      </c>
      <c r="B5311" s="1" t="n">
        <v>45341</v>
      </c>
      <c r="C5311" s="1" t="n">
        <v>45353</v>
      </c>
      <c r="D5311" t="inlineStr">
        <is>
          <t>UPPSALA LÄN</t>
        </is>
      </c>
      <c r="E5311" t="inlineStr">
        <is>
          <t>HEBY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6678-2024</t>
        </is>
      </c>
      <c r="B5312" s="1" t="n">
        <v>45341</v>
      </c>
      <c r="C5312" s="1" t="n">
        <v>45353</v>
      </c>
      <c r="D5312" t="inlineStr">
        <is>
          <t>UPPSALA LÄN</t>
        </is>
      </c>
      <c r="E5312" t="inlineStr">
        <is>
          <t>UPPSALA</t>
        </is>
      </c>
      <c r="F5312" t="inlineStr">
        <is>
          <t>Bergvik skog öst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6656-2024</t>
        </is>
      </c>
      <c r="B5313" s="1" t="n">
        <v>45341</v>
      </c>
      <c r="C5313" s="1" t="n">
        <v>45353</v>
      </c>
      <c r="D5313" t="inlineStr">
        <is>
          <t>UPPSALA LÄN</t>
        </is>
      </c>
      <c r="E5313" t="inlineStr">
        <is>
          <t>ÖSTHAMMAR</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6676-2024</t>
        </is>
      </c>
      <c r="B5314" s="1" t="n">
        <v>45341</v>
      </c>
      <c r="C5314" s="1" t="n">
        <v>45353</v>
      </c>
      <c r="D5314" t="inlineStr">
        <is>
          <t>UPPSALA LÄN</t>
        </is>
      </c>
      <c r="E5314" t="inlineStr">
        <is>
          <t>UPPSALA</t>
        </is>
      </c>
      <c r="F5314" t="inlineStr">
        <is>
          <t>Bergvik skog öst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6554-2024</t>
        </is>
      </c>
      <c r="B5315" s="1" t="n">
        <v>45341</v>
      </c>
      <c r="C5315" s="1" t="n">
        <v>45353</v>
      </c>
      <c r="D5315" t="inlineStr">
        <is>
          <t>UPPSALA LÄN</t>
        </is>
      </c>
      <c r="E5315" t="inlineStr">
        <is>
          <t>HEBY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6630-2024</t>
        </is>
      </c>
      <c r="B5316" s="1" t="n">
        <v>45341</v>
      </c>
      <c r="C5316" s="1" t="n">
        <v>45353</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6661-2024</t>
        </is>
      </c>
      <c r="B5317" s="1" t="n">
        <v>45341</v>
      </c>
      <c r="C5317" s="1" t="n">
        <v>45353</v>
      </c>
      <c r="D5317" t="inlineStr">
        <is>
          <t>UPPSALA LÄN</t>
        </is>
      </c>
      <c r="E5317" t="inlineStr">
        <is>
          <t>ÖSTHAMMAR</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6628-2024</t>
        </is>
      </c>
      <c r="B5318" s="1" t="n">
        <v>45341</v>
      </c>
      <c r="C5318" s="1" t="n">
        <v>45353</v>
      </c>
      <c r="D5318" t="inlineStr">
        <is>
          <t>UPPSALA LÄN</t>
        </is>
      </c>
      <c r="E5318" t="inlineStr">
        <is>
          <t>UPPSALA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6677-2024</t>
        </is>
      </c>
      <c r="B5319" s="1" t="n">
        <v>45341</v>
      </c>
      <c r="C5319" s="1" t="n">
        <v>45353</v>
      </c>
      <c r="D5319" t="inlineStr">
        <is>
          <t>UPPSALA LÄN</t>
        </is>
      </c>
      <c r="E5319" t="inlineStr">
        <is>
          <t>UPPSALA</t>
        </is>
      </c>
      <c r="F5319" t="inlineStr">
        <is>
          <t>Bergvik skog öst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6650-2024</t>
        </is>
      </c>
      <c r="B5320" s="1" t="n">
        <v>45341</v>
      </c>
      <c r="C5320" s="1" t="n">
        <v>45353</v>
      </c>
      <c r="D5320" t="inlineStr">
        <is>
          <t>UPPSALA LÄN</t>
        </is>
      </c>
      <c r="E5320" t="inlineStr">
        <is>
          <t>UPPSALA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6679-2024</t>
        </is>
      </c>
      <c r="B5321" s="1" t="n">
        <v>45341</v>
      </c>
      <c r="C5321" s="1" t="n">
        <v>45353</v>
      </c>
      <c r="D5321" t="inlineStr">
        <is>
          <t>UPPSALA LÄN</t>
        </is>
      </c>
      <c r="E5321" t="inlineStr">
        <is>
          <t>UPPSALA</t>
        </is>
      </c>
      <c r="F5321" t="inlineStr">
        <is>
          <t>Bergvik skog öst AB</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6885-2024</t>
        </is>
      </c>
      <c r="B5322" s="1" t="n">
        <v>45342</v>
      </c>
      <c r="C5322" s="1" t="n">
        <v>45353</v>
      </c>
      <c r="D5322" t="inlineStr">
        <is>
          <t>UPPSALA LÄN</t>
        </is>
      </c>
      <c r="E5322" t="inlineStr">
        <is>
          <t>HEBY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6882-2024</t>
        </is>
      </c>
      <c r="B5323" s="1" t="n">
        <v>45342</v>
      </c>
      <c r="C5323" s="1" t="n">
        <v>45353</v>
      </c>
      <c r="D5323" t="inlineStr">
        <is>
          <t>UPPSALA LÄN</t>
        </is>
      </c>
      <c r="E5323" t="inlineStr">
        <is>
          <t>HEBY</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6966-2024</t>
        </is>
      </c>
      <c r="B5324" s="1" t="n">
        <v>45343</v>
      </c>
      <c r="C5324" s="1" t="n">
        <v>45353</v>
      </c>
      <c r="D5324" t="inlineStr">
        <is>
          <t>UPPSALA LÄN</t>
        </is>
      </c>
      <c r="E5324" t="inlineStr">
        <is>
          <t>UPPSALA</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7048-2024</t>
        </is>
      </c>
      <c r="B5325" s="1" t="n">
        <v>45343</v>
      </c>
      <c r="C5325" s="1" t="n">
        <v>45353</v>
      </c>
      <c r="D5325" t="inlineStr">
        <is>
          <t>UPPSALA LÄN</t>
        </is>
      </c>
      <c r="E5325" t="inlineStr">
        <is>
          <t>TIERP</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7065-2024</t>
        </is>
      </c>
      <c r="B5326" s="1" t="n">
        <v>45343</v>
      </c>
      <c r="C5326" s="1" t="n">
        <v>45353</v>
      </c>
      <c r="D5326" t="inlineStr">
        <is>
          <t>UPPSALA LÄN</t>
        </is>
      </c>
      <c r="E5326" t="inlineStr">
        <is>
          <t>TIERP</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7084-2024</t>
        </is>
      </c>
      <c r="B5327" s="1" t="n">
        <v>45343</v>
      </c>
      <c r="C5327" s="1" t="n">
        <v>45353</v>
      </c>
      <c r="D5327" t="inlineStr">
        <is>
          <t>UPPSALA LÄN</t>
        </is>
      </c>
      <c r="E5327" t="inlineStr">
        <is>
          <t>HEBY</t>
        </is>
      </c>
      <c r="F5327" t="inlineStr">
        <is>
          <t>Kyrkan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7088-2024</t>
        </is>
      </c>
      <c r="B5328" s="1" t="n">
        <v>45343</v>
      </c>
      <c r="C5328" s="1" t="n">
        <v>45353</v>
      </c>
      <c r="D5328" t="inlineStr">
        <is>
          <t>UPPSALA LÄN</t>
        </is>
      </c>
      <c r="E5328" t="inlineStr">
        <is>
          <t>HEBY</t>
        </is>
      </c>
      <c r="F5328" t="inlineStr">
        <is>
          <t>Kyrkan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7127-2024</t>
        </is>
      </c>
      <c r="B5329" s="1" t="n">
        <v>45344</v>
      </c>
      <c r="C5329" s="1" t="n">
        <v>45353</v>
      </c>
      <c r="D5329" t="inlineStr">
        <is>
          <t>UPPSALA LÄN</t>
        </is>
      </c>
      <c r="E5329" t="inlineStr">
        <is>
          <t>TIERP</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7160-2024</t>
        </is>
      </c>
      <c r="B5330" s="1" t="n">
        <v>45344</v>
      </c>
      <c r="C5330" s="1" t="n">
        <v>45353</v>
      </c>
      <c r="D5330" t="inlineStr">
        <is>
          <t>UPPSALA LÄN</t>
        </is>
      </c>
      <c r="E5330" t="inlineStr">
        <is>
          <t>HEBY</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7253-2024</t>
        </is>
      </c>
      <c r="B5331" s="1" t="n">
        <v>45344</v>
      </c>
      <c r="C5331" s="1" t="n">
        <v>45353</v>
      </c>
      <c r="D5331" t="inlineStr">
        <is>
          <t>UPPSALA LÄN</t>
        </is>
      </c>
      <c r="E5331" t="inlineStr">
        <is>
          <t>UPPSALA</t>
        </is>
      </c>
      <c r="F5331" t="inlineStr">
        <is>
          <t>Kyrkan</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45353</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7158-2024</t>
        </is>
      </c>
      <c r="B5333" s="1" t="n">
        <v>45344</v>
      </c>
      <c r="C5333" s="1" t="n">
        <v>45353</v>
      </c>
      <c r="D5333" t="inlineStr">
        <is>
          <t>UPPSALA LÄN</t>
        </is>
      </c>
      <c r="E5333" t="inlineStr">
        <is>
          <t>UPPSALA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7166-2024</t>
        </is>
      </c>
      <c r="B5334" s="1" t="n">
        <v>45344</v>
      </c>
      <c r="C5334" s="1" t="n">
        <v>45353</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7226-2024</t>
        </is>
      </c>
      <c r="B5335" s="1" t="n">
        <v>45344</v>
      </c>
      <c r="C5335" s="1" t="n">
        <v>45353</v>
      </c>
      <c r="D5335" t="inlineStr">
        <is>
          <t>UPPSALA LÄN</t>
        </is>
      </c>
      <c r="E5335" t="inlineStr">
        <is>
          <t>UPPSALA</t>
        </is>
      </c>
      <c r="F5335" t="inlineStr">
        <is>
          <t>Kyrkan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7169-2024</t>
        </is>
      </c>
      <c r="B5336" s="1" t="n">
        <v>45344</v>
      </c>
      <c r="C5336" s="1" t="n">
        <v>45353</v>
      </c>
      <c r="D5336" t="inlineStr">
        <is>
          <t>UPPSALA LÄN</t>
        </is>
      </c>
      <c r="E5336" t="inlineStr">
        <is>
          <t>HEBY</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7173-2024</t>
        </is>
      </c>
      <c r="B5337" s="1" t="n">
        <v>45344</v>
      </c>
      <c r="C5337" s="1" t="n">
        <v>45353</v>
      </c>
      <c r="D5337" t="inlineStr">
        <is>
          <t>UPPSALA LÄN</t>
        </is>
      </c>
      <c r="E5337" t="inlineStr">
        <is>
          <t>HEBY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7275-2024</t>
        </is>
      </c>
      <c r="B5338" s="1" t="n">
        <v>45344</v>
      </c>
      <c r="C5338" s="1" t="n">
        <v>45353</v>
      </c>
      <c r="D5338" t="inlineStr">
        <is>
          <t>UPPSALA LÄN</t>
        </is>
      </c>
      <c r="E5338" t="inlineStr">
        <is>
          <t>UPPSALA</t>
        </is>
      </c>
      <c r="F5338" t="inlineStr">
        <is>
          <t>Bergvik skog öst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7274-2024</t>
        </is>
      </c>
      <c r="B5339" s="1" t="n">
        <v>45344</v>
      </c>
      <c r="C5339" s="1" t="n">
        <v>45353</v>
      </c>
      <c r="D5339" t="inlineStr">
        <is>
          <t>UPPSALA LÄN</t>
        </is>
      </c>
      <c r="E5339" t="inlineStr">
        <is>
          <t>UPPSALA</t>
        </is>
      </c>
      <c r="F5339" t="inlineStr">
        <is>
          <t>Bergvik skog öst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7278-2024</t>
        </is>
      </c>
      <c r="B5340" s="1" t="n">
        <v>45344</v>
      </c>
      <c r="C5340" s="1" t="n">
        <v>45353</v>
      </c>
      <c r="D5340" t="inlineStr">
        <is>
          <t>UPPSALA LÄN</t>
        </is>
      </c>
      <c r="E5340" t="inlineStr">
        <is>
          <t>UPPSALA</t>
        </is>
      </c>
      <c r="F5340" t="inlineStr">
        <is>
          <t>Bergvik skog öst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7276-2024</t>
        </is>
      </c>
      <c r="B5341" s="1" t="n">
        <v>45344</v>
      </c>
      <c r="C5341" s="1" t="n">
        <v>45353</v>
      </c>
      <c r="D5341" t="inlineStr">
        <is>
          <t>UPPSALA LÄN</t>
        </is>
      </c>
      <c r="E5341" t="inlineStr">
        <is>
          <t>UPPSALA</t>
        </is>
      </c>
      <c r="F5341" t="inlineStr">
        <is>
          <t>Bergvik skog öst AB</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7403-2024</t>
        </is>
      </c>
      <c r="B5342" s="1" t="n">
        <v>45345</v>
      </c>
      <c r="C5342" s="1" t="n">
        <v>45353</v>
      </c>
      <c r="D5342" t="inlineStr">
        <is>
          <t>UPPSALA LÄN</t>
        </is>
      </c>
      <c r="E5342" t="inlineStr">
        <is>
          <t>UPPSALA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7407-2024</t>
        </is>
      </c>
      <c r="B5343" s="1" t="n">
        <v>45345</v>
      </c>
      <c r="C5343" s="1" t="n">
        <v>45353</v>
      </c>
      <c r="D5343" t="inlineStr">
        <is>
          <t>UPPSALA LÄN</t>
        </is>
      </c>
      <c r="E5343" t="inlineStr">
        <is>
          <t>UPPSALA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7388-2024</t>
        </is>
      </c>
      <c r="B5344" s="1" t="n">
        <v>45345</v>
      </c>
      <c r="C5344" s="1" t="n">
        <v>45353</v>
      </c>
      <c r="D5344" t="inlineStr">
        <is>
          <t>UPPSALA LÄN</t>
        </is>
      </c>
      <c r="E5344" t="inlineStr">
        <is>
          <t>UPPSALA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7400-2024</t>
        </is>
      </c>
      <c r="B5345" s="1" t="n">
        <v>45345</v>
      </c>
      <c r="C5345" s="1" t="n">
        <v>45353</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7390-2024</t>
        </is>
      </c>
      <c r="B5346" s="1" t="n">
        <v>45345</v>
      </c>
      <c r="C5346" s="1" t="n">
        <v>45353</v>
      </c>
      <c r="D5346" t="inlineStr">
        <is>
          <t>UPPSALA LÄN</t>
        </is>
      </c>
      <c r="E5346" t="inlineStr">
        <is>
          <t>UPPSALA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7389-2024</t>
        </is>
      </c>
      <c r="B5347" s="1" t="n">
        <v>45345</v>
      </c>
      <c r="C5347" s="1" t="n">
        <v>45353</v>
      </c>
      <c r="D5347" t="inlineStr">
        <is>
          <t>UPPSALA LÄN</t>
        </is>
      </c>
      <c r="E5347" t="inlineStr">
        <is>
          <t>UPPSALA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7649-2024</t>
        </is>
      </c>
      <c r="B5348" s="1" t="n">
        <v>45348</v>
      </c>
      <c r="C5348" s="1" t="n">
        <v>45353</v>
      </c>
      <c r="D5348" t="inlineStr">
        <is>
          <t>UPPSALA LÄN</t>
        </is>
      </c>
      <c r="E5348" t="inlineStr">
        <is>
          <t>UPPSALA</t>
        </is>
      </c>
      <c r="F5348" t="inlineStr">
        <is>
          <t>Kyrkan</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7654-2024</t>
        </is>
      </c>
      <c r="B5349" s="1" t="n">
        <v>45348</v>
      </c>
      <c r="C5349" s="1" t="n">
        <v>45353</v>
      </c>
      <c r="D5349" t="inlineStr">
        <is>
          <t>UPPSALA LÄN</t>
        </is>
      </c>
      <c r="E5349" t="inlineStr">
        <is>
          <t>UPPSALA</t>
        </is>
      </c>
      <c r="F5349" t="inlineStr">
        <is>
          <t>Kyrkan</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7727-2024</t>
        </is>
      </c>
      <c r="B5350" s="1" t="n">
        <v>45349</v>
      </c>
      <c r="C5350" s="1" t="n">
        <v>45353</v>
      </c>
      <c r="D5350" t="inlineStr">
        <is>
          <t>UPPSALA LÄN</t>
        </is>
      </c>
      <c r="E5350" t="inlineStr">
        <is>
          <t>UPPSALA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7732-2024</t>
        </is>
      </c>
      <c r="B5351" s="1" t="n">
        <v>45349</v>
      </c>
      <c r="C5351" s="1" t="n">
        <v>45353</v>
      </c>
      <c r="D5351" t="inlineStr">
        <is>
          <t>UPPSALA LÄN</t>
        </is>
      </c>
      <c r="E5351" t="inlineStr">
        <is>
          <t>UPPSALA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7750-2024</t>
        </is>
      </c>
      <c r="B5352" s="1" t="n">
        <v>45349</v>
      </c>
      <c r="C5352" s="1" t="n">
        <v>45353</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7868-2024</t>
        </is>
      </c>
      <c r="B5353" s="1" t="n">
        <v>45350</v>
      </c>
      <c r="C5353" s="1" t="n">
        <v>45353</v>
      </c>
      <c r="D5353" t="inlineStr">
        <is>
          <t>UPPSALA LÄN</t>
        </is>
      </c>
      <c r="E5353" t="inlineStr">
        <is>
          <t>ENKÖPING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7866-2024</t>
        </is>
      </c>
      <c r="B5354" s="1" t="n">
        <v>45350</v>
      </c>
      <c r="C5354" s="1" t="n">
        <v>45353</v>
      </c>
      <c r="D5354" t="inlineStr">
        <is>
          <t>UPPSALA LÄN</t>
        </is>
      </c>
      <c r="E5354" t="inlineStr">
        <is>
          <t>ENKÖPING</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7870-2024</t>
        </is>
      </c>
      <c r="B5355" s="1" t="n">
        <v>45350</v>
      </c>
      <c r="C5355" s="1" t="n">
        <v>45353</v>
      </c>
      <c r="D5355" t="inlineStr">
        <is>
          <t>UPPSALA LÄN</t>
        </is>
      </c>
      <c r="E5355" t="inlineStr">
        <is>
          <t>ENKÖPING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7974-2024</t>
        </is>
      </c>
      <c r="B5356" s="1" t="n">
        <v>45350</v>
      </c>
      <c r="C5356" s="1" t="n">
        <v>45353</v>
      </c>
      <c r="D5356" t="inlineStr">
        <is>
          <t>UPPSALA LÄN</t>
        </is>
      </c>
      <c r="E5356" t="inlineStr">
        <is>
          <t>UPPSALA</t>
        </is>
      </c>
      <c r="F5356" t="inlineStr">
        <is>
          <t>Övriga Aktiebolag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8109-2024</t>
        </is>
      </c>
      <c r="B5357" s="1" t="n">
        <v>45351</v>
      </c>
      <c r="C5357" s="1" t="n">
        <v>45353</v>
      </c>
      <c r="D5357" t="inlineStr">
        <is>
          <t>UPPSALA LÄN</t>
        </is>
      </c>
      <c r="E5357" t="inlineStr">
        <is>
          <t>UPPSALA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8103-2024</t>
        </is>
      </c>
      <c r="B5358" s="1" t="n">
        <v>45351</v>
      </c>
      <c r="C5358" s="1" t="n">
        <v>45353</v>
      </c>
      <c r="D5358" t="inlineStr">
        <is>
          <t>UPPSALA LÄN</t>
        </is>
      </c>
      <c r="E5358" t="inlineStr">
        <is>
          <t>ENKÖPING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8056-2024</t>
        </is>
      </c>
      <c r="B5359" s="1" t="n">
        <v>45351</v>
      </c>
      <c r="C5359" s="1" t="n">
        <v>45353</v>
      </c>
      <c r="D5359" t="inlineStr">
        <is>
          <t>UPPSALA LÄN</t>
        </is>
      </c>
      <c r="E5359" t="inlineStr">
        <is>
          <t>HEBY</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8139-2024</t>
        </is>
      </c>
      <c r="B5360" s="1" t="n">
        <v>45351</v>
      </c>
      <c r="C5360" s="1" t="n">
        <v>45353</v>
      </c>
      <c r="D5360" t="inlineStr">
        <is>
          <t>UPPSALA LÄN</t>
        </is>
      </c>
      <c r="E5360" t="inlineStr">
        <is>
          <t>HEBY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8112-2024</t>
        </is>
      </c>
      <c r="B5361" s="1" t="n">
        <v>45351</v>
      </c>
      <c r="C5361" s="1" t="n">
        <v>45353</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8132-2024</t>
        </is>
      </c>
      <c r="B5362" s="1" t="n">
        <v>45351</v>
      </c>
      <c r="C5362" s="1" t="n">
        <v>45353</v>
      </c>
      <c r="D5362" t="inlineStr">
        <is>
          <t>UPPSALA LÄN</t>
        </is>
      </c>
      <c r="E5362" t="inlineStr">
        <is>
          <t>UPPSALA</t>
        </is>
      </c>
      <c r="F5362" t="inlineStr">
        <is>
          <t>Övriga Aktiebolag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8168-2024</t>
        </is>
      </c>
      <c r="B5363" s="1" t="n">
        <v>45351</v>
      </c>
      <c r="C5363" s="1" t="n">
        <v>45353</v>
      </c>
      <c r="D5363" t="inlineStr">
        <is>
          <t>UPPSALA LÄN</t>
        </is>
      </c>
      <c r="E5363" t="inlineStr">
        <is>
          <t>HEBY</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8217-2024</t>
        </is>
      </c>
      <c r="B5364" s="1" t="n">
        <v>45351</v>
      </c>
      <c r="C5364" s="1" t="n">
        <v>45353</v>
      </c>
      <c r="D5364" t="inlineStr">
        <is>
          <t>UPPSALA LÄN</t>
        </is>
      </c>
      <c r="E5364" t="inlineStr">
        <is>
          <t>ENKÖPING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8137-2024</t>
        </is>
      </c>
      <c r="B5365" s="1" t="n">
        <v>45351</v>
      </c>
      <c r="C5365" s="1" t="n">
        <v>45353</v>
      </c>
      <c r="D5365" t="inlineStr">
        <is>
          <t>UPPSALA LÄN</t>
        </is>
      </c>
      <c r="E5365" t="inlineStr">
        <is>
          <t>HEBY</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8338-2024</t>
        </is>
      </c>
      <c r="B5366" s="1" t="n">
        <v>45352</v>
      </c>
      <c r="C5366" s="1" t="n">
        <v>45353</v>
      </c>
      <c r="D5366" t="inlineStr">
        <is>
          <t>UPPSALA LÄN</t>
        </is>
      </c>
      <c r="E5366" t="inlineStr">
        <is>
          <t>UPPSALA</t>
        </is>
      </c>
      <c r="F5366" t="inlineStr">
        <is>
          <t>Kyrkan</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8343-2024</t>
        </is>
      </c>
      <c r="B5367" s="1" t="n">
        <v>45352</v>
      </c>
      <c r="C5367" s="1" t="n">
        <v>45353</v>
      </c>
      <c r="D5367" t="inlineStr">
        <is>
          <t>UPPSALA LÄN</t>
        </is>
      </c>
      <c r="E5367" t="inlineStr">
        <is>
          <t>KNIVSTA</t>
        </is>
      </c>
      <c r="F5367" t="inlineStr">
        <is>
          <t>Holmen skog AB</t>
        </is>
      </c>
      <c r="G5367" t="n">
        <v>1.4</v>
      </c>
      <c r="H5367" t="n">
        <v>0</v>
      </c>
      <c r="I5367" t="n">
        <v>0</v>
      </c>
      <c r="J5367" t="n">
        <v>0</v>
      </c>
      <c r="K5367" t="n">
        <v>0</v>
      </c>
      <c r="L5367" t="n">
        <v>0</v>
      </c>
      <c r="M5367" t="n">
        <v>0</v>
      </c>
      <c r="N5367" t="n">
        <v>0</v>
      </c>
      <c r="O5367" t="n">
        <v>0</v>
      </c>
      <c r="P5367" t="n">
        <v>0</v>
      </c>
      <c r="Q5367" t="n">
        <v>0</v>
      </c>
      <c r="R5367" s="2" t="inlineStr"/>
    </row>
    <row r="5368">
      <c r="A5368" t="inlineStr">
        <is>
          <t>A 8357-2024</t>
        </is>
      </c>
      <c r="B5368" s="1" t="n">
        <v>45352</v>
      </c>
      <c r="C5368" s="1" t="n">
        <v>45353</v>
      </c>
      <c r="D5368" t="inlineStr">
        <is>
          <t>UPPSALA LÄN</t>
        </is>
      </c>
      <c r="E5368" t="inlineStr">
        <is>
          <t>KNIVSTA</t>
        </is>
      </c>
      <c r="F5368" t="inlineStr">
        <is>
          <t>Holmen skog AB</t>
        </is>
      </c>
      <c r="G5368" t="n">
        <v>2.6</v>
      </c>
      <c r="H5368" t="n">
        <v>0</v>
      </c>
      <c r="I5368" t="n">
        <v>0</v>
      </c>
      <c r="J5368" t="n">
        <v>0</v>
      </c>
      <c r="K5368" t="n">
        <v>0</v>
      </c>
      <c r="L5368" t="n">
        <v>0</v>
      </c>
      <c r="M5368" t="n">
        <v>0</v>
      </c>
      <c r="N5368" t="n">
        <v>0</v>
      </c>
      <c r="O5368" t="n">
        <v>0</v>
      </c>
      <c r="P5368" t="n">
        <v>0</v>
      </c>
      <c r="Q5368" t="n">
        <v>0</v>
      </c>
      <c r="R53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2024-03-02T13:05:19Z</dcterms:created>
  <dcterms:modified xmlns:dcterms="http://purl.org/dc/terms/" xmlns:xsi="http://www.w3.org/2001/XMLSchema-instance" xsi:type="dcterms:W3CDTF">2024-03-02T13:05:24Z</dcterms:modified>
</cp:coreProperties>
</file>